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14">
    <numFmt numFmtId="164" formatCode="&quot;$&quot;#,##0.00"/>
    <numFmt numFmtId="165" formatCode="0.0000"/>
    <numFmt numFmtId="166" formatCode="+0.0&quot; pts&quot;;-0.0&quot; pts&quot;"/>
    <numFmt numFmtId="167" formatCode="+0.0%;-0.0%"/>
    <numFmt numFmtId="168" formatCode="0.0%"/>
    <numFmt numFmtId="169" formatCode="yyyy-mm-dd h:mm:ss"/>
    <numFmt numFmtId="170" formatCode="yyyy-mm-dd"/>
    <numFmt numFmtId="171" formatCode="_($* #,##0.00_)"/>
    <numFmt numFmtId="172" formatCode="$#,##0.0,,,&quot;B&quot;"/>
    <numFmt numFmtId="173" formatCode="#,##0.00,,,&quot;B&quot;"/>
    <numFmt numFmtId="174" formatCode="0.000"/>
    <numFmt numFmtId="175" formatCode="0.00&quot;x&quot;"/>
    <numFmt numFmtId="176" formatCode="&quot;$&quot;#,##0.0,,,&quot;B&quot;"/>
    <numFmt numFmtId="177" formatCode="0.0"/>
  </numFmts>
  <fonts count="34">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FF0000"/>
      <sz val="10"/>
    </font>
    <font>
      <name val="Calibri"/>
      <sz val="9"/>
    </font>
    <font>
      <name val="Calibri"/>
      <i val="1"/>
      <color rgb="00888888"/>
      <sz val="8"/>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color rgb="002E75B6"/>
      <sz val="10"/>
      <u val="single"/>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i val="1"/>
      <sz val="9"/>
    </font>
    <font>
      <name val="Calibri"/>
      <b val="1"/>
      <color rgb="00000000"/>
      <sz val="10"/>
    </font>
    <font>
      <name val="Calibri"/>
      <b val="1"/>
      <color rgb="00999999"/>
      <sz val="10"/>
    </font>
    <font>
      <name val="Calibri"/>
      <b val="1"/>
      <color rgb="00FFFFFF"/>
      <sz val="22"/>
    </font>
    <font>
      <name val="Calibri"/>
      <b val="1"/>
      <color rgb="001F4E79"/>
      <sz val="16"/>
    </font>
    <font>
      <name val="Calibri"/>
      <b val="1"/>
      <color rgb="00808080"/>
      <sz val="8"/>
    </font>
    <font>
      <name val="Calibri"/>
      <b val="1"/>
      <color rgb="00FF0000"/>
      <sz val="16"/>
    </font>
    <font>
      <name val="Calibri"/>
      <b val="1"/>
      <color rgb="002E75B6"/>
      <sz val="10"/>
      <u val="single"/>
    </font>
  </fonts>
  <fills count="16">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BF8F00"/>
      </patternFill>
    </fill>
    <fill>
      <patternFill patternType="solid">
        <fgColor rgb="002E75B6"/>
      </patternFill>
    </fill>
    <fill>
      <patternFill patternType="solid">
        <fgColor rgb="0070AD47"/>
      </patternFill>
    </fill>
    <fill>
      <patternFill patternType="solid">
        <fgColor rgb="00FFF8E1"/>
      </patternFill>
    </fill>
    <fill>
      <patternFill patternType="solid">
        <fgColor rgb="0016a34a"/>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5">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140">
    <xf numFmtId="0" fontId="0" fillId="0" borderId="0" pivotButton="0" quotePrefix="0" xfId="0"/>
    <xf numFmtId="0" fontId="0" fillId="2" borderId="0" pivotButton="0" quotePrefix="0" xfId="0"/>
    <xf numFmtId="0" fontId="29" fillId="2" borderId="0" applyAlignment="1" pivotButton="0" quotePrefix="0" xfId="0">
      <alignment horizontal="left" vertical="center" indent="1"/>
    </xf>
    <xf numFmtId="0" fontId="2" fillId="0" borderId="0" applyAlignment="1" pivotButton="0" quotePrefix="0" xfId="0">
      <alignment horizontal="left" indent="1"/>
    </xf>
    <xf numFmtId="0" fontId="30" fillId="6" borderId="1" applyAlignment="1" pivotButton="0" quotePrefix="0" xfId="0">
      <alignment horizontal="center" vertical="center"/>
    </xf>
    <xf numFmtId="0" fontId="32" fillId="6" borderId="1" applyAlignment="1" pivotButton="0" quotePrefix="0" xfId="0">
      <alignment horizontal="center" vertical="center"/>
    </xf>
    <xf numFmtId="0" fontId="31" fillId="6" borderId="1" applyAlignment="1" pivotButton="0" quotePrefix="0" xfId="0">
      <alignment horizontal="center" vertical="center"/>
    </xf>
    <xf numFmtId="0" fontId="22" fillId="0" borderId="0" pivotButton="0" quotePrefix="0" xfId="0"/>
    <xf numFmtId="0" fontId="20" fillId="0" borderId="0" pivotButton="0" quotePrefix="0" xfId="0"/>
    <xf numFmtId="0" fontId="33" fillId="0" borderId="0" pivotButton="0" quotePrefix="0" xfId="0"/>
    <xf numFmtId="0" fontId="14"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8"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7" borderId="1" applyAlignment="1" pivotButton="0" quotePrefix="0" xfId="0">
      <alignment horizontal="right"/>
    </xf>
    <xf numFmtId="0" fontId="4" fillId="0" borderId="1" pivotButton="0" quotePrefix="0" xfId="0"/>
    <xf numFmtId="0" fontId="6" fillId="7" borderId="1" applyAlignment="1" pivotButton="0" quotePrefix="0" xfId="0">
      <alignment horizontal="right"/>
    </xf>
    <xf numFmtId="0" fontId="6" fillId="8" borderId="1" applyAlignment="1" pivotButton="0" quotePrefix="0" xfId="0">
      <alignment horizontal="center" vertical="center" wrapText="1"/>
    </xf>
    <xf numFmtId="0" fontId="5" fillId="0" borderId="1" applyAlignment="1" pivotButton="0" quotePrefix="0" xfId="0">
      <alignment horizontal="right"/>
    </xf>
    <xf numFmtId="0" fontId="6" fillId="7"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7" fontId="11" fillId="0" borderId="1" applyAlignment="1" pivotButton="0" quotePrefix="0" xfId="0">
      <alignment horizontal="right"/>
    </xf>
    <xf numFmtId="166" fontId="12" fillId="0" borderId="1" applyAlignment="1" pivotButton="0" quotePrefix="0" xfId="0">
      <alignment horizontal="right"/>
    </xf>
    <xf numFmtId="0" fontId="5" fillId="5" borderId="1" applyAlignment="1" pivotButton="0" quotePrefix="0" xfId="0">
      <alignment horizontal="right"/>
    </xf>
    <xf numFmtId="0" fontId="13" fillId="0" borderId="0" applyAlignment="1" pivotButton="0" quotePrefix="0" xfId="0">
      <alignment vertical="center" wrapText="1"/>
    </xf>
    <xf numFmtId="0" fontId="6" fillId="11" borderId="1" applyAlignment="1" pivotButton="0" quotePrefix="0" xfId="0">
      <alignment horizontal="right"/>
    </xf>
    <xf numFmtId="168" fontId="5" fillId="5" borderId="1" applyAlignment="1" pivotButton="0" quotePrefix="0" xfId="0">
      <alignment horizontal="right"/>
    </xf>
    <xf numFmtId="167" fontId="5" fillId="5" borderId="1" applyAlignment="1" pivotButton="0" quotePrefix="0" xfId="0">
      <alignment horizontal="right"/>
    </xf>
    <xf numFmtId="0" fontId="6" fillId="2" borderId="1" applyAlignment="1" pivotButton="0" quotePrefix="0" xfId="0">
      <alignment horizontal="right"/>
    </xf>
    <xf numFmtId="0" fontId="5" fillId="0" borderId="1" applyAlignment="1" pivotButton="0" quotePrefix="0" xfId="0">
      <alignment horizontal="left"/>
    </xf>
    <xf numFmtId="2" fontId="5" fillId="5" borderId="1" applyAlignment="1" pivotButton="0" quotePrefix="0" xfId="0">
      <alignment horizontal="right"/>
    </xf>
    <xf numFmtId="1" fontId="5" fillId="3" borderId="1" applyAlignment="1" pivotButton="0" quotePrefix="0" xfId="0">
      <alignment horizontal="right"/>
    </xf>
    <xf numFmtId="1" fontId="5" fillId="5" borderId="1" applyAlignment="1" pivotButton="0" quotePrefix="0" xfId="0">
      <alignment horizontal="right"/>
    </xf>
    <xf numFmtId="2" fontId="5" fillId="3" borderId="1" applyAlignment="1" pivotButton="0" quotePrefix="0" xfId="0">
      <alignment horizontal="right"/>
    </xf>
    <xf numFmtId="168" fontId="5" fillId="3"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8" fontId="24" fillId="6" borderId="1" applyAlignment="1" pivotButton="0" quotePrefix="0" xfId="0">
      <alignment horizontal="center" vertical="center"/>
    </xf>
    <xf numFmtId="0" fontId="25" fillId="6" borderId="1" applyAlignment="1" pivotButton="0" quotePrefix="0" xfId="0">
      <alignment vertical="center" wrapText="1"/>
    </xf>
    <xf numFmtId="171" fontId="5" fillId="0" borderId="1" applyAlignment="1" pivotButton="0" quotePrefix="0" xfId="0">
      <alignment horizontal="right"/>
    </xf>
    <xf numFmtId="0" fontId="2" fillId="0" borderId="0" applyAlignment="1" pivotButton="0" quotePrefix="0" xfId="0">
      <alignment vertical="center"/>
    </xf>
    <xf numFmtId="167" fontId="5" fillId="0" borderId="1" applyAlignment="1" pivotButton="0" quotePrefix="0" xfId="0">
      <alignment horizontal="right"/>
    </xf>
    <xf numFmtId="0" fontId="0" fillId="0" borderId="4" pivotButton="0" quotePrefix="0" xfId="0"/>
    <xf numFmtId="0" fontId="4" fillId="0" borderId="1" applyAlignment="1" pivotButton="0" quotePrefix="0" xfId="0">
      <alignment horizontal="left"/>
    </xf>
    <xf numFmtId="168" fontId="4" fillId="0" borderId="1" applyAlignment="1" pivotButton="0" quotePrefix="0" xfId="0">
      <alignment horizontal="right"/>
    </xf>
    <xf numFmtId="171" fontId="4" fillId="0" borderId="1" applyAlignment="1" pivotButton="0" quotePrefix="0" xfId="0">
      <alignment horizontal="right"/>
    </xf>
    <xf numFmtId="167" fontId="4" fillId="0" borderId="1" applyAlignment="1" pivotButton="0" quotePrefix="0" xfId="0">
      <alignment horizontal="right"/>
    </xf>
    <xf numFmtId="0" fontId="5" fillId="15" borderId="1" applyAlignment="1" pivotButton="0" quotePrefix="0" xfId="0">
      <alignment horizontal="left"/>
    </xf>
    <xf numFmtId="168" fontId="5" fillId="15" borderId="1" applyAlignment="1" pivotButton="0" quotePrefix="0" xfId="0">
      <alignment horizontal="right"/>
    </xf>
    <xf numFmtId="171" fontId="5" fillId="15" borderId="1" applyAlignment="1" pivotButton="0" quotePrefix="0" xfId="0">
      <alignment horizontal="right"/>
    </xf>
    <xf numFmtId="167" fontId="5" fillId="15" borderId="1" applyAlignment="1" pivotButton="0" quotePrefix="0" xfId="0">
      <alignment horizontal="right"/>
    </xf>
    <xf numFmtId="0" fontId="5" fillId="6" borderId="1" applyAlignment="1" pivotButton="0" quotePrefix="0" xfId="0">
      <alignment horizontal="left"/>
    </xf>
    <xf numFmtId="168" fontId="5" fillId="6" borderId="1" applyAlignment="1" pivotButton="0" quotePrefix="0" xfId="0">
      <alignment horizontal="right"/>
    </xf>
    <xf numFmtId="171" fontId="5" fillId="6" borderId="1" applyAlignment="1" pivotButton="0" quotePrefix="0" xfId="0">
      <alignment horizontal="right"/>
    </xf>
    <xf numFmtId="167" fontId="5" fillId="6" borderId="1" applyAlignment="1" pivotButton="0" quotePrefix="0" xfId="0">
      <alignment horizontal="right"/>
    </xf>
    <xf numFmtId="10" fontId="5" fillId="13" borderId="1" applyAlignment="1" pivotButton="0" quotePrefix="0" xfId="0">
      <alignment horizontal="right"/>
    </xf>
    <xf numFmtId="1" fontId="5" fillId="13" borderId="1" applyAlignment="1" pivotButton="0" quotePrefix="0" xfId="0">
      <alignment horizontal="right"/>
    </xf>
    <xf numFmtId="172" fontId="5" fillId="13" borderId="1" applyAlignment="1" pivotButton="0" quotePrefix="0" xfId="0">
      <alignment horizontal="right"/>
    </xf>
    <xf numFmtId="168" fontId="5" fillId="13" borderId="1" applyAlignment="1" pivotButton="0" quotePrefix="0" xfId="0">
      <alignment horizontal="right"/>
    </xf>
    <xf numFmtId="173" fontId="5" fillId="13" borderId="1" applyAlignment="1" pivotButton="0" quotePrefix="0" xfId="0">
      <alignment horizontal="right"/>
    </xf>
    <xf numFmtId="171" fontId="5" fillId="13" borderId="1" applyAlignment="1" pivotButton="0" quotePrefix="0" xfId="0">
      <alignment horizontal="right"/>
    </xf>
    <xf numFmtId="1" fontId="4" fillId="0" borderId="1" applyAlignment="1" pivotButton="0" quotePrefix="0" xfId="0">
      <alignment horizontal="right"/>
    </xf>
    <xf numFmtId="172" fontId="4" fillId="0" borderId="1" applyAlignment="1" pivotButton="0" quotePrefix="0" xfId="0">
      <alignment horizontal="right"/>
    </xf>
    <xf numFmtId="174" fontId="4" fillId="0" borderId="1" applyAlignment="1" pivotButton="0" quotePrefix="0" xfId="0">
      <alignment horizontal="right"/>
    </xf>
    <xf numFmtId="1" fontId="4" fillId="5" borderId="1" applyAlignment="1" pivotButton="0" quotePrefix="0" xfId="0">
      <alignment horizontal="right"/>
    </xf>
    <xf numFmtId="168" fontId="4" fillId="5" borderId="1" applyAlignment="1" pivotButton="0" quotePrefix="0" xfId="0">
      <alignment horizontal="right"/>
    </xf>
    <xf numFmtId="172" fontId="4" fillId="5" borderId="1" applyAlignment="1" pivotButton="0" quotePrefix="0" xfId="0">
      <alignment horizontal="right"/>
    </xf>
    <xf numFmtId="174" fontId="4" fillId="5" borderId="1" applyAlignment="1" pivotButton="0" quotePrefix="0" xfId="0">
      <alignment horizontal="right"/>
    </xf>
    <xf numFmtId="0" fontId="2" fillId="0" borderId="0" pivotButton="0" quotePrefix="0" xfId="0"/>
    <xf numFmtId="172" fontId="5" fillId="15" borderId="1" applyAlignment="1" pivotButton="0" quotePrefix="0" xfId="0">
      <alignment horizontal="right"/>
    </xf>
    <xf numFmtId="0" fontId="16" fillId="0" borderId="1" pivotButton="0" quotePrefix="0" xfId="0"/>
    <xf numFmtId="0" fontId="26" fillId="0" borderId="0" applyAlignment="1" pivotButton="0" quotePrefix="0" xfId="0">
      <alignment vertical="center" wrapText="1"/>
    </xf>
    <xf numFmtId="0" fontId="8" fillId="6" borderId="1" applyAlignment="1" pivotButton="0" quotePrefix="0" xfId="0">
      <alignment vertical="top" wrapText="1"/>
    </xf>
    <xf numFmtId="175" fontId="27" fillId="5" borderId="1" applyAlignment="1" pivotButton="0" quotePrefix="0" xfId="0">
      <alignment horizontal="right"/>
    </xf>
    <xf numFmtId="175" fontId="27" fillId="0" borderId="1" applyAlignment="1" pivotButton="0" quotePrefix="0" xfId="0">
      <alignment horizontal="right"/>
    </xf>
    <xf numFmtId="0" fontId="28" fillId="0" borderId="1" applyAlignment="1" pivotButton="0" quotePrefix="0" xfId="0">
      <alignment horizontal="right"/>
    </xf>
    <xf numFmtId="168" fontId="27" fillId="5" borderId="1" applyAlignment="1" pivotButton="0" quotePrefix="0" xfId="0">
      <alignment horizontal="right"/>
    </xf>
    <xf numFmtId="168" fontId="27" fillId="0" borderId="1" applyAlignment="1" pivotButton="0" quotePrefix="0" xfId="0">
      <alignment horizontal="right"/>
    </xf>
    <xf numFmtId="0" fontId="27" fillId="0" borderId="1" applyAlignment="1" pivotButton="0" quotePrefix="0" xfId="0">
      <alignment horizontal="right"/>
    </xf>
    <xf numFmtId="176" fontId="27" fillId="0" borderId="1" applyAlignment="1" pivotButton="0" quotePrefix="0" xfId="0">
      <alignment horizontal="right"/>
    </xf>
    <xf numFmtId="2" fontId="27" fillId="5" borderId="1" applyAlignment="1" pivotButton="0" quotePrefix="0" xfId="0">
      <alignment horizontal="right"/>
    </xf>
    <xf numFmtId="2" fontId="27" fillId="0" borderId="1" applyAlignment="1" pivotButton="0" quotePrefix="0" xfId="0">
      <alignment horizontal="right"/>
    </xf>
    <xf numFmtId="0" fontId="27" fillId="5" borderId="1" applyAlignment="1" pivotButton="0" quotePrefix="0" xfId="0">
      <alignment horizontal="right"/>
    </xf>
    <xf numFmtId="0" fontId="6" fillId="8" borderId="1" pivotButton="0" quotePrefix="0" xfId="0"/>
    <xf numFmtId="177" fontId="4" fillId="0" borderId="1" pivotButton="0" quotePrefix="0" xfId="0"/>
    <xf numFmtId="0" fontId="17" fillId="0" borderId="0" applyAlignment="1" pivotButton="0" quotePrefix="0" xfId="0">
      <alignment horizontal="center" vertical="center"/>
    </xf>
    <xf numFmtId="1" fontId="4" fillId="3" borderId="1" pivotButton="0" quotePrefix="0" xfId="0"/>
    <xf numFmtId="10" fontId="18" fillId="12" borderId="1" pivotButton="0" quotePrefix="0" xfId="0"/>
    <xf numFmtId="10" fontId="6" fillId="9" borderId="1" pivotButton="0" quotePrefix="0" xfId="0"/>
    <xf numFmtId="10" fontId="4" fillId="3" borderId="1" pivotButton="0" quotePrefix="0" xfId="0"/>
    <xf numFmtId="1" fontId="4" fillId="5" borderId="1" pivotButton="0" quotePrefix="0" xfId="0"/>
    <xf numFmtId="10" fontId="4" fillId="5" borderId="1" pivotButton="0" quotePrefix="0" xfId="0"/>
    <xf numFmtId="0" fontId="6" fillId="2" borderId="1" applyAlignment="1" pivotButton="0" quotePrefix="0" xfId="0">
      <alignment horizontal="center" vertical="center" wrapText="1"/>
    </xf>
    <xf numFmtId="170" fontId="0" fillId="0" borderId="0" pivotButton="0" quotePrefix="0" xfId="0"/>
    <xf numFmtId="171"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0" fontId="19" fillId="13" borderId="1" applyAlignment="1" pivotButton="0" quotePrefix="0" xfId="0">
      <alignment horizontal="center"/>
    </xf>
    <xf numFmtId="0" fontId="4" fillId="5" borderId="1" applyAlignment="1" pivotButton="0" quotePrefix="0" xfId="0">
      <alignment horizontal="center"/>
    </xf>
    <xf numFmtId="0" fontId="20" fillId="5" borderId="1" pivotButton="0" quotePrefix="0" xfId="0"/>
    <xf numFmtId="0" fontId="21" fillId="14" borderId="1" applyAlignment="1" pivotButton="0" quotePrefix="0" xfId="0">
      <alignment horizontal="center"/>
    </xf>
    <xf numFmtId="0" fontId="4" fillId="0" borderId="1" applyAlignment="1" pivotButton="0" quotePrefix="0" xfId="0">
      <alignment horizontal="center"/>
    </xf>
    <xf numFmtId="0" fontId="20" fillId="0" borderId="1" pivotButton="0" quotePrefix="0" xfId="0"/>
    <xf numFmtId="0" fontId="18" fillId="12" borderId="1" applyAlignment="1" pivotButton="0" quotePrefix="0" xfId="0">
      <alignment horizontal="center"/>
    </xf>
    <xf numFmtId="0" fontId="5" fillId="15" borderId="1" pivotButton="0" quotePrefix="0" xfId="0"/>
    <xf numFmtId="165" fontId="4" fillId="0" borderId="1" applyAlignment="1" pivotButton="0" quotePrefix="0" xfId="0">
      <alignment horizontal="center"/>
    </xf>
    <xf numFmtId="0" fontId="23" fillId="0" borderId="0" pivotButton="0" quotePrefix="0" xfId="0"/>
    <xf numFmtId="0" fontId="4" fillId="0" borderId="0" pivotButton="0" quotePrefix="0" xfId="0"/>
    <xf numFmtId="2" fontId="5" fillId="0" borderId="0" applyAlignment="1" pivotButton="0" quotePrefix="0" xfId="0">
      <alignment horizontal="right"/>
    </xf>
    <xf numFmtId="1" fontId="5" fillId="0" borderId="0" applyAlignment="1" pivotButton="0" quotePrefix="0" xfId="0">
      <alignment horizontal="right"/>
    </xf>
    <xf numFmtId="168" fontId="5" fillId="0" borderId="0" applyAlignment="1" pivotButton="0" quotePrefix="0" xfId="0">
      <alignment horizontal="right"/>
    </xf>
    <xf numFmtId="164" fontId="0" fillId="0" borderId="0" pivotButton="0" quotePrefix="0" xfId="0"/>
    <xf numFmtId="0" fontId="5" fillId="0" borderId="1" applyAlignment="1" pivotButton="0" quotePrefix="0" xfId="0">
      <alignment vertical="top" wrapText="1"/>
    </xf>
    <xf numFmtId="0" fontId="13"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varyColors val="0"/>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delete val="0"/>
        <axPos val="l"/>
        <majorTickMark val="none"/>
        <minorTickMark val="none"/>
        <spPr>
          <a:ln xmlns:a="http://schemas.openxmlformats.org/drawingml/2006/main" w="9525">
            <a:solidFill>
              <a:srgbClr val="D9D9D9"/>
            </a:solidFill>
            <a:prstDash val="solid"/>
          </a:ln>
        </sp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Price &amp; Moving Averages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'Price_Indicators'!$A$2:$A$1255</f>
            </numRef>
          </cat>
          <val>
            <numRef>
              <f>'Price_Indicators'!$E$2:$E$1255</f>
            </numRef>
          </val>
          <smooth val="0"/>
        </ser>
        <ser>
          <idx val="1"/>
          <order val="1"/>
          <tx>
            <v>MA 50</v>
          </tx>
          <spPr>
            <a:ln xmlns:a="http://schemas.openxmlformats.org/drawingml/2006/main" w="13970">
              <a:solidFill>
                <a:srgbClr val="70AD47"/>
              </a:solidFill>
              <a:prstDash val="dash"/>
            </a:ln>
          </spPr>
          <marker>
            <symbol val="none"/>
            <spPr>
              <a:ln xmlns:a="http://schemas.openxmlformats.org/drawingml/2006/main">
                <a:prstDash val="solid"/>
              </a:ln>
            </spPr>
          </marker>
          <cat>
            <numRef>
              <f>'Price_Indicators'!$A$2:$A$1255</f>
            </numRef>
          </cat>
          <val>
            <numRef>
              <f>'Price_Indicators'!$I$2:$I$1255</f>
            </numRef>
          </val>
          <smooth val="0"/>
        </ser>
        <ser>
          <idx val="2"/>
          <order val="2"/>
          <tx>
            <v>MA 200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'Price_Indicators'!$A$2:$A$1255</f>
            </numRef>
          </cat>
          <val>
            <numRef>
              <f>'Price_Indicators'!$J$2:$J$1255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Cumulative Return vs Benchmarks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'Price_Indicators'!$A$2:$A$1255</f>
            </numRef>
          </cat>
          <val>
            <numRef>
              <f>'Price_Indicators'!$H$2:$H$1255</f>
            </numRef>
          </val>
          <smooth val="0"/>
        </ser>
        <ser>
          <idx val="1"/>
          <order val="1"/>
          <tx>
            <v>S&amp;P 500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'Price_Indicators'!$A$2:$A$1255</f>
            </numRef>
          </cat>
          <val>
            <numRef>
              <f>'Price_Indicators'!$P$2:$P$1255</f>
            </numRef>
          </val>
          <smooth val="0"/>
        </ser>
        <ser>
          <idx val="2"/>
          <order val="2"/>
          <tx>
            <v>NASDAQ 100</v>
          </tx>
          <spPr>
            <a:ln xmlns:a="http://schemas.openxmlformats.org/drawingml/2006/main" w="13970">
              <a:solidFill>
                <a:srgbClr val="00B0F0"/>
              </a:solidFill>
              <a:prstDash val="dash"/>
            </a:ln>
          </spPr>
          <marker>
            <symbol val="none"/>
            <spPr>
              <a:ln xmlns:a="http://schemas.openxmlformats.org/drawingml/2006/main">
                <a:prstDash val="solid"/>
              </a:ln>
            </spPr>
          </marker>
          <cat>
            <numRef>
              <f>'Price_Indicators'!$A$2:$A$1255</f>
            </numRef>
          </cat>
          <val>
            <numRef>
              <f>'Price_Indicators'!$Q$2:$Q$1255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Volume</a:t>
            </a:r>
          </a:p>
        </rich>
      </tx>
    </title>
    <plotArea>
      <barChart>
        <barDir val="col"/>
        <grouping val="clustered"/>
        <varyColors val="0"/>
        <ser>
          <idx val="0"/>
          <order val="0"/>
          <tx>
            <strRef>
              <f>'Price_Indicators'!F1</f>
            </strRef>
          </tx>
          <spPr>
            <a:solidFill xmlns:a="http://schemas.openxmlformats.org/drawingml/2006/main">
              <a:srgbClr val="8FAADC"/>
            </a:solidFill>
            <a:ln xmlns:a="http://schemas.openxmlformats.org/drawingml/2006/main">
              <a:noFill/>
              <a:prstDash val="solid"/>
            </a:ln>
          </spPr>
          <cat>
            <numRef>
              <f>'Price_Indicators'!$A$2:$A$1255</f>
            </numRef>
          </cat>
          <val>
            <numRef>
              <f>'Price_Indicators'!$F$2:$F$1255</f>
            </numRef>
          </val>
        </ser>
        <gapWidth val="20"/>
        <axId val="10"/>
        <axId val="100"/>
      </barChart>
      <catAx>
        <axId val="10"/>
        <scaling>
          <orientation val="minMax"/>
        </scaling>
        <delete val="0"/>
        <axPos val="l"/>
        <numFmt formatCode="mmm yy" sourceLinked="0"/>
        <majorTickMark val="none"/>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quot;M&quot;"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5.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RSI (14)</a:t>
            </a:r>
          </a:p>
        </rich>
      </tx>
    </title>
    <plotArea>
      <lineChart>
        <grouping val="standard"/>
        <varyColors val="0"/>
        <ser>
          <idx val="0"/>
          <order val="0"/>
          <tx>
            <strRef>
              <f>'Price_Indicators'!N1</f>
            </strRef>
          </tx>
          <spPr>
            <a:ln xmlns:a="http://schemas.openxmlformats.org/drawingml/2006/main" w="16510">
              <a:solidFill>
                <a:srgbClr val="6C3483"/>
              </a:solidFill>
              <a:prstDash val="solid"/>
            </a:ln>
          </spPr>
          <marker>
            <symbol val="none"/>
            <spPr>
              <a:ln xmlns:a="http://schemas.openxmlformats.org/drawingml/2006/main">
                <a:prstDash val="solid"/>
              </a:ln>
            </spPr>
          </marker>
          <cat>
            <numRef>
              <f>'Price_Indicators'!$A$2:$A$1255</f>
            </numRef>
          </cat>
          <val>
            <numRef>
              <f>'Price_Indicators'!$N$2:$N$1255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max val="100"/>
          <min val="0"/>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Monte Carlo Forecast (252 trading days)</a:t>
            </a:r>
          </a:p>
        </rich>
      </tx>
    </title>
    <plotArea>
      <lineChart>
        <grouping val="standard"/>
        <varyColors val="0"/>
        <ser>
          <idx val="0"/>
          <order val="0"/>
          <tx>
            <strRef>
              <f>'Monte_Carlo'!B20</f>
            </strRef>
          </tx>
          <spPr>
            <a:ln xmlns:a="http://schemas.openxmlformats.org/drawingml/2006/main" w="12700">
              <a:solidFill>
                <a:srgbClr val="C00000"/>
              </a:solidFill>
              <a:prstDash val="dash"/>
            </a:ln>
          </spPr>
          <marker>
            <symbol val="none"/>
            <spPr>
              <a:ln xmlns:a="http://schemas.openxmlformats.org/drawingml/2006/main">
                <a:prstDash val="solid"/>
              </a:ln>
            </spPr>
          </marker>
          <cat>
            <numRef>
              <f>'Monte_Carlo'!$A$21:$A$273</f>
            </numRef>
          </cat>
          <val>
            <numRef>
              <f>'Monte_Carlo'!$B$21:$B$273</f>
            </numRef>
          </val>
          <smooth val="0"/>
        </ser>
        <ser>
          <idx val="1"/>
          <order val="1"/>
          <tx>
            <strRef>
              <f>'Monte_Carlo'!C20</f>
            </strRef>
          </tx>
          <spPr>
            <a:ln xmlns:a="http://schemas.openxmlformats.org/drawingml/2006/main" w="12700">
              <a:solidFill>
                <a:srgbClr val="E8A838"/>
              </a:solidFill>
              <a:prstDash val="dash"/>
            </a:ln>
          </spPr>
          <marker>
            <symbol val="none"/>
            <spPr>
              <a:ln xmlns:a="http://schemas.openxmlformats.org/drawingml/2006/main">
                <a:prstDash val="solid"/>
              </a:ln>
            </spPr>
          </marker>
          <cat>
            <numRef>
              <f>'Monte_Carlo'!$A$21:$A$273</f>
            </numRef>
          </cat>
          <val>
            <numRef>
              <f>'Monte_Carlo'!$C$21:$C$273</f>
            </numRef>
          </val>
          <smooth val="0"/>
        </ser>
        <ser>
          <idx val="2"/>
          <order val="2"/>
          <tx>
            <strRef>
              <f>'Monte_Carlo'!D20</f>
            </strRef>
          </tx>
          <spPr>
            <a:ln xmlns:a="http://schemas.openxmlformats.org/drawingml/2006/main" w="22860">
              <a:solidFill>
                <a:srgbClr val="1F4E79"/>
              </a:solidFill>
              <a:prstDash val="solid"/>
            </a:ln>
          </spPr>
          <marker>
            <symbol val="none"/>
            <spPr>
              <a:ln xmlns:a="http://schemas.openxmlformats.org/drawingml/2006/main">
                <a:prstDash val="solid"/>
              </a:ln>
            </spPr>
          </marker>
          <cat>
            <numRef>
              <f>'Monte_Carlo'!$A$21:$A$273</f>
            </numRef>
          </cat>
          <val>
            <numRef>
              <f>'Monte_Carlo'!$D$21:$D$273</f>
            </numRef>
          </val>
          <smooth val="0"/>
        </ser>
        <ser>
          <idx val="3"/>
          <order val="3"/>
          <tx>
            <strRef>
              <f>'Monte_Carlo'!E20</f>
            </strRef>
          </tx>
          <spPr>
            <a:ln xmlns:a="http://schemas.openxmlformats.org/drawingml/2006/main" w="12700">
              <a:solidFill>
                <a:srgbClr val="92D050"/>
              </a:solidFill>
              <a:prstDash val="dash"/>
            </a:ln>
          </spPr>
          <marker>
            <symbol val="none"/>
            <spPr>
              <a:ln xmlns:a="http://schemas.openxmlformats.org/drawingml/2006/main">
                <a:prstDash val="solid"/>
              </a:ln>
            </spPr>
          </marker>
          <cat>
            <numRef>
              <f>'Monte_Carlo'!$A$21:$A$273</f>
            </numRef>
          </cat>
          <val>
            <numRef>
              <f>'Monte_Carlo'!$E$21:$E$273</f>
            </numRef>
          </val>
          <smooth val="0"/>
        </ser>
        <ser>
          <idx val="4"/>
          <order val="4"/>
          <tx>
            <strRef>
              <f>'Monte_Carlo'!F20</f>
            </strRef>
          </tx>
          <spPr>
            <a:ln xmlns:a="http://schemas.openxmlformats.org/drawingml/2006/main" w="12700">
              <a:solidFill>
                <a:srgbClr val="375623"/>
              </a:solidFill>
              <a:prstDash val="dash"/>
            </a:ln>
          </spPr>
          <marker>
            <symbol val="none"/>
            <spPr>
              <a:ln xmlns:a="http://schemas.openxmlformats.org/drawingml/2006/main">
                <a:prstDash val="solid"/>
              </a:ln>
            </spPr>
          </marker>
          <cat>
            <numRef>
              <f>'Monte_Carlo'!$A$21:$A$273</f>
            </numRef>
          </cat>
          <val>
            <numRef>
              <f>'Monte_Carlo'!$F$21:$F$273</f>
            </numRef>
          </val>
          <smooth val="0"/>
        </ser>
        <axId val="10"/>
        <axId val="100"/>
      </lineChart>
      <catAx>
        <axId val="10"/>
        <scaling>
          <orientation val="minMax"/>
        </scaling>
        <delete val="0"/>
        <axPos val="l"/>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 Type="http://schemas.openxmlformats.org/officeDocument/2006/relationships/chart" Target="/xl/charts/chart5.xml" Id="rId4"/><Relationship Type="http://schemas.openxmlformats.org/officeDocument/2006/relationships/chart" Target="/xl/charts/chart6.xml" Id="rId5"/></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79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37</row>
      <rowOff>0</rowOff>
    </from>
    <ext cx="792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54</row>
      <rowOff>0</rowOff>
    </from>
    <ext cx="792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9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hyperlink" Target="https://quantwizard.co/?page=analysis&amp;ticker=NKE" TargetMode="External" Id="rId12"/><Relationship Type="http://schemas.openxmlformats.org/officeDocument/2006/relationships/drawing" Target="/xl/drawings/drawing1.xml" Id="rId13"/></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hyperlink" Target="https://www.sec.gov/Archives/edgar/data/320187/000032018726000112/nke-20260804.htm" TargetMode="External" Id="rId1"/><Relationship Type="http://schemas.openxmlformats.org/officeDocument/2006/relationships/hyperlink" Target="https://news.google.com/rss/articles/CBMi2wFBVV95cUxNMVd5RXRIek1ld3oyX01VeFI0S0hTTVN3MWt6b3FMNGtXaVBpd0RjSHhzMUVMWWJKZXczcnhYd20zTkpRcHhVeVh0blg4LXZ2bGZSN2tWTy1ON1JkZ01uWnBFUWltblg2Ykk3THpvQ0VibG9pZjBqUnpWMVI1RGcxM0ZsSWlxcjdMY2JHcEFlaDE1QjJkYXQ5TjRlSmtoWmdjT2p5RUFiakJpU0Q5ZjR2dTlyaHUwNjN2eG0xNkU4Ql9MNVlhVUFkTEYyMkhfSWRQa1F6SERGYUJPcjA?oc=5" TargetMode="External" Id="rId2"/><Relationship Type="http://schemas.openxmlformats.org/officeDocument/2006/relationships/hyperlink" Target="https://www.fool.com/investing/2026/08/23/why-is-nike-stock-declining-and-is-it-a-generation/?source=iedfolrf0000001" TargetMode="External" Id="rId3"/><Relationship Type="http://schemas.openxmlformats.org/officeDocument/2006/relationships/hyperlink" Target="https://finnhub.io/api/news?id=b98069670e23686794aec8c43b4043f2049d07f1574a3fa23171a4000627a54d" TargetMode="External" Id="rId4"/><Relationship Type="http://schemas.openxmlformats.org/officeDocument/2006/relationships/hyperlink" Target="https://news.google.com/rss/articles/CBMijwFBVV95cUxNYkxjNVV6WGJlMkV2V0phODlkeHF6TWJnY0NhLUVlWjZDdGdjdHU2UFJERTUzUk96WWN0N2RtbjRCXzRtQUh4LW9EV3pVWk5YanFocWtwa0g1WTkxS1UwZUd2NjIxb2wxQjZETGVLYUtoRUNpcTNrcnFmTDVodmZpMlNVVVJuT3VtNUhKNzljQQ?oc=5" TargetMode="External" Id="rId5"/><Relationship Type="http://schemas.openxmlformats.org/officeDocument/2006/relationships/hyperlink" Target="https://finnhub.io/api/news?id=74bc88ea47a3523e480c8b547b964668551023193fa5a13737ef1c9308cede37" TargetMode="External" Id="rId6"/><Relationship Type="http://schemas.openxmlformats.org/officeDocument/2006/relationships/hyperlink" Target="https://www.investing.com/analysis/nikes-40-floor-reflects-deep-value-but-not-yet-a-confirmed-recovery-200683845" TargetMode="External" Id="rId7"/><Relationship Type="http://schemas.openxmlformats.org/officeDocument/2006/relationships/hyperlink" Target="https://news.google.com/rss/articles/CBMiwAFBVV95cUxQdTNXN01qWFN0M2ZLLU9XRGtQTElJRVZLX1pwNk1Ic3g3UGp0OFprUThySHZlWHN4X25Tcmp1c1BjaUJaS0FSSDRjNXVGTU9taTFtdWhLa21mNlFTd1RKY1Z1bEo4VDV2ck04Sld2TTZRVldNNFJzb0NFLXU2T1pvMlZIdWI3UkQybTh5cXFpbjE5OUduWXNnMi1qcWFrMl95MU9Jb0pJOExaUDA3aVBWR0Z0a3ZlTFlkM1JwdTdoVUPSAcYBQVVfeXFMTThDLTNRSlFLNFc0N1VNdTR6MmoyQl9HUkJYdGtMbUsweE1UbVlZOWhBRGZTYldDT0NsQUZYaDRvYkRYbWdTdlRYVlo3YXFLQ0htcGwyd2tBTW5KcHZrVTRvTm5wckZ0YTdROHFyakhjU1gzRGVqWlc3cnZ1Wk8yUUJZMzFZdU5wTTloQ3hiSHVhaDZMbUhJZnlBbDVGRHZaMDVMU21qTWtjWUprbHNmTmRidDh3SXZyWXlkcFgyVlNlZWdtcmdR?oc=5" TargetMode="External" Id="rId8"/><Relationship Type="http://schemas.openxmlformats.org/officeDocument/2006/relationships/hyperlink" Target="https://news.google.com/rss/articles/CBMimAFBVV95cUxOdGIyQW5HdTh0VHVLNjJYTUNmZ3A5MEJDRGZJU2RxN3lScnEzSTMzMFU4LU40bXBTcm1Nc2taQktqU3JwdWVFUFh4MGRjT0tER01NS1A5V1R4SjFtQ1A0M0dJMGdvbFdGMHVBQzJhdGhjOXNIZDlUQ1FINlVTd0hjOUFuS2lMZnkxWV90S1poc1luQnRYVjB0cA?oc=5" TargetMode="External" Id="rId9"/><Relationship Type="http://schemas.openxmlformats.org/officeDocument/2006/relationships/hyperlink" Target="https://news.google.com/rss/articles/CBMivwFBVV95cUxNUkU4Z3VPUjB2YTVFN0hMMnRXZldpSnRDTUhtMFhDMnJueTVlR1hLM3dKUk0zblFqTV95eWFiMzk2SjZET0JmMWFFNE1aM3VWMGxqd3o1amJKZkdmUjFEX25EemctUnd4Mk43NnBiZnJhX0VpUjdNWkdrc0gxT29DZi02SFBhQnRsLVRicnJDY1NrRU5RVk02TjRET2pJUmgza3FvM3pPR1Fmemt2YWQtYWxxSFByVzZESEF0ZFJkMA?oc=5" TargetMode="External" Id="rId10"/><Relationship Type="http://schemas.openxmlformats.org/officeDocument/2006/relationships/hyperlink" Target="https://news.google.com/rss/articles/CBMiuwFBVV95cUxOX3lUWTVJWEdYYnM1X0JkeVg4Z0k4SGIwVmhMRmxhYmFEV2JYVTg5SmZ6eHJkTFJxb0IxZDRMSjFLMnFxdEZ1YVI0eGFyMTlQRGR5ZGJ4cUFTUkVHMWhuUkozMnFXUFJCcDJGa1lBeGtfZkZFTWFfVHYyVnZuVWpxbGVXYmNXeXJEajBsR25jOUNzTEdnRmJOamt0a2Z3eEtlY2xlajg4dFE1eU90NE5DQjhMd1VWZEp2UTVJ?oc=5" TargetMode="External" Id="rId11"/><Relationship Type="http://schemas.openxmlformats.org/officeDocument/2006/relationships/hyperlink" Target="https://news.google.com/rss/articles/CBMiR0FVX3lxTE1kZTQ1VWZFQ045QzZTbzBGVW1fX1QwSkpvU0xKUk5lVVV1Vkdrc1QzR2kzSXR0N3JuMWVqVU8yRGl4N01JdGIw?oc=5" TargetMode="External" Id="rId12"/><Relationship Type="http://schemas.openxmlformats.org/officeDocument/2006/relationships/hyperlink" Target="https://news.google.com/rss/articles/CBMikwFBVV95cUxQMDV2Z3k3elN0cXRiYk9oUWRCYUZNeEgycWxsSGV5bnNjMVlaMHNOaVdDZExLZjVPdXlPYmNtbVFONWNwZmdsU0c3V3prRGpfV21IWm02djZuVnp6T1BEUHZXVlpPS2VtT0JWVU05bU4xNjQtSGlkbUJMREROa3VrcEtwbEthWnQ5bjNGZDg1RnRFTm8?oc=5" TargetMode="External" Id="rId13"/><Relationship Type="http://schemas.openxmlformats.org/officeDocument/2006/relationships/hyperlink" Target="https://news.google.com/rss/articles/CBMivwFBVV95cUxORGZmQm5HdkVZUG1wZ05STTFCUWlUNkVBUmgwaUxjVGp5Z25VYzQ1Q3VJUVM4WkxicVFtcVl5NWtlUUlXZUtuN0hDVlJhNVpSeEhDM1JSazB5N2FuZ3B1U0VUSXhRX0NneEllNFVjQmNqRWRxaDJ5aG1jMXowRWtYejFwMl9WY3NyaFRaSjF6NS1KdHlQZTQ4YlJHbFZIa2lCQjlHdWY5T2VhYmpSdGR4UjB4VS1OY1l6a3NXU0c1Yw?oc=5" TargetMode="External" Id="rId14"/></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3"/>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August 24, 2026 20:29    |    Multi-source data: Polygon · Yahoo Finance · Finnhub · SEC EDGAR</t>
        </is>
      </c>
    </row>
    <row r="6" ht="30" customHeight="1">
      <c r="B6" s="4" t="inlineStr">
        <is>
          <t>$40.75</t>
        </is>
      </c>
      <c r="C6" s="5" t="inlineStr">
        <is>
          <t>-73.9%</t>
        </is>
      </c>
      <c r="D6" s="4" t="inlineStr">
        <is>
          <t>-0.68</t>
        </is>
      </c>
      <c r="E6" s="4" t="inlineStr">
        <is>
          <t>35.7%</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row r="22">
      <c r="B22" s="9" t="inlineStr">
        <is>
          <t>↗  Open NKE live on QuantWizard (refreshes this analysis)</t>
        </is>
      </c>
    </row>
    <row r="23">
      <c r="B23" s="10" t="inlineStr">
        <is>
          <t>Figures below are as of the generation date above.</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 xmlns:r="http://schemas.openxmlformats.org/officeDocument/2006/relationships" ref="B22" r:id="rId12"/>
  </hyperlinks>
  <pageMargins left="0.75" right="0.75" top="1" bottom="1" header="0.5" footer="0.5"/>
  <drawing xmlns:r="http://schemas.openxmlformats.org/officeDocument/2006/relationships" r:id="rId13"/>
</worksheet>
</file>

<file path=xl/worksheets/sheet2.xml><?xml version="1.0" encoding="utf-8"?>
<worksheet xmlns="http://schemas.openxmlformats.org/spreadsheetml/2006/main">
  <sheetPr>
    <outlinePr summaryBelow="1" summaryRight="1"/>
    <pageSetUpPr/>
  </sheetPr>
  <dimension ref="A1:E123"/>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11" t="inlineStr">
        <is>
          <t>NKE — Equity Research Dashboard</t>
        </is>
      </c>
    </row>
    <row r="2">
      <c r="A2" s="12" t="inlineStr">
        <is>
          <t>Generated: August 24, 2026 20:29  |  Multi-source data: Polygon · Yahoo Finance · Finnhub · SEC EDGAR</t>
        </is>
      </c>
    </row>
    <row r="4" ht="20" customHeight="1">
      <c r="A4" s="13" t="inlineStr">
        <is>
          <t>Price &amp; Performance</t>
        </is>
      </c>
      <c r="E4" s="14" t="inlineStr">
        <is>
          <t>SPARKLINES</t>
        </is>
      </c>
    </row>
    <row r="5">
      <c r="A5" s="15" t="inlineStr">
        <is>
          <t>Current Price ($)</t>
        </is>
      </c>
      <c r="B5" s="16" t="n">
        <v>40.75</v>
      </c>
      <c r="E5" s="17" t="inlineStr">
        <is>
          <t>Price</t>
        </is>
      </c>
    </row>
    <row r="6">
      <c r="A6" s="18" t="inlineStr">
        <is>
          <t>Period Return</t>
        </is>
      </c>
      <c r="B6" s="19" t="n">
        <v>-0.7393754888676033</v>
      </c>
    </row>
    <row r="7">
      <c r="A7" s="15" t="inlineStr">
        <is>
          <t>52-Week High ($)</t>
        </is>
      </c>
      <c r="B7" s="16" t="n">
        <v>77.05552673339844</v>
      </c>
    </row>
    <row r="8">
      <c r="A8" s="18" t="inlineStr">
        <is>
          <t>52-Week Low ($)</t>
        </is>
      </c>
      <c r="B8" s="20" t="n">
        <v>39.09000015258789</v>
      </c>
      <c r="E8" s="17" t="inlineStr">
        <is>
          <t>Volume</t>
        </is>
      </c>
    </row>
    <row r="9">
      <c r="A9" s="15" t="inlineStr">
        <is>
          <t>% from 52W High</t>
        </is>
      </c>
      <c r="B9" s="19" t="n">
        <v>-0.4711605808498407</v>
      </c>
    </row>
    <row r="10">
      <c r="A10" s="18" t="inlineStr">
        <is>
          <t>20-Day MA ($)</t>
        </is>
      </c>
      <c r="B10" s="20" t="n">
        <v>41.42049980163574</v>
      </c>
    </row>
    <row r="11">
      <c r="A11" s="15" t="inlineStr">
        <is>
          <t>50-Day MA ($)</t>
        </is>
      </c>
      <c r="B11" s="16" t="n">
        <v>42.38939987182617</v>
      </c>
      <c r="E11" s="17" t="inlineStr">
        <is>
          <t>Daily Ret</t>
        </is>
      </c>
    </row>
    <row r="12">
      <c r="A12" s="18" t="inlineStr">
        <is>
          <t>200-Day MA ($)</t>
        </is>
      </c>
      <c r="B12" s="20" t="n">
        <v>51.95780540466308</v>
      </c>
    </row>
    <row r="13">
      <c r="A13" s="15" t="inlineStr">
        <is>
          <t>Price vs 50-Day MA</t>
        </is>
      </c>
      <c r="B13" s="19" t="n">
        <v>-0.03867476012359838</v>
      </c>
    </row>
    <row r="14">
      <c r="E14" s="17" t="inlineStr">
        <is>
          <t>Volatility</t>
        </is>
      </c>
    </row>
    <row r="15" ht="20" customHeight="1">
      <c r="A15" s="13" t="inlineStr">
        <is>
          <t>Bollinger Bands (20-day, 2σ)</t>
        </is>
      </c>
    </row>
    <row r="16">
      <c r="A16" s="18" t="inlineStr">
        <is>
          <t>BB Upper ($)</t>
        </is>
      </c>
      <c r="B16" s="20" t="n">
        <v>43.4846947307464</v>
      </c>
    </row>
    <row r="17">
      <c r="A17" s="15" t="inlineStr">
        <is>
          <t>BB Middle ($)</t>
        </is>
      </c>
      <c r="B17" s="16" t="n">
        <v>41.42049980163574</v>
      </c>
      <c r="E17" s="17" t="inlineStr">
        <is>
          <t>Drawdown</t>
        </is>
      </c>
    </row>
    <row r="18">
      <c r="A18" s="18" t="inlineStr">
        <is>
          <t>BB Lower ($)</t>
        </is>
      </c>
      <c r="B18" s="20" t="n">
        <v>39.35630487252509</v>
      </c>
    </row>
    <row r="19">
      <c r="A19" s="15" t="inlineStr">
        <is>
          <t>BB Width</t>
        </is>
      </c>
      <c r="B19" s="21" t="n">
        <v>0.09967020866460613</v>
      </c>
    </row>
    <row r="20">
      <c r="A20" s="18" t="inlineStr">
        <is>
          <t>BB %B</t>
        </is>
      </c>
      <c r="B20" s="22" t="n">
        <v>0.3375880610450335</v>
      </c>
    </row>
    <row r="22" ht="20" customHeight="1">
      <c r="A22" s="13" t="inlineStr">
        <is>
          <t>Risk &amp; Return Metrics</t>
        </is>
      </c>
    </row>
    <row r="23">
      <c r="A23" s="15" t="inlineStr">
        <is>
          <t>20-Day Ann. Volatility</t>
        </is>
      </c>
      <c r="B23" s="23" t="n">
        <v>0.3188968516611082</v>
      </c>
    </row>
    <row r="24">
      <c r="A24" s="18" t="inlineStr">
        <is>
          <t>60-Day Max Drawdown</t>
        </is>
      </c>
      <c r="B24" s="19" t="n">
        <v>-0.3553826303470411</v>
      </c>
    </row>
    <row r="25">
      <c r="A25" s="15" t="inlineStr">
        <is>
          <t>RSI (14)</t>
        </is>
      </c>
      <c r="B25" s="24" t="n">
        <v>45.9</v>
      </c>
    </row>
    <row r="26">
      <c r="A26" s="18" t="inlineStr">
        <is>
          <t>Sharpe Ratio</t>
        </is>
      </c>
      <c r="B26" s="25" t="n">
        <v>-0.68</v>
      </c>
    </row>
    <row r="27">
      <c r="A27" s="15" t="inlineStr">
        <is>
          <t>Sortino Ratio</t>
        </is>
      </c>
      <c r="B27" s="25" t="n">
        <v>-0.92</v>
      </c>
    </row>
    <row r="29" ht="20" customHeight="1">
      <c r="A29" s="13" t="inlineStr">
        <is>
          <t>Investor Takeaway</t>
        </is>
      </c>
    </row>
    <row r="30" ht="58" customHeight="1">
      <c r="A30" s="26" t="inlineStr">
        <is>
          <t>NKE is -73.9% over the period, last $40.75.  Technical posture: Bearish technicals (7/100).  Wall-Street consensus: Buy (46 analysts).  DCF fair value $41 (+1% vs price).</t>
        </is>
      </c>
    </row>
    <row r="31" ht="20" customHeight="1">
      <c r="A31" s="13" t="inlineStr">
        <is>
          <t>Stock Scorecard</t>
        </is>
      </c>
    </row>
    <row r="32">
      <c r="A32" s="27" t="inlineStr">
        <is>
          <t>Composite Score (0–100)</t>
        </is>
      </c>
      <c r="B32" s="28" t="n">
        <v>48</v>
      </c>
    </row>
    <row r="33">
      <c r="A33" s="29" t="inlineStr">
        <is>
          <t>Overall Profile</t>
        </is>
      </c>
      <c r="B33" s="30" t="inlineStr">
        <is>
          <t>Mixed profile</t>
        </is>
      </c>
    </row>
    <row r="34">
      <c r="A34" s="31" t="inlineStr">
        <is>
          <t>Factor</t>
        </is>
      </c>
      <c r="B34" s="31" t="inlineStr">
        <is>
          <t>Score</t>
        </is>
      </c>
      <c r="C34" s="31" t="inlineStr">
        <is>
          <t>Grade</t>
        </is>
      </c>
    </row>
    <row r="35">
      <c r="A35" s="29" t="inlineStr">
        <is>
          <t>Valuation</t>
        </is>
      </c>
      <c r="B35" s="32" t="n">
        <v>61</v>
      </c>
      <c r="C35" s="33" t="inlineStr">
        <is>
          <t>Average</t>
        </is>
      </c>
    </row>
    <row r="36">
      <c r="A36" s="29" t="inlineStr">
        <is>
          <t>Growth</t>
        </is>
      </c>
      <c r="B36" s="32" t="n">
        <v>30</v>
      </c>
      <c r="C36" s="34" t="inlineStr">
        <is>
          <t>Weak</t>
        </is>
      </c>
    </row>
    <row r="37">
      <c r="A37" s="29" t="inlineStr">
        <is>
          <t>Profitability</t>
        </is>
      </c>
      <c r="B37" s="32" t="n">
        <v>72</v>
      </c>
      <c r="C37" s="35" t="inlineStr">
        <is>
          <t>Above-avg</t>
        </is>
      </c>
    </row>
    <row r="38">
      <c r="A38" s="29" t="inlineStr">
        <is>
          <t>Financial Health</t>
        </is>
      </c>
      <c r="B38" s="32" t="n">
        <v>69</v>
      </c>
      <c r="C38" s="35" t="inlineStr">
        <is>
          <t>Above-avg</t>
        </is>
      </c>
    </row>
    <row r="39">
      <c r="A39" s="29" t="inlineStr">
        <is>
          <t>Momentum</t>
        </is>
      </c>
      <c r="B39" s="32" t="n">
        <v>7</v>
      </c>
      <c r="C39" s="34" t="inlineStr">
        <is>
          <t>Weak</t>
        </is>
      </c>
    </row>
    <row r="40">
      <c r="A40" s="29" t="inlineStr">
        <is>
          <t>Risk</t>
        </is>
      </c>
      <c r="B40" s="32" t="n">
        <v>24</v>
      </c>
      <c r="C40" s="34" t="inlineStr">
        <is>
          <t>Weak</t>
        </is>
      </c>
    </row>
    <row r="41">
      <c r="A41" s="29" t="inlineStr">
        <is>
          <t>Sentiment</t>
        </is>
      </c>
      <c r="B41" s="32" t="n">
        <v>62</v>
      </c>
      <c r="C41" s="33" t="inlineStr">
        <is>
          <t>Average</t>
        </is>
      </c>
    </row>
    <row r="42" ht="96" customHeight="1">
      <c r="A42" s="36" t="inlineStr">
        <is>
          <t>Weighted blend of valuation, growth, profitability, financial health, momentum, risk and sentiment — a descriptive profile of the stock's characteristics, not a recommendation.
Valuation: DCF +1%, FCF yield 3.6%   ·   Growth: Rev CAGR 3%, EPS CAGR -2%   ·   Profitability: Net margin 7%, ROE 21%   ·   Financial Health: F-Score 5/9, D/E 0.40   ·   Momentum: Technical posture 7/100   ·   Risk: Sharpe -0.68, Max DD (peak-to-trough) -76%   ·   Sentiment: Analysts: Buy (46)
For informational purposes only. Not investment advice. Past performance does not guarantee future results.</t>
        </is>
      </c>
    </row>
    <row r="44">
      <c r="A44" s="37" t="inlineStr">
        <is>
          <t>What changed recently</t>
        </is>
      </c>
    </row>
    <row r="45" ht="88" customHeight="1">
      <c r="A45" s="38" t="inlineStr">
        <is>
          <t>•  Price +4.2% over the last 5 sessions ($39.09 -&gt; $40.75).
•  Best day +2.5%, worst day -2.0% in that window.
•  Latest volume ran 0.8x its 20-day average (-22%) — lighter trading.
•  RSI moved 36 -&gt; 46.
•  Outpaced the S&amp;P 500 by 5.4 pts over the last 5 sessions.</t>
        </is>
      </c>
    </row>
    <row r="47" ht="20" customHeight="1">
      <c r="A47" s="13" t="inlineStr">
        <is>
          <t>Relative Performance</t>
        </is>
      </c>
    </row>
    <row r="48">
      <c r="A48" s="18" t="inlineStr">
        <is>
          <t>vs S&amp;P 500 (SPY) (difference)</t>
        </is>
      </c>
      <c r="B48" s="39" t="n">
        <v>-155.9045251914837</v>
      </c>
    </row>
    <row r="49">
      <c r="A49" s="15" t="inlineStr">
        <is>
          <t>vs NASDAQ 100 (QQQ) (difference)</t>
        </is>
      </c>
      <c r="B49" s="39" t="n">
        <v>-168.1205398930624</v>
      </c>
    </row>
    <row r="50" ht="26" customHeight="1">
      <c r="A50" s="38" t="inlineStr">
        <is>
          <t>Period return:    NKE -73.9%      |      S&amp;P 500 +82.0%      |      NASDAQ 100 +94.2%</t>
        </is>
      </c>
    </row>
    <row r="52">
      <c r="A52" s="40" t="inlineStr">
        <is>
          <t>Window</t>
        </is>
      </c>
      <c r="B52" s="41" t="inlineStr">
        <is>
          <t>NKE</t>
        </is>
      </c>
      <c r="C52" s="41" t="inlineStr">
        <is>
          <t>S&amp;P 500</t>
        </is>
      </c>
      <c r="D52" s="41" t="inlineStr">
        <is>
          <t>Relative (pts)</t>
        </is>
      </c>
    </row>
    <row r="53">
      <c r="A53" s="42" t="inlineStr">
        <is>
          <t>1 month</t>
        </is>
      </c>
      <c r="B53" s="43" t="n">
        <v>-0.02278179245943301</v>
      </c>
      <c r="C53" s="43" t="n">
        <v>0.0332101528840103</v>
      </c>
      <c r="D53" s="44" t="n">
        <v>-5.599194534344331</v>
      </c>
    </row>
    <row r="54">
      <c r="A54" s="42" t="inlineStr">
        <is>
          <t>3 months</t>
        </is>
      </c>
      <c r="B54" s="43" t="n">
        <v>-0.07959180156676005</v>
      </c>
      <c r="C54" s="43" t="n">
        <v>0.02655013379373905</v>
      </c>
      <c r="D54" s="44" t="n">
        <v>-10.61419353604991</v>
      </c>
    </row>
    <row r="55">
      <c r="A55" s="42" t="inlineStr">
        <is>
          <t>6 months</t>
        </is>
      </c>
      <c r="B55" s="43" t="n">
        <v>-0.3439922023613012</v>
      </c>
      <c r="C55" s="43" t="n">
        <v>0.1247633231626462</v>
      </c>
      <c r="D55" s="44" t="n">
        <v>-46.87555255239474</v>
      </c>
    </row>
    <row r="56">
      <c r="A56" s="42" t="inlineStr">
        <is>
          <t>1 year</t>
        </is>
      </c>
      <c r="B56" s="43" t="n">
        <v>-0.4504040435533365</v>
      </c>
      <c r="C56" s="43" t="n">
        <v>0.2145849326393174</v>
      </c>
      <c r="D56" s="44" t="n">
        <v>-66.49889761926539</v>
      </c>
    </row>
    <row r="57">
      <c r="A57" s="42" t="inlineStr">
        <is>
          <t>Full period</t>
        </is>
      </c>
      <c r="B57" s="43" t="n">
        <v>-0.7393754888676041</v>
      </c>
      <c r="C57" s="43" t="n">
        <v>0.8196697630472327</v>
      </c>
      <c r="D57" s="44" t="n">
        <v>-155.9045251914837</v>
      </c>
    </row>
    <row r="59" ht="20" customHeight="1">
      <c r="A59" s="13" t="inlineStr">
        <is>
          <t>Technical Posture</t>
        </is>
      </c>
    </row>
    <row r="60">
      <c r="A60" s="18" t="inlineStr">
        <is>
          <t>Technical Score (0–100)</t>
        </is>
      </c>
      <c r="B60" s="45" t="n">
        <v>7</v>
      </c>
    </row>
    <row r="61">
      <c r="A61" s="29" t="inlineStr">
        <is>
          <t>Reading</t>
        </is>
      </c>
      <c r="B61" s="25" t="inlineStr">
        <is>
          <t>Bearish technicals</t>
        </is>
      </c>
    </row>
    <row r="62">
      <c r="A62" s="46" t="inlineStr">
        <is>
          <t>•  Price is below the 50-day moving average</t>
        </is>
      </c>
    </row>
    <row r="63">
      <c r="A63" s="46" t="inlineStr">
        <is>
          <t>•  Price is below the 200-day moving average</t>
        </is>
      </c>
    </row>
    <row r="64">
      <c r="A64" s="46" t="inlineStr">
        <is>
          <t>•  50-day MA is below the 200-day MA (downtrend structure)</t>
        </is>
      </c>
    </row>
    <row r="65">
      <c r="A65" s="46" t="inlineStr">
        <is>
          <t>•  RSI is 46 — neutral</t>
        </is>
      </c>
    </row>
    <row r="66">
      <c r="A66" s="46" t="inlineStr">
        <is>
          <t>•  MACD is below its signal line (bearish momentum)</t>
        </is>
      </c>
    </row>
    <row r="67">
      <c r="A67" s="46" t="inlineStr">
        <is>
          <t>•  Trading 47% below the 52-week high</t>
        </is>
      </c>
    </row>
    <row r="68">
      <c r="A68" s="46" t="inlineStr">
        <is>
          <t>•  Lagging S&amp;P 500 by 155.9 pts over the period</t>
        </is>
      </c>
    </row>
    <row r="69" ht="40" customHeight="1">
      <c r="A69" s="36" t="inlineStr">
        <is>
          <t>Describes what the technical indicators say today — a signal, not a recommendation. For informational purposes only. Not investment advice. Past performance does not guarantee future results.</t>
        </is>
      </c>
    </row>
    <row r="71" ht="20" customHeight="1">
      <c r="A71" s="13" t="inlineStr">
        <is>
          <t>Analyst Consensus</t>
        </is>
      </c>
    </row>
    <row r="72">
      <c r="A72" s="29" t="inlineStr">
        <is>
          <t>Wall-Street Rating</t>
        </is>
      </c>
      <c r="B72" s="47" t="inlineStr">
        <is>
          <t>Buy</t>
        </is>
      </c>
    </row>
    <row r="73">
      <c r="A73" s="15" t="inlineStr">
        <is>
          <t>Buy (Strong Buy + Buy)</t>
        </is>
      </c>
      <c r="B73" s="24" t="n">
        <v>18</v>
      </c>
    </row>
    <row r="74">
      <c r="A74" s="18" t="inlineStr">
        <is>
          <t>Hold</t>
        </is>
      </c>
      <c r="B74" s="45" t="n">
        <v>26</v>
      </c>
    </row>
    <row r="75">
      <c r="A75" s="15" t="inlineStr">
        <is>
          <t>Sell (Sell + Strong Sell)</t>
        </is>
      </c>
      <c r="B75" s="24" t="n">
        <v>2</v>
      </c>
    </row>
    <row r="76">
      <c r="A76" s="18" t="inlineStr">
        <is>
          <t>Analysts covering</t>
        </is>
      </c>
      <c r="B76" s="45" t="n">
        <v>46</v>
      </c>
    </row>
    <row r="77" ht="40" customHeight="1">
      <c r="A77" s="36" t="inlineStr">
        <is>
          <t>Source: 46 Wall-Street analyst ratings aggregated by Finnhub (period 2026-08). This is analysts' consensus, not QuantWizard's opinion. For informational purposes only. Not investment advice. Past performance does not guarantee future results.</t>
        </is>
      </c>
    </row>
    <row r="79" ht="20" customHeight="1">
      <c r="A79" s="13" t="inlineStr">
        <is>
          <t>Valuation — Reverse DCF &amp; Fair Value</t>
        </is>
      </c>
    </row>
    <row r="80">
      <c r="A80" s="18" t="inlineStr">
        <is>
          <t>Market-Implied FCF Growth</t>
        </is>
      </c>
      <c r="B80" s="48" t="n">
        <v>0.02758453092339012</v>
      </c>
    </row>
    <row r="81">
      <c r="A81" s="15" t="inlineStr">
        <is>
          <t>DCF Fair Value / Share</t>
        </is>
      </c>
      <c r="B81" s="16" t="n">
        <v>41.16214949799259</v>
      </c>
    </row>
    <row r="82">
      <c r="A82" s="18" t="inlineStr">
        <is>
          <t>Upside / Downside</t>
        </is>
      </c>
      <c r="B82" s="49" t="n">
        <v>0.01011409811024744</v>
      </c>
    </row>
    <row r="83">
      <c r="A83" s="29" t="inlineStr">
        <is>
          <t>DCF Verdict</t>
        </is>
      </c>
      <c r="B83" s="50" t="inlineStr">
        <is>
          <t>Fairly valued vs DCF</t>
        </is>
      </c>
    </row>
    <row r="84" ht="70" customHeight="1">
      <c r="A84" s="36" t="inlineStr">
        <is>
          <t>Today's $40.75 price implies free cash flow compounding at ~2.8% a year for 10 years. That is the number to argue with. 2-stage FCF DCF at a 9.3% discount rate, 2.5% terminal growth, base case 3.0% stage-1 growth. Bear $36 / Bull $47. The Valuation sheet holds the full model as live formulas — change an assumption there and it recalculates. For informational purposes only. Not investment advice. Past performance does not guarantee future results.</t>
        </is>
      </c>
    </row>
    <row r="86" ht="20" customHeight="1">
      <c r="A86" s="13" t="inlineStr">
        <is>
          <t>Support &amp; Resistance Levels</t>
        </is>
      </c>
    </row>
    <row r="87">
      <c r="A87" s="29" t="inlineStr">
        <is>
          <t>Resistance (above price)</t>
        </is>
      </c>
      <c r="B87" s="51" t="inlineStr">
        <is>
          <t>$40.98   |   $41.72   |   $47.23   |   $56.11</t>
        </is>
      </c>
    </row>
    <row r="88">
      <c r="A88" s="29" t="inlineStr">
        <is>
          <t>Support (below price)</t>
        </is>
      </c>
      <c r="B88" s="51" t="inlineStr">
        <is>
          <t>$40.00</t>
        </is>
      </c>
    </row>
    <row r="89">
      <c r="A89" s="10" t="inlineStr">
        <is>
          <t>Swing highs/lows from the last 12 months, nearest to the current price first.</t>
        </is>
      </c>
    </row>
    <row r="91" ht="20" customHeight="1">
      <c r="A91" s="13" t="inlineStr">
        <is>
          <t>Monte Carlo Forecast</t>
        </is>
      </c>
    </row>
    <row r="92">
      <c r="A92" s="18" t="inlineStr">
        <is>
          <t>Last Price</t>
        </is>
      </c>
      <c r="B92" s="52" t="n">
        <v>40.75</v>
      </c>
    </row>
    <row r="93">
      <c r="A93" s="15" t="inlineStr">
        <is>
          <t>Forecast Horizon (days)</t>
        </is>
      </c>
      <c r="B93" s="53" t="n">
        <v>252</v>
      </c>
    </row>
    <row r="94">
      <c r="A94" s="18" t="inlineStr">
        <is>
          <t>Simulations</t>
        </is>
      </c>
      <c r="B94" s="54" t="n">
        <v>1000</v>
      </c>
    </row>
    <row r="95">
      <c r="A95" s="15" t="inlineStr">
        <is>
          <t>Mean Forecast</t>
        </is>
      </c>
      <c r="B95" s="55" t="n">
        <v>45.17</v>
      </c>
    </row>
    <row r="96">
      <c r="A96" s="18" t="inlineStr">
        <is>
          <t>Median (P50)</t>
        </is>
      </c>
      <c r="B96" s="52" t="n">
        <v>41.89</v>
      </c>
    </row>
    <row r="97">
      <c r="A97" s="15" t="inlineStr">
        <is>
          <t>Bear Case (P5)</t>
        </is>
      </c>
      <c r="B97" s="55" t="n">
        <v>23.73</v>
      </c>
    </row>
    <row r="98">
      <c r="A98" s="18" t="inlineStr">
        <is>
          <t>Low Case (P25)</t>
        </is>
      </c>
      <c r="B98" s="52" t="n">
        <v>33.09</v>
      </c>
    </row>
    <row r="99">
      <c r="A99" s="15" t="inlineStr">
        <is>
          <t>Bull Case (P75)</t>
        </is>
      </c>
      <c r="B99" s="55" t="n">
        <v>54.86</v>
      </c>
    </row>
    <row r="100">
      <c r="A100" s="18" t="inlineStr">
        <is>
          <t>Best Case (P95)</t>
        </is>
      </c>
      <c r="B100" s="52" t="n">
        <v>75.02</v>
      </c>
    </row>
    <row r="101">
      <c r="A101" s="15" t="inlineStr">
        <is>
          <t>Prob. of Gain</t>
        </is>
      </c>
      <c r="B101" s="56" t="n">
        <v>0.532</v>
      </c>
    </row>
    <row r="102">
      <c r="A102" s="18" t="inlineStr">
        <is>
          <t>Ann. Volatility</t>
        </is>
      </c>
      <c r="B102" s="48" t="n">
        <v>0.3571</v>
      </c>
    </row>
    <row r="103">
      <c r="A103" s="15" t="inlineStr">
        <is>
          <t>Expected Return (CAPM)</t>
        </is>
      </c>
      <c r="B103" s="56" t="n">
        <v>0.1</v>
      </c>
    </row>
    <row r="104">
      <c r="A104" s="18" t="inlineStr">
        <is>
          <t>Beta (vs benchmark)</t>
        </is>
      </c>
      <c r="B104" s="52" t="n">
        <v>1.07</v>
      </c>
    </row>
    <row r="105">
      <c r="A105" s="15" t="inlineStr">
        <is>
          <t>Beta (adjusted, used)</t>
        </is>
      </c>
      <c r="B105" s="55" t="n">
        <v>1.05</v>
      </c>
    </row>
    <row r="106" ht="166" customHeight="1">
      <c r="A106" s="57" t="inlineStr">
        <is>
          <t>Monte Carlo in plain English
From today's $40.75 over ~252 trading days:
Median outcome (P50): $41.89 (+2.8% vs today)
Bear case (P5, ~5% chance): $23.73 (-41.8% vs today)
Low case (P25, ~25% chance): $33.09 (-18.8% vs today)
Bull case (P75, ~25% chance): $54.86 (+34.6% vs today)
Best case (P95, ~5% chance): $75.02 (+84.1% vs today)
Probability of finishing above today's price: 53.2%.
Simulated from the historical return distribution — outcomes are probabilities, not guarantees.</t>
        </is>
      </c>
    </row>
    <row r="108" ht="20" customHeight="1">
      <c r="A108" s="13" t="inlineStr">
        <is>
          <t>Company Information</t>
        </is>
      </c>
    </row>
    <row r="109">
      <c r="A109" s="15" t="inlineStr">
        <is>
          <t>Ticker</t>
        </is>
      </c>
      <c r="B109" s="24" t="inlineStr">
        <is>
          <t>NKE</t>
        </is>
      </c>
    </row>
    <row r="110">
      <c r="A110" s="18" t="inlineStr">
        <is>
          <t>Name</t>
        </is>
      </c>
      <c r="B110" s="45" t="inlineStr">
        <is>
          <t>Nike, Inc.</t>
        </is>
      </c>
    </row>
    <row r="111">
      <c r="A111" s="15" t="inlineStr">
        <is>
          <t>Sector</t>
        </is>
      </c>
      <c r="B111" s="24" t="inlineStr">
        <is>
          <t>Rubber &amp; Plastics Footwear</t>
        </is>
      </c>
    </row>
    <row r="112">
      <c r="A112" s="18" t="inlineStr">
        <is>
          <t>Exchange</t>
        </is>
      </c>
      <c r="B112" s="45" t="inlineStr">
        <is>
          <t>XNYS</t>
        </is>
      </c>
    </row>
    <row r="113">
      <c r="A113" s="15" t="inlineStr">
        <is>
          <t>Market Cap</t>
        </is>
      </c>
      <c r="B113" s="24" t="inlineStr">
        <is>
          <t>$60.47B</t>
        </is>
      </c>
    </row>
    <row r="114">
      <c r="A114" s="18" t="inlineStr">
        <is>
          <t>Employees</t>
        </is>
      </c>
      <c r="B114" s="45" t="inlineStr">
        <is>
          <t>73,000</t>
        </is>
      </c>
    </row>
    <row r="115">
      <c r="A115" s="15" t="inlineStr">
        <is>
          <t>Website</t>
        </is>
      </c>
      <c r="B115" s="24" t="inlineStr">
        <is>
          <t>https://www.nike.com</t>
        </is>
      </c>
    </row>
    <row r="116">
      <c r="A116" s="18" t="inlineStr">
        <is>
          <t>Country</t>
        </is>
      </c>
      <c r="B116" s="45" t="inlineStr">
        <is>
          <t>US</t>
        </is>
      </c>
    </row>
    <row r="118" ht="20" customHeight="1">
      <c r="A118" s="13" t="inlineStr">
        <is>
          <t>Automated Analysis Summary</t>
        </is>
      </c>
    </row>
    <row r="119" ht="90" customHeight="1">
      <c r="A119" s="58" t="inlineStr">
        <is>
          <t>NKE delivered a cumulative return of -73.9% over the selected period, most recently closing at $40.75.  Price is currently below its 50-day moving average — cautionary.  RSI 46 — neutral territory  The stock sits 47.1% below its 52-week high of $77.06 (52-week low: $39.09).  20-day annualised volatility: 31.9%. Peak 60-day drawdown: -35.5%.  Sharpe ratio -0.68 (weak risk-adjusted return); Sortino -0.92 (elevated downside risk).  NKE (Nike, Inc.) trades on XNYS.  Monte Carlo (1,000 paths, 252 days): median $41.89 (bear $23.73 / bull $75.02), 53.2% probability of gain.  This report is generated programmatically and does not constitute investment advice.</t>
        </is>
      </c>
    </row>
    <row r="120"/>
    <row r="121"/>
    <row r="122"/>
    <row r="123"/>
  </sheetData>
  <mergeCells count="35">
    <mergeCell ref="A106:D106"/>
    <mergeCell ref="A22:D22"/>
    <mergeCell ref="A91:D91"/>
    <mergeCell ref="A4:D4"/>
    <mergeCell ref="A62:D62"/>
    <mergeCell ref="A29:D29"/>
    <mergeCell ref="B88:D88"/>
    <mergeCell ref="A63:D63"/>
    <mergeCell ref="B87:D87"/>
    <mergeCell ref="A68:D68"/>
    <mergeCell ref="A67:D67"/>
    <mergeCell ref="A31:D31"/>
    <mergeCell ref="A77:D77"/>
    <mergeCell ref="A30:D30"/>
    <mergeCell ref="A15:D15"/>
    <mergeCell ref="A59:D59"/>
    <mergeCell ref="A64:D64"/>
    <mergeCell ref="A1:D1"/>
    <mergeCell ref="A45:D45"/>
    <mergeCell ref="A79:D79"/>
    <mergeCell ref="A69:D69"/>
    <mergeCell ref="A65:D65"/>
    <mergeCell ref="A84:D84"/>
    <mergeCell ref="A108:D108"/>
    <mergeCell ref="A66:D66"/>
    <mergeCell ref="A118:D118"/>
    <mergeCell ref="A119:D123"/>
    <mergeCell ref="A89:D89"/>
    <mergeCell ref="B33:C33"/>
    <mergeCell ref="A50:D50"/>
    <mergeCell ref="A86:D86"/>
    <mergeCell ref="A2:D2"/>
    <mergeCell ref="A71:D71"/>
    <mergeCell ref="A47:D47"/>
    <mergeCell ref="A42:D4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59" t="inlineStr">
        <is>
          <t>NKE — Reverse DCF &amp; Fair Value</t>
        </is>
      </c>
    </row>
    <row r="2" ht="26" customHeight="1">
      <c r="A2" s="60"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61" t="inlineStr">
        <is>
          <t>The Headline — What Today's Price Already Assumes</t>
        </is>
      </c>
    </row>
    <row r="5" ht="30" customHeight="1">
      <c r="A5" s="62" t="n">
        <v>0.02758453092339012</v>
      </c>
      <c r="C5" s="63" t="inlineStr">
        <is>
          <t>At $40.75 the market is pricing NKE's free cash flow to compound at roughly 2.8% a year for 10 years, then 2.5% in perpetuity, discounted at 9.3%.
The reverse DCF asks one question: is that rate plausible for this business?  This model's own base case assumes 3.0%.</t>
        </is>
      </c>
    </row>
    <row r="6" ht="42" customHeight="1"/>
    <row r="8" ht="18" customHeight="1">
      <c r="A8" s="61" t="inlineStr">
        <is>
          <t>Conclusion — Fair Value vs Price</t>
        </is>
      </c>
    </row>
    <row r="9">
      <c r="A9" s="29" t="inlineStr">
        <is>
          <t>Base-case fair value / share</t>
        </is>
      </c>
      <c r="B9" s="64">
        <f>B52/B30</f>
        <v/>
      </c>
      <c r="C9" s="65" t="inlineStr">
        <is>
          <t>Equity value ÷ shares, both computed below</t>
        </is>
      </c>
    </row>
    <row r="10">
      <c r="A10" s="29" t="inlineStr">
        <is>
          <t>Current price</t>
        </is>
      </c>
      <c r="B10" s="64">
        <f>B31</f>
        <v/>
      </c>
    </row>
    <row r="11">
      <c r="A11" s="29" t="inlineStr">
        <is>
          <t>Upside / downside</t>
        </is>
      </c>
      <c r="B11" s="66">
        <f>IF(B10=0,"",B9/B10-1)</f>
        <v/>
      </c>
    </row>
    <row r="12">
      <c r="A12" s="29" t="inlineStr">
        <is>
          <t>Verdict</t>
        </is>
      </c>
      <c r="B12" s="50">
        <f>IF(B11&gt;0.15,"Undervalued vs DCF",IF(B11&lt;-0.15,"Overvalued vs DCF","Fairly valued vs DCF"))</f>
        <v/>
      </c>
      <c r="C12" s="67" t="n"/>
    </row>
    <row r="14" ht="18" customHeight="1">
      <c r="A14" s="61" t="inlineStr">
        <is>
          <t>Scenarios — and What the Market Is Assuming</t>
        </is>
      </c>
    </row>
    <row r="15">
      <c r="A15" s="31" t="inlineStr">
        <is>
          <t>Scenario</t>
        </is>
      </c>
      <c r="B15" s="31" t="inlineStr">
        <is>
          <t>Stage-1 FCF growth</t>
        </is>
      </c>
      <c r="C15" s="31" t="inlineStr">
        <is>
          <t>Fair value / share</t>
        </is>
      </c>
      <c r="D15" s="31" t="inlineStr">
        <is>
          <t>Upside / downside</t>
        </is>
      </c>
    </row>
    <row r="16">
      <c r="A16" s="68" t="inlineStr">
        <is>
          <t>Bear</t>
        </is>
      </c>
      <c r="B16" s="69">
        <f>B27</f>
        <v/>
      </c>
      <c r="C16" s="70">
        <f>((SUM(H35:H44)+G44*(1+B23)/(B22-B23)/(1+B22)^B24)-B29)/B30</f>
        <v/>
      </c>
      <c r="D16" s="71">
        <f>IF(B31=0,"",C16/B31-1)</f>
        <v/>
      </c>
    </row>
    <row r="17">
      <c r="A17" s="72" t="inlineStr">
        <is>
          <t>Base</t>
        </is>
      </c>
      <c r="B17" s="73">
        <f>B26</f>
        <v/>
      </c>
      <c r="C17" s="74">
        <f>B9</f>
        <v/>
      </c>
      <c r="D17" s="75">
        <f>IF(B31=0,"",C17/B31-1)</f>
        <v/>
      </c>
    </row>
    <row r="18">
      <c r="A18" s="68" t="inlineStr">
        <is>
          <t>Bull</t>
        </is>
      </c>
      <c r="B18" s="69">
        <f>B28</f>
        <v/>
      </c>
      <c r="C18" s="70">
        <f>((SUM(K35:K44)+J44*(1+B23)/(B22-B23)/(1+B22)^B24)-B29)/B30</f>
        <v/>
      </c>
      <c r="D18" s="71">
        <f>IF(B31=0,"",C18/B31-1)</f>
        <v/>
      </c>
    </row>
    <row r="19">
      <c r="A19" s="76" t="inlineStr">
        <is>
          <t>Market (today's price)</t>
        </is>
      </c>
      <c r="B19" s="77" t="n">
        <v>0.02758453092339012</v>
      </c>
      <c r="C19" s="78">
        <f>B31</f>
        <v/>
      </c>
      <c r="D19" s="79">
        <f>IF(B31=0,"",C19/B31-1)</f>
        <v/>
      </c>
    </row>
    <row r="21" ht="18" customHeight="1">
      <c r="A21" s="61" t="inlineStr">
        <is>
          <t>Model Inputs — every shaded cell is editable</t>
        </is>
      </c>
    </row>
    <row r="22">
      <c r="A22" s="29" t="inlineStr">
        <is>
          <t>Discount rate (WACC)</t>
        </is>
      </c>
      <c r="B22" s="80" t="n">
        <v>0.0935</v>
      </c>
      <c r="C22" s="65" t="inlineStr">
        <is>
          <t>Company-specific cost of capital. Raise it and fair value falls.</t>
        </is>
      </c>
    </row>
    <row r="23">
      <c r="A23" s="29" t="inlineStr">
        <is>
          <t>Terminal growth rate</t>
        </is>
      </c>
      <c r="B23" s="80" t="n">
        <v>0.025</v>
      </c>
      <c r="C23" s="65" t="inlineStr">
        <is>
          <t>Growth forever after the explicit horizon. Must stay below WACC.</t>
        </is>
      </c>
    </row>
    <row r="24">
      <c r="A24" s="29" t="inlineStr">
        <is>
          <t>Explicit forecast horizon (years)</t>
        </is>
      </c>
      <c r="B24" s="81" t="n">
        <v>10</v>
      </c>
      <c r="C24" s="65" t="inlineStr">
        <is>
          <t>Drives discounting and the terminal year; the projection table is fixed at 10 rows.</t>
        </is>
      </c>
    </row>
    <row r="25">
      <c r="A25" s="29" t="inlineStr">
        <is>
          <t>Normalised base free cash flow</t>
        </is>
      </c>
      <c r="B25" s="82" t="n">
        <v>4023000000</v>
      </c>
      <c r="C25" s="65" t="inlineStr">
        <is>
          <t>Mean of the last three positive annual FCF figures.</t>
        </is>
      </c>
    </row>
    <row r="26">
      <c r="A26" s="29" t="inlineStr">
        <is>
          <t>Stage-1 FCF growth — base case</t>
        </is>
      </c>
      <c r="B26" s="83" t="n">
        <v>0.03</v>
      </c>
      <c r="C26" s="65" t="inlineStr">
        <is>
          <t>Year-1 growth, fading linearly to the terminal rate.</t>
        </is>
      </c>
    </row>
    <row r="27">
      <c r="A27" s="29" t="inlineStr">
        <is>
          <t>Stage-1 FCF growth — bear case</t>
        </is>
      </c>
      <c r="B27" s="83" t="n">
        <v>3.469446951953614e-18</v>
      </c>
    </row>
    <row r="28">
      <c r="A28" s="29" t="inlineStr">
        <is>
          <t>Stage-1 FCF growth — bull case</t>
        </is>
      </c>
      <c r="B28" s="83" t="n">
        <v>0.06</v>
      </c>
    </row>
    <row r="29">
      <c r="A29" s="29" t="inlineStr">
        <is>
          <t>Net debt (total debt − cash)</t>
        </is>
      </c>
      <c r="B29" s="82" t="n">
        <v>379000000</v>
      </c>
      <c r="C29" s="65" t="inlineStr">
        <is>
          <t>Subtracted from enterprise value to reach equity value.</t>
        </is>
      </c>
    </row>
    <row r="30">
      <c r="A30" s="29" t="inlineStr">
        <is>
          <t>Shares outstanding</t>
        </is>
      </c>
      <c r="B30" s="84" t="n">
        <v>1483862751.761472</v>
      </c>
      <c r="C30" s="65" t="inlineStr">
        <is>
          <t>Derived as market cap ÷ price, so the model ties to the quoted price.</t>
        </is>
      </c>
    </row>
    <row r="31">
      <c r="A31" s="29" t="inlineStr">
        <is>
          <t>Current price</t>
        </is>
      </c>
      <c r="B31" s="85" t="n">
        <v>40.75</v>
      </c>
    </row>
    <row r="33" ht="18" customHeight="1">
      <c r="A33" s="61" t="inlineStr">
        <is>
          <t>Base-Case Projection  (bear and bull run alongside)</t>
        </is>
      </c>
    </row>
    <row r="34">
      <c r="A34" s="31" t="inlineStr">
        <is>
          <t>Year</t>
        </is>
      </c>
      <c r="B34" s="31" t="inlineStr">
        <is>
          <t>Growth</t>
        </is>
      </c>
      <c r="C34" s="31" t="inlineStr">
        <is>
          <t>Projected FCF</t>
        </is>
      </c>
      <c r="D34" s="31" t="inlineStr">
        <is>
          <t>Discount factor</t>
        </is>
      </c>
      <c r="E34" s="31" t="inlineStr">
        <is>
          <t>PV of FCF</t>
        </is>
      </c>
      <c r="F34" s="31" t="inlineStr">
        <is>
          <t>Bear growth</t>
        </is>
      </c>
      <c r="G34" s="31" t="inlineStr">
        <is>
          <t>Bear FCF</t>
        </is>
      </c>
      <c r="H34" s="31" t="inlineStr">
        <is>
          <t>Bear PV</t>
        </is>
      </c>
      <c r="I34" s="31" t="inlineStr">
        <is>
          <t>Bull growth</t>
        </is>
      </c>
      <c r="J34" s="31" t="inlineStr">
        <is>
          <t>Bull FCF</t>
        </is>
      </c>
      <c r="K34" s="31" t="inlineStr">
        <is>
          <t>Bull PV</t>
        </is>
      </c>
    </row>
    <row r="35">
      <c r="A35" s="86" t="n">
        <v>1</v>
      </c>
      <c r="B35" s="69">
        <f>IF($B$24&lt;=1,$B$23,$B$26+($B$23-$B$26)*(A35-1)/($B$24-1))</f>
        <v/>
      </c>
      <c r="C35" s="87">
        <f>$B$25*(1+B35)</f>
        <v/>
      </c>
      <c r="D35" s="88">
        <f>1/(1+$B$22)^A35</f>
        <v/>
      </c>
      <c r="E35" s="87">
        <f>C35*D35</f>
        <v/>
      </c>
      <c r="F35" s="69">
        <f>IF($B$24&lt;=1,$B$23,$B$27+($B$23-$B$27)*(A35-1)/($B$24-1))</f>
        <v/>
      </c>
      <c r="G35" s="87">
        <f>$B$25*(1+F35)</f>
        <v/>
      </c>
      <c r="H35" s="87">
        <f>G35*D35</f>
        <v/>
      </c>
      <c r="I35" s="69">
        <f>IF($B$24&lt;=1,$B$23,$B$28+($B$23-$B$28)*(A35-1)/($B$24-1))</f>
        <v/>
      </c>
      <c r="J35" s="87">
        <f>$B$25*(1+I35)</f>
        <v/>
      </c>
      <c r="K35" s="87">
        <f>J35*D35</f>
        <v/>
      </c>
    </row>
    <row r="36">
      <c r="A36" s="89" t="n">
        <v>2</v>
      </c>
      <c r="B36" s="90">
        <f>IF($B$24&lt;=1,$B$23,$B$26+($B$23-$B$26)*(A36-1)/($B$24-1))</f>
        <v/>
      </c>
      <c r="C36" s="91">
        <f>C35*(1+B36)</f>
        <v/>
      </c>
      <c r="D36" s="92">
        <f>1/(1+$B$22)^A36</f>
        <v/>
      </c>
      <c r="E36" s="91">
        <f>C36*D36</f>
        <v/>
      </c>
      <c r="F36" s="90">
        <f>IF($B$24&lt;=1,$B$23,$B$27+($B$23-$B$27)*(A36-1)/($B$24-1))</f>
        <v/>
      </c>
      <c r="G36" s="91">
        <f>G35*(1+F36)</f>
        <v/>
      </c>
      <c r="H36" s="91">
        <f>G36*D36</f>
        <v/>
      </c>
      <c r="I36" s="90">
        <f>IF($B$24&lt;=1,$B$23,$B$28+($B$23-$B$28)*(A36-1)/($B$24-1))</f>
        <v/>
      </c>
      <c r="J36" s="91">
        <f>J35*(1+I36)</f>
        <v/>
      </c>
      <c r="K36" s="91">
        <f>J36*D36</f>
        <v/>
      </c>
    </row>
    <row r="37">
      <c r="A37" s="86" t="n">
        <v>3</v>
      </c>
      <c r="B37" s="69">
        <f>IF($B$24&lt;=1,$B$23,$B$26+($B$23-$B$26)*(A37-1)/($B$24-1))</f>
        <v/>
      </c>
      <c r="C37" s="87">
        <f>C36*(1+B37)</f>
        <v/>
      </c>
      <c r="D37" s="88">
        <f>1/(1+$B$22)^A37</f>
        <v/>
      </c>
      <c r="E37" s="87">
        <f>C37*D37</f>
        <v/>
      </c>
      <c r="F37" s="69">
        <f>IF($B$24&lt;=1,$B$23,$B$27+($B$23-$B$27)*(A37-1)/($B$24-1))</f>
        <v/>
      </c>
      <c r="G37" s="87">
        <f>G36*(1+F37)</f>
        <v/>
      </c>
      <c r="H37" s="87">
        <f>G37*D37</f>
        <v/>
      </c>
      <c r="I37" s="69">
        <f>IF($B$24&lt;=1,$B$23,$B$28+($B$23-$B$28)*(A37-1)/($B$24-1))</f>
        <v/>
      </c>
      <c r="J37" s="87">
        <f>J36*(1+I37)</f>
        <v/>
      </c>
      <c r="K37" s="87">
        <f>J37*D37</f>
        <v/>
      </c>
    </row>
    <row r="38">
      <c r="A38" s="89" t="n">
        <v>4</v>
      </c>
      <c r="B38" s="90">
        <f>IF($B$24&lt;=1,$B$23,$B$26+($B$23-$B$26)*(A38-1)/($B$24-1))</f>
        <v/>
      </c>
      <c r="C38" s="91">
        <f>C37*(1+B38)</f>
        <v/>
      </c>
      <c r="D38" s="92">
        <f>1/(1+$B$22)^A38</f>
        <v/>
      </c>
      <c r="E38" s="91">
        <f>C38*D38</f>
        <v/>
      </c>
      <c r="F38" s="90">
        <f>IF($B$24&lt;=1,$B$23,$B$27+($B$23-$B$27)*(A38-1)/($B$24-1))</f>
        <v/>
      </c>
      <c r="G38" s="91">
        <f>G37*(1+F38)</f>
        <v/>
      </c>
      <c r="H38" s="91">
        <f>G38*D38</f>
        <v/>
      </c>
      <c r="I38" s="90">
        <f>IF($B$24&lt;=1,$B$23,$B$28+($B$23-$B$28)*(A38-1)/($B$24-1))</f>
        <v/>
      </c>
      <c r="J38" s="91">
        <f>J37*(1+I38)</f>
        <v/>
      </c>
      <c r="K38" s="91">
        <f>J38*D38</f>
        <v/>
      </c>
    </row>
    <row r="39">
      <c r="A39" s="86" t="n">
        <v>5</v>
      </c>
      <c r="B39" s="69">
        <f>IF($B$24&lt;=1,$B$23,$B$26+($B$23-$B$26)*(A39-1)/($B$24-1))</f>
        <v/>
      </c>
      <c r="C39" s="87">
        <f>C38*(1+B39)</f>
        <v/>
      </c>
      <c r="D39" s="88">
        <f>1/(1+$B$22)^A39</f>
        <v/>
      </c>
      <c r="E39" s="87">
        <f>C39*D39</f>
        <v/>
      </c>
      <c r="F39" s="69">
        <f>IF($B$24&lt;=1,$B$23,$B$27+($B$23-$B$27)*(A39-1)/($B$24-1))</f>
        <v/>
      </c>
      <c r="G39" s="87">
        <f>G38*(1+F39)</f>
        <v/>
      </c>
      <c r="H39" s="87">
        <f>G39*D39</f>
        <v/>
      </c>
      <c r="I39" s="69">
        <f>IF($B$24&lt;=1,$B$23,$B$28+($B$23-$B$28)*(A39-1)/($B$24-1))</f>
        <v/>
      </c>
      <c r="J39" s="87">
        <f>J38*(1+I39)</f>
        <v/>
      </c>
      <c r="K39" s="87">
        <f>J39*D39</f>
        <v/>
      </c>
    </row>
    <row r="40">
      <c r="A40" s="89" t="n">
        <v>6</v>
      </c>
      <c r="B40" s="90">
        <f>IF($B$24&lt;=1,$B$23,$B$26+($B$23-$B$26)*(A40-1)/($B$24-1))</f>
        <v/>
      </c>
      <c r="C40" s="91">
        <f>C39*(1+B40)</f>
        <v/>
      </c>
      <c r="D40" s="92">
        <f>1/(1+$B$22)^A40</f>
        <v/>
      </c>
      <c r="E40" s="91">
        <f>C40*D40</f>
        <v/>
      </c>
      <c r="F40" s="90">
        <f>IF($B$24&lt;=1,$B$23,$B$27+($B$23-$B$27)*(A40-1)/($B$24-1))</f>
        <v/>
      </c>
      <c r="G40" s="91">
        <f>G39*(1+F40)</f>
        <v/>
      </c>
      <c r="H40" s="91">
        <f>G40*D40</f>
        <v/>
      </c>
      <c r="I40" s="90">
        <f>IF($B$24&lt;=1,$B$23,$B$28+($B$23-$B$28)*(A40-1)/($B$24-1))</f>
        <v/>
      </c>
      <c r="J40" s="91">
        <f>J39*(1+I40)</f>
        <v/>
      </c>
      <c r="K40" s="91">
        <f>J40*D40</f>
        <v/>
      </c>
    </row>
    <row r="41">
      <c r="A41" s="86" t="n">
        <v>7</v>
      </c>
      <c r="B41" s="69">
        <f>IF($B$24&lt;=1,$B$23,$B$26+($B$23-$B$26)*(A41-1)/($B$24-1))</f>
        <v/>
      </c>
      <c r="C41" s="87">
        <f>C40*(1+B41)</f>
        <v/>
      </c>
      <c r="D41" s="88">
        <f>1/(1+$B$22)^A41</f>
        <v/>
      </c>
      <c r="E41" s="87">
        <f>C41*D41</f>
        <v/>
      </c>
      <c r="F41" s="69">
        <f>IF($B$24&lt;=1,$B$23,$B$27+($B$23-$B$27)*(A41-1)/($B$24-1))</f>
        <v/>
      </c>
      <c r="G41" s="87">
        <f>G40*(1+F41)</f>
        <v/>
      </c>
      <c r="H41" s="87">
        <f>G41*D41</f>
        <v/>
      </c>
      <c r="I41" s="69">
        <f>IF($B$24&lt;=1,$B$23,$B$28+($B$23-$B$28)*(A41-1)/($B$24-1))</f>
        <v/>
      </c>
      <c r="J41" s="87">
        <f>J40*(1+I41)</f>
        <v/>
      </c>
      <c r="K41" s="87">
        <f>J41*D41</f>
        <v/>
      </c>
    </row>
    <row r="42">
      <c r="A42" s="89" t="n">
        <v>8</v>
      </c>
      <c r="B42" s="90">
        <f>IF($B$24&lt;=1,$B$23,$B$26+($B$23-$B$26)*(A42-1)/($B$24-1))</f>
        <v/>
      </c>
      <c r="C42" s="91">
        <f>C41*(1+B42)</f>
        <v/>
      </c>
      <c r="D42" s="92">
        <f>1/(1+$B$22)^A42</f>
        <v/>
      </c>
      <c r="E42" s="91">
        <f>C42*D42</f>
        <v/>
      </c>
      <c r="F42" s="90">
        <f>IF($B$24&lt;=1,$B$23,$B$27+($B$23-$B$27)*(A42-1)/($B$24-1))</f>
        <v/>
      </c>
      <c r="G42" s="91">
        <f>G41*(1+F42)</f>
        <v/>
      </c>
      <c r="H42" s="91">
        <f>G42*D42</f>
        <v/>
      </c>
      <c r="I42" s="90">
        <f>IF($B$24&lt;=1,$B$23,$B$28+($B$23-$B$28)*(A42-1)/($B$24-1))</f>
        <v/>
      </c>
      <c r="J42" s="91">
        <f>J41*(1+I42)</f>
        <v/>
      </c>
      <c r="K42" s="91">
        <f>J42*D42</f>
        <v/>
      </c>
    </row>
    <row r="43">
      <c r="A43" s="86" t="n">
        <v>9</v>
      </c>
      <c r="B43" s="69">
        <f>IF($B$24&lt;=1,$B$23,$B$26+($B$23-$B$26)*(A43-1)/($B$24-1))</f>
        <v/>
      </c>
      <c r="C43" s="87">
        <f>C42*(1+B43)</f>
        <v/>
      </c>
      <c r="D43" s="88">
        <f>1/(1+$B$22)^A43</f>
        <v/>
      </c>
      <c r="E43" s="87">
        <f>C43*D43</f>
        <v/>
      </c>
      <c r="F43" s="69">
        <f>IF($B$24&lt;=1,$B$23,$B$27+($B$23-$B$27)*(A43-1)/($B$24-1))</f>
        <v/>
      </c>
      <c r="G43" s="87">
        <f>G42*(1+F43)</f>
        <v/>
      </c>
      <c r="H43" s="87">
        <f>G43*D43</f>
        <v/>
      </c>
      <c r="I43" s="69">
        <f>IF($B$24&lt;=1,$B$23,$B$28+($B$23-$B$28)*(A43-1)/($B$24-1))</f>
        <v/>
      </c>
      <c r="J43" s="87">
        <f>J42*(1+I43)</f>
        <v/>
      </c>
      <c r="K43" s="87">
        <f>J43*D43</f>
        <v/>
      </c>
    </row>
    <row r="44">
      <c r="A44" s="89" t="n">
        <v>10</v>
      </c>
      <c r="B44" s="90">
        <f>IF($B$24&lt;=1,$B$23,$B$26+($B$23-$B$26)*(A44-1)/($B$24-1))</f>
        <v/>
      </c>
      <c r="C44" s="91">
        <f>C43*(1+B44)</f>
        <v/>
      </c>
      <c r="D44" s="92">
        <f>1/(1+$B$22)^A44</f>
        <v/>
      </c>
      <c r="E44" s="91">
        <f>C44*D44</f>
        <v/>
      </c>
      <c r="F44" s="90">
        <f>IF($B$24&lt;=1,$B$23,$B$27+($B$23-$B$27)*(A44-1)/($B$24-1))</f>
        <v/>
      </c>
      <c r="G44" s="91">
        <f>G43*(1+F44)</f>
        <v/>
      </c>
      <c r="H44" s="91">
        <f>G44*D44</f>
        <v/>
      </c>
      <c r="I44" s="90">
        <f>IF($B$24&lt;=1,$B$23,$B$28+($B$23-$B$28)*(A44-1)/($B$24-1))</f>
        <v/>
      </c>
      <c r="J44" s="91">
        <f>J43*(1+I44)</f>
        <v/>
      </c>
      <c r="K44" s="91">
        <f>J44*D44</f>
        <v/>
      </c>
    </row>
    <row r="46" ht="18" customHeight="1">
      <c r="A46" s="61" t="inlineStr">
        <is>
          <t>Enterprise Value → Equity Bridge</t>
        </is>
      </c>
    </row>
    <row r="47">
      <c r="A47" s="29" t="inlineStr">
        <is>
          <t>PV of explicit FCF</t>
        </is>
      </c>
      <c r="B47" s="87">
        <f>SUM(E35:E44)</f>
        <v/>
      </c>
    </row>
    <row r="48">
      <c r="A48" s="29" t="inlineStr">
        <is>
          <t>Terminal value</t>
        </is>
      </c>
      <c r="B48" s="87">
        <f>C44*(1+B23)/(B22-B23)</f>
        <v/>
      </c>
    </row>
    <row r="49">
      <c r="A49" s="29" t="inlineStr">
        <is>
          <t>PV of terminal value</t>
        </is>
      </c>
      <c r="B49" s="87">
        <f>B48/(1+B22)^B24</f>
        <v/>
      </c>
      <c r="C49" s="93">
        <f>TEXT(B49/B50,"0%")&amp;" of enterprise value — above 85% the terminal assumption is doing nearly all the work"</f>
        <v/>
      </c>
    </row>
    <row r="50">
      <c r="A50" s="29" t="inlineStr">
        <is>
          <t>Enterprise value</t>
        </is>
      </c>
      <c r="B50" s="87">
        <f>B47+B49</f>
        <v/>
      </c>
    </row>
    <row r="51">
      <c r="A51" s="29" t="inlineStr">
        <is>
          <t>Less: net debt</t>
        </is>
      </c>
      <c r="B51" s="87">
        <f>B29</f>
        <v/>
      </c>
    </row>
    <row r="52">
      <c r="A52" s="29" t="inlineStr">
        <is>
          <t>Equity value</t>
        </is>
      </c>
      <c r="B52" s="94">
        <f>B50-B51</f>
        <v/>
      </c>
    </row>
    <row r="54" ht="18" customHeight="1">
      <c r="A54" s="61" t="inlineStr">
        <is>
          <t>Sensitivity — Fair Value / Share  (WACC × Terminal Growth)  ·  snapshot computed at generation</t>
        </is>
      </c>
    </row>
    <row r="55">
      <c r="A55" s="95" t="inlineStr">
        <is>
          <t>WACC ╲ Term. g</t>
        </is>
      </c>
      <c r="B55" s="31" t="inlineStr">
        <is>
          <t>1.5%</t>
        </is>
      </c>
      <c r="C55" s="31" t="inlineStr">
        <is>
          <t>2.0%</t>
        </is>
      </c>
      <c r="D55" s="31" t="inlineStr">
        <is>
          <t>2.5%</t>
        </is>
      </c>
      <c r="E55" s="31" t="inlineStr">
        <is>
          <t>3.0%</t>
        </is>
      </c>
      <c r="F55" s="31" t="inlineStr">
        <is>
          <t>3.5%</t>
        </is>
      </c>
    </row>
    <row r="56">
      <c r="A56" s="31" t="inlineStr">
        <is>
          <t>7.3%</t>
        </is>
      </c>
      <c r="B56" s="70" t="n">
        <v>49.89</v>
      </c>
      <c r="C56" s="70" t="n">
        <v>53.7</v>
      </c>
      <c r="D56" s="70" t="n">
        <v>58.3</v>
      </c>
      <c r="E56" s="70" t="n">
        <v>63.94</v>
      </c>
      <c r="F56" s="70" t="n">
        <v>71.04000000000001</v>
      </c>
    </row>
    <row r="57">
      <c r="A57" s="31" t="inlineStr">
        <is>
          <t>8.3%</t>
        </is>
      </c>
      <c r="B57" s="70" t="n">
        <v>42.51</v>
      </c>
      <c r="C57" s="70" t="n">
        <v>45.16</v>
      </c>
      <c r="D57" s="70" t="n">
        <v>48.26</v>
      </c>
      <c r="E57" s="70" t="n">
        <v>51.94</v>
      </c>
      <c r="F57" s="70" t="n">
        <v>56.37</v>
      </c>
    </row>
    <row r="58">
      <c r="A58" s="31" t="inlineStr">
        <is>
          <t>9.3%</t>
        </is>
      </c>
      <c r="B58" s="70" t="n">
        <v>37.01</v>
      </c>
      <c r="C58" s="70" t="n">
        <v>38.95</v>
      </c>
      <c r="D58" s="70" t="n">
        <v>41.16</v>
      </c>
      <c r="E58" s="70" t="n">
        <v>43.72</v>
      </c>
      <c r="F58" s="70" t="n">
        <v>46.71</v>
      </c>
    </row>
    <row r="59">
      <c r="A59" s="31" t="inlineStr">
        <is>
          <t>10.3%</t>
        </is>
      </c>
      <c r="B59" s="70" t="n">
        <v>32.76</v>
      </c>
      <c r="C59" s="70" t="n">
        <v>34.22</v>
      </c>
      <c r="D59" s="70" t="n">
        <v>35.87</v>
      </c>
      <c r="E59" s="70" t="n">
        <v>37.74</v>
      </c>
      <c r="F59" s="70" t="n">
        <v>39.87</v>
      </c>
    </row>
    <row r="60">
      <c r="A60" s="31" t="inlineStr">
        <is>
          <t>11.3%</t>
        </is>
      </c>
      <c r="B60" s="70" t="n">
        <v>29.37</v>
      </c>
      <c r="C60" s="70" t="n">
        <v>30.51</v>
      </c>
      <c r="D60" s="70" t="n">
        <v>31.77</v>
      </c>
      <c r="E60" s="70" t="n">
        <v>33.19</v>
      </c>
      <c r="F60" s="70" t="n">
        <v>34.78</v>
      </c>
    </row>
    <row r="61">
      <c r="A61" s="96">
        <f>IF(AND(ROUND($B$22,4)=0.0935,ROUND($B$23,4)=0.025),"Grid matches the assumptions above.","Assumptions changed — this grid was computed at 9.3% WACC / 2.5% terminal growth and no longer matches the inputs. Regenerate to refresh it.")</f>
        <v/>
      </c>
    </row>
    <row r="62" ht="44" customHeight="1">
      <c r="A62" s="97" t="inlineStr">
        <is>
          <t>Each cell is base-case fair value per share at that discount rate and terminal growth rate. Green = above today's $40.75 price, red = below. These 25 values are computed once when the report is generated; the rest of this sheet is live formulas, so editing the inputs above moves everything except this grid.</t>
        </is>
      </c>
    </row>
    <row r="64" ht="76" customHeight="1">
      <c r="A64" s="36"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3">
    <mergeCell ref="C25:K25"/>
    <mergeCell ref="A62:D62"/>
    <mergeCell ref="C22:K22"/>
    <mergeCell ref="C9:K9"/>
    <mergeCell ref="A5:B6"/>
    <mergeCell ref="A1:K1"/>
    <mergeCell ref="B12:C12"/>
    <mergeCell ref="A54:K54"/>
    <mergeCell ref="C5:K6"/>
    <mergeCell ref="A64:D64"/>
    <mergeCell ref="C23:K23"/>
    <mergeCell ref="A46:K46"/>
    <mergeCell ref="A21:K21"/>
    <mergeCell ref="A2:K2"/>
    <mergeCell ref="A33:K33"/>
    <mergeCell ref="A14:K14"/>
    <mergeCell ref="A8:K8"/>
    <mergeCell ref="C24:K24"/>
    <mergeCell ref="C30:K30"/>
    <mergeCell ref="A4:K4"/>
    <mergeCell ref="A61:F61"/>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rowBreaks count="1" manualBreakCount="1">
    <brk id="65" min="0" max="16383" man="1"/>
  </rowBreaks>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59" t="inlineStr">
        <is>
          <t>Fundamentals &amp; Valuation   ·   source: SEC EDGAR   ·   FY ending 2026-05-31</t>
        </is>
      </c>
    </row>
    <row r="3">
      <c r="A3" s="61" t="inlineStr">
        <is>
          <t>Valuation</t>
        </is>
      </c>
      <c r="B3" s="61" t="n"/>
    </row>
    <row r="4">
      <c r="A4" s="18" t="inlineStr">
        <is>
          <t>P/E</t>
        </is>
      </c>
      <c r="B4" s="98" t="n">
        <v>19.46</v>
      </c>
    </row>
    <row r="5">
      <c r="A5" s="29" t="inlineStr">
        <is>
          <t>P/S</t>
        </is>
      </c>
      <c r="B5" s="99" t="n">
        <v>1.3</v>
      </c>
    </row>
    <row r="6">
      <c r="A6" s="18" t="inlineStr">
        <is>
          <t>P/B</t>
        </is>
      </c>
      <c r="B6" s="98" t="n">
        <v>4.07</v>
      </c>
    </row>
    <row r="7">
      <c r="A7" s="29" t="inlineStr">
        <is>
          <t>EV / EBITDA</t>
        </is>
      </c>
      <c r="B7" s="100" t="inlineStr">
        <is>
          <t>N/A</t>
        </is>
      </c>
    </row>
    <row r="8">
      <c r="A8" s="18" t="inlineStr">
        <is>
          <t>Earnings Yield</t>
        </is>
      </c>
      <c r="B8" s="101" t="n">
        <v>0.051</v>
      </c>
    </row>
    <row r="9">
      <c r="A9" s="29" t="inlineStr">
        <is>
          <t>FCF Yield</t>
        </is>
      </c>
      <c r="B9" s="102" t="n">
        <v>0.036</v>
      </c>
    </row>
    <row r="10">
      <c r="A10" s="18" t="inlineStr">
        <is>
          <t>Implied growth — earnings basis, flat 9% discount</t>
        </is>
      </c>
      <c r="B10" s="101" t="n">
        <v>0.0529</v>
      </c>
    </row>
    <row r="11">
      <c r="A11" s="29" t="inlineStr">
        <is>
          <t xml:space="preserve">  (cross-check only; the headline reverse DCF is on the Valuation sheet)</t>
        </is>
      </c>
      <c r="B11" s="103" t="inlineStr"/>
    </row>
    <row r="13">
      <c r="A13" s="61" t="inlineStr">
        <is>
          <t>Profitability &amp; Returns</t>
        </is>
      </c>
      <c r="B13" s="61" t="n"/>
    </row>
    <row r="14">
      <c r="A14" s="18" t="inlineStr">
        <is>
          <t>Gross Margin</t>
        </is>
      </c>
      <c r="B14" s="101" t="n">
        <v>0.429</v>
      </c>
    </row>
    <row r="15">
      <c r="A15" s="29" t="inlineStr">
        <is>
          <t>Operating Margin</t>
        </is>
      </c>
      <c r="B15" s="100" t="inlineStr">
        <is>
          <t>N/A</t>
        </is>
      </c>
    </row>
    <row r="16">
      <c r="A16" s="18" t="inlineStr">
        <is>
          <t>Net Margin</t>
        </is>
      </c>
      <c r="B16" s="101" t="n">
        <v>0.067</v>
      </c>
    </row>
    <row r="17">
      <c r="A17" s="29" t="inlineStr">
        <is>
          <t>Return on Equity</t>
        </is>
      </c>
      <c r="B17" s="102" t="n">
        <v>0.209</v>
      </c>
    </row>
    <row r="18">
      <c r="A18" s="18" t="inlineStr">
        <is>
          <t>Return on Assets</t>
        </is>
      </c>
      <c r="B18" s="101" t="n">
        <v>0.081</v>
      </c>
    </row>
    <row r="19">
      <c r="A19" s="29" t="inlineStr">
        <is>
          <t>Free Cash Flow</t>
        </is>
      </c>
      <c r="B19" s="104" t="n">
        <v>2184000000</v>
      </c>
    </row>
    <row r="21">
      <c r="A21" s="61" t="inlineStr">
        <is>
          <t>Growth</t>
        </is>
      </c>
      <c r="B21" s="61" t="n"/>
    </row>
    <row r="22">
      <c r="A22" s="18" t="inlineStr">
        <is>
          <t>Revenue YoY</t>
        </is>
      </c>
      <c r="B22" s="101" t="n">
        <v>0.002</v>
      </c>
    </row>
    <row r="23">
      <c r="A23" s="29" t="inlineStr">
        <is>
          <t>EPS YoY</t>
        </is>
      </c>
      <c r="B23" s="102" t="n">
        <v>-0.028</v>
      </c>
    </row>
    <row r="24">
      <c r="A24" s="18" t="inlineStr">
        <is>
          <t>Revenue CAGR</t>
        </is>
      </c>
      <c r="B24" s="101" t="n">
        <v>0.034</v>
      </c>
    </row>
    <row r="25">
      <c r="A25" s="29" t="inlineStr">
        <is>
          <t>EPS CAGR</t>
        </is>
      </c>
      <c r="B25" s="102" t="n">
        <v>-0.02</v>
      </c>
    </row>
    <row r="27">
      <c r="A27" s="61" t="inlineStr">
        <is>
          <t>Balance Sheet &amp; Quality</t>
        </is>
      </c>
      <c r="B27" s="61" t="n"/>
    </row>
    <row r="28">
      <c r="A28" s="18" t="inlineStr">
        <is>
          <t>Current Ratio</t>
        </is>
      </c>
      <c r="B28" s="105" t="n">
        <v>1.96</v>
      </c>
    </row>
    <row r="29">
      <c r="A29" s="29" t="inlineStr">
        <is>
          <t>Debt / Equity</t>
        </is>
      </c>
      <c r="B29" s="106" t="n">
        <v>0.4</v>
      </c>
    </row>
    <row r="30">
      <c r="A30" s="18" t="inlineStr">
        <is>
          <t>Piotroski F-Score</t>
        </is>
      </c>
      <c r="B30" s="107" t="inlineStr">
        <is>
          <t>5 / 9</t>
        </is>
      </c>
    </row>
    <row r="31">
      <c r="A31" s="29" t="inlineStr">
        <is>
          <t>Altman Z-Score</t>
        </is>
      </c>
      <c r="B31" s="100" t="inlineStr">
        <is>
          <t>N/A</t>
        </is>
      </c>
    </row>
    <row r="33">
      <c r="A33" s="108" t="inlineStr">
        <is>
          <t>Fiscal Period</t>
        </is>
      </c>
      <c r="B33" s="108" t="inlineStr">
        <is>
          <t>2017-05</t>
        </is>
      </c>
      <c r="C33" s="108" t="inlineStr">
        <is>
          <t>2018-05</t>
        </is>
      </c>
      <c r="D33" s="108" t="inlineStr">
        <is>
          <t>2019-05</t>
        </is>
      </c>
      <c r="E33" s="108" t="inlineStr">
        <is>
          <t>2020-05</t>
        </is>
      </c>
      <c r="F33" s="108" t="inlineStr">
        <is>
          <t>2021-05</t>
        </is>
      </c>
      <c r="G33" s="108" t="inlineStr">
        <is>
          <t>2022-05</t>
        </is>
      </c>
      <c r="H33" s="108" t="inlineStr">
        <is>
          <t>2023-05</t>
        </is>
      </c>
      <c r="I33" s="108" t="inlineStr">
        <is>
          <t>2024-05</t>
        </is>
      </c>
      <c r="J33" s="108" t="inlineStr">
        <is>
          <t>2025-05</t>
        </is>
      </c>
      <c r="K33" s="108" t="inlineStr">
        <is>
          <t>2026-05</t>
        </is>
      </c>
    </row>
    <row r="34">
      <c r="A34" s="27" t="inlineStr">
        <is>
          <t>Revenue ($B)</t>
        </is>
      </c>
      <c r="B34" s="109" t="n">
        <v>34.4</v>
      </c>
      <c r="C34" s="109" t="n">
        <v>36.4</v>
      </c>
      <c r="D34" s="109" t="n">
        <v>39.1</v>
      </c>
      <c r="E34" s="109" t="n">
        <v>37.4</v>
      </c>
      <c r="F34" s="109" t="n">
        <v>44.5</v>
      </c>
      <c r="G34" s="109" t="n">
        <v>46.7</v>
      </c>
      <c r="H34" s="109" t="n">
        <v>51.2</v>
      </c>
      <c r="I34" s="109" t="n">
        <v>51.4</v>
      </c>
      <c r="J34" s="109" t="n">
        <v>46.3</v>
      </c>
      <c r="K34" s="109" t="n">
        <v>46.4</v>
      </c>
    </row>
    <row r="35">
      <c r="A35" s="27" t="inlineStr">
        <is>
          <t>Net Income ($B)</t>
        </is>
      </c>
      <c r="B35" s="109" t="n">
        <v>4.2</v>
      </c>
      <c r="C35" s="109" t="n">
        <v>1.9</v>
      </c>
      <c r="D35" s="109" t="n">
        <v>4</v>
      </c>
      <c r="E35" s="109" t="n">
        <v>2.5</v>
      </c>
      <c r="F35" s="109" t="n">
        <v>5.7</v>
      </c>
      <c r="G35" s="109" t="n">
        <v>6</v>
      </c>
      <c r="H35" s="109" t="n">
        <v>5.1</v>
      </c>
      <c r="I35" s="109" t="n">
        <v>5.7</v>
      </c>
      <c r="J35" s="109" t="n">
        <v>3.2</v>
      </c>
      <c r="K35" s="109" t="n">
        <v>3.1</v>
      </c>
    </row>
    <row r="36">
      <c r="A36" s="27" t="inlineStr">
        <is>
          <t>Free Cash Flow ($B)</t>
        </is>
      </c>
      <c r="B36" s="109" t="n">
        <v>2.5</v>
      </c>
      <c r="C36" s="109" t="n">
        <v>3.9</v>
      </c>
      <c r="D36" s="109" t="n">
        <v>4.8</v>
      </c>
      <c r="E36" s="109" t="n">
        <v>1.4</v>
      </c>
      <c r="F36" s="109" t="n">
        <v>6</v>
      </c>
      <c r="G36" s="109" t="n">
        <v>4.4</v>
      </c>
      <c r="H36" s="109" t="n">
        <v>4.9</v>
      </c>
      <c r="I36" s="109" t="n">
        <v>6.6</v>
      </c>
      <c r="J36" s="109" t="n">
        <v>3.3</v>
      </c>
      <c r="K36" s="109"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4" customWidth="1" min="2" max="2"/>
    <col width="23" customWidth="1" min="3" max="3"/>
    <col width="22" customWidth="1" min="4" max="4"/>
    <col width="9" customWidth="1" min="5" max="5"/>
    <col width="3" customWidth="1" min="6" max="6"/>
    <col width="3" customWidth="1" min="7" max="7"/>
    <col width="3" customWidth="1" min="8" max="8"/>
  </cols>
  <sheetData>
    <row r="1" ht="26" customHeight="1">
      <c r="A1" s="110" t="inlineStr">
        <is>
          <t>Annual Performance Summary</t>
        </is>
      </c>
    </row>
    <row r="2">
      <c r="A2" s="31" t="inlineStr">
        <is>
          <t>Year</t>
        </is>
      </c>
      <c r="B2" s="31" t="inlineStr">
        <is>
          <t>Annual Return</t>
        </is>
      </c>
      <c r="C2" s="31" t="inlineStr">
        <is>
          <t>Max Drawdown (60d)</t>
        </is>
      </c>
      <c r="D2" s="31" t="inlineStr">
        <is>
          <t>Ann. Volatility</t>
        </is>
      </c>
      <c r="E2" s="31" t="inlineStr">
        <is>
          <t>Sharpe</t>
        </is>
      </c>
    </row>
    <row r="3">
      <c r="A3" s="111" t="n">
        <v>2021</v>
      </c>
      <c r="B3" s="112" t="n">
        <v>-0.01527818914900558</v>
      </c>
      <c r="C3" s="113" t="n">
        <v>-0.1140660269170626</v>
      </c>
      <c r="D3" s="114" t="n">
        <v>0.2519890194061841</v>
      </c>
      <c r="E3" s="15" t="n">
        <v>-0.2</v>
      </c>
    </row>
    <row r="4">
      <c r="A4" s="115" t="n">
        <v>2022</v>
      </c>
      <c r="B4" s="112" t="n">
        <v>-0.2904112457646388</v>
      </c>
      <c r="C4" s="112" t="n">
        <v>-0.301823258202788</v>
      </c>
      <c r="D4" s="116" t="n">
        <v>0.4227475572301209</v>
      </c>
      <c r="E4" s="18" t="n">
        <v>-0.7</v>
      </c>
    </row>
    <row r="5">
      <c r="A5" s="111" t="n">
        <v>2023</v>
      </c>
      <c r="B5" s="112" t="n">
        <v>-0.06013721383088089</v>
      </c>
      <c r="C5" s="112" t="n">
        <v>-0.1959539035987075</v>
      </c>
      <c r="D5" s="114" t="n">
        <v>0.2706322799437709</v>
      </c>
      <c r="E5" s="15" t="n">
        <v>-0.24</v>
      </c>
    </row>
    <row r="6">
      <c r="A6" s="115" t="n">
        <v>2024</v>
      </c>
      <c r="B6" s="112" t="n">
        <v>-0.291074604528881</v>
      </c>
      <c r="C6" s="112" t="n">
        <v>-0.268470928192886</v>
      </c>
      <c r="D6" s="116" t="n">
        <v>0.3199280711703182</v>
      </c>
      <c r="E6" s="18" t="n">
        <v>-1.03</v>
      </c>
    </row>
    <row r="7">
      <c r="A7" s="111" t="n">
        <v>2025</v>
      </c>
      <c r="B7" s="112" t="n">
        <v>-0.1382762831060775</v>
      </c>
      <c r="C7" s="112" t="n">
        <v>-0.34484070110767</v>
      </c>
      <c r="D7" s="114" t="n">
        <v>0.4204946412410015</v>
      </c>
      <c r="E7" s="15" t="n">
        <v>-0.24</v>
      </c>
    </row>
    <row r="8">
      <c r="A8" s="115" t="inlineStr">
        <is>
          <t>2026 (YTD)</t>
        </is>
      </c>
      <c r="B8" s="112" t="n">
        <v>-0.3503761783452115</v>
      </c>
      <c r="C8" s="112" t="n">
        <v>-0.3553826303470411</v>
      </c>
      <c r="D8" s="116" t="n">
        <v>0.3648456585824233</v>
      </c>
      <c r="E8" s="18" t="n">
        <v>-1.77</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5"/>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4" customWidth="1" min="13" max="13"/>
    <col width="21" customWidth="1" min="14" max="14"/>
    <col width="25" customWidth="1" min="15" max="15"/>
    <col width="21" customWidth="1" min="16" max="16"/>
    <col width="21" customWidth="1" min="17" max="17"/>
  </cols>
  <sheetData>
    <row r="1">
      <c r="A1" s="117" t="inlineStr">
        <is>
          <t>Date</t>
        </is>
      </c>
      <c r="B1" s="117" t="inlineStr">
        <is>
          <t>Open</t>
        </is>
      </c>
      <c r="C1" s="117" t="inlineStr">
        <is>
          <t>High</t>
        </is>
      </c>
      <c r="D1" s="117" t="inlineStr">
        <is>
          <t>Low</t>
        </is>
      </c>
      <c r="E1" s="117" t="inlineStr">
        <is>
          <t>Close</t>
        </is>
      </c>
      <c r="F1" s="117" t="inlineStr">
        <is>
          <t>Volume</t>
        </is>
      </c>
      <c r="G1" s="117" t="inlineStr">
        <is>
          <t>Daily_Return</t>
        </is>
      </c>
      <c r="H1" s="117" t="inlineStr">
        <is>
          <t>Cumulative_Index</t>
        </is>
      </c>
      <c r="I1" s="117" t="inlineStr">
        <is>
          <t>MA50</t>
        </is>
      </c>
      <c r="J1" s="117" t="inlineStr">
        <is>
          <t>MA200</t>
        </is>
      </c>
      <c r="K1" s="117" t="inlineStr">
        <is>
          <t>Volatility_20d</t>
        </is>
      </c>
      <c r="L1" s="117" t="inlineStr">
        <is>
          <t>Drawdown_60d</t>
        </is>
      </c>
      <c r="M1" s="117" t="inlineStr">
        <is>
          <t>Pct_From_52W_High</t>
        </is>
      </c>
      <c r="N1" s="117" t="inlineStr">
        <is>
          <t>RSI14</t>
        </is>
      </c>
      <c r="O1" s="117" t="inlineStr">
        <is>
          <t>MACD_Hist</t>
        </is>
      </c>
      <c r="P1" s="117" t="inlineStr">
        <is>
          <t>SPY_Cumulative</t>
        </is>
      </c>
      <c r="Q1" s="117" t="inlineStr">
        <is>
          <t>QQQ_Cumulative</t>
        </is>
      </c>
    </row>
    <row r="2">
      <c r="A2" s="118" t="n">
        <v>44433</v>
      </c>
      <c r="B2" s="119" t="n">
        <v>156.502509201183</v>
      </c>
      <c r="C2" s="119" t="n">
        <v>157.1377275155066</v>
      </c>
      <c r="D2" s="119" t="n">
        <v>156.0698246696085</v>
      </c>
      <c r="E2" s="119" t="n">
        <v>156.3552093505859</v>
      </c>
      <c r="F2" s="120" t="n">
        <v>3003800</v>
      </c>
      <c r="G2" s="121" t="n">
        <v/>
      </c>
      <c r="H2" s="122" t="n">
        <v>100</v>
      </c>
      <c r="I2" s="119" t="n">
        <v/>
      </c>
      <c r="J2" s="119" t="n">
        <v/>
      </c>
      <c r="K2" s="121" t="n">
        <v/>
      </c>
      <c r="L2" s="121" t="n">
        <v/>
      </c>
      <c r="M2" s="121" t="n">
        <v/>
      </c>
      <c r="N2" t="n">
        <v/>
      </c>
      <c r="O2" t="n">
        <v/>
      </c>
      <c r="P2" t="n">
        <v>100</v>
      </c>
      <c r="Q2" t="n">
        <v>100</v>
      </c>
    </row>
    <row r="3">
      <c r="A3" s="118" t="n">
        <v>44434</v>
      </c>
      <c r="B3" s="119" t="n">
        <v>155.9318202334618</v>
      </c>
      <c r="C3" s="119" t="n">
        <v>156.0607041573616</v>
      </c>
      <c r="D3" s="119" t="n">
        <v>153.0687428800587</v>
      </c>
      <c r="E3" s="119" t="n">
        <v>153.6671295166016</v>
      </c>
      <c r="F3" s="120" t="n">
        <v>4069600</v>
      </c>
      <c r="G3" s="121" t="n">
        <v>-0.01719213478814807</v>
      </c>
      <c r="H3" s="122" t="n">
        <v>98.28078652118519</v>
      </c>
      <c r="I3" s="119" t="n">
        <v/>
      </c>
      <c r="J3" s="119" t="n">
        <v/>
      </c>
      <c r="K3" s="121" t="n">
        <v/>
      </c>
      <c r="L3" s="121" t="n">
        <v/>
      </c>
      <c r="M3" s="121" t="n">
        <v/>
      </c>
      <c r="N3" t="n">
        <v/>
      </c>
      <c r="O3" t="n">
        <v/>
      </c>
      <c r="P3" t="n">
        <v>99.40968017159926</v>
      </c>
      <c r="Q3" t="n">
        <v>99.36501448274404</v>
      </c>
    </row>
    <row r="4">
      <c r="A4" s="118" t="n">
        <v>44435</v>
      </c>
      <c r="B4" s="119" t="n">
        <v>154.2433954473112</v>
      </c>
      <c r="C4" s="119" t="n">
        <v>154.9810960745578</v>
      </c>
      <c r="D4" s="119" t="n">
        <v>153.3304893381657</v>
      </c>
      <c r="E4" s="119" t="n">
        <v>154.5292510986328</v>
      </c>
      <c r="F4" s="120" t="n">
        <v>3012400</v>
      </c>
      <c r="G4" s="121" t="n">
        <v>0.005610318776327006</v>
      </c>
      <c r="H4" s="122" t="n">
        <v>98.83217306315719</v>
      </c>
      <c r="I4" s="119" t="n">
        <v/>
      </c>
      <c r="J4" s="119" t="n">
        <v/>
      </c>
      <c r="K4" s="121" t="n">
        <v/>
      </c>
      <c r="L4" s="121" t="n">
        <v/>
      </c>
      <c r="M4" s="121" t="n">
        <v/>
      </c>
      <c r="N4" t="n">
        <v/>
      </c>
      <c r="O4" t="n">
        <v/>
      </c>
      <c r="P4" t="n">
        <v>100.29848759593</v>
      </c>
      <c r="Q4" t="n">
        <v>100.3308411804603</v>
      </c>
    </row>
    <row r="5">
      <c r="A5" s="118" t="n">
        <v>44438</v>
      </c>
      <c r="B5" s="119" t="n">
        <v>154.8151173039039</v>
      </c>
      <c r="C5" s="119" t="n">
        <v>155.2946248548732</v>
      </c>
      <c r="D5" s="119" t="n">
        <v>153.597923145868</v>
      </c>
      <c r="E5" s="119" t="n">
        <v>154.9442138671875</v>
      </c>
      <c r="F5" s="120" t="n">
        <v>3537100</v>
      </c>
      <c r="G5" s="121" t="n">
        <v>0.002685334754452651</v>
      </c>
      <c r="H5" s="122" t="n">
        <v>99.09757053234175</v>
      </c>
      <c r="I5" s="119" t="n">
        <v/>
      </c>
      <c r="J5" s="119" t="n">
        <v/>
      </c>
      <c r="K5" s="121" t="n">
        <v/>
      </c>
      <c r="L5" s="121" t="n">
        <v/>
      </c>
      <c r="M5" s="121" t="n">
        <v/>
      </c>
      <c r="N5" t="n">
        <v/>
      </c>
      <c r="O5" t="n">
        <v/>
      </c>
      <c r="P5" t="n">
        <v>100.7395599895551</v>
      </c>
      <c r="Q5" t="n">
        <v>101.4567818205066</v>
      </c>
    </row>
    <row r="6">
      <c r="A6" s="118" t="n">
        <v>44439</v>
      </c>
      <c r="B6" s="119" t="n">
        <v>154.5016388453981</v>
      </c>
      <c r="C6" s="119" t="n">
        <v>154.621505211132</v>
      </c>
      <c r="D6" s="119" t="n">
        <v>151.4125226191492</v>
      </c>
      <c r="E6" s="119" t="n">
        <v>151.9104766845703</v>
      </c>
      <c r="F6" s="120" t="n">
        <v>7545600</v>
      </c>
      <c r="G6" s="121" t="n">
        <v>-0.01957954483681201</v>
      </c>
      <c r="H6" s="122" t="n">
        <v>97.15728520688462</v>
      </c>
      <c r="I6" s="119" t="n">
        <v/>
      </c>
      <c r="J6" s="119" t="n">
        <v/>
      </c>
      <c r="K6" s="121" t="n">
        <v/>
      </c>
      <c r="L6" s="121" t="n">
        <v/>
      </c>
      <c r="M6" s="121" t="n">
        <v/>
      </c>
      <c r="N6" t="n">
        <v/>
      </c>
      <c r="O6" t="n">
        <v/>
      </c>
      <c r="P6" t="n">
        <v>100.5902980075369</v>
      </c>
      <c r="Q6" t="n">
        <v>101.374082012838</v>
      </c>
    </row>
    <row r="7">
      <c r="A7" s="118" t="n">
        <v>44440</v>
      </c>
      <c r="B7" s="119" t="n">
        <v>152.0764256889418</v>
      </c>
      <c r="C7" s="119" t="n">
        <v>153.6440309669018</v>
      </c>
      <c r="D7" s="119" t="n">
        <v>151.3018462438988</v>
      </c>
      <c r="E7" s="119" t="n">
        <v>151.7444610595703</v>
      </c>
      <c r="F7" s="120" t="n">
        <v>4706500</v>
      </c>
      <c r="G7" s="121" t="n">
        <v>-0.00109285171518958</v>
      </c>
      <c r="H7" s="122" t="n">
        <v>97.05110670110312</v>
      </c>
      <c r="I7" s="119" t="n">
        <v/>
      </c>
      <c r="J7" s="119" t="n">
        <v/>
      </c>
      <c r="K7" s="121" t="n">
        <v/>
      </c>
      <c r="L7" s="121" t="n">
        <v/>
      </c>
      <c r="M7" s="121" t="n">
        <v/>
      </c>
      <c r="N7" t="n">
        <v/>
      </c>
      <c r="O7" t="n">
        <v/>
      </c>
      <c r="P7" t="n">
        <v>100.6437736710912</v>
      </c>
      <c r="Q7" t="n">
        <v>101.5421748044217</v>
      </c>
    </row>
    <row r="8">
      <c r="A8" s="118" t="n">
        <v>44441</v>
      </c>
      <c r="B8" s="119" t="n">
        <v>152.3715367794965</v>
      </c>
      <c r="C8" s="119" t="n">
        <v>152.5467282465833</v>
      </c>
      <c r="D8" s="119" t="n">
        <v>150.1123252526043</v>
      </c>
      <c r="E8" s="119" t="n">
        <v>150.9237976074219</v>
      </c>
      <c r="F8" s="120" t="n">
        <v>4632100</v>
      </c>
      <c r="G8" s="121" t="n">
        <v>-0.005408193791180738</v>
      </c>
      <c r="H8" s="122" t="n">
        <v>96.526235508415</v>
      </c>
      <c r="I8" s="119" t="n">
        <v/>
      </c>
      <c r="J8" s="119" t="n">
        <v/>
      </c>
      <c r="K8" s="121" t="n">
        <v/>
      </c>
      <c r="L8" s="121" t="n">
        <v/>
      </c>
      <c r="M8" s="121" t="n">
        <v/>
      </c>
      <c r="N8" t="n">
        <v/>
      </c>
      <c r="O8" t="n">
        <v/>
      </c>
      <c r="P8" t="n">
        <v>100.9534044548021</v>
      </c>
      <c r="Q8" t="n">
        <v>101.4941506896713</v>
      </c>
    </row>
    <row r="9">
      <c r="A9" s="118" t="n">
        <v>44442</v>
      </c>
      <c r="B9" s="119" t="n">
        <v>150.4903766166572</v>
      </c>
      <c r="C9" s="119" t="n">
        <v>151.384836492588</v>
      </c>
      <c r="D9" s="119" t="n">
        <v>149.5867005818664</v>
      </c>
      <c r="E9" s="119" t="n">
        <v>150.5733642578125</v>
      </c>
      <c r="F9" s="120" t="n">
        <v>4254500</v>
      </c>
      <c r="G9" s="121" t="n">
        <v>-0.002321922421544831</v>
      </c>
      <c r="H9" s="122" t="n">
        <v>96.30210907792069</v>
      </c>
      <c r="I9" s="119" t="n">
        <v/>
      </c>
      <c r="J9" s="119" t="n">
        <v/>
      </c>
      <c r="K9" s="121" t="n">
        <v/>
      </c>
      <c r="L9" s="121" t="n">
        <v/>
      </c>
      <c r="M9" s="121" t="n">
        <v/>
      </c>
      <c r="N9" t="n">
        <v/>
      </c>
      <c r="O9" t="n">
        <v/>
      </c>
      <c r="P9" t="n">
        <v>100.9289068983752</v>
      </c>
      <c r="Q9" t="n">
        <v>101.8062990455921</v>
      </c>
    </row>
    <row r="10">
      <c r="A10" s="118" t="n">
        <v>44446</v>
      </c>
      <c r="B10" s="119" t="n">
        <v>150.9514005225938</v>
      </c>
      <c r="C10" s="119" t="n">
        <v>151.098943450721</v>
      </c>
      <c r="D10" s="119" t="n">
        <v>149.3008079843837</v>
      </c>
      <c r="E10" s="119" t="n">
        <v>149.9739532470703</v>
      </c>
      <c r="F10" s="120" t="n">
        <v>5648800</v>
      </c>
      <c r="G10" s="121" t="n">
        <v>-0.00398085686467009</v>
      </c>
      <c r="H10" s="122" t="n">
        <v>95.91874416591564</v>
      </c>
      <c r="I10" s="119" t="n">
        <v/>
      </c>
      <c r="J10" s="119" t="n">
        <v/>
      </c>
      <c r="K10" s="121" t="n">
        <v/>
      </c>
      <c r="L10" s="121" t="n">
        <v/>
      </c>
      <c r="M10" s="121" t="n">
        <v/>
      </c>
      <c r="N10" t="n">
        <v/>
      </c>
      <c r="O10" t="n">
        <v/>
      </c>
      <c r="P10" t="n">
        <v>100.5680261792177</v>
      </c>
      <c r="Q10" t="n">
        <v>101.9503797798006</v>
      </c>
    </row>
    <row r="11">
      <c r="A11" s="118" t="n">
        <v>44447</v>
      </c>
      <c r="B11" s="119" t="n">
        <v>149.3838525730062</v>
      </c>
      <c r="C11" s="119" t="n">
        <v>149.4668402252998</v>
      </c>
      <c r="D11" s="119" t="n">
        <v>147.3090768428256</v>
      </c>
      <c r="E11" s="119" t="n">
        <v>148.1943206787109</v>
      </c>
      <c r="F11" s="120" t="n">
        <v>6591700</v>
      </c>
      <c r="G11" s="121" t="n">
        <v>-0.01186627764240877</v>
      </c>
      <c r="H11" s="122" t="n">
        <v>94.78054571653171</v>
      </c>
      <c r="I11" s="119" t="n">
        <v/>
      </c>
      <c r="J11" s="119" t="n">
        <v/>
      </c>
      <c r="K11" s="121" t="n">
        <v/>
      </c>
      <c r="L11" s="121" t="n">
        <v/>
      </c>
      <c r="M11" s="121" t="n">
        <v/>
      </c>
      <c r="N11" t="n">
        <v/>
      </c>
      <c r="O11" t="n">
        <v/>
      </c>
      <c r="P11" t="n">
        <v>100.4455165762192</v>
      </c>
      <c r="Q11" t="n">
        <v>101.595518152008</v>
      </c>
    </row>
    <row r="12">
      <c r="A12" s="118" t="n">
        <v>44448</v>
      </c>
      <c r="B12" s="119" t="n">
        <v>152.3899188424656</v>
      </c>
      <c r="C12" s="119" t="n">
        <v>153.2106070868475</v>
      </c>
      <c r="D12" s="119" t="n">
        <v>150.4903492478606</v>
      </c>
      <c r="E12" s="119" t="n">
        <v>150.6194458007812</v>
      </c>
      <c r="F12" s="120" t="n">
        <v>8414800</v>
      </c>
      <c r="G12" s="121" t="n">
        <v>0.01636449434069775</v>
      </c>
      <c r="H12" s="122" t="n">
        <v>96.33158142051813</v>
      </c>
      <c r="I12" s="119" t="n">
        <v/>
      </c>
      <c r="J12" s="119" t="n">
        <v/>
      </c>
      <c r="K12" s="121" t="n">
        <v/>
      </c>
      <c r="L12" s="121" t="n">
        <v/>
      </c>
      <c r="M12" s="121" t="n">
        <v/>
      </c>
      <c r="N12" t="n">
        <v/>
      </c>
      <c r="O12" t="n">
        <v/>
      </c>
      <c r="P12" t="n">
        <v>100.0155800967538</v>
      </c>
      <c r="Q12" t="n">
        <v>101.2459757570511</v>
      </c>
    </row>
    <row r="13">
      <c r="A13" s="118" t="n">
        <v>44449</v>
      </c>
      <c r="B13" s="119" t="n">
        <v>151.4585643278437</v>
      </c>
      <c r="C13" s="119" t="n">
        <v>152.7587599464744</v>
      </c>
      <c r="D13" s="119" t="n">
        <v>150.7116476317483</v>
      </c>
      <c r="E13" s="119" t="n">
        <v>150.8499603271484</v>
      </c>
      <c r="F13" s="120" t="n">
        <v>4252100</v>
      </c>
      <c r="G13" s="121" t="n">
        <v>0.001530443331149156</v>
      </c>
      <c r="H13" s="122" t="n">
        <v>96.47901144688221</v>
      </c>
      <c r="I13" s="119" t="n">
        <v/>
      </c>
      <c r="J13" s="119" t="n">
        <v/>
      </c>
      <c r="K13" s="121" t="n">
        <v/>
      </c>
      <c r="L13" s="121" t="n">
        <v/>
      </c>
      <c r="M13" s="121" t="n">
        <v/>
      </c>
      <c r="N13" t="n">
        <v/>
      </c>
      <c r="O13" t="n">
        <v/>
      </c>
      <c r="P13" t="n">
        <v>99.22701772072354</v>
      </c>
      <c r="Q13" t="n">
        <v>100.4776067009581</v>
      </c>
    </row>
    <row r="14">
      <c r="A14" s="118" t="n">
        <v>44452</v>
      </c>
      <c r="B14" s="119" t="n">
        <v>148.9781085687379</v>
      </c>
      <c r="C14" s="119" t="n">
        <v>150.2321957291999</v>
      </c>
      <c r="D14" s="119" t="n">
        <v>145.9996568390679</v>
      </c>
      <c r="E14" s="119" t="n">
        <v>147.0969848632812</v>
      </c>
      <c r="F14" s="120" t="n">
        <v>8814500</v>
      </c>
      <c r="G14" s="121" t="n">
        <v>-0.02487886278344464</v>
      </c>
      <c r="H14" s="122" t="n">
        <v>94.07872335961285</v>
      </c>
      <c r="I14" s="119" t="n">
        <v/>
      </c>
      <c r="J14" s="119" t="n">
        <v/>
      </c>
      <c r="K14" s="121" t="n">
        <v/>
      </c>
      <c r="L14" s="121" t="n">
        <v/>
      </c>
      <c r="M14" s="121" t="n">
        <v/>
      </c>
      <c r="N14" t="n">
        <v/>
      </c>
      <c r="O14" t="n">
        <v/>
      </c>
      <c r="P14" t="n">
        <v>99.48094711277244</v>
      </c>
      <c r="Q14" t="n">
        <v>100.4081965854217</v>
      </c>
    </row>
    <row r="15">
      <c r="A15" s="118" t="n">
        <v>44453</v>
      </c>
      <c r="B15" s="119" t="n">
        <v>146.7742375446824</v>
      </c>
      <c r="C15" s="119" t="n">
        <v>146.9771056215754</v>
      </c>
      <c r="D15" s="119" t="n">
        <v>144.8377887249846</v>
      </c>
      <c r="E15" s="119" t="n">
        <v>146.3961639404297</v>
      </c>
      <c r="F15" s="120" t="n">
        <v>5323900</v>
      </c>
      <c r="G15" s="121" t="n">
        <v>-0.00476434594157682</v>
      </c>
      <c r="H15" s="122" t="n">
        <v>93.63049977578575</v>
      </c>
      <c r="I15" s="119" t="n">
        <v/>
      </c>
      <c r="J15" s="119" t="n">
        <v/>
      </c>
      <c r="K15" s="121" t="n">
        <v/>
      </c>
      <c r="L15" s="121" t="n">
        <v/>
      </c>
      <c r="M15" s="121" t="n">
        <v/>
      </c>
      <c r="N15" t="n">
        <v>22.46052744524744</v>
      </c>
      <c r="O15" t="n">
        <v/>
      </c>
      <c r="P15" t="n">
        <v>98.94409567430473</v>
      </c>
      <c r="Q15" t="n">
        <v>100.122770243037</v>
      </c>
    </row>
    <row r="16">
      <c r="A16" s="118" t="n">
        <v>44454</v>
      </c>
      <c r="B16" s="119" t="n">
        <v>145.2342769058025</v>
      </c>
      <c r="C16" s="119" t="n">
        <v>145.9904240219319</v>
      </c>
      <c r="D16" s="119" t="n">
        <v>143.5467912380595</v>
      </c>
      <c r="E16" s="119" t="n">
        <v>145.6123504638672</v>
      </c>
      <c r="F16" s="120" t="n">
        <v>6827100</v>
      </c>
      <c r="G16" s="121" t="n">
        <v>-0.005354057479821983</v>
      </c>
      <c r="H16" s="122" t="n">
        <v>93.12919669812173</v>
      </c>
      <c r="I16" s="119" t="n">
        <v/>
      </c>
      <c r="J16" s="119" t="n">
        <v/>
      </c>
      <c r="K16" s="121" t="n">
        <v/>
      </c>
      <c r="L16" s="121" t="n">
        <v/>
      </c>
      <c r="M16" s="121" t="n">
        <v/>
      </c>
      <c r="N16" t="n">
        <v>20.99686356579909</v>
      </c>
      <c r="O16" t="n">
        <v/>
      </c>
      <c r="P16" t="n">
        <v>99.77053906989299</v>
      </c>
      <c r="Q16" t="n">
        <v>100.8671356317118</v>
      </c>
    </row>
    <row r="17">
      <c r="A17" s="118" t="n">
        <v>44455</v>
      </c>
      <c r="B17" s="119" t="n">
        <v>145.3172620806948</v>
      </c>
      <c r="C17" s="119" t="n">
        <v>146.6266741681746</v>
      </c>
      <c r="D17" s="119" t="n">
        <v>144.9576349163198</v>
      </c>
      <c r="E17" s="119" t="n">
        <v>145.3264923095703</v>
      </c>
      <c r="F17" s="120" t="n">
        <v>5085900</v>
      </c>
      <c r="G17" s="121" t="n">
        <v>-0.001963144976275921</v>
      </c>
      <c r="H17" s="122" t="n">
        <v>92.94637058347919</v>
      </c>
      <c r="I17" s="119" t="n">
        <v/>
      </c>
      <c r="J17" s="119" t="n">
        <v/>
      </c>
      <c r="K17" s="121" t="n">
        <v/>
      </c>
      <c r="L17" s="121" t="n">
        <v/>
      </c>
      <c r="M17" s="121" t="n">
        <v/>
      </c>
      <c r="N17" t="n">
        <v>20.47287385686586</v>
      </c>
      <c r="O17" t="n">
        <v/>
      </c>
      <c r="P17" t="n">
        <v>99.61239599630794</v>
      </c>
      <c r="Q17" t="n">
        <v>100.9365037974624</v>
      </c>
    </row>
    <row r="18">
      <c r="A18" s="118" t="n">
        <v>44456</v>
      </c>
      <c r="B18" s="119" t="n">
        <v>145.6584798848145</v>
      </c>
      <c r="C18" s="119" t="n">
        <v>148.4617261629705</v>
      </c>
      <c r="D18" s="119" t="n">
        <v>143.9156688796334</v>
      </c>
      <c r="E18" s="119" t="n">
        <v>144.2384033203125</v>
      </c>
      <c r="F18" s="120" t="n">
        <v>7944800</v>
      </c>
      <c r="G18" s="121" t="n">
        <v>-0.007487203275642229</v>
      </c>
      <c r="H18" s="122" t="n">
        <v>92.25046221318752</v>
      </c>
      <c r="I18" s="119" t="n">
        <v/>
      </c>
      <c r="J18" s="119" t="n">
        <v/>
      </c>
      <c r="K18" s="121" t="n">
        <v/>
      </c>
      <c r="L18" s="121" t="n">
        <v/>
      </c>
      <c r="M18" s="121" t="n">
        <v/>
      </c>
      <c r="N18" t="n">
        <v>18.5729042062589</v>
      </c>
      <c r="O18" t="n">
        <v/>
      </c>
      <c r="P18" t="n">
        <v>98.64205127757523</v>
      </c>
      <c r="Q18" t="n">
        <v>99.74119499166545</v>
      </c>
    </row>
    <row r="19">
      <c r="A19" s="118" t="n">
        <v>44459</v>
      </c>
      <c r="B19" s="119" t="n">
        <v>141.7579038057769</v>
      </c>
      <c r="C19" s="119" t="n">
        <v>143.1779804937255</v>
      </c>
      <c r="D19" s="119" t="n">
        <v>140.4577216292329</v>
      </c>
      <c r="E19" s="119" t="n">
        <v>142.2374114990234</v>
      </c>
      <c r="F19" s="120" t="n">
        <v>7041200</v>
      </c>
      <c r="G19" s="121" t="n">
        <v>-0.0138728090108251</v>
      </c>
      <c r="H19" s="122" t="n">
        <v>90.97068916974362</v>
      </c>
      <c r="I19" s="119" t="n">
        <v/>
      </c>
      <c r="J19" s="119" t="n">
        <v/>
      </c>
      <c r="K19" s="121" t="n">
        <v/>
      </c>
      <c r="L19" s="121" t="n">
        <v/>
      </c>
      <c r="M19" s="121" t="n">
        <v/>
      </c>
      <c r="N19" t="n">
        <v>15.6892924191521</v>
      </c>
      <c r="O19" t="n">
        <v/>
      </c>
      <c r="P19" t="n">
        <v>96.99730366859639</v>
      </c>
      <c r="Q19" t="n">
        <v>97.68022718661584</v>
      </c>
    </row>
    <row r="20">
      <c r="A20" s="118" t="n">
        <v>44460</v>
      </c>
      <c r="B20" s="119" t="n">
        <v>143.0119747298451</v>
      </c>
      <c r="C20" s="119" t="n">
        <v>143.9709900065052</v>
      </c>
      <c r="D20" s="119" t="n">
        <v>141.6195748242874</v>
      </c>
      <c r="E20" s="119" t="n">
        <v>142.9474334716797</v>
      </c>
      <c r="F20" s="120" t="n">
        <v>5857900</v>
      </c>
      <c r="G20" s="121" t="n">
        <v>0.004991808872035985</v>
      </c>
      <c r="H20" s="122" t="n">
        <v>91.42479746303638</v>
      </c>
      <c r="I20" s="119" t="n">
        <v/>
      </c>
      <c r="J20" s="119" t="n">
        <v/>
      </c>
      <c r="K20" s="121" t="n">
        <v/>
      </c>
      <c r="L20" s="121" t="n">
        <v/>
      </c>
      <c r="M20" s="121" t="n">
        <v/>
      </c>
      <c r="N20" t="n">
        <v>20.41122674709729</v>
      </c>
      <c r="O20" t="n">
        <v/>
      </c>
      <c r="P20" t="n">
        <v>96.90564876701212</v>
      </c>
      <c r="Q20" t="n">
        <v>97.80040493289212</v>
      </c>
    </row>
    <row r="21">
      <c r="A21" s="118" t="n">
        <v>44461</v>
      </c>
      <c r="B21" s="119" t="n">
        <v>144.5795518710883</v>
      </c>
      <c r="C21" s="119" t="n">
        <v>145.6953260655081</v>
      </c>
      <c r="D21" s="119" t="n">
        <v>143.4822381332073</v>
      </c>
      <c r="E21" s="119" t="n">
        <v>145.1789398193359</v>
      </c>
      <c r="F21" s="120" t="n">
        <v>6844800</v>
      </c>
      <c r="G21" s="121" t="n">
        <v>0.01561067794965587</v>
      </c>
      <c r="H21" s="122" t="n">
        <v>92.85200053284436</v>
      </c>
      <c r="I21" s="119" t="n">
        <v/>
      </c>
      <c r="J21" s="119" t="n">
        <v/>
      </c>
      <c r="K21" s="121" t="n">
        <v/>
      </c>
      <c r="L21" s="121" t="n">
        <v/>
      </c>
      <c r="M21" s="121" t="n">
        <v/>
      </c>
      <c r="N21" t="n">
        <v>33.09397711492575</v>
      </c>
      <c r="O21" t="n">
        <v/>
      </c>
      <c r="P21" t="n">
        <v>97.85095040772288</v>
      </c>
      <c r="Q21" t="n">
        <v>98.71391185779497</v>
      </c>
    </row>
    <row r="22">
      <c r="A22" s="118" t="n">
        <v>44462</v>
      </c>
      <c r="B22" s="119" t="n">
        <v>146.3500711436507</v>
      </c>
      <c r="C22" s="119" t="n">
        <v>147.8070123412777</v>
      </c>
      <c r="D22" s="119" t="n">
        <v>145.9443349841199</v>
      </c>
      <c r="E22" s="119" t="n">
        <v>147.1523132324219</v>
      </c>
      <c r="F22" s="120" t="n">
        <v>11981500</v>
      </c>
      <c r="G22" s="121" t="n">
        <v>0.013592697505173</v>
      </c>
      <c r="H22" s="122" t="n">
        <v>94.11410968883747</v>
      </c>
      <c r="I22" s="119" t="n">
        <v/>
      </c>
      <c r="J22" s="119" t="n">
        <v/>
      </c>
      <c r="K22" s="121" t="n">
        <v>0.1776701723299784</v>
      </c>
      <c r="L22" s="121" t="n">
        <v/>
      </c>
      <c r="M22" s="121" t="n">
        <v>-0.05885890311162556</v>
      </c>
      <c r="N22" t="n">
        <v>41.90975556128063</v>
      </c>
      <c r="O22" t="n">
        <v/>
      </c>
      <c r="P22" t="n">
        <v>99.03983107741973</v>
      </c>
      <c r="Q22" t="n">
        <v>99.62474238636564</v>
      </c>
    </row>
    <row r="23">
      <c r="A23" s="118" t="n">
        <v>44463</v>
      </c>
      <c r="B23" s="119" t="n">
        <v>139.2773208615969</v>
      </c>
      <c r="C23" s="119" t="n">
        <v>140.0242516089713</v>
      </c>
      <c r="D23" s="119" t="n">
        <v>136.4740757665861</v>
      </c>
      <c r="E23" s="119" t="n">
        <v>137.9402465820312</v>
      </c>
      <c r="F23" s="120" t="n">
        <v>26913300</v>
      </c>
      <c r="G23" s="121" t="n">
        <v>-0.06260225509224915</v>
      </c>
      <c r="H23" s="122" t="n">
        <v>88.22235418631695</v>
      </c>
      <c r="I23" s="119" t="n">
        <v/>
      </c>
      <c r="J23" s="119" t="n">
        <v/>
      </c>
      <c r="K23" s="121" t="n">
        <v>0.2732796470797911</v>
      </c>
      <c r="L23" s="121" t="n">
        <v/>
      </c>
      <c r="M23" s="121" t="n">
        <v>-0.1177764581368307</v>
      </c>
      <c r="N23" t="n">
        <v>25.21021590098637</v>
      </c>
      <c r="O23" t="n">
        <v/>
      </c>
      <c r="P23" t="n">
        <v>99.20297840243643</v>
      </c>
      <c r="Q23" t="n">
        <v>99.71823167893452</v>
      </c>
    </row>
    <row r="24">
      <c r="A24" s="118" t="n">
        <v>44466</v>
      </c>
      <c r="B24" s="119" t="n">
        <v>137.8665073065262</v>
      </c>
      <c r="C24" s="119" t="n">
        <v>138.235364688336</v>
      </c>
      <c r="D24" s="119" t="n">
        <v>135.8193945665109</v>
      </c>
      <c r="E24" s="119" t="n">
        <v>136.510986328125</v>
      </c>
      <c r="F24" s="120" t="n">
        <v>11479300</v>
      </c>
      <c r="G24" s="121" t="n">
        <v>-0.01036144482354751</v>
      </c>
      <c r="H24" s="122" t="n">
        <v>87.30824313121197</v>
      </c>
      <c r="I24" s="119" t="n">
        <v/>
      </c>
      <c r="J24" s="119" t="n">
        <v/>
      </c>
      <c r="K24" s="121" t="n">
        <v>0.2707384324509409</v>
      </c>
      <c r="L24" s="121" t="n">
        <v/>
      </c>
      <c r="M24" s="121" t="n">
        <v>-0.1269175686878806</v>
      </c>
      <c r="N24" t="n">
        <v>23.6365504997061</v>
      </c>
      <c r="O24" t="n">
        <v/>
      </c>
      <c r="P24" t="n">
        <v>98.9191617006018</v>
      </c>
      <c r="Q24" t="n">
        <v>98.92225127384727</v>
      </c>
    </row>
    <row r="25">
      <c r="A25" s="118" t="n">
        <v>44467</v>
      </c>
      <c r="B25" s="119" t="n">
        <v>135.8655292750566</v>
      </c>
      <c r="C25" s="119" t="n">
        <v>136.0407348058482</v>
      </c>
      <c r="D25" s="119" t="n">
        <v>133.7077659463531</v>
      </c>
      <c r="E25" s="119" t="n">
        <v>133.9844055175781</v>
      </c>
      <c r="F25" s="120" t="n">
        <v>10692300</v>
      </c>
      <c r="G25" s="121" t="n">
        <v>-0.01850825987348637</v>
      </c>
      <c r="H25" s="122" t="n">
        <v>85.69231947824196</v>
      </c>
      <c r="I25" s="119" t="n">
        <v/>
      </c>
      <c r="J25" s="119" t="n">
        <v/>
      </c>
      <c r="K25" s="121" t="n">
        <v>0.2721299592739457</v>
      </c>
      <c r="L25" s="121" t="n">
        <v/>
      </c>
      <c r="M25" s="121" t="n">
        <v>-0.1430768052175806</v>
      </c>
      <c r="N25" t="n">
        <v>21.12604802260998</v>
      </c>
      <c r="O25" t="n">
        <v/>
      </c>
      <c r="P25" t="n">
        <v>96.9257676034364</v>
      </c>
      <c r="Q25" t="n">
        <v>96.12299240910244</v>
      </c>
    </row>
    <row r="26">
      <c r="A26" s="118" t="n">
        <v>44468</v>
      </c>
      <c r="B26" s="119" t="n">
        <v>134.362459739846</v>
      </c>
      <c r="C26" s="119" t="n">
        <v>136.4187887313742</v>
      </c>
      <c r="D26" s="119" t="n">
        <v>134.3440133523001</v>
      </c>
      <c r="E26" s="119" t="n">
        <v>134.6483154296875</v>
      </c>
      <c r="F26" s="120" t="n">
        <v>7794900</v>
      </c>
      <c r="G26" s="121" t="n">
        <v>0.004955128244549911</v>
      </c>
      <c r="H26" s="122" t="n">
        <v>86.1169359108296</v>
      </c>
      <c r="I26" s="119" t="n">
        <v/>
      </c>
      <c r="J26" s="119" t="n">
        <v/>
      </c>
      <c r="K26" s="121" t="n">
        <v>0.2711380710150788</v>
      </c>
      <c r="L26" s="121" t="n">
        <v/>
      </c>
      <c r="M26" s="121" t="n">
        <v>-0.1388306408917043</v>
      </c>
      <c r="N26" t="n">
        <v>23.42754172348191</v>
      </c>
      <c r="O26" t="n">
        <v/>
      </c>
      <c r="P26" t="n">
        <v>97.08891492845308</v>
      </c>
      <c r="Q26" t="n">
        <v>95.96542062379002</v>
      </c>
    </row>
    <row r="27">
      <c r="A27" s="118" t="n">
        <v>44469</v>
      </c>
      <c r="B27" s="119" t="n">
        <v>134.5192183160892</v>
      </c>
      <c r="C27" s="119" t="n">
        <v>135.9946056929844</v>
      </c>
      <c r="D27" s="119" t="n">
        <v>133.1729134400822</v>
      </c>
      <c r="E27" s="119" t="n">
        <v>133.9198303222656</v>
      </c>
      <c r="F27" s="120" t="n">
        <v>10133600</v>
      </c>
      <c r="G27" s="121" t="n">
        <v>-0.005410280144219737</v>
      </c>
      <c r="H27" s="122" t="n">
        <v>85.65101916239018</v>
      </c>
      <c r="I27" s="119" t="n">
        <v/>
      </c>
      <c r="J27" s="119" t="n">
        <v/>
      </c>
      <c r="K27" s="121" t="n">
        <v>0.2705614829915263</v>
      </c>
      <c r="L27" s="121" t="n">
        <v/>
      </c>
      <c r="M27" s="121" t="n">
        <v>-0.1434898083760984</v>
      </c>
      <c r="N27" t="n">
        <v>22.64667512303828</v>
      </c>
      <c r="O27" t="n">
        <v/>
      </c>
      <c r="P27" t="n">
        <v>95.90228180772769</v>
      </c>
      <c r="Q27" t="n">
        <v>95.61283267438615</v>
      </c>
    </row>
    <row r="28">
      <c r="A28" s="118" t="n">
        <v>44470</v>
      </c>
      <c r="B28" s="119" t="n">
        <v>133.9106132597888</v>
      </c>
      <c r="C28" s="119" t="n">
        <v>136.4741123526675</v>
      </c>
      <c r="D28" s="119" t="n">
        <v>133.1268036079534</v>
      </c>
      <c r="E28" s="119" t="n">
        <v>135.6073150634766</v>
      </c>
      <c r="F28" s="120" t="n">
        <v>8112300</v>
      </c>
      <c r="G28" s="121" t="n">
        <v>0.01260070847722972</v>
      </c>
      <c r="H28" s="122" t="n">
        <v>86.73028268563307</v>
      </c>
      <c r="I28" s="119" t="n">
        <v/>
      </c>
      <c r="J28" s="119" t="n">
        <v/>
      </c>
      <c r="K28" s="121" t="n">
        <v>0.2785930725769003</v>
      </c>
      <c r="L28" s="121" t="n">
        <v/>
      </c>
      <c r="M28" s="121" t="n">
        <v>-0.1326971731436694</v>
      </c>
      <c r="N28" t="n">
        <v>28.58474089458778</v>
      </c>
      <c r="O28" t="n">
        <v/>
      </c>
      <c r="P28" t="n">
        <v>97.04195642955392</v>
      </c>
      <c r="Q28" t="n">
        <v>96.20580967617121</v>
      </c>
    </row>
    <row r="29">
      <c r="A29" s="118" t="n">
        <v>44473</v>
      </c>
      <c r="B29" s="119" t="n">
        <v>135.6073350775776</v>
      </c>
      <c r="C29" s="119" t="n">
        <v>136.1237214357413</v>
      </c>
      <c r="D29" s="119" t="n">
        <v>134.4085729915701</v>
      </c>
      <c r="E29" s="119" t="n">
        <v>135.6811065673828</v>
      </c>
      <c r="F29" s="120" t="n">
        <v>7951000</v>
      </c>
      <c r="G29" s="121" t="n">
        <v>0.0005441557770811123</v>
      </c>
      <c r="H29" s="122" t="n">
        <v>86.77747747000434</v>
      </c>
      <c r="I29" s="119" t="n">
        <v/>
      </c>
      <c r="J29" s="119" t="n">
        <v/>
      </c>
      <c r="K29" s="121" t="n">
        <v>0.2791690693178372</v>
      </c>
      <c r="L29" s="121" t="n">
        <v/>
      </c>
      <c r="M29" s="121" t="n">
        <v>-0.1322252252999567</v>
      </c>
      <c r="N29" t="n">
        <v>28.84198240379524</v>
      </c>
      <c r="O29" t="n">
        <v/>
      </c>
      <c r="P29" t="n">
        <v>95.79050079609787</v>
      </c>
      <c r="Q29" t="n">
        <v>94.18648122847773</v>
      </c>
    </row>
    <row r="30">
      <c r="A30" s="118" t="n">
        <v>44474</v>
      </c>
      <c r="B30" s="119" t="n">
        <v>136.4741295339025</v>
      </c>
      <c r="C30" s="119" t="n">
        <v>139.2404970244546</v>
      </c>
      <c r="D30" s="119" t="n">
        <v>136.3081542382963</v>
      </c>
      <c r="E30" s="119" t="n">
        <v>137.8204345703125</v>
      </c>
      <c r="F30" s="120" t="n">
        <v>10881900</v>
      </c>
      <c r="G30" s="121" t="n">
        <v>0.01576732425798166</v>
      </c>
      <c r="H30" s="122" t="n">
        <v>88.14572609556359</v>
      </c>
      <c r="I30" s="119" t="n">
        <v/>
      </c>
      <c r="J30" s="119" t="n">
        <v/>
      </c>
      <c r="K30" s="121" t="n">
        <v>0.2888003518176039</v>
      </c>
      <c r="L30" s="121" t="n">
        <v/>
      </c>
      <c r="M30" s="121" t="n">
        <v>-0.1185427390443642</v>
      </c>
      <c r="N30" t="n">
        <v>36.03555106356818</v>
      </c>
      <c r="O30" t="n">
        <v/>
      </c>
      <c r="P30" t="n">
        <v>96.78721239192311</v>
      </c>
      <c r="Q30" t="n">
        <v>95.45789533562017</v>
      </c>
    </row>
    <row r="31">
      <c r="A31" s="118" t="n">
        <v>44475</v>
      </c>
      <c r="B31" s="119" t="n">
        <v>136.4741065635659</v>
      </c>
      <c r="C31" s="119" t="n">
        <v>137.8204113733756</v>
      </c>
      <c r="D31" s="119" t="n">
        <v>136.0222615507902</v>
      </c>
      <c r="E31" s="119" t="n">
        <v>137.2118072509766</v>
      </c>
      <c r="F31" s="120" t="n">
        <v>7610700</v>
      </c>
      <c r="G31" s="121" t="n">
        <v>-0.004416089103429943</v>
      </c>
      <c r="H31" s="122" t="n">
        <v>87.75646671503905</v>
      </c>
      <c r="I31" s="119" t="n">
        <v/>
      </c>
      <c r="J31" s="119" t="n">
        <v/>
      </c>
      <c r="K31" s="121" t="n">
        <v>0.2873350166410575</v>
      </c>
      <c r="L31" s="121" t="n">
        <v/>
      </c>
      <c r="M31" s="121" t="n">
        <v>-0.1224353328496096</v>
      </c>
      <c r="N31" t="n">
        <v>34.95296284152852</v>
      </c>
      <c r="O31" t="n">
        <v/>
      </c>
      <c r="P31" t="n">
        <v>97.18947274246801</v>
      </c>
      <c r="Q31" t="n">
        <v>96.06957355190185</v>
      </c>
    </row>
    <row r="32">
      <c r="A32" s="118" t="n">
        <v>44476</v>
      </c>
      <c r="B32" s="119" t="n">
        <v>138.594999458869</v>
      </c>
      <c r="C32" s="119" t="n">
        <v>141.6933312840062</v>
      </c>
      <c r="D32" s="119" t="n">
        <v>138.5581066834252</v>
      </c>
      <c r="E32" s="119" t="n">
        <v>140.0242919921875</v>
      </c>
      <c r="F32" s="120" t="n">
        <v>7958000</v>
      </c>
      <c r="G32" s="121" t="n">
        <v>0.02049739594251232</v>
      </c>
      <c r="H32" s="122" t="n">
        <v>89.5552457598131</v>
      </c>
      <c r="I32" s="119" t="n">
        <v/>
      </c>
      <c r="J32" s="119" t="n">
        <v/>
      </c>
      <c r="K32" s="121" t="n">
        <v>0.2915037871427824</v>
      </c>
      <c r="L32" s="121" t="n">
        <v/>
      </c>
      <c r="M32" s="121" t="n">
        <v>-0.104447542401869</v>
      </c>
      <c r="N32" t="n">
        <v>43.41299907485401</v>
      </c>
      <c r="O32" t="n">
        <v/>
      </c>
      <c r="P32" t="n">
        <v>98.02972147122084</v>
      </c>
      <c r="Q32" t="n">
        <v>96.95102245051864</v>
      </c>
    </row>
    <row r="33">
      <c r="A33" s="118" t="n">
        <v>44477</v>
      </c>
      <c r="B33" s="119" t="n">
        <v>140.3654930749952</v>
      </c>
      <c r="C33" s="119" t="n">
        <v>140.9648670931539</v>
      </c>
      <c r="D33" s="119" t="n">
        <v>138.936200334994</v>
      </c>
      <c r="E33" s="119" t="n">
        <v>140.6052398681641</v>
      </c>
      <c r="F33" s="120" t="n">
        <v>6333700</v>
      </c>
      <c r="G33" s="121" t="n">
        <v>0.004148907791006629</v>
      </c>
      <c r="H33" s="122" t="n">
        <v>89.9268022166715</v>
      </c>
      <c r="I33" s="119" t="n">
        <v/>
      </c>
      <c r="J33" s="119" t="n">
        <v/>
      </c>
      <c r="K33" s="121" t="n">
        <v>0.2922475249483518</v>
      </c>
      <c r="L33" s="121" t="n">
        <v/>
      </c>
      <c r="M33" s="121" t="n">
        <v>-0.1007319778332851</v>
      </c>
      <c r="N33" t="n">
        <v>45.0041319231895</v>
      </c>
      <c r="O33" t="n">
        <v/>
      </c>
      <c r="P33" t="n">
        <v>97.85095040772286</v>
      </c>
      <c r="Q33" t="n">
        <v>96.46757633938122</v>
      </c>
    </row>
    <row r="34">
      <c r="A34" s="118" t="n">
        <v>44480</v>
      </c>
      <c r="B34" s="119" t="n">
        <v>140.1533579771594</v>
      </c>
      <c r="C34" s="119" t="n">
        <v>141.6287450520761</v>
      </c>
      <c r="D34" s="119" t="n">
        <v>138.3736548178963</v>
      </c>
      <c r="E34" s="119" t="n">
        <v>138.5765228271484</v>
      </c>
      <c r="F34" s="120" t="n">
        <v>5551200</v>
      </c>
      <c r="G34" s="121" t="n">
        <v>-0.01442845972822782</v>
      </c>
      <c r="H34" s="122" t="n">
        <v>88.62929697239996</v>
      </c>
      <c r="I34" s="119" t="n">
        <v/>
      </c>
      <c r="J34" s="119" t="n">
        <v/>
      </c>
      <c r="K34" s="121" t="n">
        <v>0.2842804853783277</v>
      </c>
      <c r="L34" s="121" t="n">
        <v/>
      </c>
      <c r="M34" s="121" t="n">
        <v>-0.1137070302760007</v>
      </c>
      <c r="N34" t="n">
        <v>40.70029045777089</v>
      </c>
      <c r="O34" t="n">
        <v/>
      </c>
      <c r="P34" t="n">
        <v>97.14253606443268</v>
      </c>
      <c r="Q34" t="n">
        <v>95.72768279786956</v>
      </c>
    </row>
    <row r="35">
      <c r="A35" s="118" t="n">
        <v>44481</v>
      </c>
      <c r="B35" s="119" t="n">
        <v>140.5498744183407</v>
      </c>
      <c r="C35" s="119" t="n">
        <v>141.6379860113659</v>
      </c>
      <c r="D35" s="119" t="n">
        <v>139.5171019805968</v>
      </c>
      <c r="E35" s="119" t="n">
        <v>141.4074554443359</v>
      </c>
      <c r="F35" s="120" t="n">
        <v>7408600</v>
      </c>
      <c r="G35" s="121" t="n">
        <v>0.02042865962742213</v>
      </c>
      <c r="H35" s="122" t="n">
        <v>90.43987471326682</v>
      </c>
      <c r="I35" s="119" t="n">
        <v/>
      </c>
      <c r="J35" s="119" t="n">
        <v/>
      </c>
      <c r="K35" s="121" t="n">
        <v>0.2958294846294291</v>
      </c>
      <c r="L35" s="121" t="n">
        <v/>
      </c>
      <c r="M35" s="121" t="n">
        <v>-0.09560125286733201</v>
      </c>
      <c r="N35" t="n">
        <v>48.15159052632003</v>
      </c>
      <c r="O35" t="n">
        <v>1.033816997296561</v>
      </c>
      <c r="P35" t="n">
        <v>96.90341576528317</v>
      </c>
      <c r="Q35" t="n">
        <v>95.3938212328338</v>
      </c>
    </row>
    <row r="36">
      <c r="A36" s="118" t="n">
        <v>44482</v>
      </c>
      <c r="B36" s="119" t="n">
        <v>142.3019480095402</v>
      </c>
      <c r="C36" s="119" t="n">
        <v>144.4689273974208</v>
      </c>
      <c r="D36" s="119" t="n">
        <v>141.2322825547585</v>
      </c>
      <c r="E36" s="119" t="n">
        <v>144.1277465820312</v>
      </c>
      <c r="F36" s="120" t="n">
        <v>8456300</v>
      </c>
      <c r="G36" s="121" t="n">
        <v>0.01923725399871956</v>
      </c>
      <c r="H36" s="122" t="n">
        <v>92.1796895547383</v>
      </c>
      <c r="I36" s="119" t="n">
        <v/>
      </c>
      <c r="J36" s="119" t="n">
        <v/>
      </c>
      <c r="K36" s="121" t="n">
        <v>0.3044042660280662</v>
      </c>
      <c r="L36" s="121" t="n">
        <v/>
      </c>
      <c r="M36" s="121" t="n">
        <v>-0.07820310445261713</v>
      </c>
      <c r="N36" t="n">
        <v>54.11774846671075</v>
      </c>
      <c r="O36" t="n">
        <v>1.29450028720401</v>
      </c>
      <c r="P36" t="n">
        <v>97.25203315898466</v>
      </c>
      <c r="Q36" t="n">
        <v>96.15771005180638</v>
      </c>
    </row>
    <row r="37">
      <c r="A37" s="118" t="n">
        <v>44483</v>
      </c>
      <c r="B37" s="119" t="n">
        <v>145.8613296962587</v>
      </c>
      <c r="C37" s="119" t="n">
        <v>146.1195369400316</v>
      </c>
      <c r="D37" s="119" t="n">
        <v>144.0816400324053</v>
      </c>
      <c r="E37" s="119" t="n">
        <v>144.9023284912109</v>
      </c>
      <c r="F37" s="120" t="n">
        <v>6024500</v>
      </c>
      <c r="G37" s="121" t="n">
        <v>0.005374273361991699</v>
      </c>
      <c r="H37" s="122" t="n">
        <v>92.675088404829</v>
      </c>
      <c r="I37" s="119" t="n">
        <v/>
      </c>
      <c r="J37" s="119" t="n">
        <v/>
      </c>
      <c r="K37" s="121" t="n">
        <v>0.3049970126851991</v>
      </c>
      <c r="L37" s="121" t="n">
        <v/>
      </c>
      <c r="M37" s="121" t="n">
        <v>-0.07324911595171024</v>
      </c>
      <c r="N37" t="n">
        <v>55.68154611291262</v>
      </c>
      <c r="O37" t="n">
        <v>1.470393011209758</v>
      </c>
      <c r="P37" t="n">
        <v>98.88787785553281</v>
      </c>
      <c r="Q37" t="n">
        <v>97.92862025812215</v>
      </c>
    </row>
    <row r="38">
      <c r="A38" s="118" t="n">
        <v>44484</v>
      </c>
      <c r="B38" s="119" t="n">
        <v>145.5109062578525</v>
      </c>
      <c r="C38" s="119" t="n">
        <v>145.9996299663416</v>
      </c>
      <c r="D38" s="119" t="n">
        <v>144.3674695050925</v>
      </c>
      <c r="E38" s="119" t="n">
        <v>145.7045440673828</v>
      </c>
      <c r="F38" s="120" t="n">
        <v>5532100</v>
      </c>
      <c r="G38" s="121" t="n">
        <v>0.005536250414502675</v>
      </c>
      <c r="H38" s="122" t="n">
        <v>93.1881609014243</v>
      </c>
      <c r="I38" s="119" t="n">
        <v/>
      </c>
      <c r="J38" s="119" t="n">
        <v/>
      </c>
      <c r="K38" s="121" t="n">
        <v>0.3042404787608083</v>
      </c>
      <c r="L38" s="121" t="n">
        <v/>
      </c>
      <c r="M38" s="121" t="n">
        <v>-0.06811839098575712</v>
      </c>
      <c r="N38" t="n">
        <v>57.304572656373</v>
      </c>
      <c r="O38" t="n">
        <v>1.582332256900923</v>
      </c>
      <c r="P38" t="n">
        <v>99.64098860150814</v>
      </c>
      <c r="Q38" t="n">
        <v>98.54564287711104</v>
      </c>
    </row>
    <row r="39">
      <c r="A39" s="118" t="n">
        <v>44487</v>
      </c>
      <c r="B39" s="119" t="n">
        <v>145.0590668821541</v>
      </c>
      <c r="C39" s="119" t="n">
        <v>147.0508545660291</v>
      </c>
      <c r="D39" s="119" t="n">
        <v>143.8049799038406</v>
      </c>
      <c r="E39" s="119" t="n">
        <v>147.0139617919922</v>
      </c>
      <c r="F39" s="120" t="n">
        <v>5765300</v>
      </c>
      <c r="G39" s="121" t="n">
        <v>0.008986800878384438</v>
      </c>
      <c r="H39" s="122" t="n">
        <v>94.02562434766824</v>
      </c>
      <c r="I39" s="119" t="n">
        <v/>
      </c>
      <c r="J39" s="119" t="n">
        <v/>
      </c>
      <c r="K39" s="121" t="n">
        <v>0.3005318622852988</v>
      </c>
      <c r="L39" s="121" t="n">
        <v/>
      </c>
      <c r="M39" s="121" t="n">
        <v>-0.05974375652331754</v>
      </c>
      <c r="N39" t="n">
        <v>59.88683163620728</v>
      </c>
      <c r="O39" t="n">
        <v>1.677080662049466</v>
      </c>
      <c r="P39" t="n">
        <v>99.93597031198746</v>
      </c>
      <c r="Q39" t="n">
        <v>99.53658910654683</v>
      </c>
    </row>
    <row r="40">
      <c r="A40" s="118" t="n">
        <v>44488</v>
      </c>
      <c r="B40" s="119" t="n">
        <v>147.2444919956534</v>
      </c>
      <c r="C40" s="119" t="n">
        <v>147.4750225861305</v>
      </c>
      <c r="D40" s="119" t="n">
        <v>144.5887891612782</v>
      </c>
      <c r="E40" s="119" t="n">
        <v>145.5293579101562</v>
      </c>
      <c r="F40" s="120" t="n">
        <v>6198200</v>
      </c>
      <c r="G40" s="121" t="n">
        <v>-0.01009838700855148</v>
      </c>
      <c r="H40" s="122" t="n">
        <v>93.07611720428481</v>
      </c>
      <c r="I40" s="119" t="n">
        <v/>
      </c>
      <c r="J40" s="119" t="n">
        <v/>
      </c>
      <c r="K40" s="121" t="n">
        <v>0.3031861955235473</v>
      </c>
      <c r="L40" s="121" t="n">
        <v/>
      </c>
      <c r="M40" s="121" t="n">
        <v>-0.06923882795715186</v>
      </c>
      <c r="N40" t="n">
        <v>55.76847228239987</v>
      </c>
      <c r="O40" t="n">
        <v>1.573956975778881</v>
      </c>
      <c r="P40" t="n">
        <v>100.7069596190368</v>
      </c>
      <c r="Q40" t="n">
        <v>100.2898394598479</v>
      </c>
    </row>
    <row r="41">
      <c r="A41" s="118" t="n">
        <v>44489</v>
      </c>
      <c r="B41" s="119" t="n">
        <v>146.1563994611418</v>
      </c>
      <c r="C41" s="119" t="n">
        <v>146.433038993459</v>
      </c>
      <c r="D41" s="119" t="n">
        <v>145.0683017899575</v>
      </c>
      <c r="E41" s="119" t="n">
        <v>146.1102905273438</v>
      </c>
      <c r="F41" s="120" t="n">
        <v>4487000</v>
      </c>
      <c r="G41" s="121" t="n">
        <v>0.003991858588052954</v>
      </c>
      <c r="H41" s="122" t="n">
        <v>93.44766390208936</v>
      </c>
      <c r="I41" s="119" t="n">
        <v/>
      </c>
      <c r="J41" s="119" t="n">
        <v/>
      </c>
      <c r="K41" s="121" t="n">
        <v>0.298566872567735</v>
      </c>
      <c r="L41" s="121" t="n">
        <v/>
      </c>
      <c r="M41" s="121" t="n">
        <v>-0.06552336097910638</v>
      </c>
      <c r="N41" t="n">
        <v>57.01418506075729</v>
      </c>
      <c r="O41" t="n">
        <v>1.480447157635533</v>
      </c>
      <c r="P41" t="n">
        <v>101.1025209643949</v>
      </c>
      <c r="Q41" t="n">
        <v>100.1589561282429</v>
      </c>
    </row>
    <row r="42">
      <c r="A42" s="118" t="n">
        <v>44490</v>
      </c>
      <c r="B42" s="119" t="n">
        <v>146.110292061218</v>
      </c>
      <c r="C42" s="119" t="n">
        <v>149.6973476490142</v>
      </c>
      <c r="D42" s="119" t="n">
        <v>145.9535329410358</v>
      </c>
      <c r="E42" s="119" t="n">
        <v>149.5498046875</v>
      </c>
      <c r="F42" s="120" t="n">
        <v>6121700</v>
      </c>
      <c r="G42" s="121" t="n">
        <v>0.02354053330359074</v>
      </c>
      <c r="H42" s="122" t="n">
        <v>95.64747174631924</v>
      </c>
      <c r="I42" s="119" t="n">
        <v/>
      </c>
      <c r="J42" s="119" t="n">
        <v/>
      </c>
      <c r="K42" s="121" t="n">
        <v>0.3063431418581244</v>
      </c>
      <c r="L42" s="121" t="n">
        <v/>
      </c>
      <c r="M42" s="121" t="n">
        <v>-0.04352528253680754</v>
      </c>
      <c r="N42" t="n">
        <v>63.55816859800821</v>
      </c>
      <c r="O42" t="n">
        <v>1.57691882233615</v>
      </c>
      <c r="P42" t="n">
        <v>101.3662261034266</v>
      </c>
      <c r="Q42" t="n">
        <v>100.7706091746532</v>
      </c>
    </row>
    <row r="43">
      <c r="A43" s="118" t="n">
        <v>44491</v>
      </c>
      <c r="B43" s="119" t="n">
        <v>149.6420367571912</v>
      </c>
      <c r="C43" s="119" t="n">
        <v>151.7998000098428</v>
      </c>
      <c r="D43" s="119" t="n">
        <v>149.6420367571912</v>
      </c>
      <c r="E43" s="119" t="n">
        <v>150.7485809326172</v>
      </c>
      <c r="F43" s="120" t="n">
        <v>5323000</v>
      </c>
      <c r="G43" s="121" t="n">
        <v>0.00801589977079642</v>
      </c>
      <c r="H43" s="122" t="n">
        <v>96.41417229316782</v>
      </c>
      <c r="I43" s="119" t="n">
        <v/>
      </c>
      <c r="J43" s="119" t="n">
        <v/>
      </c>
      <c r="K43" s="121" t="n">
        <v>0.1938022944747783</v>
      </c>
      <c r="L43" s="121" t="n">
        <v/>
      </c>
      <c r="M43" s="121" t="n">
        <v>-0.03585827706832168</v>
      </c>
      <c r="N43" t="n">
        <v>65.52791491242284</v>
      </c>
      <c r="O43" t="n">
        <v>1.640817219915513</v>
      </c>
      <c r="P43" t="n">
        <v>101.2611877387112</v>
      </c>
      <c r="Q43" t="n">
        <v>99.92389469865466</v>
      </c>
    </row>
    <row r="44">
      <c r="A44" s="118" t="n">
        <v>44494</v>
      </c>
      <c r="B44" s="119" t="n">
        <v>150.5180173302138</v>
      </c>
      <c r="C44" s="119" t="n">
        <v>151.901200764049</v>
      </c>
      <c r="D44" s="119" t="n">
        <v>149.9924149420006</v>
      </c>
      <c r="E44" s="119" t="n">
        <v>151.4309234619141</v>
      </c>
      <c r="F44" s="120" t="n">
        <v>3878200</v>
      </c>
      <c r="G44" s="121" t="n">
        <v>0.004526361210669627</v>
      </c>
      <c r="H44" s="122" t="n">
        <v>96.85057766279444</v>
      </c>
      <c r="I44" s="119" t="n">
        <v/>
      </c>
      <c r="J44" s="119" t="n">
        <v/>
      </c>
      <c r="K44" s="121" t="n">
        <v>0.1856746471218467</v>
      </c>
      <c r="L44" s="121" t="n">
        <v/>
      </c>
      <c r="M44" s="121" t="n">
        <v>-0.03149422337205565</v>
      </c>
      <c r="N44" t="n">
        <v>66.63344475525903</v>
      </c>
      <c r="O44" t="n">
        <v>1.644252317516391</v>
      </c>
      <c r="P44" t="n">
        <v>101.8042363024983</v>
      </c>
      <c r="Q44" t="n">
        <v>100.9469073443337</v>
      </c>
    </row>
    <row r="45">
      <c r="A45" s="118" t="n">
        <v>44495</v>
      </c>
      <c r="B45" s="119" t="n">
        <v>151.984238213056</v>
      </c>
      <c r="C45" s="119" t="n">
        <v>152.5651658239921</v>
      </c>
      <c r="D45" s="119" t="n">
        <v>150.4166186962682</v>
      </c>
      <c r="E45" s="119" t="n">
        <v>151.0344390869141</v>
      </c>
      <c r="F45" s="120" t="n">
        <v>4711200</v>
      </c>
      <c r="G45" s="121" t="n">
        <v>-0.00261825237498281</v>
      </c>
      <c r="H45" s="122" t="n">
        <v>96.59699840781036</v>
      </c>
      <c r="I45" s="119" t="n">
        <v/>
      </c>
      <c r="J45" s="119" t="n">
        <v/>
      </c>
      <c r="K45" s="121" t="n">
        <v>0.1662413282102063</v>
      </c>
      <c r="L45" s="121" t="n">
        <v/>
      </c>
      <c r="M45" s="121" t="n">
        <v>-0.03403001592189636</v>
      </c>
      <c r="N45" t="n">
        <v>65.32253064516121</v>
      </c>
      <c r="O45" t="n">
        <v>1.537014320241543</v>
      </c>
      <c r="P45" t="n">
        <v>101.8958621095975</v>
      </c>
      <c r="Q45" t="n">
        <v>101.2647692610765</v>
      </c>
    </row>
    <row r="46">
      <c r="A46" s="118" t="n">
        <v>44496</v>
      </c>
      <c r="B46" s="119" t="n">
        <v>150.9053367006396</v>
      </c>
      <c r="C46" s="119" t="n">
        <v>151.2834102905369</v>
      </c>
      <c r="D46" s="119" t="n">
        <v>149.0703219890638</v>
      </c>
      <c r="E46" s="119" t="n">
        <v>149.7065887451172</v>
      </c>
      <c r="F46" s="120" t="n">
        <v>4163900</v>
      </c>
      <c r="G46" s="121" t="n">
        <v>-0.008791705718407372</v>
      </c>
      <c r="H46" s="122" t="n">
        <v>95.74774602452743</v>
      </c>
      <c r="I46" s="119" t="n">
        <v/>
      </c>
      <c r="J46" s="119" t="n">
        <v/>
      </c>
      <c r="K46" s="121" t="n">
        <v>0.174412730556403</v>
      </c>
      <c r="L46" s="121" t="n">
        <v/>
      </c>
      <c r="M46" s="121" t="n">
        <v>-0.04252253975472575</v>
      </c>
      <c r="N46" t="n">
        <v>60.99459252302081</v>
      </c>
      <c r="O46" t="n">
        <v>1.303089397510135</v>
      </c>
      <c r="P46" t="n">
        <v>101.4444466265308</v>
      </c>
      <c r="Q46" t="n">
        <v>101.4998223007076</v>
      </c>
    </row>
    <row r="47">
      <c r="A47" s="118" t="n">
        <v>44497</v>
      </c>
      <c r="B47" s="119" t="n">
        <v>150.3151634952543</v>
      </c>
      <c r="C47" s="119" t="n">
        <v>151.7813487671287</v>
      </c>
      <c r="D47" s="119" t="n">
        <v>150.1307418340885</v>
      </c>
      <c r="E47" s="119" t="n">
        <v>151.6522521972656</v>
      </c>
      <c r="F47" s="120" t="n">
        <v>3762000</v>
      </c>
      <c r="G47" s="121" t="n">
        <v>0.01299651183329686</v>
      </c>
      <c r="H47" s="122" t="n">
        <v>96.99213273874669</v>
      </c>
      <c r="I47" s="119" t="n">
        <v/>
      </c>
      <c r="J47" s="119" t="n">
        <v/>
      </c>
      <c r="K47" s="121" t="n">
        <v>0.1715353285890888</v>
      </c>
      <c r="L47" s="121" t="n">
        <v/>
      </c>
      <c r="M47" s="121" t="n">
        <v>-0.03007867261253283</v>
      </c>
      <c r="N47" t="n">
        <v>64.68658674847188</v>
      </c>
      <c r="O47" t="n">
        <v>1.207960293708004</v>
      </c>
      <c r="P47" t="n">
        <v>102.4232651140395</v>
      </c>
      <c r="Q47" t="n">
        <v>102.6269710945841</v>
      </c>
    </row>
    <row r="48">
      <c r="A48" s="118" t="n">
        <v>44498</v>
      </c>
      <c r="B48" s="119" t="n">
        <v>150.361252369847</v>
      </c>
      <c r="C48" s="119" t="n">
        <v>154.5753578211977</v>
      </c>
      <c r="D48" s="119" t="n">
        <v>150.3059272859248</v>
      </c>
      <c r="E48" s="119" t="n">
        <v>154.2618255615234</v>
      </c>
      <c r="F48" s="120" t="n">
        <v>6740600</v>
      </c>
      <c r="G48" s="121" t="n">
        <v>0.01720761364535051</v>
      </c>
      <c r="H48" s="122" t="n">
        <v>98.66113588555359</v>
      </c>
      <c r="I48" s="119" t="n">
        <v/>
      </c>
      <c r="J48" s="119" t="n">
        <v/>
      </c>
      <c r="K48" s="121" t="n">
        <v>0.1745357751321448</v>
      </c>
      <c r="L48" s="121" t="n">
        <v/>
      </c>
      <c r="M48" s="121" t="n">
        <v>-0.01338864114446381</v>
      </c>
      <c r="N48" t="n">
        <v>68.93385793179444</v>
      </c>
      <c r="O48" t="n">
        <v>1.244428538825223</v>
      </c>
      <c r="P48" t="n">
        <v>102.6310797472562</v>
      </c>
      <c r="Q48" t="n">
        <v>103.131828376379</v>
      </c>
    </row>
    <row r="49">
      <c r="A49" s="118" t="n">
        <v>44501</v>
      </c>
      <c r="B49" s="119" t="n">
        <v>154.7321692456215</v>
      </c>
      <c r="C49" s="119" t="n">
        <v>155.6542918107677</v>
      </c>
      <c r="D49" s="119" t="n">
        <v>152.9709117692786</v>
      </c>
      <c r="E49" s="119" t="n">
        <v>153.3766479492188</v>
      </c>
      <c r="F49" s="120" t="n">
        <v>3610800</v>
      </c>
      <c r="G49" s="121" t="n">
        <v>-0.005738150764666328</v>
      </c>
      <c r="H49" s="122" t="n">
        <v>98.09500341322905</v>
      </c>
      <c r="I49" s="119" t="n">
        <v/>
      </c>
      <c r="J49" s="119" t="n">
        <v/>
      </c>
      <c r="K49" s="121" t="n">
        <v>0.1787631667339194</v>
      </c>
      <c r="L49" s="121" t="n">
        <v/>
      </c>
      <c r="M49" s="121" t="n">
        <v>-0.01904996586770924</v>
      </c>
      <c r="N49" t="n">
        <v>66.03267714130436</v>
      </c>
      <c r="O49" t="n">
        <v>1.135604579800091</v>
      </c>
      <c r="P49" t="n">
        <v>102.8076469035103</v>
      </c>
      <c r="Q49" t="n">
        <v>103.4843911559114</v>
      </c>
    </row>
    <row r="50">
      <c r="A50" s="118" t="n">
        <v>44502</v>
      </c>
      <c r="B50" s="119" t="n">
        <v>153.7731336328662</v>
      </c>
      <c r="C50" s="119" t="n">
        <v>155.0641134962187</v>
      </c>
      <c r="D50" s="119" t="n">
        <v>153.1737596727014</v>
      </c>
      <c r="E50" s="119" t="n">
        <v>154.7598114013672</v>
      </c>
      <c r="F50" s="120" t="n">
        <v>5038000</v>
      </c>
      <c r="G50" s="121" t="n">
        <v>0.009018083721626269</v>
      </c>
      <c r="H50" s="122" t="n">
        <v>98.97963236668276</v>
      </c>
      <c r="I50" s="119" t="n">
        <v/>
      </c>
      <c r="J50" s="119" t="n">
        <v/>
      </c>
      <c r="K50" s="121" t="n">
        <v>0.1755529541064843</v>
      </c>
      <c r="L50" s="121" t="n">
        <v/>
      </c>
      <c r="M50" s="121" t="n">
        <v>-0.0102036763331721</v>
      </c>
      <c r="N50" t="n">
        <v>68.27921577290221</v>
      </c>
      <c r="O50" t="n">
        <v>1.083590968679985</v>
      </c>
      <c r="P50" t="n">
        <v>103.2232979908076</v>
      </c>
      <c r="Q50" t="n">
        <v>103.9171115860947</v>
      </c>
    </row>
    <row r="51">
      <c r="A51" s="118" t="n">
        <v>44503</v>
      </c>
      <c r="B51" s="119" t="n">
        <v>155.8387028348619</v>
      </c>
      <c r="C51" s="119" t="n">
        <v>159.4073124149787</v>
      </c>
      <c r="D51" s="119" t="n">
        <v>155.5159543309793</v>
      </c>
      <c r="E51" s="119" t="n">
        <v>159.0661315917969</v>
      </c>
      <c r="F51" s="120" t="n">
        <v>7176700</v>
      </c>
      <c r="G51" s="121" t="n">
        <v>0.02782582991950866</v>
      </c>
      <c r="H51" s="122" t="n">
        <v>101.7338227824136</v>
      </c>
      <c r="I51" s="119" t="n">
        <v>146.2677053833008</v>
      </c>
      <c r="J51" s="119" t="n">
        <v/>
      </c>
      <c r="K51" s="121" t="n">
        <v>0.1874009876305661</v>
      </c>
      <c r="L51" s="121" t="n">
        <v/>
      </c>
      <c r="M51" s="121" t="n">
        <v>0</v>
      </c>
      <c r="N51" t="n">
        <v>74.03666965169703</v>
      </c>
      <c r="O51" t="n">
        <v>1.253990933475154</v>
      </c>
      <c r="P51" t="n">
        <v>103.8535136318573</v>
      </c>
      <c r="Q51" t="n">
        <v>105.0202567125532</v>
      </c>
    </row>
    <row r="52">
      <c r="A52" s="118" t="n">
        <v>44504</v>
      </c>
      <c r="B52" s="119" t="n">
        <v>158.7987091487285</v>
      </c>
      <c r="C52" s="119" t="n">
        <v>161.9523661567205</v>
      </c>
      <c r="D52" s="119" t="n">
        <v>158.60505724829</v>
      </c>
      <c r="E52" s="119" t="n">
        <v>161.7771606445312</v>
      </c>
      <c r="F52" s="120" t="n">
        <v>5460100</v>
      </c>
      <c r="G52" s="121" t="n">
        <v>0.01704340845914043</v>
      </c>
      <c r="H52" s="122" t="n">
        <v>103.4677138782041</v>
      </c>
      <c r="I52" s="119" t="n">
        <v>146.3761444091797</v>
      </c>
      <c r="J52" s="119" t="n">
        <v/>
      </c>
      <c r="K52" s="121" t="n">
        <v>0.1845996662380064</v>
      </c>
      <c r="L52" s="121" t="n">
        <v/>
      </c>
      <c r="M52" s="121" t="n">
        <v>0</v>
      </c>
      <c r="N52" t="n">
        <v>76.88151381720638</v>
      </c>
      <c r="O52" t="n">
        <v>1.450196918549445</v>
      </c>
      <c r="P52" t="n">
        <v>104.3429265124223</v>
      </c>
      <c r="Q52" t="n">
        <v>106.366467287725</v>
      </c>
    </row>
    <row r="53">
      <c r="A53" s="118" t="n">
        <v>44505</v>
      </c>
      <c r="B53" s="119" t="n">
        <v>162.0445668426646</v>
      </c>
      <c r="C53" s="119" t="n">
        <v>165.152128926016</v>
      </c>
      <c r="D53" s="119" t="n">
        <v>161.8324826285244</v>
      </c>
      <c r="E53" s="119" t="n">
        <v>163.6859436035156</v>
      </c>
      <c r="F53" s="120" t="n">
        <v>5892200</v>
      </c>
      <c r="G53" s="121" t="n">
        <v>0.01179884077195847</v>
      </c>
      <c r="H53" s="122" t="n">
        <v>104.6885129592916</v>
      </c>
      <c r="I53" s="119" t="n">
        <v>146.576520690918</v>
      </c>
      <c r="J53" s="119" t="n">
        <v/>
      </c>
      <c r="K53" s="121" t="n">
        <v>0.1848591647407327</v>
      </c>
      <c r="L53" s="121" t="n">
        <v/>
      </c>
      <c r="M53" s="121" t="n">
        <v>0</v>
      </c>
      <c r="N53" t="n">
        <v>78.6549000626887</v>
      </c>
      <c r="O53" t="n">
        <v>1.597789411604396</v>
      </c>
      <c r="P53" t="n">
        <v>104.7049419164974</v>
      </c>
      <c r="Q53" t="n">
        <v>106.4679689893761</v>
      </c>
    </row>
    <row r="54">
      <c r="A54" s="118" t="n">
        <v>44508</v>
      </c>
      <c r="B54" s="119" t="n">
        <v>162.6162708707719</v>
      </c>
      <c r="C54" s="119" t="n">
        <v>162.7914622860323</v>
      </c>
      <c r="D54" s="119" t="n">
        <v>157.092753308646</v>
      </c>
      <c r="E54" s="119" t="n">
        <v>158.4667205810547</v>
      </c>
      <c r="F54" s="120" t="n">
        <v>8301100</v>
      </c>
      <c r="G54" s="121" t="n">
        <v>-0.03188559083059128</v>
      </c>
      <c r="H54" s="122" t="n">
        <v>101.3504578704085</v>
      </c>
      <c r="I54" s="119" t="n">
        <v>146.6552700805664</v>
      </c>
      <c r="J54" s="119" t="n">
        <v/>
      </c>
      <c r="K54" s="121" t="n">
        <v>0.2196735779008261</v>
      </c>
      <c r="L54" s="121" t="n">
        <v/>
      </c>
      <c r="M54" s="121" t="n">
        <v>-0.03188559083059128</v>
      </c>
      <c r="N54" t="n">
        <v>64.16198563280972</v>
      </c>
      <c r="O54" t="n">
        <v>1.248640492607707</v>
      </c>
      <c r="P54" t="n">
        <v>104.7943419954889</v>
      </c>
      <c r="Q54" t="n">
        <v>106.3237288459817</v>
      </c>
    </row>
    <row r="55">
      <c r="A55" s="118" t="n">
        <v>44509</v>
      </c>
      <c r="B55" s="119" t="n">
        <v>157.9134938973625</v>
      </c>
      <c r="C55" s="119" t="n">
        <v>160.3847756903666</v>
      </c>
      <c r="D55" s="119" t="n">
        <v>157.6368543056373</v>
      </c>
      <c r="E55" s="119" t="n">
        <v>160.2833557128906</v>
      </c>
      <c r="F55" s="120" t="n">
        <v>4343000</v>
      </c>
      <c r="G55" s="121" t="n">
        <v>0.01146382739022322</v>
      </c>
      <c r="H55" s="122" t="n">
        <v>102.512322025355</v>
      </c>
      <c r="I55" s="119" t="n">
        <v>146.7620529174805</v>
      </c>
      <c r="J55" s="119" t="n">
        <v/>
      </c>
      <c r="K55" s="121" t="n">
        <v>0.2145527455122144</v>
      </c>
      <c r="L55" s="121" t="n">
        <v/>
      </c>
      <c r="M55" s="121" t="n">
        <v>-0.02078729434988524</v>
      </c>
      <c r="N55" t="n">
        <v>66.47732745374255</v>
      </c>
      <c r="O55" t="n">
        <v>1.052612769395456</v>
      </c>
      <c r="P55" t="n">
        <v>104.4479503298951</v>
      </c>
      <c r="Q55" t="n">
        <v>105.5918644934666</v>
      </c>
    </row>
    <row r="56">
      <c r="A56" s="118" t="n">
        <v>44510</v>
      </c>
      <c r="B56" s="119" t="n">
        <v>157.895015707796</v>
      </c>
      <c r="C56" s="119" t="n">
        <v>158.7618130210855</v>
      </c>
      <c r="D56" s="119" t="n">
        <v>154.5016120060776</v>
      </c>
      <c r="E56" s="119" t="n">
        <v>155.1563110351562</v>
      </c>
      <c r="F56" s="120" t="n">
        <v>8185200</v>
      </c>
      <c r="G56" s="121" t="n">
        <v>-0.03198738044216054</v>
      </c>
      <c r="H56" s="122" t="n">
        <v>99.23322138072068</v>
      </c>
      <c r="I56" s="119" t="n">
        <v>146.8269696044922</v>
      </c>
      <c r="J56" s="119" t="n">
        <v/>
      </c>
      <c r="K56" s="121" t="n">
        <v>0.2482194694889653</v>
      </c>
      <c r="L56" s="121" t="n">
        <v/>
      </c>
      <c r="M56" s="121" t="n">
        <v>-0.05210974369931287</v>
      </c>
      <c r="N56" t="n">
        <v>55.56627722641233</v>
      </c>
      <c r="O56" t="n">
        <v>0.5173060012538286</v>
      </c>
      <c r="P56" t="n">
        <v>103.607694327521</v>
      </c>
      <c r="Q56" t="n">
        <v>104.0399741186603</v>
      </c>
    </row>
    <row r="57">
      <c r="A57" s="118" t="n">
        <v>44511</v>
      </c>
      <c r="B57" s="119" t="n">
        <v>156.3919835828626</v>
      </c>
      <c r="C57" s="119" t="n">
        <v>156.3919835828626</v>
      </c>
      <c r="D57" s="119" t="n">
        <v>153.6532785979949</v>
      </c>
      <c r="E57" s="119" t="n">
        <v>153.966796875</v>
      </c>
      <c r="F57" s="120" t="n">
        <v>4994900</v>
      </c>
      <c r="G57" s="121" t="n">
        <v>-0.007666553504786067</v>
      </c>
      <c r="H57" s="122" t="n">
        <v>98.47244457955311</v>
      </c>
      <c r="I57" s="119" t="n">
        <v>146.8714163208008</v>
      </c>
      <c r="J57" s="119" t="n">
        <v/>
      </c>
      <c r="K57" s="121" t="n">
        <v>0.251425325132913</v>
      </c>
      <c r="L57" s="121" t="n">
        <v/>
      </c>
      <c r="M57" s="121" t="n">
        <v>-0.05937679506590743</v>
      </c>
      <c r="N57" t="n">
        <v>53.37732149766627</v>
      </c>
      <c r="O57" t="n">
        <v>0.04751231984181459</v>
      </c>
      <c r="P57" t="n">
        <v>103.6411966270764</v>
      </c>
      <c r="Q57" t="n">
        <v>104.3284795753207</v>
      </c>
    </row>
    <row r="58">
      <c r="A58" s="118" t="n">
        <v>44512</v>
      </c>
      <c r="B58" s="119" t="n">
        <v>154.4554902494089</v>
      </c>
      <c r="C58" s="119" t="n">
        <v>156.4657101746502</v>
      </c>
      <c r="D58" s="119" t="n">
        <v>154.3632723882361</v>
      </c>
      <c r="E58" s="119" t="n">
        <v>155.9216613769531</v>
      </c>
      <c r="F58" s="120" t="n">
        <v>5126300</v>
      </c>
      <c r="G58" s="121" t="n">
        <v>0.01269666279763038</v>
      </c>
      <c r="H58" s="122" t="n">
        <v>99.72271600323805</v>
      </c>
      <c r="I58" s="119" t="n">
        <v>146.9713735961914</v>
      </c>
      <c r="J58" s="119" t="n">
        <v/>
      </c>
      <c r="K58" s="121" t="n">
        <v>0.2535988631161803</v>
      </c>
      <c r="L58" s="121" t="n">
        <v/>
      </c>
      <c r="M58" s="121" t="n">
        <v>-0.04743401941323289</v>
      </c>
      <c r="N58" t="n">
        <v>56.41599827834462</v>
      </c>
      <c r="O58" t="n">
        <v>-0.1560330567443549</v>
      </c>
      <c r="P58" t="n">
        <v>104.4233582163917</v>
      </c>
      <c r="Q58" t="n">
        <v>105.4262719091148</v>
      </c>
    </row>
    <row r="59">
      <c r="A59" s="118" t="n">
        <v>44515</v>
      </c>
      <c r="B59" s="119" t="n">
        <v>156.4841587080218</v>
      </c>
      <c r="C59" s="119" t="n">
        <v>157.0927628309842</v>
      </c>
      <c r="D59" s="119" t="n">
        <v>155.3960610976985</v>
      </c>
      <c r="E59" s="119" t="n">
        <v>155.7003631591797</v>
      </c>
      <c r="F59" s="120" t="n">
        <v>3856700</v>
      </c>
      <c r="G59" s="121" t="n">
        <v>-0.001419291045382298</v>
      </c>
      <c r="H59" s="122" t="n">
        <v>99.58118044539344</v>
      </c>
      <c r="I59" s="119" t="n">
        <v>147.0739135742188</v>
      </c>
      <c r="J59" s="119" t="n">
        <v/>
      </c>
      <c r="K59" s="121" t="n">
        <v>0.2533115632761988</v>
      </c>
      <c r="L59" s="121" t="n">
        <v/>
      </c>
      <c r="M59" s="121" t="n">
        <v>-0.0487859877796154</v>
      </c>
      <c r="N59" t="n">
        <v>55.97126629963284</v>
      </c>
      <c r="O59" t="n">
        <v>-0.3205509589305442</v>
      </c>
      <c r="P59" t="n">
        <v>104.4591226121611</v>
      </c>
      <c r="Q59" t="n">
        <v>105.4022095119966</v>
      </c>
    </row>
    <row r="60">
      <c r="A60" s="118" t="n">
        <v>44516</v>
      </c>
      <c r="B60" s="119" t="n">
        <v>156.069225598925</v>
      </c>
      <c r="C60" s="119" t="n">
        <v>160.4493072627058</v>
      </c>
      <c r="D60" s="119" t="n">
        <v>156.069225598925</v>
      </c>
      <c r="E60" s="119" t="n">
        <v>158.4483032226562</v>
      </c>
      <c r="F60" s="120" t="n">
        <v>4401000</v>
      </c>
      <c r="G60" s="121" t="n">
        <v>0.01764889951263138</v>
      </c>
      <c r="H60" s="122" t="n">
        <v>101.3386786924234</v>
      </c>
      <c r="I60" s="119" t="n">
        <v>147.2434005737305</v>
      </c>
      <c r="J60" s="119" t="n">
        <v/>
      </c>
      <c r="K60" s="121" t="n">
        <v>0.2534358480192943</v>
      </c>
      <c r="L60" s="121" t="n">
        <v/>
      </c>
      <c r="M60" s="121" t="n">
        <v>-0.03199810726293106</v>
      </c>
      <c r="N60" t="n">
        <v>60.17001819020246</v>
      </c>
      <c r="O60" t="n">
        <v>-0.2617624450615765</v>
      </c>
      <c r="P60" t="n">
        <v>104.872555244972</v>
      </c>
      <c r="Q60" t="n">
        <v>106.1527750790084</v>
      </c>
    </row>
    <row r="61">
      <c r="A61" s="118" t="n">
        <v>44517</v>
      </c>
      <c r="B61" s="119" t="n">
        <v>158.2362293383422</v>
      </c>
      <c r="C61" s="119" t="n">
        <v>159.2874484435278</v>
      </c>
      <c r="D61" s="119" t="n">
        <v>156.9913583138319</v>
      </c>
      <c r="E61" s="119" t="n">
        <v>158.3653259277344</v>
      </c>
      <c r="F61" s="120" t="n">
        <v>3940200</v>
      </c>
      <c r="G61" s="121" t="n">
        <v>-0.0005236868633756719</v>
      </c>
      <c r="H61" s="122" t="n">
        <v>101.2856089576403</v>
      </c>
      <c r="I61" s="119" t="n">
        <v>147.4468206787109</v>
      </c>
      <c r="J61" s="119" t="n">
        <v/>
      </c>
      <c r="K61" s="121" t="n">
        <v>0.2540345262791618</v>
      </c>
      <c r="L61" s="121" t="n">
        <v>-0.03250503713788022</v>
      </c>
      <c r="M61" s="121" t="n">
        <v>-0.03250503713788022</v>
      </c>
      <c r="N61" t="n">
        <v>59.98399969007396</v>
      </c>
      <c r="O61" t="n">
        <v>-0.2461575095263004</v>
      </c>
      <c r="P61" t="n">
        <v>104.6177893864773</v>
      </c>
      <c r="Q61" t="n">
        <v>106.2088871124554</v>
      </c>
    </row>
    <row r="62">
      <c r="A62" s="118" t="n">
        <v>44518</v>
      </c>
      <c r="B62" s="119" t="n">
        <v>158.909367612995</v>
      </c>
      <c r="C62" s="119" t="n">
        <v>159.9513705110358</v>
      </c>
      <c r="D62" s="119" t="n">
        <v>157.0927852138045</v>
      </c>
      <c r="E62" s="119" t="n">
        <v>158.0056915283203</v>
      </c>
      <c r="F62" s="120" t="n">
        <v>4044200</v>
      </c>
      <c r="G62" s="121" t="n">
        <v>-0.002270916296274184</v>
      </c>
      <c r="H62" s="122" t="n">
        <v>101.0555978176804</v>
      </c>
      <c r="I62" s="119" t="n">
        <v>147.5945455932617</v>
      </c>
      <c r="J62" s="119" t="n">
        <v/>
      </c>
      <c r="K62" s="121" t="n">
        <v>0.2442475938621032</v>
      </c>
      <c r="L62" s="121" t="n">
        <v>-0.03470213721560678</v>
      </c>
      <c r="M62" s="121" t="n">
        <v>-0.034702137215607</v>
      </c>
      <c r="N62" t="n">
        <v>59.1307502316694</v>
      </c>
      <c r="O62" t="n">
        <v>-0.2755318081228455</v>
      </c>
      <c r="P62" t="n">
        <v>104.9731130589869</v>
      </c>
      <c r="Q62" t="n">
        <v>107.3093474526246</v>
      </c>
    </row>
    <row r="63">
      <c r="A63" s="118" t="n">
        <v>44519</v>
      </c>
      <c r="B63" s="119" t="n">
        <v>158.7433984183908</v>
      </c>
      <c r="C63" s="119" t="n">
        <v>163.4001203172096</v>
      </c>
      <c r="D63" s="119" t="n">
        <v>157.2495643234668</v>
      </c>
      <c r="E63" s="119" t="n">
        <v>161.2608032226562</v>
      </c>
      <c r="F63" s="120" t="n">
        <v>6145600</v>
      </c>
      <c r="G63" s="121" t="n">
        <v>0.0206012306446095</v>
      </c>
      <c r="H63" s="122" t="n">
        <v>103.1374674962513</v>
      </c>
      <c r="I63" s="119" t="n">
        <v>147.8027624511719</v>
      </c>
      <c r="J63" s="119" t="n">
        <v/>
      </c>
      <c r="K63" s="121" t="n">
        <v>0.2517370107580988</v>
      </c>
      <c r="L63" s="121" t="n">
        <v>-0.0148158133036369</v>
      </c>
      <c r="M63" s="121" t="n">
        <v>-0.01481581330363724</v>
      </c>
      <c r="N63" t="n">
        <v>64.10737780000377</v>
      </c>
      <c r="O63" t="n">
        <v>-0.1002457262872638</v>
      </c>
      <c r="P63" t="n">
        <v>104.7854027149519</v>
      </c>
      <c r="Q63" t="n">
        <v>107.9076436872454</v>
      </c>
    </row>
    <row r="64">
      <c r="A64" s="118" t="n">
        <v>44522</v>
      </c>
      <c r="B64" s="119" t="n">
        <v>161.3530007236383</v>
      </c>
      <c r="C64" s="119" t="n">
        <v>163.9072841405543</v>
      </c>
      <c r="D64" s="119" t="n">
        <v>160.6614088074334</v>
      </c>
      <c r="E64" s="119" t="n">
        <v>160.6706390380859</v>
      </c>
      <c r="F64" s="120" t="n">
        <v>5906400</v>
      </c>
      <c r="G64" s="121" t="n">
        <v>-0.003659687740457662</v>
      </c>
      <c r="H64" s="122" t="n">
        <v>102.7600165708734</v>
      </c>
      <c r="I64" s="119" t="n">
        <v>148.074235534668</v>
      </c>
      <c r="J64" s="119" t="n">
        <v/>
      </c>
      <c r="K64" s="121" t="n">
        <v>0.2529667764940969</v>
      </c>
      <c r="L64" s="121" t="n">
        <v>-0.01842127979378239</v>
      </c>
      <c r="M64" s="121" t="n">
        <v>-0.01842127979378261</v>
      </c>
      <c r="N64" t="n">
        <v>62.61858800299022</v>
      </c>
      <c r="O64" t="n">
        <v>-0.0510393120219832</v>
      </c>
      <c r="P64" t="n">
        <v>104.4904137308513</v>
      </c>
      <c r="Q64" t="n">
        <v>106.6549224046424</v>
      </c>
    </row>
    <row r="65">
      <c r="A65" s="118" t="n">
        <v>44523</v>
      </c>
      <c r="B65" s="119" t="n">
        <v>159.5732963513699</v>
      </c>
      <c r="C65" s="119" t="n">
        <v>159.9236933222767</v>
      </c>
      <c r="D65" s="119" t="n">
        <v>157.1388935918057</v>
      </c>
      <c r="E65" s="119" t="n">
        <v>158.7433776855469</v>
      </c>
      <c r="F65" s="120" t="n">
        <v>5302100</v>
      </c>
      <c r="G65" s="121" t="n">
        <v>-0.01199510603852283</v>
      </c>
      <c r="H65" s="122" t="n">
        <v>101.5273992755855</v>
      </c>
      <c r="I65" s="119" t="n">
        <v>148.3211798095703</v>
      </c>
      <c r="J65" s="119" t="n">
        <v/>
      </c>
      <c r="K65" s="121" t="n">
        <v>0.257913033316288</v>
      </c>
      <c r="L65" s="121" t="n">
        <v>-0.03019542062781344</v>
      </c>
      <c r="M65" s="121" t="n">
        <v>-0.03019542062781377</v>
      </c>
      <c r="N65" t="n">
        <v>57.89050436886978</v>
      </c>
      <c r="O65" t="n">
        <v>-0.1686507610069037</v>
      </c>
      <c r="P65" t="n">
        <v>104.6289616687433</v>
      </c>
      <c r="Q65" t="n">
        <v>106.1687998971728</v>
      </c>
    </row>
    <row r="66">
      <c r="A66" s="118" t="n">
        <v>44524</v>
      </c>
      <c r="B66" s="119" t="n">
        <v>155.3684286718161</v>
      </c>
      <c r="C66" s="119" t="n">
        <v>159.0015795863679</v>
      </c>
      <c r="D66" s="119" t="n">
        <v>154.612281450559</v>
      </c>
      <c r="E66" s="119" t="n">
        <v>158.6327362060547</v>
      </c>
      <c r="F66" s="120" t="n">
        <v>4637600</v>
      </c>
      <c r="G66" s="121" t="n">
        <v>-0.0006969832764385231</v>
      </c>
      <c r="H66" s="122" t="n">
        <v>101.4566363761901</v>
      </c>
      <c r="I66" s="119" t="n">
        <v>148.5815875244141</v>
      </c>
      <c r="J66" s="119" t="n">
        <v/>
      </c>
      <c r="K66" s="121" t="n">
        <v>0.2547445450964426</v>
      </c>
      <c r="L66" s="121" t="n">
        <v>-0.03087135820104947</v>
      </c>
      <c r="M66" s="121" t="n">
        <v>-0.03087135820104958</v>
      </c>
      <c r="N66" t="n">
        <v>57.62151901844068</v>
      </c>
      <c r="O66" t="n">
        <v>-0.2683382028370618</v>
      </c>
      <c r="P66" t="n">
        <v>104.9083050934988</v>
      </c>
      <c r="Q66" t="n">
        <v>106.5107074311195</v>
      </c>
    </row>
    <row r="67">
      <c r="A67" s="118" t="n">
        <v>44526</v>
      </c>
      <c r="B67" s="119" t="n">
        <v>154.9718762607232</v>
      </c>
      <c r="C67" s="119" t="n">
        <v>156.4657099301913</v>
      </c>
      <c r="D67" s="119" t="n">
        <v>154.4923687102201</v>
      </c>
      <c r="E67" s="119" t="n">
        <v>154.9349975585938</v>
      </c>
      <c r="F67" s="120" t="n">
        <v>4751100</v>
      </c>
      <c r="G67" s="121" t="n">
        <v>-0.02331006030594962</v>
      </c>
      <c r="H67" s="122" t="n">
        <v>99.09167606382228</v>
      </c>
      <c r="I67" s="119" t="n">
        <v>148.7737576293945</v>
      </c>
      <c r="J67" s="119" t="n">
        <v/>
      </c>
      <c r="K67" s="121" t="n">
        <v>0.2681385585124374</v>
      </c>
      <c r="L67" s="121" t="n">
        <v>-0.05346180528560596</v>
      </c>
      <c r="M67" s="121" t="n">
        <v>-0.05346180528560618</v>
      </c>
      <c r="N67" t="n">
        <v>49.36587341932331</v>
      </c>
      <c r="O67" t="n">
        <v>-0.5798740079051563</v>
      </c>
      <c r="P67" t="n">
        <v>102.5685266043609</v>
      </c>
      <c r="Q67" t="n">
        <v>104.4914041532974</v>
      </c>
    </row>
    <row r="68">
      <c r="A68" s="118" t="n">
        <v>44529</v>
      </c>
      <c r="B68" s="119" t="n">
        <v>156.6040362149821</v>
      </c>
      <c r="C68" s="119" t="n">
        <v>157.8212303678955</v>
      </c>
      <c r="D68" s="119" t="n">
        <v>156.0507571915405</v>
      </c>
      <c r="E68" s="119" t="n">
        <v>156.6409149169922</v>
      </c>
      <c r="F68" s="120" t="n">
        <v>5448700</v>
      </c>
      <c r="G68" s="121" t="n">
        <v>0.01101053593622892</v>
      </c>
      <c r="H68" s="122" t="n">
        <v>100.1827285241041</v>
      </c>
      <c r="I68" s="119" t="n">
        <v>149.0218078613281</v>
      </c>
      <c r="J68" s="119" t="n">
        <v/>
      </c>
      <c r="K68" s="121" t="n">
        <v>0.264106026623516</v>
      </c>
      <c r="L68" s="121" t="n">
        <v>-0.0430399124776899</v>
      </c>
      <c r="M68" s="121" t="n">
        <v>-0.04303991247769012</v>
      </c>
      <c r="N68" t="n">
        <v>52.73062248115606</v>
      </c>
      <c r="O68" t="n">
        <v>-0.6616906886470435</v>
      </c>
      <c r="P68" t="n">
        <v>103.8266739693825</v>
      </c>
      <c r="Q68" t="n">
        <v>106.7591005026257</v>
      </c>
    </row>
    <row r="69">
      <c r="A69" s="118" t="n">
        <v>44530</v>
      </c>
      <c r="B69" s="119" t="n">
        <v>155.6450160106029</v>
      </c>
      <c r="C69" s="119" t="n">
        <v>158.1900825503704</v>
      </c>
      <c r="D69" s="119" t="n">
        <v>154.4831469840587</v>
      </c>
      <c r="E69" s="119" t="n">
        <v>156.0599822998047</v>
      </c>
      <c r="F69" s="120" t="n">
        <v>11033700</v>
      </c>
      <c r="G69" s="121" t="n">
        <v>-0.003708690143283122</v>
      </c>
      <c r="H69" s="122" t="n">
        <v>99.81118182629959</v>
      </c>
      <c r="I69" s="119" t="n">
        <v>149.2982592773438</v>
      </c>
      <c r="J69" s="119" t="n">
        <v/>
      </c>
      <c r="K69" s="121" t="n">
        <v>0.2635273309255608</v>
      </c>
      <c r="L69" s="121" t="n">
        <v>-0.04658898092179931</v>
      </c>
      <c r="M69" s="121" t="n">
        <v>-0.04658898092179953</v>
      </c>
      <c r="N69" t="n">
        <v>51.47613101449929</v>
      </c>
      <c r="O69" t="n">
        <v>-0.7396682030778052</v>
      </c>
      <c r="P69" t="n">
        <v>101.8064693042272</v>
      </c>
      <c r="Q69" t="n">
        <v>105.1912104795265</v>
      </c>
    </row>
    <row r="70">
      <c r="A70" s="118" t="n">
        <v>44531</v>
      </c>
      <c r="B70" s="119" t="n">
        <v>157.5814678453087</v>
      </c>
      <c r="C70" s="119" t="n">
        <v>159.8683270435737</v>
      </c>
      <c r="D70" s="119" t="n">
        <v>153.6993270531075</v>
      </c>
      <c r="E70" s="119" t="n">
        <v>153.7177734375</v>
      </c>
      <c r="F70" s="120" t="n">
        <v>6618200</v>
      </c>
      <c r="G70" s="121" t="n">
        <v>-0.01500838861948028</v>
      </c>
      <c r="H70" s="122" t="n">
        <v>98.31317682088087</v>
      </c>
      <c r="I70" s="119" t="n">
        <v>149.5136660766601</v>
      </c>
      <c r="J70" s="119" t="n">
        <v/>
      </c>
      <c r="K70" s="121" t="n">
        <v>0.2675996036629206</v>
      </c>
      <c r="L70" s="121" t="n">
        <v>-0.06089814401021965</v>
      </c>
      <c r="M70" s="121" t="n">
        <v>-0.06089814401021987</v>
      </c>
      <c r="N70" t="n">
        <v>46.65662350263466</v>
      </c>
      <c r="O70" t="n">
        <v>-0.9218663741302238</v>
      </c>
      <c r="P70" t="n">
        <v>100.6756757739679</v>
      </c>
      <c r="Q70" t="n">
        <v>103.4016074486712</v>
      </c>
    </row>
    <row r="71">
      <c r="A71" s="118" t="n">
        <v>44532</v>
      </c>
      <c r="B71" s="119" t="n">
        <v>154.2526292454561</v>
      </c>
      <c r="C71" s="119" t="n">
        <v>157.2679733412943</v>
      </c>
      <c r="D71" s="119" t="n">
        <v>153.9944361069623</v>
      </c>
      <c r="E71" s="119" t="n">
        <v>156.7608032226562</v>
      </c>
      <c r="F71" s="120" t="n">
        <v>4398900</v>
      </c>
      <c r="G71" s="121" t="n">
        <v>0.0197962130019631</v>
      </c>
      <c r="H71" s="122" t="n">
        <v>100.2594054101267</v>
      </c>
      <c r="I71" s="119" t="n">
        <v>149.7453033447266</v>
      </c>
      <c r="J71" s="119" t="n">
        <v/>
      </c>
      <c r="K71" s="121" t="n">
        <v>0.2577830031517844</v>
      </c>
      <c r="L71" s="121" t="n">
        <v>-0.042307483638507</v>
      </c>
      <c r="M71" s="121" t="n">
        <v>-0.04230748363850734</v>
      </c>
      <c r="N71" t="n">
        <v>52.83509433557401</v>
      </c>
      <c r="O71" t="n">
        <v>-0.8140624349460541</v>
      </c>
      <c r="P71" t="n">
        <v>102.2176616616879</v>
      </c>
      <c r="Q71" t="n">
        <v>104.1468202230186</v>
      </c>
    </row>
    <row r="72">
      <c r="A72" s="118" t="n">
        <v>44533</v>
      </c>
      <c r="B72" s="119" t="n">
        <v>157.6153089743735</v>
      </c>
      <c r="C72" s="119" t="n">
        <v>158.9548009950529</v>
      </c>
      <c r="D72" s="119" t="n">
        <v>154.0495182918455</v>
      </c>
      <c r="E72" s="119" t="n">
        <v>157.2642822265625</v>
      </c>
      <c r="F72" s="120" t="n">
        <v>4878500</v>
      </c>
      <c r="G72" s="121" t="n">
        <v>0.003211765910583697</v>
      </c>
      <c r="H72" s="122" t="n">
        <v>100.5814151506383</v>
      </c>
      <c r="I72" s="119" t="n">
        <v>149.9475427246094</v>
      </c>
      <c r="J72" s="119" t="n">
        <v/>
      </c>
      <c r="K72" s="121" t="n">
        <v>0.2497756840753346</v>
      </c>
      <c r="L72" s="121" t="n">
        <v>-0.0392315994616359</v>
      </c>
      <c r="M72" s="121" t="n">
        <v>-0.03923159946163635</v>
      </c>
      <c r="N72" t="n">
        <v>53.78878542857381</v>
      </c>
      <c r="O72" t="n">
        <v>-0.6903548370182435</v>
      </c>
      <c r="P72" t="n">
        <v>101.3282432531708</v>
      </c>
      <c r="Q72" t="n">
        <v>102.3358479712917</v>
      </c>
    </row>
    <row r="73">
      <c r="A73" s="118" t="n">
        <v>44536</v>
      </c>
      <c r="B73" s="119" t="n">
        <v>157.8092691359334</v>
      </c>
      <c r="C73" s="119" t="n">
        <v>158.1603098909644</v>
      </c>
      <c r="D73" s="119" t="n">
        <v>155.250395723447</v>
      </c>
      <c r="E73" s="119" t="n">
        <v>156.0356140136719</v>
      </c>
      <c r="F73" s="120" t="n">
        <v>5636900</v>
      </c>
      <c r="G73" s="121" t="n">
        <v>-0.007812760758482584</v>
      </c>
      <c r="H73" s="122" t="n">
        <v>99.79559661731679</v>
      </c>
      <c r="I73" s="119" t="n">
        <v>150.3094500732422</v>
      </c>
      <c r="J73" s="119" t="n">
        <v/>
      </c>
      <c r="K73" s="121" t="n">
        <v>0.2458092812634426</v>
      </c>
      <c r="L73" s="121" t="n">
        <v>-0.04673785311935219</v>
      </c>
      <c r="M73" s="121" t="n">
        <v>-0.04673785311935263</v>
      </c>
      <c r="N73" t="n">
        <v>51.07464653836597</v>
      </c>
      <c r="O73" t="n">
        <v>-0.6721322210417577</v>
      </c>
      <c r="P73" t="n">
        <v>102.5282889315123</v>
      </c>
      <c r="Q73" t="n">
        <v>103.15588238354</v>
      </c>
    </row>
    <row r="74">
      <c r="A74" s="118" t="n">
        <v>44537</v>
      </c>
      <c r="B74" s="119" t="n">
        <v>158.0679335853246</v>
      </c>
      <c r="C74" s="119" t="n">
        <v>160.1372050379646</v>
      </c>
      <c r="D74" s="119" t="n">
        <v>157.4120438436825</v>
      </c>
      <c r="E74" s="119" t="n">
        <v>158.2342071533203</v>
      </c>
      <c r="F74" s="120" t="n">
        <v>5898700</v>
      </c>
      <c r="G74" s="121" t="n">
        <v>0.01409032901588603</v>
      </c>
      <c r="H74" s="122" t="n">
        <v>101.2017494079914</v>
      </c>
      <c r="I74" s="119" t="n">
        <v>150.7439144897461</v>
      </c>
      <c r="J74" s="119" t="n">
        <v/>
      </c>
      <c r="K74" s="121" t="n">
        <v>0.2257091690191274</v>
      </c>
      <c r="L74" s="121" t="n">
        <v>-0.03330607583141398</v>
      </c>
      <c r="M74" s="121" t="n">
        <v>-0.03330607583141443</v>
      </c>
      <c r="N74" t="n">
        <v>55.41043872621992</v>
      </c>
      <c r="O74" t="n">
        <v>-0.5007290697078426</v>
      </c>
      <c r="P74" t="n">
        <v>104.6490950524101</v>
      </c>
      <c r="Q74" t="n">
        <v>106.2622891897417</v>
      </c>
    </row>
    <row r="75">
      <c r="A75" s="118" t="n">
        <v>44538</v>
      </c>
      <c r="B75" s="119" t="n">
        <v>158.1695353066311</v>
      </c>
      <c r="C75" s="119" t="n">
        <v>158.6960823190988</v>
      </c>
      <c r="D75" s="119" t="n">
        <v>156.8947150199872</v>
      </c>
      <c r="E75" s="119" t="n">
        <v>157.2734680175781</v>
      </c>
      <c r="F75" s="120" t="n">
        <v>5614400</v>
      </c>
      <c r="G75" s="121" t="n">
        <v>-0.006071627323991247</v>
      </c>
      <c r="H75" s="122" t="n">
        <v>100.5872901010501</v>
      </c>
      <c r="I75" s="119" t="n">
        <v>151.2096957397461</v>
      </c>
      <c r="J75" s="119" t="n">
        <v/>
      </c>
      <c r="K75" s="121" t="n">
        <v>0.2224799249148219</v>
      </c>
      <c r="L75" s="121" t="n">
        <v>-0.03917548107533242</v>
      </c>
      <c r="M75" s="121" t="n">
        <v>-0.03917548107533264</v>
      </c>
      <c r="N75" t="n">
        <v>53.19210461364192</v>
      </c>
      <c r="O75" t="n">
        <v>-0.4427805050374771</v>
      </c>
      <c r="P75" t="n">
        <v>104.9261763809516</v>
      </c>
      <c r="Q75" t="n">
        <v>106.7377228917969</v>
      </c>
    </row>
    <row r="76">
      <c r="A76" s="118" t="n">
        <v>44539</v>
      </c>
      <c r="B76" s="119" t="n">
        <v>156.3866854792017</v>
      </c>
      <c r="C76" s="119" t="n">
        <v>158.1233961175608</v>
      </c>
      <c r="D76" s="119" t="n">
        <v>155.1857829440933</v>
      </c>
      <c r="E76" s="119" t="n">
        <v>155.2873992919922</v>
      </c>
      <c r="F76" s="120" t="n">
        <v>5171600</v>
      </c>
      <c r="G76" s="121" t="n">
        <v>-0.01262812317055262</v>
      </c>
      <c r="H76" s="122" t="n">
        <v>99.31706141226198</v>
      </c>
      <c r="I76" s="119" t="n">
        <v>151.6224774169922</v>
      </c>
      <c r="J76" s="119" t="n">
        <v/>
      </c>
      <c r="K76" s="121" t="n">
        <v>0.1955288269973834</v>
      </c>
      <c r="L76" s="121" t="n">
        <v>-0.05130889144560002</v>
      </c>
      <c r="M76" s="121" t="n">
        <v>-0.05130889144560036</v>
      </c>
      <c r="N76" t="n">
        <v>48.83921625353246</v>
      </c>
      <c r="O76" t="n">
        <v>-0.523405789553375</v>
      </c>
      <c r="P76" t="n">
        <v>104.2177765849039</v>
      </c>
      <c r="Q76" t="n">
        <v>105.1671564723655</v>
      </c>
    </row>
    <row r="77">
      <c r="A77" s="118" t="n">
        <v>44540</v>
      </c>
      <c r="B77" s="119" t="n">
        <v>155.6568799575722</v>
      </c>
      <c r="C77" s="119" t="n">
        <v>157.264261715287</v>
      </c>
      <c r="D77" s="119" t="n">
        <v>154.5760593965389</v>
      </c>
      <c r="E77" s="119" t="n">
        <v>156.1741943359375</v>
      </c>
      <c r="F77" s="120" t="n">
        <v>4791100</v>
      </c>
      <c r="G77" s="121" t="n">
        <v>0.005710669687228442</v>
      </c>
      <c r="H77" s="122" t="n">
        <v>99.88422834429359</v>
      </c>
      <c r="I77" s="119" t="n">
        <v>152.0675646972656</v>
      </c>
      <c r="J77" s="119" t="n">
        <v/>
      </c>
      <c r="K77" s="121" t="n">
        <v>0.1942300424306864</v>
      </c>
      <c r="L77" s="121" t="n">
        <v>-0.04589122988943528</v>
      </c>
      <c r="M77" s="121" t="n">
        <v>-0.04589122988943561</v>
      </c>
      <c r="N77" t="n">
        <v>50.77617075023183</v>
      </c>
      <c r="O77" t="n">
        <v>-0.502127565569932</v>
      </c>
      <c r="P77" t="n">
        <v>105.1988280741415</v>
      </c>
      <c r="Q77" t="n">
        <v>106.3103804241494</v>
      </c>
    </row>
    <row r="78">
      <c r="A78" s="118" t="n">
        <v>44543</v>
      </c>
      <c r="B78" s="119" t="n">
        <v>155.9432603562726</v>
      </c>
      <c r="C78" s="119" t="n">
        <v>156.4790543131197</v>
      </c>
      <c r="D78" s="119" t="n">
        <v>152.6638393612354</v>
      </c>
      <c r="E78" s="119" t="n">
        <v>154.1234130859375</v>
      </c>
      <c r="F78" s="120" t="n">
        <v>5972300</v>
      </c>
      <c r="G78" s="121" t="n">
        <v>-0.01313137076659854</v>
      </c>
      <c r="H78" s="122" t="n">
        <v>98.57261150816909</v>
      </c>
      <c r="I78" s="119" t="n">
        <v>152.4378866577148</v>
      </c>
      <c r="J78" s="119" t="n">
        <v/>
      </c>
      <c r="K78" s="121" t="n">
        <v>0.1948546227277186</v>
      </c>
      <c r="L78" s="121" t="n">
        <v>-0.05841998590142028</v>
      </c>
      <c r="M78" s="121" t="n">
        <v>-0.05841998590142072</v>
      </c>
      <c r="N78" t="n">
        <v>46.40104302154953</v>
      </c>
      <c r="O78" t="n">
        <v>-0.6044184423938277</v>
      </c>
      <c r="P78" t="n">
        <v>104.2669389910469</v>
      </c>
      <c r="Q78" t="n">
        <v>104.7745316474219</v>
      </c>
    </row>
    <row r="79">
      <c r="A79" s="118" t="n">
        <v>44544</v>
      </c>
      <c r="B79" s="119" t="n">
        <v>153.6153305392411</v>
      </c>
      <c r="C79" s="119" t="n">
        <v>154.3451244454094</v>
      </c>
      <c r="D79" s="119" t="n">
        <v>151.6938810370694</v>
      </c>
      <c r="E79" s="119" t="n">
        <v>152.7931671142578</v>
      </c>
      <c r="F79" s="120" t="n">
        <v>4872200</v>
      </c>
      <c r="G79" s="121" t="n">
        <v>-0.008631044077241912</v>
      </c>
      <c r="H79" s="122" t="n">
        <v>97.72182695343324</v>
      </c>
      <c r="I79" s="119" t="n">
        <v>152.7801278686524</v>
      </c>
      <c r="J79" s="119" t="n">
        <v/>
      </c>
      <c r="K79" s="121" t="n">
        <v>0.1969718403572532</v>
      </c>
      <c r="L79" s="121" t="n">
        <v>-0.06654680450535522</v>
      </c>
      <c r="M79" s="121" t="n">
        <v>-0.06654680450535555</v>
      </c>
      <c r="N79" t="n">
        <v>43.76670248224438</v>
      </c>
      <c r="O79" t="n">
        <v>-0.7314373108295673</v>
      </c>
      <c r="P79" t="n">
        <v>103.5495708199771</v>
      </c>
      <c r="Q79" t="n">
        <v>103.6900709555458</v>
      </c>
    </row>
    <row r="80">
      <c r="A80" s="118" t="n">
        <v>44545</v>
      </c>
      <c r="B80" s="119" t="n">
        <v>152.4236646231619</v>
      </c>
      <c r="C80" s="119" t="n">
        <v>153.0425953880192</v>
      </c>
      <c r="D80" s="119" t="n">
        <v>149.4860516709353</v>
      </c>
      <c r="E80" s="119" t="n">
        <v>151.4075012207031</v>
      </c>
      <c r="F80" s="120" t="n">
        <v>7144600</v>
      </c>
      <c r="G80" s="121" t="n">
        <v>-0.00906889960935553</v>
      </c>
      <c r="H80" s="122" t="n">
        <v>96.83559751514973</v>
      </c>
      <c r="I80" s="119" t="n">
        <v>153.0518692016602</v>
      </c>
      <c r="J80" s="119" t="n">
        <v/>
      </c>
      <c r="K80" s="121" t="n">
        <v>0.1861941140685866</v>
      </c>
      <c r="L80" s="121" t="n">
        <v>-0.07501219782532831</v>
      </c>
      <c r="M80" s="121" t="n">
        <v>-0.07501219782532864</v>
      </c>
      <c r="N80" t="n">
        <v>41.14619666448144</v>
      </c>
      <c r="O80" t="n">
        <v>-0.8691663427317545</v>
      </c>
      <c r="P80" t="n">
        <v>105.1675369554512</v>
      </c>
      <c r="Q80" t="n">
        <v>106.0539749435609</v>
      </c>
    </row>
    <row r="81">
      <c r="A81" s="118" t="n">
        <v>44546</v>
      </c>
      <c r="B81" s="119" t="n">
        <v>150.2989643056221</v>
      </c>
      <c r="C81" s="119" t="n">
        <v>153.2920158059365</v>
      </c>
      <c r="D81" s="119" t="n">
        <v>150.1419234377328</v>
      </c>
      <c r="E81" s="119" t="n">
        <v>150.3174438476562</v>
      </c>
      <c r="F81" s="120" t="n">
        <v>7138100</v>
      </c>
      <c r="G81" s="121" t="n">
        <v>-0.007199493844482152</v>
      </c>
      <c r="H81" s="122" t="n">
        <v>96.13843022691265</v>
      </c>
      <c r="I81" s="119" t="n">
        <v>153.3139819335937</v>
      </c>
      <c r="J81" s="119" t="n">
        <v/>
      </c>
      <c r="K81" s="121" t="n">
        <v>0.1869012579750797</v>
      </c>
      <c r="L81" s="121" t="n">
        <v>-0.08167164181330611</v>
      </c>
      <c r="M81" s="121" t="n">
        <v>-0.08167164181330622</v>
      </c>
      <c r="N81" t="n">
        <v>39.15983786276099</v>
      </c>
      <c r="O81" t="n">
        <v>-0.9855422630728601</v>
      </c>
      <c r="P81" t="n">
        <v>104.2401211494358</v>
      </c>
      <c r="Q81" t="n">
        <v>103.3268109806419</v>
      </c>
    </row>
    <row r="82">
      <c r="A82" s="118" t="n">
        <v>44547</v>
      </c>
      <c r="B82" s="119" t="n">
        <v>149.3105512312763</v>
      </c>
      <c r="C82" s="119" t="n">
        <v>150.4467965727532</v>
      </c>
      <c r="D82" s="119" t="n">
        <v>148.3128672378713</v>
      </c>
      <c r="E82" s="119" t="n">
        <v>149.0611267089844</v>
      </c>
      <c r="F82" s="120" t="n">
        <v>7705100</v>
      </c>
      <c r="G82" s="121" t="n">
        <v>-0.008357760127594593</v>
      </c>
      <c r="H82" s="122" t="n">
        <v>95.33492828803263</v>
      </c>
      <c r="I82" s="119" t="n">
        <v>153.4947186279297</v>
      </c>
      <c r="J82" s="119" t="n">
        <v/>
      </c>
      <c r="K82" s="121" t="n">
        <v>0.188031066932614</v>
      </c>
      <c r="L82" s="121" t="n">
        <v>-0.08934680994939814</v>
      </c>
      <c r="M82" s="121" t="n">
        <v>-0.08934680994939836</v>
      </c>
      <c r="N82" t="n">
        <v>36.94607585355133</v>
      </c>
      <c r="O82" t="n">
        <v>-1.090797908376432</v>
      </c>
      <c r="P82" t="n">
        <v>103.1307047920799</v>
      </c>
      <c r="Q82" t="n">
        <v>102.8112984532612</v>
      </c>
    </row>
    <row r="83">
      <c r="A83" s="118" t="n">
        <v>44550</v>
      </c>
      <c r="B83" s="119" t="n">
        <v>147.1950590854208</v>
      </c>
      <c r="C83" s="119" t="n">
        <v>147.4352508369808</v>
      </c>
      <c r="D83" s="119" t="n">
        <v>143.6200360339157</v>
      </c>
      <c r="E83" s="119" t="n">
        <v>145.0149383544922</v>
      </c>
      <c r="F83" s="120" t="n">
        <v>8411900</v>
      </c>
      <c r="G83" s="121" t="n">
        <v>-0.0271444906115037</v>
      </c>
      <c r="H83" s="122" t="n">
        <v>92.74711022216975</v>
      </c>
      <c r="I83" s="119" t="n">
        <v>153.5829125976562</v>
      </c>
      <c r="J83" s="119" t="n">
        <v/>
      </c>
      <c r="K83" s="121" t="n">
        <v>0.1854368535867529</v>
      </c>
      <c r="L83" s="121" t="n">
        <v>-0.1140660269170626</v>
      </c>
      <c r="M83" s="121" t="n">
        <v>-0.1140660269170628</v>
      </c>
      <c r="N83" t="n">
        <v>30.88943869720676</v>
      </c>
      <c r="O83" t="n">
        <v>-1.359122820135373</v>
      </c>
      <c r="P83" t="n">
        <v>102.0340754609112</v>
      </c>
      <c r="Q83" t="n">
        <v>101.8139842463454</v>
      </c>
    </row>
    <row r="84">
      <c r="A84" s="118" t="n">
        <v>44551</v>
      </c>
      <c r="B84" s="119" t="n">
        <v>153.9848678959328</v>
      </c>
      <c r="C84" s="119" t="n">
        <v>158.1418772869146</v>
      </c>
      <c r="D84" s="119" t="n">
        <v>152.1557877107142</v>
      </c>
      <c r="E84" s="119" t="n">
        <v>153.929443359375</v>
      </c>
      <c r="F84" s="120" t="n">
        <v>13862900</v>
      </c>
      <c r="G84" s="121" t="n">
        <v>0.06147301171891062</v>
      </c>
      <c r="H84" s="122" t="n">
        <v>98.44855441575228</v>
      </c>
      <c r="I84" s="119" t="n">
        <v>153.8899710083008</v>
      </c>
      <c r="J84" s="119" t="n">
        <v/>
      </c>
      <c r="K84" s="121" t="n">
        <v>0.3009201161710344</v>
      </c>
      <c r="L84" s="121" t="n">
        <v>-0.05960499740755421</v>
      </c>
      <c r="M84" s="121" t="n">
        <v>-0.05960499740755432</v>
      </c>
      <c r="N84" t="n">
        <v>50.24275471409177</v>
      </c>
      <c r="O84" t="n">
        <v>-0.8853714661897729</v>
      </c>
      <c r="P84" t="n">
        <v>103.8461018117863</v>
      </c>
      <c r="Q84" t="n">
        <v>104.0926210998028</v>
      </c>
    </row>
    <row r="85">
      <c r="A85" s="118" t="n">
        <v>44552</v>
      </c>
      <c r="B85" s="119" t="n">
        <v>154.492930268409</v>
      </c>
      <c r="C85" s="119" t="n">
        <v>156.1187775518719</v>
      </c>
      <c r="D85" s="119" t="n">
        <v>151.5830156021457</v>
      </c>
      <c r="E85" s="119" t="n">
        <v>152.8301239013672</v>
      </c>
      <c r="F85" s="120" t="n">
        <v>5811300</v>
      </c>
      <c r="G85" s="121" t="n">
        <v>-0.00714171008493325</v>
      </c>
      <c r="H85" s="122" t="n">
        <v>97.74546338183421</v>
      </c>
      <c r="I85" s="119" t="n">
        <v>154.1184243774414</v>
      </c>
      <c r="J85" s="119" t="n">
        <v/>
      </c>
      <c r="K85" s="121" t="n">
        <v>0.2992649676994498</v>
      </c>
      <c r="L85" s="121" t="n">
        <v>-0.06632102588138944</v>
      </c>
      <c r="M85" s="121" t="n">
        <v>-0.06632102588138955</v>
      </c>
      <c r="N85" t="n">
        <v>48.44124091458938</v>
      </c>
      <c r="O85" t="n">
        <v>-0.6083768565558492</v>
      </c>
      <c r="P85" t="n">
        <v>104.884411247637</v>
      </c>
      <c r="Q85" t="n">
        <v>105.3603184559259</v>
      </c>
    </row>
    <row r="86">
      <c r="A86" s="118" t="n">
        <v>44553</v>
      </c>
      <c r="B86" s="119" t="n">
        <v>153.5783965312343</v>
      </c>
      <c r="C86" s="119" t="n">
        <v>154.419039558388</v>
      </c>
      <c r="D86" s="119" t="n">
        <v>152.8301371252611</v>
      </c>
      <c r="E86" s="119" t="n">
        <v>153.0426025390625</v>
      </c>
      <c r="F86" s="120" t="n">
        <v>3876900</v>
      </c>
      <c r="G86" s="121" t="n">
        <v>0.001390292910005364</v>
      </c>
      <c r="H86" s="122" t="n">
        <v>97.88135820655917</v>
      </c>
      <c r="I86" s="119" t="n">
        <v>154.296721496582</v>
      </c>
      <c r="J86" s="119" t="n">
        <v/>
      </c>
      <c r="K86" s="121" t="n">
        <v>0.2994522727527382</v>
      </c>
      <c r="L86" s="121" t="n">
        <v>-0.06502293862345121</v>
      </c>
      <c r="M86" s="121" t="n">
        <v>-0.06502293862345143</v>
      </c>
      <c r="N86" t="n">
        <v>48.82319692160876</v>
      </c>
      <c r="O86" t="n">
        <v>-0.3841235738074822</v>
      </c>
      <c r="P86" t="n">
        <v>105.5370078213249</v>
      </c>
      <c r="Q86" t="n">
        <v>106.1546292595395</v>
      </c>
    </row>
    <row r="87">
      <c r="A87" s="118" t="n">
        <v>44557</v>
      </c>
      <c r="B87" s="119" t="n">
        <v>153.8278177524387</v>
      </c>
      <c r="C87" s="119" t="n">
        <v>154.9086384375543</v>
      </c>
      <c r="D87" s="119" t="n">
        <v>152.867078857384</v>
      </c>
      <c r="E87" s="119" t="n">
        <v>154.8070220947266</v>
      </c>
      <c r="F87" s="120" t="n">
        <v>3769300</v>
      </c>
      <c r="G87" s="121" t="n">
        <v>0.01152894374763203</v>
      </c>
      <c r="H87" s="122" t="n">
        <v>99.00982687926441</v>
      </c>
      <c r="I87" s="119" t="n">
        <v>154.4948153686524</v>
      </c>
      <c r="J87" s="119" t="n">
        <v/>
      </c>
      <c r="K87" s="121" t="n">
        <v>0.2914209916509587</v>
      </c>
      <c r="L87" s="121" t="n">
        <v>-0.05424364067751464</v>
      </c>
      <c r="M87" s="121" t="n">
        <v>-0.05424364067751486</v>
      </c>
      <c r="N87" t="n">
        <v>52.00297273003712</v>
      </c>
      <c r="O87" t="n">
        <v>-0.104766521531664</v>
      </c>
      <c r="P87" t="n">
        <v>107.0305877595137</v>
      </c>
      <c r="Q87" t="n">
        <v>107.9091035397903</v>
      </c>
    </row>
    <row r="88">
      <c r="A88" s="118" t="n">
        <v>44558</v>
      </c>
      <c r="B88" s="119" t="n">
        <v>155.0102484515506</v>
      </c>
      <c r="C88" s="119" t="n">
        <v>155.4259465295057</v>
      </c>
      <c r="D88" s="119" t="n">
        <v>153.6245787945268</v>
      </c>
      <c r="E88" s="119" t="n">
        <v>153.7354278564453</v>
      </c>
      <c r="F88" s="120" t="n">
        <v>2658600</v>
      </c>
      <c r="G88" s="121" t="n">
        <v>-0.006922129395561583</v>
      </c>
      <c r="H88" s="122" t="n">
        <v>98.32446804617399</v>
      </c>
      <c r="I88" s="119" t="n">
        <v>154.6554330444336</v>
      </c>
      <c r="J88" s="119" t="n">
        <v/>
      </c>
      <c r="K88" s="121" t="n">
        <v>0.2894743751058636</v>
      </c>
      <c r="L88" s="121" t="n">
        <v>-0.06079028857342017</v>
      </c>
      <c r="M88" s="121" t="n">
        <v>-0.06079028857342028</v>
      </c>
      <c r="N88" t="n">
        <v>49.97218344029987</v>
      </c>
      <c r="O88" t="n">
        <v>0.01373515686103266</v>
      </c>
      <c r="P88" t="n">
        <v>106.9431370110217</v>
      </c>
      <c r="Q88" t="n">
        <v>107.4089614139161</v>
      </c>
    </row>
    <row r="89">
      <c r="A89" s="118" t="n">
        <v>44559</v>
      </c>
      <c r="B89" s="119" t="n">
        <v>154.3358871487383</v>
      </c>
      <c r="C89" s="119" t="n">
        <v>156.8578018793958</v>
      </c>
      <c r="D89" s="119" t="n">
        <v>153.901709545469</v>
      </c>
      <c r="E89" s="119" t="n">
        <v>155.9155426025391</v>
      </c>
      <c r="F89" s="120" t="n">
        <v>3830900</v>
      </c>
      <c r="G89" s="121" t="n">
        <v>0.01418095214936077</v>
      </c>
      <c r="H89" s="122" t="n">
        <v>99.71880262264813</v>
      </c>
      <c r="I89" s="119" t="n">
        <v>154.8334646606445</v>
      </c>
      <c r="J89" s="119" t="n">
        <v/>
      </c>
      <c r="K89" s="121" t="n">
        <v>0.294004607750604</v>
      </c>
      <c r="L89" s="121" t="n">
        <v>-0.04747140059746491</v>
      </c>
      <c r="M89" s="121" t="n">
        <v>-0.04747140059746502</v>
      </c>
      <c r="N89" t="n">
        <v>53.91519553148971</v>
      </c>
      <c r="O89" t="n">
        <v>0.2326889149910824</v>
      </c>
      <c r="P89" t="n">
        <v>107.0799392798097</v>
      </c>
      <c r="Q89" t="n">
        <v>107.3929114258801</v>
      </c>
    </row>
    <row r="90">
      <c r="A90" s="118" t="n">
        <v>44560</v>
      </c>
      <c r="B90" s="119" t="n">
        <v>155.4813996929088</v>
      </c>
      <c r="C90" s="119" t="n">
        <v>157.1534391316411</v>
      </c>
      <c r="D90" s="119" t="n">
        <v>154.4560033940504</v>
      </c>
      <c r="E90" s="119" t="n">
        <v>154.7239074707031</v>
      </c>
      <c r="F90" s="120" t="n">
        <v>2666800</v>
      </c>
      <c r="G90" s="121" t="n">
        <v>-0.007642824518615532</v>
      </c>
      <c r="H90" s="122" t="n">
        <v>98.95666931299677</v>
      </c>
      <c r="I90" s="119" t="n">
        <v>155.0173556518555</v>
      </c>
      <c r="J90" s="119" t="n">
        <v/>
      </c>
      <c r="K90" s="121" t="n">
        <v>0.2901168724396053</v>
      </c>
      <c r="L90" s="121" t="n">
        <v>-0.05475140953166113</v>
      </c>
      <c r="M90" s="121" t="n">
        <v>-0.05475140953166135</v>
      </c>
      <c r="N90" t="n">
        <v>51.52473826689936</v>
      </c>
      <c r="O90" t="n">
        <v>0.2874186275228076</v>
      </c>
      <c r="P90" t="n">
        <v>106.7839174414892</v>
      </c>
      <c r="Q90" t="n">
        <v>107.071978784819</v>
      </c>
    </row>
    <row r="91">
      <c r="A91" s="118" t="n">
        <v>44561</v>
      </c>
      <c r="B91" s="119" t="n">
        <v>154.7885483849165</v>
      </c>
      <c r="C91" s="119" t="n">
        <v>154.9363565429198</v>
      </c>
      <c r="D91" s="119" t="n">
        <v>153.5414540531379</v>
      </c>
      <c r="E91" s="119" t="n">
        <v>153.9663848876953</v>
      </c>
      <c r="F91" s="120" t="n">
        <v>2752000</v>
      </c>
      <c r="G91" s="121" t="n">
        <v>-0.004895963367207767</v>
      </c>
      <c r="H91" s="122" t="n">
        <v>98.47218108509944</v>
      </c>
      <c r="I91" s="119" t="n">
        <v>155.1744775390625</v>
      </c>
      <c r="J91" s="119" t="n">
        <v/>
      </c>
      <c r="K91" s="121" t="n">
        <v>0.2814232956418125</v>
      </c>
      <c r="L91" s="121" t="n">
        <v>-0.059379312003499</v>
      </c>
      <c r="M91" s="121" t="n">
        <v>-0.05937931200349911</v>
      </c>
      <c r="N91" t="n">
        <v>50.00686199698521</v>
      </c>
      <c r="O91" t="n">
        <v>0.2633958313637293</v>
      </c>
      <c r="P91" t="n">
        <v>106.5147934546137</v>
      </c>
      <c r="Q91" t="n">
        <v>106.4033411494176</v>
      </c>
    </row>
    <row r="92">
      <c r="A92" s="118" t="n">
        <v>44564</v>
      </c>
      <c r="B92" s="119" t="n">
        <v>154.7608465445512</v>
      </c>
      <c r="C92" s="119" t="n">
        <v>155.1118874195207</v>
      </c>
      <c r="D92" s="119" t="n">
        <v>150.8624942130656</v>
      </c>
      <c r="E92" s="119" t="n">
        <v>152.1188354492188</v>
      </c>
      <c r="F92" s="120" t="n">
        <v>5670500</v>
      </c>
      <c r="G92" s="121" t="n">
        <v>-0.0119996935683343</v>
      </c>
      <c r="H92" s="122" t="n">
        <v>97.29054508707272</v>
      </c>
      <c r="I92" s="119" t="n">
        <v>155.2258581542969</v>
      </c>
      <c r="J92" s="119" t="n">
        <v/>
      </c>
      <c r="K92" s="121" t="n">
        <v>0.2837511631096383</v>
      </c>
      <c r="L92" s="121" t="n">
        <v>-0.07066647202349285</v>
      </c>
      <c r="M92" s="121" t="n">
        <v>-0.07066647202349285</v>
      </c>
      <c r="N92" t="n">
        <v>46.41542635340925</v>
      </c>
      <c r="O92" t="n">
        <v>0.1211085033235963</v>
      </c>
      <c r="P92" t="n">
        <v>107.131509254592</v>
      </c>
      <c r="Q92" t="n">
        <v>107.4276877982842</v>
      </c>
    </row>
    <row r="93">
      <c r="A93" s="118" t="n">
        <v>44565</v>
      </c>
      <c r="B93" s="119" t="n">
        <v>153.23658006751</v>
      </c>
      <c r="C93" s="119" t="n">
        <v>154.4374823924452</v>
      </c>
      <c r="D93" s="119" t="n">
        <v>152.4236494265918</v>
      </c>
      <c r="E93" s="119" t="n">
        <v>153.7077026367188</v>
      </c>
      <c r="F93" s="120" t="n">
        <v>6064200</v>
      </c>
      <c r="G93" s="121" t="n">
        <v>0.01044490764610417</v>
      </c>
      <c r="H93" s="122" t="n">
        <v>98.30673584534632</v>
      </c>
      <c r="I93" s="119" t="n">
        <v>155.2850405883789</v>
      </c>
      <c r="J93" s="119" t="n">
        <v/>
      </c>
      <c r="K93" s="121" t="n">
        <v>0.2857693830018354</v>
      </c>
      <c r="L93" s="121" t="n">
        <v>-0.06095966915134998</v>
      </c>
      <c r="M93" s="121" t="n">
        <v>-0.0609596691513502</v>
      </c>
      <c r="N93" t="n">
        <v>49.75728298217557</v>
      </c>
      <c r="O93" t="n">
        <v>0.1311822449169076</v>
      </c>
      <c r="P93" t="n">
        <v>107.0956284808824</v>
      </c>
      <c r="Q93" t="n">
        <v>106.0342921040773</v>
      </c>
    </row>
    <row r="94">
      <c r="A94" s="118" t="n">
        <v>44566</v>
      </c>
      <c r="B94" s="119" t="n">
        <v>153.8000859728582</v>
      </c>
      <c r="C94" s="119" t="n">
        <v>154.2804412636805</v>
      </c>
      <c r="D94" s="119" t="n">
        <v>149.744693689407</v>
      </c>
      <c r="E94" s="119" t="n">
        <v>149.8832550048828</v>
      </c>
      <c r="F94" s="120" t="n">
        <v>5021000</v>
      </c>
      <c r="G94" s="121" t="n">
        <v>-0.02488130110743281</v>
      </c>
      <c r="H94" s="122" t="n">
        <v>95.86073634988941</v>
      </c>
      <c r="I94" s="119" t="n">
        <v>155.2540872192383</v>
      </c>
      <c r="J94" s="119" t="n">
        <v/>
      </c>
      <c r="K94" s="121" t="n">
        <v>0.2925979553531839</v>
      </c>
      <c r="L94" s="121" t="n">
        <v>-0.08432421437521853</v>
      </c>
      <c r="M94" s="121" t="n">
        <v>-0.08432421437521875</v>
      </c>
      <c r="N94" t="n">
        <v>42.83275946721486</v>
      </c>
      <c r="O94" t="n">
        <v>-0.1095392250995754</v>
      </c>
      <c r="P94" t="n">
        <v>105.0391648137117</v>
      </c>
      <c r="Q94" t="n">
        <v>102.7767989494433</v>
      </c>
    </row>
    <row r="95">
      <c r="A95" s="118" t="n">
        <v>44567</v>
      </c>
      <c r="B95" s="119" t="n">
        <v>149.7354438883958</v>
      </c>
      <c r="C95" s="119" t="n">
        <v>150.7516071675072</v>
      </c>
      <c r="D95" s="119" t="n">
        <v>146.9363926054681</v>
      </c>
      <c r="E95" s="119" t="n">
        <v>148.7654724121094</v>
      </c>
      <c r="F95" s="120" t="n">
        <v>4144600</v>
      </c>
      <c r="G95" s="121" t="n">
        <v>-0.007457688270360974</v>
      </c>
      <c r="H95" s="122" t="n">
        <v>95.14583686082467</v>
      </c>
      <c r="I95" s="119" t="n">
        <v>155.2087078857422</v>
      </c>
      <c r="J95" s="119" t="n">
        <v/>
      </c>
      <c r="K95" s="121" t="n">
        <v>0.2928605006519428</v>
      </c>
      <c r="L95" s="121" t="n">
        <v>-0.09115303894112603</v>
      </c>
      <c r="M95" s="121" t="n">
        <v>-0.09115303894112625</v>
      </c>
      <c r="N95" t="n">
        <v>41.0352799726374</v>
      </c>
      <c r="O95" t="n">
        <v>-0.3218525562293458</v>
      </c>
      <c r="P95" t="n">
        <v>104.940469046741</v>
      </c>
      <c r="Q95" t="n">
        <v>102.7045865882174</v>
      </c>
    </row>
    <row r="96">
      <c r="A96" s="118" t="n">
        <v>44568</v>
      </c>
      <c r="B96" s="119" t="n">
        <v>148.5160569869733</v>
      </c>
      <c r="C96" s="119" t="n">
        <v>148.8578509438609</v>
      </c>
      <c r="D96" s="119" t="n">
        <v>144.9040752038728</v>
      </c>
      <c r="E96" s="119" t="n">
        <v>145.0056915283203</v>
      </c>
      <c r="F96" s="120" t="n">
        <v>5108000</v>
      </c>
      <c r="G96" s="121" t="n">
        <v>-0.02527320905064412</v>
      </c>
      <c r="H96" s="122" t="n">
        <v>92.74119623554256</v>
      </c>
      <c r="I96" s="119" t="n">
        <v>155.1146899414063</v>
      </c>
      <c r="J96" s="119" t="n">
        <v/>
      </c>
      <c r="K96" s="121" t="n">
        <v>0.3018930789403797</v>
      </c>
      <c r="L96" s="121" t="n">
        <v>-0.1141225181830097</v>
      </c>
      <c r="M96" s="121" t="n">
        <v>-0.1141225181830097</v>
      </c>
      <c r="N96" t="n">
        <v>35.62053285342623</v>
      </c>
      <c r="O96" t="n">
        <v>-0.6731029922761997</v>
      </c>
      <c r="P96" t="n">
        <v>104.5256035105406</v>
      </c>
      <c r="Q96" t="n">
        <v>101.5920111499177</v>
      </c>
    </row>
    <row r="97">
      <c r="A97" s="118" t="n">
        <v>44571</v>
      </c>
      <c r="B97" s="119" t="n">
        <v>139.0473537901482</v>
      </c>
      <c r="C97" s="119" t="n">
        <v>139.7956132500342</v>
      </c>
      <c r="D97" s="119" t="n">
        <v>137.4399716978196</v>
      </c>
      <c r="E97" s="119" t="n">
        <v>138.9734497070312</v>
      </c>
      <c r="F97" s="120" t="n">
        <v>10439000</v>
      </c>
      <c r="G97" s="121" t="n">
        <v>-0.04160003485181085</v>
      </c>
      <c r="H97" s="122" t="n">
        <v>88.88315923994537</v>
      </c>
      <c r="I97" s="119" t="n">
        <v>154.8611138916016</v>
      </c>
      <c r="J97" s="119" t="n">
        <v/>
      </c>
      <c r="K97" s="121" t="n">
        <v>0.3287786743833766</v>
      </c>
      <c r="L97" s="121" t="n">
        <v>-0.1509750523010308</v>
      </c>
      <c r="M97" s="121" t="n">
        <v>-0.1509750523010309</v>
      </c>
      <c r="N97" t="n">
        <v>29.00711199211842</v>
      </c>
      <c r="O97" t="n">
        <v>-1.236512396028707</v>
      </c>
      <c r="P97" t="n">
        <v>104.395543888667</v>
      </c>
      <c r="Q97" t="n">
        <v>101.6588623285221</v>
      </c>
    </row>
    <row r="98">
      <c r="A98" s="118" t="n">
        <v>44572</v>
      </c>
      <c r="B98" s="119" t="n">
        <v>139.0103745432289</v>
      </c>
      <c r="C98" s="119" t="n">
        <v>139.3429358211503</v>
      </c>
      <c r="D98" s="119" t="n">
        <v>136.349898415618</v>
      </c>
      <c r="E98" s="119" t="n">
        <v>138.8441009521484</v>
      </c>
      <c r="F98" s="120" t="n">
        <v>8175400</v>
      </c>
      <c r="G98" s="121" t="n">
        <v>-0.0009307443627217804</v>
      </c>
      <c r="H98" s="122" t="n">
        <v>88.80043174054188</v>
      </c>
      <c r="I98" s="119" t="n">
        <v>154.5527593994141</v>
      </c>
      <c r="J98" s="119" t="n">
        <v/>
      </c>
      <c r="K98" s="121" t="n">
        <v>0.3279312276236038</v>
      </c>
      <c r="L98" s="121" t="n">
        <v>-0.1517652774849119</v>
      </c>
      <c r="M98" s="121" t="n">
        <v>-0.1517652774849119</v>
      </c>
      <c r="N98" t="n">
        <v>28.88327784432497</v>
      </c>
      <c r="O98" t="n">
        <v>-1.523836971467454</v>
      </c>
      <c r="P98" t="n">
        <v>105.3463807551619</v>
      </c>
      <c r="Q98" t="n">
        <v>103.1859939397664</v>
      </c>
    </row>
    <row r="99">
      <c r="A99" s="118" t="n">
        <v>44573</v>
      </c>
      <c r="B99" s="119" t="n">
        <v>140.5346164370791</v>
      </c>
      <c r="C99" s="119" t="n">
        <v>141.7632451834718</v>
      </c>
      <c r="D99" s="119" t="n">
        <v>139.2505631615764</v>
      </c>
      <c r="E99" s="119" t="n">
        <v>140.6085205078125</v>
      </c>
      <c r="F99" s="120" t="n">
        <v>6351200</v>
      </c>
      <c r="G99" s="121" t="n">
        <v>0.01270791876330524</v>
      </c>
      <c r="H99" s="122" t="n">
        <v>89.92890041324712</v>
      </c>
      <c r="I99" s="119" t="n">
        <v>154.2973968505859</v>
      </c>
      <c r="J99" s="119" t="n">
        <v/>
      </c>
      <c r="K99" s="121" t="n">
        <v>0.333503573394536</v>
      </c>
      <c r="L99" s="121" t="n">
        <v>-0.1409859795389754</v>
      </c>
      <c r="M99" s="121" t="n">
        <v>-0.1409859795389753</v>
      </c>
      <c r="N99" t="n">
        <v>33.08005397749311</v>
      </c>
      <c r="O99" t="n">
        <v>-1.498725894055673</v>
      </c>
      <c r="P99" t="n">
        <v>105.6312084903526</v>
      </c>
      <c r="Q99" t="n">
        <v>103.5951889300894</v>
      </c>
    </row>
    <row r="100">
      <c r="A100" s="118" t="n">
        <v>44574</v>
      </c>
      <c r="B100" s="119" t="n">
        <v>141.5230628112891</v>
      </c>
      <c r="C100" s="119" t="n">
        <v>141.8925831894518</v>
      </c>
      <c r="D100" s="119" t="n">
        <v>137.6616700058755</v>
      </c>
      <c r="E100" s="119" t="n">
        <v>138.1882171630859</v>
      </c>
      <c r="F100" s="120" t="n">
        <v>4990900</v>
      </c>
      <c r="G100" s="121" t="n">
        <v>-0.01721306316278381</v>
      </c>
      <c r="H100" s="122" t="n">
        <v>88.38094857027421</v>
      </c>
      <c r="I100" s="119" t="n">
        <v>153.9659649658203</v>
      </c>
      <c r="J100" s="119" t="n">
        <v/>
      </c>
      <c r="K100" s="121" t="n">
        <v>0.3364052432513887</v>
      </c>
      <c r="L100" s="121" t="n">
        <v>-0.1557722421308877</v>
      </c>
      <c r="M100" s="121" t="n">
        <v>-0.1557722421308878</v>
      </c>
      <c r="N100" t="n">
        <v>30.42750710812369</v>
      </c>
      <c r="O100" t="n">
        <v>-1.542745906247256</v>
      </c>
      <c r="P100" t="n">
        <v>104.1757496012237</v>
      </c>
      <c r="Q100" t="n">
        <v>101.0036570145246</v>
      </c>
    </row>
    <row r="101">
      <c r="A101" s="118" t="n">
        <v>44575</v>
      </c>
      <c r="B101" s="119" t="n">
        <v>137.0796811084456</v>
      </c>
      <c r="C101" s="119" t="n">
        <v>137.4953791906515</v>
      </c>
      <c r="D101" s="119" t="n">
        <v>135.657066448155</v>
      </c>
      <c r="E101" s="119" t="n">
        <v>136.8856811523438</v>
      </c>
      <c r="F101" s="120" t="n">
        <v>6030500</v>
      </c>
      <c r="G101" s="121" t="n">
        <v>-0.009425810951775748</v>
      </c>
      <c r="H101" s="122" t="n">
        <v>87.54788645731219</v>
      </c>
      <c r="I101" s="119" t="n">
        <v>153.5223559570312</v>
      </c>
      <c r="J101" s="119" t="n">
        <v/>
      </c>
      <c r="K101" s="121" t="n">
        <v>0.33674829437762</v>
      </c>
      <c r="L101" s="121" t="n">
        <v>-0.1637297733768036</v>
      </c>
      <c r="M101" s="121" t="n">
        <v>-0.1637297733768036</v>
      </c>
      <c r="N101" t="n">
        <v>29.07624440735793</v>
      </c>
      <c r="O101" t="n">
        <v>-1.552938814399426</v>
      </c>
      <c r="P101" t="n">
        <v>104.2183584746052</v>
      </c>
      <c r="Q101" t="n">
        <v>101.6321403149861</v>
      </c>
    </row>
    <row r="102">
      <c r="A102" s="118" t="n">
        <v>44579</v>
      </c>
      <c r="B102" s="119" t="n">
        <v>136.7748469152572</v>
      </c>
      <c r="C102" s="119" t="n">
        <v>137.4861613703872</v>
      </c>
      <c r="D102" s="119" t="n">
        <v>135.1489993992938</v>
      </c>
      <c r="E102" s="119" t="n">
        <v>135.7494506835938</v>
      </c>
      <c r="F102" s="120" t="n">
        <v>6931000</v>
      </c>
      <c r="G102" s="121" t="n">
        <v>-0.008300579426459231</v>
      </c>
      <c r="H102" s="122" t="n">
        <v>86.82118827215463</v>
      </c>
      <c r="I102" s="119" t="n">
        <v>153.0018017578125</v>
      </c>
      <c r="J102" s="119" t="n">
        <v/>
      </c>
      <c r="K102" s="121" t="n">
        <v>0.3367395727613637</v>
      </c>
      <c r="L102" s="121" t="n">
        <v>-0.1706713008148725</v>
      </c>
      <c r="M102" s="121" t="n">
        <v>-0.1706713008148725</v>
      </c>
      <c r="N102" t="n">
        <v>27.91179002100674</v>
      </c>
      <c r="O102" t="n">
        <v>-1.52724252713615</v>
      </c>
      <c r="P102" t="n">
        <v>102.3727061726132</v>
      </c>
      <c r="Q102" t="n">
        <v>99.10207322553268</v>
      </c>
    </row>
    <row r="103">
      <c r="A103" s="118" t="n">
        <v>44580</v>
      </c>
      <c r="B103" s="119" t="n">
        <v>136.4977244374909</v>
      </c>
      <c r="C103" s="119" t="n">
        <v>137.735600320453</v>
      </c>
      <c r="D103" s="119" t="n">
        <v>133.9665763197517</v>
      </c>
      <c r="E103" s="119" t="n">
        <v>134.0497131347656</v>
      </c>
      <c r="F103" s="120" t="n">
        <v>4823800</v>
      </c>
      <c r="G103" s="121" t="n">
        <v>-0.01252113758301598</v>
      </c>
      <c r="H103" s="122" t="n">
        <v>85.73408822867805</v>
      </c>
      <c r="I103" s="119" t="n">
        <v>152.4090771484375</v>
      </c>
      <c r="J103" s="119" t="n">
        <v/>
      </c>
      <c r="K103" s="121" t="n">
        <v>0.3275464550856029</v>
      </c>
      <c r="L103" s="121" t="n">
        <v>-0.1810554395589131</v>
      </c>
      <c r="M103" s="121" t="n">
        <v>-0.1810554395589132</v>
      </c>
      <c r="N103" t="n">
        <v>26.22010787640178</v>
      </c>
      <c r="O103" t="n">
        <v>-1.512879440061725</v>
      </c>
      <c r="P103" t="n">
        <v>101.3097100661827</v>
      </c>
      <c r="Q103" t="n">
        <v>98.01359374417969</v>
      </c>
    </row>
    <row r="104">
      <c r="A104" s="118" t="n">
        <v>44581</v>
      </c>
      <c r="B104" s="119" t="n">
        <v>134.3729874283595</v>
      </c>
      <c r="C104" s="119" t="n">
        <v>136.1466425769232</v>
      </c>
      <c r="D104" s="119" t="n">
        <v>131.6385935978083</v>
      </c>
      <c r="E104" s="119" t="n">
        <v>131.8510589599609</v>
      </c>
      <c r="F104" s="120" t="n">
        <v>5366500</v>
      </c>
      <c r="G104" s="121" t="n">
        <v>-0.01640178202093046</v>
      </c>
      <c r="H104" s="122" t="n">
        <v>84.32789640178804</v>
      </c>
      <c r="I104" s="119" t="n">
        <v>151.8767639160156</v>
      </c>
      <c r="J104" s="119" t="n">
        <v/>
      </c>
      <c r="K104" s="121" t="n">
        <v>0.2214038710699418</v>
      </c>
      <c r="L104" s="121" t="n">
        <v>-0.1944875897264947</v>
      </c>
      <c r="M104" s="121" t="n">
        <v>-0.1944875897264946</v>
      </c>
      <c r="N104" t="n">
        <v>24.17872610921879</v>
      </c>
      <c r="O104" t="n">
        <v>-1.534764255305106</v>
      </c>
      <c r="P104" t="n">
        <v>100.1883940644341</v>
      </c>
      <c r="Q104" t="n">
        <v>96.74054359539218</v>
      </c>
    </row>
    <row r="105">
      <c r="A105" s="118" t="n">
        <v>44582</v>
      </c>
      <c r="B105" s="119" t="n">
        <v>133.3199554315362</v>
      </c>
      <c r="C105" s="119" t="n">
        <v>135.2044606988958</v>
      </c>
      <c r="D105" s="119" t="n">
        <v>131.9619975096788</v>
      </c>
      <c r="E105" s="119" t="n">
        <v>132.0543670654297</v>
      </c>
      <c r="F105" s="120" t="n">
        <v>7553400</v>
      </c>
      <c r="G105" s="121" t="n">
        <v>0.001541952769074761</v>
      </c>
      <c r="H105" s="122" t="n">
        <v>84.45792603515503</v>
      </c>
      <c r="I105" s="119" t="n">
        <v>151.3121841430664</v>
      </c>
      <c r="J105" s="119" t="n">
        <v/>
      </c>
      <c r="K105" s="121" t="n">
        <v>0.22378435930048</v>
      </c>
      <c r="L105" s="121" t="n">
        <v>-0.1932455276349494</v>
      </c>
      <c r="M105" s="121" t="n">
        <v>-0.1932455276349493</v>
      </c>
      <c r="N105" t="n">
        <v>24.76204919940332</v>
      </c>
      <c r="O105" t="n">
        <v>-1.421435655810797</v>
      </c>
      <c r="P105" t="n">
        <v>98.2216359683481</v>
      </c>
      <c r="Q105" t="n">
        <v>94.05805615431903</v>
      </c>
    </row>
    <row r="106">
      <c r="A106" s="118" t="n">
        <v>44585</v>
      </c>
      <c r="B106" s="119" t="n">
        <v>130.0773929136627</v>
      </c>
      <c r="C106" s="119" t="n">
        <v>135.1581803110734</v>
      </c>
      <c r="D106" s="119" t="n">
        <v>128.9226685051602</v>
      </c>
      <c r="E106" s="119" t="n">
        <v>134.8718109130859</v>
      </c>
      <c r="F106" s="120" t="n">
        <v>9733200</v>
      </c>
      <c r="G106" s="121" t="n">
        <v>0.02133548409088415</v>
      </c>
      <c r="H106" s="122" t="n">
        <v>86.25987677242715</v>
      </c>
      <c r="I106" s="119" t="n">
        <v>150.906494140625</v>
      </c>
      <c r="J106" s="119" t="n">
        <v/>
      </c>
      <c r="K106" s="121" t="n">
        <v>0.244188528583225</v>
      </c>
      <c r="L106" s="121" t="n">
        <v>-0.1760330304245552</v>
      </c>
      <c r="M106" s="121" t="n">
        <v>-0.1760330304245552</v>
      </c>
      <c r="N106" t="n">
        <v>32.51089500541211</v>
      </c>
      <c r="O106" t="n">
        <v>-1.059231004575008</v>
      </c>
      <c r="P106" t="n">
        <v>98.63877087438382</v>
      </c>
      <c r="Q106" t="n">
        <v>94.48865392534232</v>
      </c>
    </row>
    <row r="107">
      <c r="A107" s="118" t="n">
        <v>44586</v>
      </c>
      <c r="B107" s="119" t="n">
        <v>133.9203568751994</v>
      </c>
      <c r="C107" s="119" t="n">
        <v>136.6824635133427</v>
      </c>
      <c r="D107" s="119" t="n">
        <v>131.6478523966009</v>
      </c>
      <c r="E107" s="119" t="n">
        <v>134.3914794921875</v>
      </c>
      <c r="F107" s="120" t="n">
        <v>8195400</v>
      </c>
      <c r="G107" s="121" t="n">
        <v>-0.003561392240873595</v>
      </c>
      <c r="H107" s="122" t="n">
        <v>85.95267151659112</v>
      </c>
      <c r="I107" s="119" t="n">
        <v>150.5149877929688</v>
      </c>
      <c r="J107" s="119" t="n">
        <v/>
      </c>
      <c r="K107" s="121" t="n">
        <v>0.2353848727549568</v>
      </c>
      <c r="L107" s="121" t="n">
        <v>-0.1789674999967372</v>
      </c>
      <c r="M107" s="121" t="n">
        <v>-0.1789674999967373</v>
      </c>
      <c r="N107" t="n">
        <v>31.90755244314521</v>
      </c>
      <c r="O107" t="n">
        <v>-0.7680651436856207</v>
      </c>
      <c r="P107" t="n">
        <v>97.43448467484366</v>
      </c>
      <c r="Q107" t="n">
        <v>92.29826264123253</v>
      </c>
    </row>
    <row r="108">
      <c r="A108" s="118" t="n">
        <v>44587</v>
      </c>
      <c r="B108" s="119" t="n">
        <v>136.5161797159522</v>
      </c>
      <c r="C108" s="119" t="n">
        <v>137.615479949376</v>
      </c>
      <c r="D108" s="119" t="n">
        <v>131.8510888384684</v>
      </c>
      <c r="E108" s="119" t="n">
        <v>133.0150604248047</v>
      </c>
      <c r="F108" s="120" t="n">
        <v>7444600</v>
      </c>
      <c r="G108" s="121" t="n">
        <v>-0.01024186259860937</v>
      </c>
      <c r="H108" s="122" t="n">
        <v>85.07235606493478</v>
      </c>
      <c r="I108" s="119" t="n">
        <v>150.0568557739258</v>
      </c>
      <c r="J108" s="119" t="n">
        <v/>
      </c>
      <c r="K108" s="121" t="n">
        <v>0.2356761623350103</v>
      </c>
      <c r="L108" s="121" t="n">
        <v>-0.1873764020507634</v>
      </c>
      <c r="M108" s="121" t="n">
        <v>-0.1873764020507634</v>
      </c>
      <c r="N108" t="n">
        <v>30.1791818579543</v>
      </c>
      <c r="O108" t="n">
        <v>-0.5921240602403506</v>
      </c>
      <c r="P108" t="n">
        <v>97.19006190579059</v>
      </c>
      <c r="Q108" t="n">
        <v>92.15384630873787</v>
      </c>
    </row>
    <row r="109">
      <c r="A109" s="118" t="n">
        <v>44588</v>
      </c>
      <c r="B109" s="119" t="n">
        <v>133.9388375998743</v>
      </c>
      <c r="C109" s="119" t="n">
        <v>136.1189584806917</v>
      </c>
      <c r="D109" s="119" t="n">
        <v>132.6363047054714</v>
      </c>
      <c r="E109" s="119" t="n">
        <v>133.6155090332031</v>
      </c>
      <c r="F109" s="120" t="n">
        <v>6396400</v>
      </c>
      <c r="G109" s="121" t="n">
        <v>0.004514140026556479</v>
      </c>
      <c r="H109" s="122" t="n">
        <v>85.45638459260097</v>
      </c>
      <c r="I109" s="119" t="n">
        <v>149.6151586914062</v>
      </c>
      <c r="J109" s="119" t="n">
        <v/>
      </c>
      <c r="K109" s="121" t="n">
        <v>0.226411087671278</v>
      </c>
      <c r="L109" s="121" t="n">
        <v>-0.1837081053407364</v>
      </c>
      <c r="M109" s="121" t="n">
        <v>-0.1837081053407364</v>
      </c>
      <c r="N109" t="n">
        <v>31.9118864344549</v>
      </c>
      <c r="O109" t="n">
        <v>-0.3701181100924815</v>
      </c>
      <c r="P109" t="n">
        <v>96.71011928011514</v>
      </c>
      <c r="Q109" t="n">
        <v>91.22581636800116</v>
      </c>
    </row>
    <row r="110">
      <c r="A110" s="118" t="n">
        <v>44589</v>
      </c>
      <c r="B110" s="119" t="n">
        <v>133.1351529139159</v>
      </c>
      <c r="C110" s="119" t="n">
        <v>134.8995758825283</v>
      </c>
      <c r="D110" s="119" t="n">
        <v>129.8926905823385</v>
      </c>
      <c r="E110" s="119" t="n">
        <v>134.7887268066406</v>
      </c>
      <c r="F110" s="120" t="n">
        <v>6130200</v>
      </c>
      <c r="G110" s="121" t="n">
        <v>0.00878055086513907</v>
      </c>
      <c r="H110" s="122" t="n">
        <v>86.2067387242672</v>
      </c>
      <c r="I110" s="119" t="n">
        <v>149.141967163086</v>
      </c>
      <c r="J110" s="119" t="n">
        <v/>
      </c>
      <c r="K110" s="121" t="n">
        <v>0.2337468490811341</v>
      </c>
      <c r="L110" s="121" t="n">
        <v>-0.17654061283888</v>
      </c>
      <c r="M110" s="121" t="n">
        <v>-0.17654061283888</v>
      </c>
      <c r="N110" t="n">
        <v>35.29091839404033</v>
      </c>
      <c r="O110" t="n">
        <v>-0.09348114861473178</v>
      </c>
      <c r="P110" t="n">
        <v>99.11196357952356</v>
      </c>
      <c r="Q110" t="n">
        <v>94.08747134410153</v>
      </c>
    </row>
    <row r="111">
      <c r="A111" s="118" t="n">
        <v>44592</v>
      </c>
      <c r="B111" s="119" t="n">
        <v>135.1212665247247</v>
      </c>
      <c r="C111" s="119" t="n">
        <v>136.8856751154529</v>
      </c>
      <c r="D111" s="119" t="n">
        <v>134.1512949785144</v>
      </c>
      <c r="E111" s="119" t="n">
        <v>136.7840728759766</v>
      </c>
      <c r="F111" s="120" t="n">
        <v>6932200</v>
      </c>
      <c r="G111" s="121" t="n">
        <v>0.0148035085471081</v>
      </c>
      <c r="H111" s="122" t="n">
        <v>87.48290091779019</v>
      </c>
      <c r="I111" s="119" t="n">
        <v>148.7103421020508</v>
      </c>
      <c r="J111" s="119" t="n">
        <v/>
      </c>
      <c r="K111" s="121" t="n">
        <v>0.2459796877469644</v>
      </c>
      <c r="L111" s="121" t="n">
        <v>-0.1643505247628441</v>
      </c>
      <c r="M111" s="121" t="n">
        <v>-0.1643505247628438</v>
      </c>
      <c r="N111" t="n">
        <v>40.68263580234212</v>
      </c>
      <c r="O111" t="n">
        <v>0.2555750753940602</v>
      </c>
      <c r="P111" t="n">
        <v>100.8970629844686</v>
      </c>
      <c r="Q111" t="n">
        <v>97.09624421890022</v>
      </c>
    </row>
    <row r="112">
      <c r="A112" s="118" t="n">
        <v>44593</v>
      </c>
      <c r="B112" s="119" t="n">
        <v>138.1050749113679</v>
      </c>
      <c r="C112" s="119" t="n">
        <v>138.2713485031556</v>
      </c>
      <c r="D112" s="119" t="n">
        <v>135.6108723642277</v>
      </c>
      <c r="E112" s="119" t="n">
        <v>136.9226379394531</v>
      </c>
      <c r="F112" s="120" t="n">
        <v>6695000</v>
      </c>
      <c r="G112" s="121" t="n">
        <v>0.001013020453062508</v>
      </c>
      <c r="H112" s="122" t="n">
        <v>87.57152288571316</v>
      </c>
      <c r="I112" s="119" t="n">
        <v>148.2886810302734</v>
      </c>
      <c r="J112" s="119" t="n">
        <v/>
      </c>
      <c r="K112" s="121" t="n">
        <v>0.245955365819809</v>
      </c>
      <c r="L112" s="121" t="n">
        <v>-0.1635039947528377</v>
      </c>
      <c r="M112" s="121" t="n">
        <v>-0.1635039947528376</v>
      </c>
      <c r="N112" t="n">
        <v>41.04997399537566</v>
      </c>
      <c r="O112" t="n">
        <v>0.5126462528031634</v>
      </c>
      <c r="P112" t="n">
        <v>101.5788340530581</v>
      </c>
      <c r="Q112" t="n">
        <v>97.75681910547641</v>
      </c>
    </row>
    <row r="113">
      <c r="A113" s="118" t="n">
        <v>44594</v>
      </c>
      <c r="B113" s="119" t="n">
        <v>137.0427438720509</v>
      </c>
      <c r="C113" s="119" t="n">
        <v>138.0681400505727</v>
      </c>
      <c r="D113" s="119" t="n">
        <v>136.28523764298</v>
      </c>
      <c r="E113" s="119" t="n">
        <v>137.3753051757812</v>
      </c>
      <c r="F113" s="120" t="n">
        <v>5491700</v>
      </c>
      <c r="G113" s="121" t="n">
        <v>0.003306007269070488</v>
      </c>
      <c r="H113" s="122" t="n">
        <v>87.86103497693691</v>
      </c>
      <c r="I113" s="119" t="n">
        <v>147.8109710693359</v>
      </c>
      <c r="J113" s="119" t="n">
        <v/>
      </c>
      <c r="K113" s="121" t="n">
        <v>0.2412180572382256</v>
      </c>
      <c r="L113" s="121" t="n">
        <v>-0.1481171963027854</v>
      </c>
      <c r="M113" s="121" t="n">
        <v>-0.1607385328789422</v>
      </c>
      <c r="N113" t="n">
        <v>42.30692380612713</v>
      </c>
      <c r="O113" t="n">
        <v>0.7174637315039476</v>
      </c>
      <c r="P113" t="n">
        <v>102.5655516932626</v>
      </c>
      <c r="Q113" t="n">
        <v>98.55114668900431</v>
      </c>
    </row>
    <row r="114">
      <c r="A114" s="118" t="n">
        <v>44595</v>
      </c>
      <c r="B114" s="119" t="n">
        <v>136.1651478484613</v>
      </c>
      <c r="C114" s="119" t="n">
        <v>137.1443663557671</v>
      </c>
      <c r="D114" s="119" t="n">
        <v>133.9203695196318</v>
      </c>
      <c r="E114" s="119" t="n">
        <v>134.2344512939453</v>
      </c>
      <c r="F114" s="120" t="n">
        <v>5240200</v>
      </c>
      <c r="G114" s="121" t="n">
        <v>-0.02286330776712009</v>
      </c>
      <c r="H114" s="122" t="n">
        <v>85.85224109352149</v>
      </c>
      <c r="I114" s="119" t="n">
        <v>147.2822473144531</v>
      </c>
      <c r="J114" s="119" t="n">
        <v/>
      </c>
      <c r="K114" s="121" t="n">
        <v>0.2391640927015837</v>
      </c>
      <c r="L114" s="121" t="n">
        <v>-0.1675940550252322</v>
      </c>
      <c r="M114" s="121" t="n">
        <v>-0.1799268260988157</v>
      </c>
      <c r="N114" t="n">
        <v>36.49268219203427</v>
      </c>
      <c r="O114" t="n">
        <v>0.647827365885604</v>
      </c>
      <c r="P114" t="n">
        <v>100.1547535660746</v>
      </c>
      <c r="Q114" t="n">
        <v>94.5554967139896</v>
      </c>
    </row>
    <row r="115">
      <c r="A115" s="118" t="n">
        <v>44596</v>
      </c>
      <c r="B115" s="119" t="n">
        <v>134.2898700658669</v>
      </c>
      <c r="C115" s="119" t="n">
        <v>135.3152662462615</v>
      </c>
      <c r="D115" s="119" t="n">
        <v>132.6917348985757</v>
      </c>
      <c r="E115" s="119" t="n">
        <v>134.308349609375</v>
      </c>
      <c r="F115" s="120" t="n">
        <v>4313400</v>
      </c>
      <c r="G115" s="121" t="n">
        <v>0.0005505167616610684</v>
      </c>
      <c r="H115" s="122" t="n">
        <v>85.89950419126964</v>
      </c>
      <c r="I115" s="119" t="n">
        <v>146.7935467529297</v>
      </c>
      <c r="J115" s="119" t="n">
        <v/>
      </c>
      <c r="K115" s="121" t="n">
        <v>0.2399336488073206</v>
      </c>
      <c r="L115" s="121" t="n">
        <v>-0.1671358016000172</v>
      </c>
      <c r="M115" s="121" t="n">
        <v>-0.1794753620707945</v>
      </c>
      <c r="N115" t="n">
        <v>36.71305967357488</v>
      </c>
      <c r="O115" t="n">
        <v>0.6135005464302825</v>
      </c>
      <c r="P115" t="n">
        <v>100.6257059958642</v>
      </c>
      <c r="Q115" t="n">
        <v>95.74833048242611</v>
      </c>
    </row>
    <row r="116">
      <c r="A116" s="118" t="n">
        <v>44599</v>
      </c>
      <c r="B116" s="119" t="n">
        <v>134.2251701701367</v>
      </c>
      <c r="C116" s="119" t="n">
        <v>134.9826620642095</v>
      </c>
      <c r="D116" s="119" t="n">
        <v>133.2274865740411</v>
      </c>
      <c r="E116" s="119" t="n">
        <v>134.0773620605469</v>
      </c>
      <c r="F116" s="120" t="n">
        <v>3877500</v>
      </c>
      <c r="G116" s="121" t="n">
        <v>-0.00171983014831123</v>
      </c>
      <c r="H116" s="122" t="n">
        <v>85.7517716342365</v>
      </c>
      <c r="I116" s="119" t="n">
        <v>146.3024392700195</v>
      </c>
      <c r="J116" s="119" t="n">
        <v/>
      </c>
      <c r="K116" s="121" t="n">
        <v>0.2277825509749974</v>
      </c>
      <c r="L116" s="121" t="n">
        <v>-0.1685681865578745</v>
      </c>
      <c r="M116" s="121" t="n">
        <v>-0.1808865250805374</v>
      </c>
      <c r="N116" t="n">
        <v>36.28916386561585</v>
      </c>
      <c r="O116" t="n">
        <v>0.5822491396168932</v>
      </c>
      <c r="P116" t="n">
        <v>100.3027717588562</v>
      </c>
      <c r="Q116" t="n">
        <v>94.97806529601637</v>
      </c>
    </row>
    <row r="117">
      <c r="A117" s="118" t="n">
        <v>44600</v>
      </c>
      <c r="B117" s="119" t="n">
        <v>133.7079443714341</v>
      </c>
      <c r="C117" s="119" t="n">
        <v>134.4100122129848</v>
      </c>
      <c r="D117" s="119" t="n">
        <v>131.4539185436051</v>
      </c>
      <c r="E117" s="119" t="n">
        <v>132.5901641845703</v>
      </c>
      <c r="F117" s="120" t="n">
        <v>5829400</v>
      </c>
      <c r="G117" s="121" t="n">
        <v>-0.01109208782989757</v>
      </c>
      <c r="H117" s="122" t="n">
        <v>84.80060545170024</v>
      </c>
      <c r="I117" s="119" t="n">
        <v>145.8555426025391</v>
      </c>
      <c r="J117" s="119" t="n">
        <v/>
      </c>
      <c r="K117" s="121" t="n">
        <v>0.1817446725392547</v>
      </c>
      <c r="L117" s="121" t="n">
        <v>-0.1777905012571456</v>
      </c>
      <c r="M117" s="121" t="n">
        <v>-0.1899722036869966</v>
      </c>
      <c r="N117" t="n">
        <v>33.59928084798149</v>
      </c>
      <c r="O117" t="n">
        <v>0.473068120344148</v>
      </c>
      <c r="P117" t="n">
        <v>101.1280441014204</v>
      </c>
      <c r="Q117" t="n">
        <v>96.0451755564977</v>
      </c>
    </row>
    <row r="118">
      <c r="A118" s="118" t="n">
        <v>44601</v>
      </c>
      <c r="B118" s="119" t="n">
        <v>134.9734534528651</v>
      </c>
      <c r="C118" s="119" t="n">
        <v>136.1281780857533</v>
      </c>
      <c r="D118" s="119" t="n">
        <v>134.5669881267669</v>
      </c>
      <c r="E118" s="119" t="n">
        <v>135.1120147705078</v>
      </c>
      <c r="F118" s="120" t="n">
        <v>4551000</v>
      </c>
      <c r="G118" s="121" t="n">
        <v>0.01901989187091591</v>
      </c>
      <c r="H118" s="122" t="n">
        <v>86.41350379797979</v>
      </c>
      <c r="I118" s="119" t="n">
        <v>145.4249645996094</v>
      </c>
      <c r="J118" s="119" t="n">
        <v/>
      </c>
      <c r="K118" s="121" t="n">
        <v>0.1968843868560568</v>
      </c>
      <c r="L118" s="121" t="n">
        <v>-0.1621521654958165</v>
      </c>
      <c r="M118" s="121" t="n">
        <v>-0.1745655625886871</v>
      </c>
      <c r="N118" t="n">
        <v>41.51573573100831</v>
      </c>
      <c r="O118" t="n">
        <v>0.5755356682057906</v>
      </c>
      <c r="P118" t="n">
        <v>102.608182387508</v>
      </c>
      <c r="Q118" t="n">
        <v>98.08046170269841</v>
      </c>
    </row>
    <row r="119">
      <c r="A119" s="118" t="n">
        <v>44602</v>
      </c>
      <c r="B119" s="119" t="n">
        <v>132.987332945031</v>
      </c>
      <c r="C119" s="119" t="n">
        <v>136.2944518948856</v>
      </c>
      <c r="D119" s="119" t="n">
        <v>132.8857166133365</v>
      </c>
      <c r="E119" s="119" t="n">
        <v>133.7817840576172</v>
      </c>
      <c r="F119" s="120" t="n">
        <v>5142600</v>
      </c>
      <c r="G119" s="121" t="n">
        <v>-0.009845391730336273</v>
      </c>
      <c r="H119" s="122" t="n">
        <v>85.56272900229777</v>
      </c>
      <c r="I119" s="119" t="n">
        <v>144.9794006347656</v>
      </c>
      <c r="J119" s="119" t="n">
        <v/>
      </c>
      <c r="K119" s="121" t="n">
        <v>0.1918308989208254</v>
      </c>
      <c r="L119" s="121" t="n">
        <v>-0.1704011056369241</v>
      </c>
      <c r="M119" s="121" t="n">
        <v>-0.1826922879727112</v>
      </c>
      <c r="N119" t="n">
        <v>38.88241651494085</v>
      </c>
      <c r="O119" t="n">
        <v>0.558146327920988</v>
      </c>
      <c r="P119" t="n">
        <v>100.7647485400023</v>
      </c>
      <c r="Q119" t="n">
        <v>95.86064683884895</v>
      </c>
    </row>
    <row r="120">
      <c r="A120" s="118" t="n">
        <v>44603</v>
      </c>
      <c r="B120" s="119" t="n">
        <v>133.7263662942973</v>
      </c>
      <c r="C120" s="119" t="n">
        <v>134.0035030690357</v>
      </c>
      <c r="D120" s="119" t="n">
        <v>128.9227138832921</v>
      </c>
      <c r="E120" s="119" t="n">
        <v>129.4954528808594</v>
      </c>
      <c r="F120" s="120" t="n">
        <v>6710500</v>
      </c>
      <c r="G120" s="121" t="n">
        <v>-0.03203972205148475</v>
      </c>
      <c r="H120" s="122" t="n">
        <v>82.82132294709764</v>
      </c>
      <c r="I120" s="119" t="n">
        <v>144.4949542236328</v>
      </c>
      <c r="J120" s="119" t="n">
        <v/>
      </c>
      <c r="K120" s="121" t="n">
        <v>0.2130459141430408</v>
      </c>
      <c r="L120" s="121" t="n">
        <v>-0.196981223626536</v>
      </c>
      <c r="M120" s="121" t="n">
        <v>-0.2088785998966005</v>
      </c>
      <c r="N120" t="n">
        <v>31.8680335827453</v>
      </c>
      <c r="O120" t="n">
        <v>0.2766210361149728</v>
      </c>
      <c r="P120" t="n">
        <v>98.77780614490069</v>
      </c>
      <c r="Q120" t="n">
        <v>92.81976559802126</v>
      </c>
    </row>
    <row r="121">
      <c r="A121" s="118" t="n">
        <v>44606</v>
      </c>
      <c r="B121" s="119" t="n">
        <v>129.4030561651216</v>
      </c>
      <c r="C121" s="119" t="n">
        <v>132.2944910048797</v>
      </c>
      <c r="D121" s="119" t="n">
        <v>129.1351521707159</v>
      </c>
      <c r="E121" s="119" t="n">
        <v>130.7979583740234</v>
      </c>
      <c r="F121" s="120" t="n">
        <v>6841200</v>
      </c>
      <c r="G121" s="121" t="n">
        <v>0.01005831065251694</v>
      </c>
      <c r="H121" s="122" t="n">
        <v>83.65436554195198</v>
      </c>
      <c r="I121" s="119" t="n">
        <v>143.9756973266602</v>
      </c>
      <c r="J121" s="119" t="n">
        <v/>
      </c>
      <c r="K121" s="121" t="n">
        <v>0.2166382466195205</v>
      </c>
      <c r="L121" s="121" t="n">
        <v>-0.1889042113139678</v>
      </c>
      <c r="M121" s="121" t="n">
        <v>-0.2009212550905063</v>
      </c>
      <c r="N121" t="n">
        <v>35.66603452949943</v>
      </c>
      <c r="O121" t="n">
        <v>0.2003344924910708</v>
      </c>
      <c r="P121" t="n">
        <v>98.45486463427139</v>
      </c>
      <c r="Q121" t="n">
        <v>92.93478352064774</v>
      </c>
    </row>
    <row r="122">
      <c r="A122" s="118" t="n">
        <v>44607</v>
      </c>
      <c r="B122" s="119" t="n">
        <v>133.2275151913107</v>
      </c>
      <c r="C122" s="119" t="n">
        <v>135.1674582830447</v>
      </c>
      <c r="D122" s="119" t="n">
        <v>133.1166661331865</v>
      </c>
      <c r="E122" s="119" t="n">
        <v>134.4838562011719</v>
      </c>
      <c r="F122" s="120" t="n">
        <v>7820200</v>
      </c>
      <c r="G122" s="121" t="n">
        <v>0.02818008685279638</v>
      </c>
      <c r="H122" s="122" t="n">
        <v>86.01175282853977</v>
      </c>
      <c r="I122" s="119" t="n">
        <v>143.5200888061523</v>
      </c>
      <c r="J122" s="119" t="n">
        <v/>
      </c>
      <c r="K122" s="121" t="n">
        <v>0.2403766078117034</v>
      </c>
      <c r="L122" s="121" t="n">
        <v>-0.1660474615428579</v>
      </c>
      <c r="M122" s="121" t="n">
        <v>-0.1784031466567332</v>
      </c>
      <c r="N122" t="n">
        <v>45.00825400755583</v>
      </c>
      <c r="O122" t="n">
        <v>0.4083326146506616</v>
      </c>
      <c r="P122" t="n">
        <v>100.0426452414878</v>
      </c>
      <c r="Q122" t="n">
        <v>95.24551196021976</v>
      </c>
    </row>
    <row r="123">
      <c r="A123" s="118" t="n">
        <v>44608</v>
      </c>
      <c r="B123" s="119" t="n">
        <v>133.9665210150624</v>
      </c>
      <c r="C123" s="119" t="n">
        <v>135.7494088701283</v>
      </c>
      <c r="D123" s="119" t="n">
        <v>133.5877679975613</v>
      </c>
      <c r="E123" s="119" t="n">
        <v>135.3244781494141</v>
      </c>
      <c r="F123" s="120" t="n">
        <v>4817500</v>
      </c>
      <c r="G123" s="121" t="n">
        <v>0.006250727574205861</v>
      </c>
      <c r="H123" s="122" t="n">
        <v>86.5493888636509</v>
      </c>
      <c r="I123" s="119" t="n">
        <v>143.1058660888672</v>
      </c>
      <c r="J123" s="119" t="n">
        <v/>
      </c>
      <c r="K123" s="121" t="n">
        <v>0.2369913436089589</v>
      </c>
      <c r="L123" s="121" t="n">
        <v>-0.1577522877883353</v>
      </c>
      <c r="M123" s="121" t="n">
        <v>-0.1732675685506597</v>
      </c>
      <c r="N123" t="n">
        <v>46.90203493245775</v>
      </c>
      <c r="O123" t="n">
        <v>0.6011017204153983</v>
      </c>
      <c r="P123" t="n">
        <v>100.1547535660746</v>
      </c>
      <c r="Q123" t="n">
        <v>95.22146634301592</v>
      </c>
    </row>
    <row r="124">
      <c r="A124" s="118" t="n">
        <v>44609</v>
      </c>
      <c r="B124" s="119" t="n">
        <v>134.4469193688483</v>
      </c>
      <c r="C124" s="119" t="n">
        <v>135.7125074068474</v>
      </c>
      <c r="D124" s="119" t="n">
        <v>131.7679633185738</v>
      </c>
      <c r="E124" s="119" t="n">
        <v>131.915771484375</v>
      </c>
      <c r="F124" s="120" t="n">
        <v>5202300</v>
      </c>
      <c r="G124" s="121" t="n">
        <v>-0.02518913585815163</v>
      </c>
      <c r="H124" s="122" t="n">
        <v>84.3692845491244</v>
      </c>
      <c r="I124" s="119" t="n">
        <v>142.5794973754883</v>
      </c>
      <c r="J124" s="119" t="n">
        <v/>
      </c>
      <c r="K124" s="121" t="n">
        <v>0.2471762444300073</v>
      </c>
      <c r="L124" s="121" t="n">
        <v>-0.1689998448585012</v>
      </c>
      <c r="M124" s="121" t="n">
        <v>-0.1940922440847772</v>
      </c>
      <c r="N124" t="n">
        <v>40.77071295409766</v>
      </c>
      <c r="O124" t="n">
        <v>0.5016680413745336</v>
      </c>
      <c r="P124" t="n">
        <v>98.01531242749105</v>
      </c>
      <c r="Q124" t="n">
        <v>92.38920138682658</v>
      </c>
    </row>
    <row r="125">
      <c r="A125" s="118" t="n">
        <v>44610</v>
      </c>
      <c r="B125" s="119" t="n">
        <v>132.4423530294223</v>
      </c>
      <c r="C125" s="119" t="n">
        <v>132.9689144706907</v>
      </c>
      <c r="D125" s="119" t="n">
        <v>131.0012582786593</v>
      </c>
      <c r="E125" s="119" t="n">
        <v>132.0543670654297</v>
      </c>
      <c r="F125" s="120" t="n">
        <v>5177400</v>
      </c>
      <c r="G125" s="121" t="n">
        <v>0.001050636929118776</v>
      </c>
      <c r="H125" s="122" t="n">
        <v>84.45792603515504</v>
      </c>
      <c r="I125" s="119" t="n">
        <v>142.0751153564453</v>
      </c>
      <c r="J125" s="119" t="n">
        <v/>
      </c>
      <c r="K125" s="121" t="n">
        <v>0.2471454367933954</v>
      </c>
      <c r="L125" s="121" t="n">
        <v>-0.1675465592808111</v>
      </c>
      <c r="M125" s="121" t="n">
        <v>-0.1932455276349493</v>
      </c>
      <c r="N125" t="n">
        <v>41.10781743411952</v>
      </c>
      <c r="O125" t="n">
        <v>0.4495369347454052</v>
      </c>
      <c r="P125" t="n">
        <v>97.38067442471106</v>
      </c>
      <c r="Q125" t="n">
        <v>91.335464718049</v>
      </c>
    </row>
    <row r="126">
      <c r="A126" s="118" t="n">
        <v>44614</v>
      </c>
      <c r="B126" s="119" t="n">
        <v>130.7979885625099</v>
      </c>
      <c r="C126" s="119" t="n">
        <v>130.8441803752161</v>
      </c>
      <c r="D126" s="119" t="n">
        <v>125.7818706285391</v>
      </c>
      <c r="E126" s="119" t="n">
        <v>127.6571426391602</v>
      </c>
      <c r="F126" s="120" t="n">
        <v>9604500</v>
      </c>
      <c r="G126" s="121" t="n">
        <v>-0.03329859151186432</v>
      </c>
      <c r="H126" s="122" t="n">
        <v>81.64559605617117</v>
      </c>
      <c r="I126" s="119" t="n">
        <v>141.5225102233887</v>
      </c>
      <c r="J126" s="119" t="n">
        <v/>
      </c>
      <c r="K126" s="121" t="n">
        <v>0.2606482847751131</v>
      </c>
      <c r="L126" s="121" t="n">
        <v>-0.1932392815956203</v>
      </c>
      <c r="M126" s="121" t="n">
        <v>-0.2201093152606027</v>
      </c>
      <c r="N126" t="n">
        <v>34.41524840411464</v>
      </c>
      <c r="O126" t="n">
        <v>0.139296940881771</v>
      </c>
      <c r="P126" t="n">
        <v>96.33560052108218</v>
      </c>
      <c r="Q126" t="n">
        <v>90.41812358272671</v>
      </c>
    </row>
    <row r="127">
      <c r="A127" s="118" t="n">
        <v>44615</v>
      </c>
      <c r="B127" s="119" t="n">
        <v>129.0150935757734</v>
      </c>
      <c r="C127" s="119" t="n">
        <v>130.2252428896379</v>
      </c>
      <c r="D127" s="119" t="n">
        <v>126.1051786733266</v>
      </c>
      <c r="E127" s="119" t="n">
        <v>126.4007949829102</v>
      </c>
      <c r="F127" s="120" t="n">
        <v>7636600</v>
      </c>
      <c r="G127" s="121" t="n">
        <v>-0.009841577449381189</v>
      </c>
      <c r="H127" s="122" t="n">
        <v>80.84207459918346</v>
      </c>
      <c r="I127" s="119" t="n">
        <v>140.9270422363281</v>
      </c>
      <c r="J127" s="119" t="n">
        <v/>
      </c>
      <c r="K127" s="121" t="n">
        <v>0.2619006336044294</v>
      </c>
      <c r="L127" s="121" t="n">
        <v>-0.2011790796889155</v>
      </c>
      <c r="M127" s="121" t="n">
        <v>-0.2277846698365165</v>
      </c>
      <c r="N127" t="n">
        <v>32.77349803185574</v>
      </c>
      <c r="O127" t="n">
        <v>-0.116331478078012</v>
      </c>
      <c r="P127" t="n">
        <v>94.62673594063557</v>
      </c>
      <c r="Q127" t="n">
        <v>88.10204235049034</v>
      </c>
    </row>
    <row r="128">
      <c r="A128" s="118" t="n">
        <v>44616</v>
      </c>
      <c r="B128" s="119" t="n">
        <v>122.8627289638785</v>
      </c>
      <c r="C128" s="119" t="n">
        <v>126.9458345056226</v>
      </c>
      <c r="D128" s="119" t="n">
        <v>120.9504977696775</v>
      </c>
      <c r="E128" s="119" t="n">
        <v>126.7148895263672</v>
      </c>
      <c r="F128" s="120" t="n">
        <v>8417200</v>
      </c>
      <c r="G128" s="121" t="n">
        <v>0.002484909556933479</v>
      </c>
      <c r="H128" s="122" t="n">
        <v>81.0429598429573</v>
      </c>
      <c r="I128" s="119" t="n">
        <v>140.3788717651367</v>
      </c>
      <c r="J128" s="119" t="n">
        <v/>
      </c>
      <c r="K128" s="121" t="n">
        <v>0.2610831261021589</v>
      </c>
      <c r="L128" s="121" t="n">
        <v>-0.1991940819497561</v>
      </c>
      <c r="M128" s="121" t="n">
        <v>-0.2258657845825827</v>
      </c>
      <c r="N128" t="n">
        <v>33.62598848173775</v>
      </c>
      <c r="O128" t="n">
        <v>-0.2238428604463834</v>
      </c>
      <c r="P128" t="n">
        <v>96.05079460675528</v>
      </c>
      <c r="Q128" t="n">
        <v>91.06266526118127</v>
      </c>
    </row>
    <row r="129">
      <c r="A129" s="118" t="n">
        <v>44617</v>
      </c>
      <c r="B129" s="119" t="n">
        <v>127.6017113007057</v>
      </c>
      <c r="C129" s="119" t="n">
        <v>128.608627923523</v>
      </c>
      <c r="D129" s="119" t="n">
        <v>125.8095761910241</v>
      </c>
      <c r="E129" s="119" t="n">
        <v>128.2206420898438</v>
      </c>
      <c r="F129" s="120" t="n">
        <v>5424500</v>
      </c>
      <c r="G129" s="121" t="n">
        <v>0.01188299630062994</v>
      </c>
      <c r="H129" s="122" t="n">
        <v>82.00599303496327</v>
      </c>
      <c r="I129" s="119" t="n">
        <v>139.8874212646484</v>
      </c>
      <c r="J129" s="119" t="n">
        <v/>
      </c>
      <c r="K129" s="121" t="n">
        <v>0.2649138178829621</v>
      </c>
      <c r="L129" s="121" t="n">
        <v>-0.1896781081880424</v>
      </c>
      <c r="M129" s="121" t="n">
        <v>-0.2166667505645864</v>
      </c>
      <c r="N129" t="n">
        <v>37.70434041634167</v>
      </c>
      <c r="O129" t="n">
        <v>-0.1563224154002238</v>
      </c>
      <c r="P129" t="n">
        <v>98.17006599356573</v>
      </c>
      <c r="Q129" t="n">
        <v>92.47477894979907</v>
      </c>
    </row>
    <row r="130">
      <c r="A130" s="118" t="n">
        <v>44620</v>
      </c>
      <c r="B130" s="119" t="n">
        <v>126.6132276162356</v>
      </c>
      <c r="C130" s="119" t="n">
        <v>127.8326234339319</v>
      </c>
      <c r="D130" s="119" t="n">
        <v>124.7471889084389</v>
      </c>
      <c r="E130" s="119" t="n">
        <v>126.1421051025391</v>
      </c>
      <c r="F130" s="120" t="n">
        <v>6613300</v>
      </c>
      <c r="G130" s="121" t="n">
        <v>-0.01621062688056318</v>
      </c>
      <c r="H130" s="122" t="n">
        <v>80.67662447990341</v>
      </c>
      <c r="I130" s="119" t="n">
        <v>139.3821133422852</v>
      </c>
      <c r="J130" s="119" t="n">
        <v/>
      </c>
      <c r="K130" s="121" t="n">
        <v>0.2663672793758728</v>
      </c>
      <c r="L130" s="121" t="n">
        <v>-0.2028139340293582</v>
      </c>
      <c r="M130" s="121" t="n">
        <v>-0.229365073594323</v>
      </c>
      <c r="N130" t="n">
        <v>34.54856907898584</v>
      </c>
      <c r="O130" t="n">
        <v>-0.2110196403336531</v>
      </c>
      <c r="P130" t="n">
        <v>97.91889330397696</v>
      </c>
      <c r="Q130" t="n">
        <v>92.750254802999</v>
      </c>
    </row>
    <row r="131">
      <c r="A131" s="118" t="n">
        <v>44621</v>
      </c>
      <c r="B131" s="119" t="n">
        <v>126.299159454618</v>
      </c>
      <c r="C131" s="119" t="n">
        <v>126.326871717462</v>
      </c>
      <c r="D131" s="119" t="n">
        <v>121.1536998516059</v>
      </c>
      <c r="E131" s="119" t="n">
        <v>122.1421508789062</v>
      </c>
      <c r="F131" s="120" t="n">
        <v>6534000</v>
      </c>
      <c r="G131" s="121" t="n">
        <v>-0.03170990543071495</v>
      </c>
      <c r="H131" s="122" t="n">
        <v>78.11837634717638</v>
      </c>
      <c r="I131" s="119" t="n">
        <v>138.8186074829102</v>
      </c>
      <c r="J131" s="119" t="n">
        <v/>
      </c>
      <c r="K131" s="121" t="n">
        <v>0.2757339388073174</v>
      </c>
      <c r="L131" s="121" t="n">
        <v>-0.2280926287919709</v>
      </c>
      <c r="M131" s="121" t="n">
        <v>-0.2538018342322529</v>
      </c>
      <c r="N131" t="n">
        <v>29.44165705352778</v>
      </c>
      <c r="O131" t="n">
        <v>-0.4615926169429425</v>
      </c>
      <c r="P131" t="n">
        <v>96.42756818838093</v>
      </c>
      <c r="Q131" t="n">
        <v>91.3301203153418</v>
      </c>
    </row>
    <row r="132">
      <c r="A132" s="118" t="n">
        <v>44622</v>
      </c>
      <c r="B132" s="119" t="n">
        <v>122.8442222768932</v>
      </c>
      <c r="C132" s="119" t="n">
        <v>126.1975471454251</v>
      </c>
      <c r="D132" s="119" t="n">
        <v>122.6502364308061</v>
      </c>
      <c r="E132" s="119" t="n">
        <v>125.3384246826172</v>
      </c>
      <c r="F132" s="120" t="n">
        <v>7743900</v>
      </c>
      <c r="G132" s="121" t="n">
        <v>0.02616847485254925</v>
      </c>
      <c r="H132" s="122" t="n">
        <v>80.16261511413944</v>
      </c>
      <c r="I132" s="119" t="n">
        <v>138.3441534423828</v>
      </c>
      <c r="J132" s="119" t="n">
        <v/>
      </c>
      <c r="K132" s="121" t="n">
        <v>0.2972354288420772</v>
      </c>
      <c r="L132" s="121" t="n">
        <v>-0.2078929901600162</v>
      </c>
      <c r="M132" s="121" t="n">
        <v>-0.2342749662963413</v>
      </c>
      <c r="N132" t="n">
        <v>37.40412446352222</v>
      </c>
      <c r="O132" t="n">
        <v>-0.3615027465237786</v>
      </c>
      <c r="P132" t="n">
        <v>98.20145166933241</v>
      </c>
      <c r="Q132" t="n">
        <v>92.86258793933614</v>
      </c>
    </row>
    <row r="133">
      <c r="A133" s="118" t="n">
        <v>44623</v>
      </c>
      <c r="B133" s="119" t="n">
        <v>126.317647649103</v>
      </c>
      <c r="C133" s="119" t="n">
        <v>126.3730721785882</v>
      </c>
      <c r="D133" s="119" t="n">
        <v>123.2784043885727</v>
      </c>
      <c r="E133" s="119" t="n">
        <v>123.7587738037109</v>
      </c>
      <c r="F133" s="120" t="n">
        <v>4576500</v>
      </c>
      <c r="G133" s="121" t="n">
        <v>-0.0126030854696495</v>
      </c>
      <c r="H133" s="122" t="n">
        <v>79.15231882438532</v>
      </c>
      <c r="I133" s="119" t="n">
        <v>137.9190301513672</v>
      </c>
      <c r="J133" s="119" t="n">
        <v/>
      </c>
      <c r="K133" s="121" t="n">
        <v>0.2972410588504741</v>
      </c>
      <c r="L133" s="121" t="n">
        <v>-0.217875982506138</v>
      </c>
      <c r="M133" s="121" t="n">
        <v>-0.2439254643423587</v>
      </c>
      <c r="N133" t="n">
        <v>35.28483993331008</v>
      </c>
      <c r="O133" t="n">
        <v>-0.3508354913834371</v>
      </c>
      <c r="P133" t="n">
        <v>97.71257703674119</v>
      </c>
      <c r="Q133" t="n">
        <v>91.53605181369082</v>
      </c>
    </row>
    <row r="134">
      <c r="A134" s="118" t="n">
        <v>44624</v>
      </c>
      <c r="B134" s="119" t="n">
        <v>122.689371458379</v>
      </c>
      <c r="C134" s="119" t="n">
        <v>123.7171073488625</v>
      </c>
      <c r="D134" s="119" t="n">
        <v>121.0135170171232</v>
      </c>
      <c r="E134" s="119" t="n">
        <v>121.4579391479492</v>
      </c>
      <c r="F134" s="120" t="n">
        <v>7084500</v>
      </c>
      <c r="G134" s="121" t="n">
        <v>-0.0185912851674741</v>
      </c>
      <c r="H134" s="122" t="n">
        <v>77.68077549345433</v>
      </c>
      <c r="I134" s="119" t="n">
        <v>137.2696000671387</v>
      </c>
      <c r="J134" s="119" t="n">
        <v/>
      </c>
      <c r="K134" s="121" t="n">
        <v>0.2942146414676456</v>
      </c>
      <c r="L134" s="121" t="n">
        <v>-0.2277277236973368</v>
      </c>
      <c r="M134" s="121" t="n">
        <v>-0.2579818616426355</v>
      </c>
      <c r="N134" t="n">
        <v>32.40486339593573</v>
      </c>
      <c r="O134" t="n">
        <v>-0.4420004330076845</v>
      </c>
      <c r="P134" t="n">
        <v>96.91869764356488</v>
      </c>
      <c r="Q134" t="n">
        <v>90.2095156880455</v>
      </c>
    </row>
    <row r="135">
      <c r="A135" s="118" t="n">
        <v>44627</v>
      </c>
      <c r="B135" s="119" t="n">
        <v>121.2912893455789</v>
      </c>
      <c r="C135" s="119" t="n">
        <v>121.3190648464928</v>
      </c>
      <c r="D135" s="119" t="n">
        <v>114.9674746255691</v>
      </c>
      <c r="E135" s="119" t="n">
        <v>115.2174682617188</v>
      </c>
      <c r="F135" s="120" t="n">
        <v>11383400</v>
      </c>
      <c r="G135" s="121" t="n">
        <v>-0.05137968691061756</v>
      </c>
      <c r="H135" s="122" t="n">
        <v>73.68956156962668</v>
      </c>
      <c r="I135" s="119" t="n">
        <v>136.5173469543457</v>
      </c>
      <c r="J135" s="119" t="n">
        <v/>
      </c>
      <c r="K135" s="121" t="n">
        <v>0.3363580766972942</v>
      </c>
      <c r="L135" s="121" t="n">
        <v>-0.2622502792370366</v>
      </c>
      <c r="M135" s="121" t="n">
        <v>-0.2961065212734362</v>
      </c>
      <c r="N135" t="n">
        <v>26.16658816596353</v>
      </c>
      <c r="O135" t="n">
        <v>-0.8426237779892682</v>
      </c>
      <c r="P135" t="n">
        <v>94.0615901154396</v>
      </c>
      <c r="Q135" t="n">
        <v>86.88249495847495</v>
      </c>
    </row>
    <row r="136">
      <c r="A136" s="118" t="n">
        <v>44628</v>
      </c>
      <c r="B136" s="119" t="n">
        <v>115.9581631227938</v>
      </c>
      <c r="C136" s="119" t="n">
        <v>116.1711203827509</v>
      </c>
      <c r="D136" s="119" t="n">
        <v>111.8472269086648</v>
      </c>
      <c r="E136" s="119" t="n">
        <v>112.2268371582031</v>
      </c>
      <c r="F136" s="120" t="n">
        <v>9089400</v>
      </c>
      <c r="G136" s="121" t="n">
        <v>-0.02595640356132756</v>
      </c>
      <c r="H136" s="122" t="n">
        <v>71.77684557126815</v>
      </c>
      <c r="I136" s="119" t="n">
        <v>135.7010316467285</v>
      </c>
      <c r="J136" s="119" t="n">
        <v/>
      </c>
      <c r="K136" s="121" t="n">
        <v>0.341866437790493</v>
      </c>
      <c r="L136" s="121" t="n">
        <v>-0.2813996087164167</v>
      </c>
      <c r="M136" s="121" t="n">
        <v>-0.3143770644714496</v>
      </c>
      <c r="N136" t="n">
        <v>23.80178978335208</v>
      </c>
      <c r="O136" t="n">
        <v>-1.206890624497198</v>
      </c>
      <c r="P136" t="n">
        <v>93.34846246556845</v>
      </c>
      <c r="Q136" t="n">
        <v>86.47863598090198</v>
      </c>
    </row>
    <row r="137">
      <c r="A137" s="118" t="n">
        <v>44629</v>
      </c>
      <c r="B137" s="119" t="n">
        <v>117.939574872042</v>
      </c>
      <c r="C137" s="119" t="n">
        <v>120.0413368819091</v>
      </c>
      <c r="D137" s="119" t="n">
        <v>117.245159084153</v>
      </c>
      <c r="E137" s="119" t="n">
        <v>117.5414428710938</v>
      </c>
      <c r="F137" s="120" t="n">
        <v>8845100</v>
      </c>
      <c r="G137" s="121" t="n">
        <v>0.04735592526232169</v>
      </c>
      <c r="H137" s="122" t="n">
        <v>75.17590450570634</v>
      </c>
      <c r="I137" s="119" t="n">
        <v>134.9557200622559</v>
      </c>
      <c r="J137" s="119" t="n">
        <v/>
      </c>
      <c r="K137" s="121" t="n">
        <v>0.3950998916147682</v>
      </c>
      <c r="L137" s="121" t="n">
        <v>-0.2461210671553692</v>
      </c>
      <c r="M137" s="121" t="n">
        <v>-0.2819087559784259</v>
      </c>
      <c r="N137" t="n">
        <v>35.03754650207183</v>
      </c>
      <c r="O137" t="n">
        <v>-0.9965028931502893</v>
      </c>
      <c r="P137" t="n">
        <v>95.8512064391914</v>
      </c>
      <c r="Q137" t="n">
        <v>89.59171280304126</v>
      </c>
    </row>
    <row r="138">
      <c r="A138" s="118" t="n">
        <v>44630</v>
      </c>
      <c r="B138" s="119" t="n">
        <v>114.8285922999088</v>
      </c>
      <c r="C138" s="119" t="n">
        <v>117.217384320633</v>
      </c>
      <c r="D138" s="119" t="n">
        <v>114.8100776535922</v>
      </c>
      <c r="E138" s="119" t="n">
        <v>116.6896286010742</v>
      </c>
      <c r="F138" s="120" t="n">
        <v>7167400</v>
      </c>
      <c r="G138" s="121" t="n">
        <v>-0.007246927119600732</v>
      </c>
      <c r="H138" s="122" t="n">
        <v>74.63111020460343</v>
      </c>
      <c r="I138" s="119" t="n">
        <v>134.2148040771484</v>
      </c>
      <c r="J138" s="119" t="n">
        <v/>
      </c>
      <c r="K138" s="121" t="n">
        <v>0.3841431051211187</v>
      </c>
      <c r="L138" s="121" t="n">
        <v>-0.2515843728386965</v>
      </c>
      <c r="M138" s="121" t="n">
        <v>-0.2871127108890738</v>
      </c>
      <c r="N138" t="n">
        <v>34.16791633614838</v>
      </c>
      <c r="O138" t="n">
        <v>-0.8282169636021841</v>
      </c>
      <c r="P138" t="n">
        <v>95.41836778484041</v>
      </c>
      <c r="Q138" t="n">
        <v>88.59680651382871</v>
      </c>
    </row>
    <row r="139">
      <c r="A139" s="118" t="n">
        <v>44631</v>
      </c>
      <c r="B139" s="119" t="n">
        <v>117.5969956274634</v>
      </c>
      <c r="C139" s="119" t="n">
        <v>118.393259593404</v>
      </c>
      <c r="D139" s="119" t="n">
        <v>113.4305010882697</v>
      </c>
      <c r="E139" s="119" t="n">
        <v>113.5416030883789</v>
      </c>
      <c r="F139" s="120" t="n">
        <v>5882000</v>
      </c>
      <c r="G139" s="121" t="n">
        <v>-0.02697776615141556</v>
      </c>
      <c r="H139" s="122" t="n">
        <v>72.61772956588311</v>
      </c>
      <c r="I139" s="119" t="n">
        <v>133.3673252868652</v>
      </c>
      <c r="J139" s="119" t="n">
        <v/>
      </c>
      <c r="K139" s="121" t="n">
        <v>0.3905719591435672</v>
      </c>
      <c r="L139" s="121" t="n">
        <v>-0.2717749546123193</v>
      </c>
      <c r="M139" s="121" t="n">
        <v>-0.3063448174670249</v>
      </c>
      <c r="N139" t="n">
        <v>31.09616692663991</v>
      </c>
      <c r="O139" t="n">
        <v>-0.8397926174286994</v>
      </c>
      <c r="P139" t="n">
        <v>94.20513503114198</v>
      </c>
      <c r="Q139" t="n">
        <v>86.75946462676626</v>
      </c>
    </row>
    <row r="140">
      <c r="A140" s="118" t="n">
        <v>44634</v>
      </c>
      <c r="B140" s="119" t="n">
        <v>112.5231196010251</v>
      </c>
      <c r="C140" s="119" t="n">
        <v>113.374934502998</v>
      </c>
      <c r="D140" s="119" t="n">
        <v>108.0973779755985</v>
      </c>
      <c r="E140" s="119" t="n">
        <v>108.8566055297852</v>
      </c>
      <c r="F140" s="120" t="n">
        <v>13884900</v>
      </c>
      <c r="G140" s="121" t="n">
        <v>-0.04126238692391038</v>
      </c>
      <c r="H140" s="122" t="n">
        <v>69.62134871099975</v>
      </c>
      <c r="I140" s="119" t="n">
        <v>132.4499792480469</v>
      </c>
      <c r="J140" s="119" t="n">
        <v/>
      </c>
      <c r="K140" s="121" t="n">
        <v>0.3994102406247407</v>
      </c>
      <c r="L140" s="121" t="n">
        <v>-0.301823258202788</v>
      </c>
      <c r="M140" s="121" t="n">
        <v>-0.3349666860004762</v>
      </c>
      <c r="N140" t="n">
        <v>27.17991050702138</v>
      </c>
      <c r="O140" t="n">
        <v>-1.059667120389634</v>
      </c>
      <c r="P140" t="n">
        <v>93.51665041012311</v>
      </c>
      <c r="Q140" t="n">
        <v>85.09327786564882</v>
      </c>
    </row>
    <row r="141">
      <c r="A141" s="118" t="n">
        <v>44635</v>
      </c>
      <c r="B141" s="119" t="n">
        <v>110.9583653501997</v>
      </c>
      <c r="C141" s="119" t="n">
        <v>111.4953818475342</v>
      </c>
      <c r="D141" s="119" t="n">
        <v>109.0232636785809</v>
      </c>
      <c r="E141" s="119" t="n">
        <v>110.5509796142578</v>
      </c>
      <c r="F141" s="120" t="n">
        <v>10431300</v>
      </c>
      <c r="G141" s="121" t="n">
        <v>0.01556519309256843</v>
      </c>
      <c r="H141" s="122" t="n">
        <v>70.7050184470515</v>
      </c>
      <c r="I141" s="119" t="n">
        <v>131.5816711425781</v>
      </c>
      <c r="J141" s="119" t="n">
        <v/>
      </c>
      <c r="K141" s="121" t="n">
        <v>0.4032350162307609</v>
      </c>
      <c r="L141" s="121" t="n">
        <v>-0.2909560024039741</v>
      </c>
      <c r="M141" s="121" t="n">
        <v>-0.3246153140550829</v>
      </c>
      <c r="N141" t="n">
        <v>30.58480324031963</v>
      </c>
      <c r="O141" t="n">
        <v>-0.989041331196983</v>
      </c>
      <c r="P141" t="n">
        <v>95.57311407729382</v>
      </c>
      <c r="Q141" t="n">
        <v>87.76237493510391</v>
      </c>
    </row>
    <row r="142">
      <c r="A142" s="118" t="n">
        <v>44636</v>
      </c>
      <c r="B142" s="119" t="n">
        <v>113.7452921698869</v>
      </c>
      <c r="C142" s="119" t="n">
        <v>116.7636877748173</v>
      </c>
      <c r="D142" s="119" t="n">
        <v>112.8934772588392</v>
      </c>
      <c r="E142" s="119" t="n">
        <v>115.9118728637695</v>
      </c>
      <c r="F142" s="120" t="n">
        <v>11100400</v>
      </c>
      <c r="G142" s="121" t="n">
        <v>0.0484924988292037</v>
      </c>
      <c r="H142" s="122" t="n">
        <v>74.13368147131398</v>
      </c>
      <c r="I142" s="119" t="n">
        <v>130.8575318908692</v>
      </c>
      <c r="J142" s="119" t="n">
        <v/>
      </c>
      <c r="K142" s="121" t="n">
        <v>0.4328132045734885</v>
      </c>
      <c r="L142" s="121" t="n">
        <v>-0.2565726871806948</v>
      </c>
      <c r="M142" s="121" t="n">
        <v>-0.2918642229626369</v>
      </c>
      <c r="N142" t="n">
        <v>40.12410878169857</v>
      </c>
      <c r="O142" t="n">
        <v>-0.5037949946696445</v>
      </c>
      <c r="P142" t="n">
        <v>97.69238546410428</v>
      </c>
      <c r="Q142" t="n">
        <v>91.01718330344855</v>
      </c>
    </row>
    <row r="143">
      <c r="A143" s="118" t="n">
        <v>44637</v>
      </c>
      <c r="B143" s="119" t="n">
        <v>115.6804175807183</v>
      </c>
      <c r="C143" s="119" t="n">
        <v>117.9673614501953</v>
      </c>
      <c r="D143" s="119" t="n">
        <v>114.5323116863001</v>
      </c>
      <c r="E143" s="119" t="n">
        <v>117.9673614501953</v>
      </c>
      <c r="F143" s="120" t="n">
        <v>6845300</v>
      </c>
      <c r="G143" s="121" t="n">
        <v>0.0177332014024274</v>
      </c>
      <c r="H143" s="122" t="n">
        <v>75.44830897554819</v>
      </c>
      <c r="I143" s="119" t="n">
        <v>130.1427250671387</v>
      </c>
      <c r="J143" s="119" t="n">
        <v/>
      </c>
      <c r="K143" s="121" t="n">
        <v>0.4393632063908841</v>
      </c>
      <c r="L143" s="121" t="n">
        <v>-0.2433893409144047</v>
      </c>
      <c r="M143" s="121" t="n">
        <v>-0.279306708608169</v>
      </c>
      <c r="N143" t="n">
        <v>43.33929945790597</v>
      </c>
      <c r="O143" t="n">
        <v>0.006095100729888614</v>
      </c>
      <c r="P143" t="n">
        <v>98.91460841368863</v>
      </c>
      <c r="Q143" t="n">
        <v>92.11906993633389</v>
      </c>
    </row>
    <row r="144">
      <c r="A144" s="118" t="n">
        <v>44638</v>
      </c>
      <c r="B144" s="119" t="n">
        <v>117.4488653687064</v>
      </c>
      <c r="C144" s="119" t="n">
        <v>121.7172157322188</v>
      </c>
      <c r="D144" s="119" t="n">
        <v>117.3099807866806</v>
      </c>
      <c r="E144" s="119" t="n">
        <v>121.5135192871094</v>
      </c>
      <c r="F144" s="120" t="n">
        <v>10350900</v>
      </c>
      <c r="G144" s="121" t="n">
        <v>0.03006049972908165</v>
      </c>
      <c r="H144" s="122" t="n">
        <v>77.71632284706732</v>
      </c>
      <c r="I144" s="119" t="n">
        <v>129.5753303527832</v>
      </c>
      <c r="J144" s="119" t="n">
        <v/>
      </c>
      <c r="K144" s="121" t="n">
        <v>0.4517492695624731</v>
      </c>
      <c r="L144" s="121" t="n">
        <v>-0.2206452464019419</v>
      </c>
      <c r="M144" s="121" t="n">
        <v>-0.2576423081175339</v>
      </c>
      <c r="N144" t="n">
        <v>48.47931085766601</v>
      </c>
      <c r="O144" t="n">
        <v>0.599819282530798</v>
      </c>
      <c r="P144" t="n">
        <v>99.99799248053029</v>
      </c>
      <c r="Q144" t="n">
        <v>94.00457017746126</v>
      </c>
    </row>
    <row r="145">
      <c r="A145" s="118" t="n">
        <v>44641</v>
      </c>
      <c r="B145" s="119" t="n">
        <v>120.1061448537488</v>
      </c>
      <c r="C145" s="119" t="n">
        <v>122.5041904319331</v>
      </c>
      <c r="D145" s="119" t="n">
        <v>119.0876628065271</v>
      </c>
      <c r="E145" s="119" t="n">
        <v>120.5413131713867</v>
      </c>
      <c r="F145" s="120" t="n">
        <v>14388500</v>
      </c>
      <c r="G145" s="121" t="n">
        <v>-0.00800080617717569</v>
      </c>
      <c r="H145" s="122" t="n">
        <v>77.09452961116511</v>
      </c>
      <c r="I145" s="119" t="n">
        <v>129.0108471679688</v>
      </c>
      <c r="J145" s="119" t="n">
        <v/>
      </c>
      <c r="K145" s="121" t="n">
        <v>0.4516255751315356</v>
      </c>
      <c r="L145" s="121" t="n">
        <v>-0.2268807127287406</v>
      </c>
      <c r="M145" s="121" t="n">
        <v>-0.263581768124421</v>
      </c>
      <c r="N145" t="n">
        <v>47.21473561582246</v>
      </c>
      <c r="O145" t="n">
        <v>0.9252465016481635</v>
      </c>
      <c r="P145" t="n">
        <v>99.96875979665859</v>
      </c>
      <c r="Q145" t="n">
        <v>93.74322301210897</v>
      </c>
    </row>
    <row r="146">
      <c r="A146" s="118" t="n">
        <v>44642</v>
      </c>
      <c r="B146" s="119" t="n">
        <v>127.1058665043245</v>
      </c>
      <c r="C146" s="119" t="n">
        <v>128.6983945309123</v>
      </c>
      <c r="D146" s="119" t="n">
        <v>123.1338143570318</v>
      </c>
      <c r="E146" s="119" t="n">
        <v>123.2263946533203</v>
      </c>
      <c r="F146" s="120" t="n">
        <v>19731200</v>
      </c>
      <c r="G146" s="121" t="n">
        <v>0.02227519687060253</v>
      </c>
      <c r="H146" s="122" t="n">
        <v>78.81182543590032</v>
      </c>
      <c r="I146" s="119" t="n">
        <v>128.5752612304688</v>
      </c>
      <c r="J146" s="119" t="n">
        <v/>
      </c>
      <c r="K146" s="121" t="n">
        <v>0.4471407837128348</v>
      </c>
      <c r="L146" s="121" t="n">
        <v>-0.2096593284003133</v>
      </c>
      <c r="M146" s="121" t="n">
        <v>-0.2471779070302914</v>
      </c>
      <c r="N146" t="n">
        <v>51.01517331155197</v>
      </c>
      <c r="O146" t="n">
        <v>1.296741676218655</v>
      </c>
      <c r="P146" t="n">
        <v>101.1385181160448</v>
      </c>
      <c r="Q146" t="n">
        <v>95.58552336384953</v>
      </c>
    </row>
    <row r="147">
      <c r="A147" s="118" t="n">
        <v>44643</v>
      </c>
      <c r="B147" s="119" t="n">
        <v>122.809753871634</v>
      </c>
      <c r="C147" s="119" t="n">
        <v>125.3651990437639</v>
      </c>
      <c r="D147" s="119" t="n">
        <v>121.4764732155919</v>
      </c>
      <c r="E147" s="119" t="n">
        <v>123.1430740356445</v>
      </c>
      <c r="F147" s="120" t="n">
        <v>8068800</v>
      </c>
      <c r="G147" s="121" t="n">
        <v>-0.0006761588530622697</v>
      </c>
      <c r="H147" s="122" t="n">
        <v>78.75853612240583</v>
      </c>
      <c r="I147" s="119" t="n">
        <v>128.258653717041</v>
      </c>
      <c r="J147" s="119" t="n">
        <v/>
      </c>
      <c r="K147" s="121" t="n">
        <v>0.4460247604442265</v>
      </c>
      <c r="L147" s="121" t="n">
        <v>-0.2101937242423507</v>
      </c>
      <c r="M147" s="121" t="n">
        <v>-0.2476869343532337</v>
      </c>
      <c r="N147" t="n">
        <v>50.89272401129165</v>
      </c>
      <c r="O147" t="n">
        <v>1.498008470775946</v>
      </c>
      <c r="P147" t="n">
        <v>99.83604530302263</v>
      </c>
      <c r="Q147" t="n">
        <v>94.21182728904064</v>
      </c>
    </row>
    <row r="148">
      <c r="A148" s="118" t="n">
        <v>44644</v>
      </c>
      <c r="B148" s="119" t="n">
        <v>123.8374752122662</v>
      </c>
      <c r="C148" s="119" t="n">
        <v>124.244868045395</v>
      </c>
      <c r="D148" s="119" t="n">
        <v>121.4764588405782</v>
      </c>
      <c r="E148" s="119" t="n">
        <v>122.2912445068359</v>
      </c>
      <c r="F148" s="120" t="n">
        <v>5853800</v>
      </c>
      <c r="G148" s="121" t="n">
        <v>-0.006917396982976332</v>
      </c>
      <c r="H148" s="122" t="n">
        <v>78.21373206224906</v>
      </c>
      <c r="I148" s="119" t="n">
        <v>127.9275965881348</v>
      </c>
      <c r="J148" s="119" t="n">
        <v/>
      </c>
      <c r="K148" s="121" t="n">
        <v>0.4463186191745084</v>
      </c>
      <c r="L148" s="121" t="n">
        <v>-0.2156571277914124</v>
      </c>
      <c r="M148" s="121" t="n">
        <v>-0.2528909824837923</v>
      </c>
      <c r="N148" t="n">
        <v>49.58242739551569</v>
      </c>
      <c r="O148" t="n">
        <v>1.529569969011984</v>
      </c>
      <c r="P148" t="n">
        <v>101.3410011848728</v>
      </c>
      <c r="Q148" t="n">
        <v>96.30585991523483</v>
      </c>
    </row>
    <row r="149">
      <c r="A149" s="118" t="n">
        <v>44645</v>
      </c>
      <c r="B149" s="119" t="n">
        <v>123.189346929318</v>
      </c>
      <c r="C149" s="119" t="n">
        <v>123.9485674081646</v>
      </c>
      <c r="D149" s="119" t="n">
        <v>121.9486609468591</v>
      </c>
      <c r="E149" s="119" t="n">
        <v>123.7911682128906</v>
      </c>
      <c r="F149" s="120" t="n">
        <v>6287000</v>
      </c>
      <c r="G149" s="121" t="n">
        <v>0.01226517656356707</v>
      </c>
      <c r="H149" s="122" t="n">
        <v>79.17303729568808</v>
      </c>
      <c r="I149" s="119" t="n">
        <v>127.5912495422363</v>
      </c>
      <c r="J149" s="119" t="n">
        <v/>
      </c>
      <c r="K149" s="121" t="n">
        <v>0.4464715111067746</v>
      </c>
      <c r="L149" s="121" t="n">
        <v>-0.1999221695177886</v>
      </c>
      <c r="M149" s="121" t="n">
        <v>-0.243727558471723</v>
      </c>
      <c r="N149" t="n">
        <v>51.92933099125131</v>
      </c>
      <c r="O149" t="n">
        <v>1.599706167326403</v>
      </c>
      <c r="P149" t="n">
        <v>101.8358911022518</v>
      </c>
      <c r="Q149" t="n">
        <v>96.22551768552653</v>
      </c>
    </row>
    <row r="150">
      <c r="A150" s="118" t="n">
        <v>44648</v>
      </c>
      <c r="B150" s="119" t="n">
        <v>123.8467162878431</v>
      </c>
      <c r="C150" s="119" t="n">
        <v>124.8651982661003</v>
      </c>
      <c r="D150" s="119" t="n">
        <v>122.3745584421175</v>
      </c>
      <c r="E150" s="119" t="n">
        <v>124.8189010620117</v>
      </c>
      <c r="F150" s="120" t="n">
        <v>5804100</v>
      </c>
      <c r="G150" s="121" t="n">
        <v>0.008302150015691234</v>
      </c>
      <c r="H150" s="122" t="n">
        <v>79.83034372851479</v>
      </c>
      <c r="I150" s="119" t="n">
        <v>127.3238632202148</v>
      </c>
      <c r="J150" s="119" t="n">
        <v/>
      </c>
      <c r="K150" s="121" t="n">
        <v>0.4441452542436622</v>
      </c>
      <c r="L150" s="121" t="n">
        <v>-0.1893106982212003</v>
      </c>
      <c r="M150" s="121" t="n">
        <v>-0.237448871209422</v>
      </c>
      <c r="N150" t="n">
        <v>53.52565962797195</v>
      </c>
      <c r="O150" t="n">
        <v>1.656563413615425</v>
      </c>
      <c r="P150" t="n">
        <v>102.5602710442228</v>
      </c>
      <c r="Q150" t="n">
        <v>97.71434914236205</v>
      </c>
    </row>
    <row r="151">
      <c r="A151" s="118" t="n">
        <v>44649</v>
      </c>
      <c r="B151" s="119" t="n">
        <v>127.6336292330509</v>
      </c>
      <c r="C151" s="119" t="n">
        <v>129.3928102688997</v>
      </c>
      <c r="D151" s="119" t="n">
        <v>126.8003217992865</v>
      </c>
      <c r="E151" s="119" t="n">
        <v>128.8280181884766</v>
      </c>
      <c r="F151" s="120" t="n">
        <v>7275900</v>
      </c>
      <c r="G151" s="121" t="n">
        <v>0.03211947142903515</v>
      </c>
      <c r="H151" s="122" t="n">
        <v>82.39445217307289</v>
      </c>
      <c r="I151" s="119" t="n">
        <v>127.1627099609375</v>
      </c>
      <c r="J151" s="119" t="n">
        <v/>
      </c>
      <c r="K151" s="121" t="n">
        <v>0.4417834777457508</v>
      </c>
      <c r="L151" s="121" t="n">
        <v>-0.1618636153000363</v>
      </c>
      <c r="M151" s="121" t="n">
        <v>-0.2129561320150546</v>
      </c>
      <c r="N151" t="n">
        <v>59.21538948775534</v>
      </c>
      <c r="O151" t="n">
        <v>1.888606455643203</v>
      </c>
      <c r="P151" t="n">
        <v>103.829008801809</v>
      </c>
      <c r="Q151" t="n">
        <v>99.39598181460035</v>
      </c>
    </row>
    <row r="152">
      <c r="A152" s="118" t="n">
        <v>44650</v>
      </c>
      <c r="B152" s="119" t="n">
        <v>128.6798690462008</v>
      </c>
      <c r="C152" s="119" t="n">
        <v>129.4946547460243</v>
      </c>
      <c r="D152" s="119" t="n">
        <v>127.3651102028925</v>
      </c>
      <c r="E152" s="119" t="n">
        <v>128.2724761962891</v>
      </c>
      <c r="F152" s="120" t="n">
        <v>5545800</v>
      </c>
      <c r="G152" s="121" t="n">
        <v>-0.004312276164760487</v>
      </c>
      <c r="H152" s="122" t="n">
        <v>82.03914454085844</v>
      </c>
      <c r="I152" s="119" t="n">
        <v>127.0131704711914</v>
      </c>
      <c r="J152" s="119" t="n">
        <v/>
      </c>
      <c r="K152" s="121" t="n">
        <v>0.4337921863124408</v>
      </c>
      <c r="L152" s="121" t="n">
        <v>-0.1654778908545966</v>
      </c>
      <c r="M152" s="121" t="n">
        <v>-0.216350082527587</v>
      </c>
      <c r="N152" t="n">
        <v>58.15295290559271</v>
      </c>
      <c r="O152" t="n">
        <v>1.922678083616533</v>
      </c>
      <c r="P152" t="n">
        <v>103.1878972761015</v>
      </c>
      <c r="Q152" t="n">
        <v>98.29808880132038</v>
      </c>
    </row>
    <row r="153">
      <c r="A153" s="118" t="n">
        <v>44651</v>
      </c>
      <c r="B153" s="119" t="n">
        <v>127.6151127054249</v>
      </c>
      <c r="C153" s="119" t="n">
        <v>128.4298984618606</v>
      </c>
      <c r="D153" s="119" t="n">
        <v>124.5319047439231</v>
      </c>
      <c r="E153" s="119" t="n">
        <v>124.5874557495117</v>
      </c>
      <c r="F153" s="120" t="n">
        <v>7206500</v>
      </c>
      <c r="G153" s="121" t="n">
        <v>-0.02872806821892437</v>
      </c>
      <c r="H153" s="122" t="n">
        <v>79.68231839986647</v>
      </c>
      <c r="I153" s="119" t="n">
        <v>126.8239253234863</v>
      </c>
      <c r="J153" s="119" t="n">
        <v/>
      </c>
      <c r="K153" s="121" t="n">
        <v>0.4443979029996396</v>
      </c>
      <c r="L153" s="121" t="n">
        <v>-0.1687700153999662</v>
      </c>
      <c r="M153" s="121" t="n">
        <v>-0.238862830816489</v>
      </c>
      <c r="N153" t="n">
        <v>51.54640618018019</v>
      </c>
      <c r="O153" t="n">
        <v>1.626780797355116</v>
      </c>
      <c r="P153" t="n">
        <v>101.5997020724728</v>
      </c>
      <c r="Q153" t="n">
        <v>97.07970761334943</v>
      </c>
    </row>
    <row r="154">
      <c r="A154" s="118" t="n">
        <v>44652</v>
      </c>
      <c r="B154" s="119" t="n">
        <v>124.4856187860566</v>
      </c>
      <c r="C154" s="119" t="n">
        <v>125.2541073980138</v>
      </c>
      <c r="D154" s="119" t="n">
        <v>122.911612264377</v>
      </c>
      <c r="E154" s="119" t="n">
        <v>123.6245498657227</v>
      </c>
      <c r="F154" s="120" t="n">
        <v>5807500</v>
      </c>
      <c r="G154" s="121" t="n">
        <v>-0.007728754696821327</v>
      </c>
      <c r="H154" s="122" t="n">
        <v>79.06647330727989</v>
      </c>
      <c r="I154" s="119" t="n">
        <v>126.6593951416016</v>
      </c>
      <c r="J154" s="119" t="n">
        <v/>
      </c>
      <c r="K154" s="121" t="n">
        <v>0.4397906884003535</v>
      </c>
      <c r="L154" s="121" t="n">
        <v>-0.1689970269226282</v>
      </c>
      <c r="M154" s="121" t="n">
        <v>-0.2447454732877413</v>
      </c>
      <c r="N154" t="n">
        <v>49.94956020080941</v>
      </c>
      <c r="O154" t="n">
        <v>1.309588042457283</v>
      </c>
      <c r="P154" t="n">
        <v>101.887650191187</v>
      </c>
      <c r="Q154" t="n">
        <v>96.89496075681467</v>
      </c>
    </row>
    <row r="155">
      <c r="A155" s="118" t="n">
        <v>44655</v>
      </c>
      <c r="B155" s="119" t="n">
        <v>123.1893468799384</v>
      </c>
      <c r="C155" s="119" t="n">
        <v>125.1892674683658</v>
      </c>
      <c r="D155" s="119" t="n">
        <v>123.0134259770781</v>
      </c>
      <c r="E155" s="119" t="n">
        <v>124.3837356567383</v>
      </c>
      <c r="F155" s="120" t="n">
        <v>5307300</v>
      </c>
      <c r="G155" s="121" t="n">
        <v>0.006141060103678653</v>
      </c>
      <c r="H155" s="122" t="n">
        <v>79.5520252720458</v>
      </c>
      <c r="I155" s="119" t="n">
        <v>126.5059825134277</v>
      </c>
      <c r="J155" s="119" t="n">
        <v/>
      </c>
      <c r="K155" s="121" t="n">
        <v>0.3934499992632904</v>
      </c>
      <c r="L155" s="121" t="n">
        <v>-0.142214803117259</v>
      </c>
      <c r="M155" s="121" t="n">
        <v>-0.240107409845626</v>
      </c>
      <c r="N155" t="n">
        <v>51.2323208814442</v>
      </c>
      <c r="O155" t="n">
        <v>1.102590520242567</v>
      </c>
      <c r="P155" t="n">
        <v>102.7604629223518</v>
      </c>
      <c r="Q155" t="n">
        <v>98.88988281914669</v>
      </c>
    </row>
    <row r="156">
      <c r="A156" s="118" t="n">
        <v>44656</v>
      </c>
      <c r="B156" s="119" t="n">
        <v>124.1059926767293</v>
      </c>
      <c r="C156" s="119" t="n">
        <v>124.6985602949272</v>
      </c>
      <c r="D156" s="119" t="n">
        <v>122.2357095202487</v>
      </c>
      <c r="E156" s="119" t="n">
        <v>122.4949569702148</v>
      </c>
      <c r="F156" s="120" t="n">
        <v>5707800</v>
      </c>
      <c r="G156" s="121" t="n">
        <v>-0.01518509374678934</v>
      </c>
      <c r="H156" s="122" t="n">
        <v>78.34402031054283</v>
      </c>
      <c r="I156" s="119" t="n">
        <v>126.2584454345703</v>
      </c>
      <c r="J156" s="119" t="n">
        <v/>
      </c>
      <c r="K156" s="121" t="n">
        <v>0.3842782392225926</v>
      </c>
      <c r="L156" s="121" t="n">
        <v>-0.1288226593394192</v>
      </c>
      <c r="M156" s="121" t="n">
        <v>-0.2516464500646107</v>
      </c>
      <c r="N156" t="n">
        <v>47.94034544456107</v>
      </c>
      <c r="O156" t="n">
        <v>0.804012453543404</v>
      </c>
      <c r="P156" t="n">
        <v>101.4624633864089</v>
      </c>
      <c r="Q156" t="n">
        <v>96.69413035241537</v>
      </c>
    </row>
    <row r="157">
      <c r="A157" s="118" t="n">
        <v>44657</v>
      </c>
      <c r="B157" s="119" t="n">
        <v>120.4116837429807</v>
      </c>
      <c r="C157" s="119" t="n">
        <v>120.6431556401691</v>
      </c>
      <c r="D157" s="119" t="n">
        <v>116.9673807825837</v>
      </c>
      <c r="E157" s="119" t="n">
        <v>118.8469314575195</v>
      </c>
      <c r="F157" s="120" t="n">
        <v>6961000</v>
      </c>
      <c r="G157" s="121" t="n">
        <v>-0.02978102611671063</v>
      </c>
      <c r="H157" s="122" t="n">
        <v>76.01085499558644</v>
      </c>
      <c r="I157" s="119" t="n">
        <v>125.9475544738769</v>
      </c>
      <c r="J157" s="119" t="n">
        <v/>
      </c>
      <c r="K157" s="121" t="n">
        <v>0.367812630140471</v>
      </c>
      <c r="L157" s="121" t="n">
        <v>-0.1547672144739185</v>
      </c>
      <c r="M157" s="121" t="n">
        <v>-0.2739331866797696</v>
      </c>
      <c r="N157" t="n">
        <v>42.28843070627944</v>
      </c>
      <c r="O157" t="n">
        <v>0.34958190186305</v>
      </c>
      <c r="P157" t="n">
        <v>100.4479168712372</v>
      </c>
      <c r="Q157" t="n">
        <v>94.59477010342829</v>
      </c>
    </row>
    <row r="158">
      <c r="A158" s="118" t="n">
        <v>44658</v>
      </c>
      <c r="B158" s="119" t="n">
        <v>117.9858811514957</v>
      </c>
      <c r="C158" s="119" t="n">
        <v>120.3468907734002</v>
      </c>
      <c r="D158" s="119" t="n">
        <v>117.6710756301972</v>
      </c>
      <c r="E158" s="119" t="n">
        <v>119.7913665771484</v>
      </c>
      <c r="F158" s="120" t="n">
        <v>5320500</v>
      </c>
      <c r="G158" s="121" t="n">
        <v>0.007946651276953487</v>
      </c>
      <c r="H158" s="122" t="n">
        <v>76.61488675349945</v>
      </c>
      <c r="I158" s="119" t="n">
        <v>125.6830805969238</v>
      </c>
      <c r="J158" s="119" t="n">
        <v/>
      </c>
      <c r="K158" s="121" t="n">
        <v>0.3673538468292903</v>
      </c>
      <c r="L158" s="121" t="n">
        <v>-0.1480504442794948</v>
      </c>
      <c r="M158" s="121" t="n">
        <v>-0.2681633869105449</v>
      </c>
      <c r="N158" t="n">
        <v>44.12501475817608</v>
      </c>
      <c r="O158" t="n">
        <v>0.1135713732528896</v>
      </c>
      <c r="P158" t="n">
        <v>100.9540663543373</v>
      </c>
      <c r="Q158" t="n">
        <v>94.81967968486003</v>
      </c>
    </row>
    <row r="159">
      <c r="A159" s="118" t="n">
        <v>44659</v>
      </c>
      <c r="B159" s="119" t="n">
        <v>119.8469070206151</v>
      </c>
      <c r="C159" s="119" t="n">
        <v>120.3005829550445</v>
      </c>
      <c r="D159" s="119" t="n">
        <v>118.4025173946095</v>
      </c>
      <c r="E159" s="119" t="n">
        <v>118.6525039672852</v>
      </c>
      <c r="F159" s="120" t="n">
        <v>4877400</v>
      </c>
      <c r="G159" s="121" t="n">
        <v>-0.009507050820142582</v>
      </c>
      <c r="H159" s="122" t="n">
        <v>75.88650513155446</v>
      </c>
      <c r="I159" s="119" t="n">
        <v>125.3838204956055</v>
      </c>
      <c r="J159" s="119" t="n">
        <v/>
      </c>
      <c r="K159" s="121" t="n">
        <v>0.3543533380594497</v>
      </c>
      <c r="L159" s="121" t="n">
        <v>-0.141370325175737</v>
      </c>
      <c r="M159" s="121" t="n">
        <v>-0.2751209947832274</v>
      </c>
      <c r="N159" t="n">
        <v>42.37383942446139</v>
      </c>
      <c r="O159" t="n">
        <v>-0.1063757007628672</v>
      </c>
      <c r="P159" t="n">
        <v>100.6841059010161</v>
      </c>
      <c r="Q159" t="n">
        <v>93.49418391390184</v>
      </c>
    </row>
    <row r="160">
      <c r="A160" s="118" t="n">
        <v>44662</v>
      </c>
      <c r="B160" s="119" t="n">
        <v>115.8285397374978</v>
      </c>
      <c r="C160" s="119" t="n">
        <v>117.467364779136</v>
      </c>
      <c r="D160" s="119" t="n">
        <v>115.1063485248282</v>
      </c>
      <c r="E160" s="119" t="n">
        <v>115.7174377441406</v>
      </c>
      <c r="F160" s="120" t="n">
        <v>6365400</v>
      </c>
      <c r="G160" s="121" t="n">
        <v>-0.02473665641269385</v>
      </c>
      <c r="H160" s="122" t="n">
        <v>74.00932672775507</v>
      </c>
      <c r="I160" s="119" t="n">
        <v>125.0023947143555</v>
      </c>
      <c r="J160" s="119" t="n">
        <v/>
      </c>
      <c r="K160" s="121" t="n">
        <v>0.3314357049597536</v>
      </c>
      <c r="L160" s="121" t="n">
        <v>-0.1576547357178053</v>
      </c>
      <c r="M160" s="121" t="n">
        <v>-0.29305207767605</v>
      </c>
      <c r="N160" t="n">
        <v>38.16954602946226</v>
      </c>
      <c r="O160" t="n">
        <v>-0.4191115901752929</v>
      </c>
      <c r="P160" t="n">
        <v>98.96320347737276</v>
      </c>
      <c r="Q160" t="n">
        <v>91.28236467922028</v>
      </c>
    </row>
    <row r="161">
      <c r="A161" s="118" t="n">
        <v>44663</v>
      </c>
      <c r="B161" s="119" t="n">
        <v>115.9211409880736</v>
      </c>
      <c r="C161" s="119" t="n">
        <v>118.606223882238</v>
      </c>
      <c r="D161" s="119" t="n">
        <v>115.1248769750353</v>
      </c>
      <c r="E161" s="119" t="n">
        <v>115.7730026245117</v>
      </c>
      <c r="F161" s="120" t="n">
        <v>5146800</v>
      </c>
      <c r="G161" s="121" t="n">
        <v>0.0004801772442797336</v>
      </c>
      <c r="H161" s="122" t="n">
        <v>74.0448643223142</v>
      </c>
      <c r="I161" s="119" t="n">
        <v>124.5821733093262</v>
      </c>
      <c r="J161" s="119" t="n">
        <v/>
      </c>
      <c r="K161" s="121" t="n">
        <v>0.3283222335594974</v>
      </c>
      <c r="L161" s="121" t="n">
        <v>-0.1572502606900703</v>
      </c>
      <c r="M161" s="121" t="n">
        <v>-0.2927126173708592</v>
      </c>
      <c r="N161" t="n">
        <v>38.29436689048854</v>
      </c>
      <c r="O161" t="n">
        <v>-0.5818012489073356</v>
      </c>
      <c r="P161" t="n">
        <v>98.59651113482303</v>
      </c>
      <c r="Q161" t="n">
        <v>90.89677063837193</v>
      </c>
    </row>
    <row r="162">
      <c r="A162" s="118" t="n">
        <v>44664</v>
      </c>
      <c r="B162" s="119" t="n">
        <v>115.7729755126872</v>
      </c>
      <c r="C162" s="119" t="n">
        <v>118.3839780176794</v>
      </c>
      <c r="D162" s="119" t="n">
        <v>115.7729755126872</v>
      </c>
      <c r="E162" s="119" t="n">
        <v>118.0413970947266</v>
      </c>
      <c r="F162" s="120" t="n">
        <v>5119300</v>
      </c>
      <c r="G162" s="121" t="n">
        <v>0.01959346668732409</v>
      </c>
      <c r="H162" s="122" t="n">
        <v>75.49565990478089</v>
      </c>
      <c r="I162" s="119" t="n">
        <v>124.2045484924316</v>
      </c>
      <c r="J162" s="119" t="n">
        <v/>
      </c>
      <c r="K162" s="121" t="n">
        <v>0.2882196790863214</v>
      </c>
      <c r="L162" s="121" t="n">
        <v>-0.14073787174715</v>
      </c>
      <c r="M162" s="121" t="n">
        <v>-0.2788544056009505</v>
      </c>
      <c r="N162" t="n">
        <v>43.32453724460888</v>
      </c>
      <c r="O162" t="n">
        <v>-0.4993727188018477</v>
      </c>
      <c r="P162" t="n">
        <v>99.72579175185886</v>
      </c>
      <c r="Q162" t="n">
        <v>92.7443986129054</v>
      </c>
    </row>
    <row r="163">
      <c r="A163" s="118" t="n">
        <v>44665</v>
      </c>
      <c r="B163" s="119" t="n">
        <v>119.5135699937489</v>
      </c>
      <c r="C163" s="119" t="n">
        <v>124.4207769716539</v>
      </c>
      <c r="D163" s="119" t="n">
        <v>119.3376490938584</v>
      </c>
      <c r="E163" s="119" t="n">
        <v>123.568962097168</v>
      </c>
      <c r="F163" s="120" t="n">
        <v>12811300</v>
      </c>
      <c r="G163" s="121" t="n">
        <v>0.04682734310578862</v>
      </c>
      <c r="H163" s="122" t="n">
        <v>79.03092107414</v>
      </c>
      <c r="I163" s="119" t="n">
        <v>123.9284216308594</v>
      </c>
      <c r="J163" s="119" t="n">
        <v/>
      </c>
      <c r="K163" s="121" t="n">
        <v>0.326493893861327</v>
      </c>
      <c r="L163" s="121" t="n">
        <v>-0.1005009092496437</v>
      </c>
      <c r="M163" s="121" t="n">
        <v>-0.2450850734227984</v>
      </c>
      <c r="N163" t="n">
        <v>53.31215042069467</v>
      </c>
      <c r="O163" t="n">
        <v>-0.05849907562729606</v>
      </c>
      <c r="P163" t="n">
        <v>98.48403185555161</v>
      </c>
      <c r="Q163" t="n">
        <v>90.62361880330371</v>
      </c>
    </row>
    <row r="164">
      <c r="A164" s="118" t="n">
        <v>44669</v>
      </c>
      <c r="B164" s="119" t="n">
        <v>122.2171772017958</v>
      </c>
      <c r="C164" s="119" t="n">
        <v>123.5041605481219</v>
      </c>
      <c r="D164" s="119" t="n">
        <v>120.6524247180623</v>
      </c>
      <c r="E164" s="119" t="n">
        <v>121.8746032714844</v>
      </c>
      <c r="F164" s="120" t="n">
        <v>5298200</v>
      </c>
      <c r="G164" s="121" t="n">
        <v>-0.01371184799910552</v>
      </c>
      <c r="H164" s="122" t="n">
        <v>77.94726109714209</v>
      </c>
      <c r="I164" s="119" t="n">
        <v>123.6812246704102</v>
      </c>
      <c r="J164" s="119" t="n">
        <v/>
      </c>
      <c r="K164" s="121" t="n">
        <v>0.3142681891628294</v>
      </c>
      <c r="L164" s="121" t="n">
        <v>-0.1128347040573462</v>
      </c>
      <c r="M164" s="121" t="n">
        <v>-0.2554363521482809</v>
      </c>
      <c r="N164" t="n">
        <v>50.38130913191665</v>
      </c>
      <c r="O164" t="n">
        <v>0.1231767195451992</v>
      </c>
      <c r="P164" t="n">
        <v>98.52452410514445</v>
      </c>
      <c r="Q164" t="n">
        <v>90.69324705772614</v>
      </c>
    </row>
    <row r="165">
      <c r="A165" s="118" t="n">
        <v>44670</v>
      </c>
      <c r="B165" s="119" t="n">
        <v>123.2263700338885</v>
      </c>
      <c r="C165" s="119" t="n">
        <v>127.2910157933185</v>
      </c>
      <c r="D165" s="119" t="n">
        <v>122.9393471552651</v>
      </c>
      <c r="E165" s="119" t="n">
        <v>126.8928909301758</v>
      </c>
      <c r="F165" s="120" t="n">
        <v>7346100</v>
      </c>
      <c r="G165" s="121" t="n">
        <v>0.04117582764567285</v>
      </c>
      <c r="H165" s="122" t="n">
        <v>81.15680408553027</v>
      </c>
      <c r="I165" s="119" t="n">
        <v>123.5329154968262</v>
      </c>
      <c r="J165" s="119" t="n">
        <v/>
      </c>
      <c r="K165" s="121" t="n">
        <v>0.344040683191506</v>
      </c>
      <c r="L165" s="121" t="n">
        <v>-0.07630493873838917</v>
      </c>
      <c r="M165" s="121" t="n">
        <v>-0.2247783277131049</v>
      </c>
      <c r="N165" t="n">
        <v>57.78383198061834</v>
      </c>
      <c r="O165" t="n">
        <v>0.5609732517055589</v>
      </c>
      <c r="P165" t="n">
        <v>100.1149886786084</v>
      </c>
      <c r="Q165" t="n">
        <v>92.72032782583007</v>
      </c>
    </row>
    <row r="166">
      <c r="A166" s="118" t="n">
        <v>44671</v>
      </c>
      <c r="B166" s="119" t="n">
        <v>127.7354699837648</v>
      </c>
      <c r="C166" s="119" t="n">
        <v>128.3743206126806</v>
      </c>
      <c r="D166" s="119" t="n">
        <v>125.6059255036046</v>
      </c>
      <c r="E166" s="119" t="n">
        <v>125.8003540039062</v>
      </c>
      <c r="F166" s="120" t="n">
        <v>5309700</v>
      </c>
      <c r="G166" s="121" t="n">
        <v>-0.008609914379448691</v>
      </c>
      <c r="H166" s="122" t="n">
        <v>80.45805095104416</v>
      </c>
      <c r="I166" s="119" t="n">
        <v>123.3673753356934</v>
      </c>
      <c r="J166" s="119" t="n">
        <v/>
      </c>
      <c r="K166" s="121" t="n">
        <v>0.3382619292099611</v>
      </c>
      <c r="L166" s="121" t="n">
        <v>-0.08425787412857133</v>
      </c>
      <c r="M166" s="121" t="n">
        <v>-0.2314529199365881</v>
      </c>
      <c r="N166" t="n">
        <v>55.8309555184135</v>
      </c>
      <c r="O166" t="n">
        <v>0.7450941617607417</v>
      </c>
      <c r="P166" t="n">
        <v>100.0407540999584</v>
      </c>
      <c r="Q166" t="n">
        <v>91.36804292167862</v>
      </c>
    </row>
    <row r="167">
      <c r="A167" s="118" t="n">
        <v>44672</v>
      </c>
      <c r="B167" s="119" t="n">
        <v>128.2817430680878</v>
      </c>
      <c r="C167" s="119" t="n">
        <v>128.8280134178627</v>
      </c>
      <c r="D167" s="119" t="n">
        <v>125.0689116336929</v>
      </c>
      <c r="E167" s="119" t="n">
        <v>125.4207534790039</v>
      </c>
      <c r="F167" s="120" t="n">
        <v>6562400</v>
      </c>
      <c r="G167" s="121" t="n">
        <v>-0.003017483757562056</v>
      </c>
      <c r="H167" s="122" t="n">
        <v>80.21527008913428</v>
      </c>
      <c r="I167" s="119" t="n">
        <v>123.223987121582</v>
      </c>
      <c r="J167" s="119" t="n">
        <v/>
      </c>
      <c r="K167" s="121" t="n">
        <v>0.3385405405498109</v>
      </c>
      <c r="L167" s="121" t="n">
        <v>-0.08702111111950372</v>
      </c>
      <c r="M167" s="121" t="n">
        <v>-0.2337719982676012</v>
      </c>
      <c r="N167" t="n">
        <v>55.13374918858158</v>
      </c>
      <c r="O167" t="n">
        <v>0.8043638993175549</v>
      </c>
      <c r="P167" t="n">
        <v>98.54478114037278</v>
      </c>
      <c r="Q167" t="n">
        <v>89.47754226608737</v>
      </c>
    </row>
    <row r="168">
      <c r="A168" s="118" t="n">
        <v>44673</v>
      </c>
      <c r="B168" s="119" t="n">
        <v>124.3744898237134</v>
      </c>
      <c r="C168" s="119" t="n">
        <v>124.9300139374227</v>
      </c>
      <c r="D168" s="119" t="n">
        <v>119.1710057473039</v>
      </c>
      <c r="E168" s="119" t="n">
        <v>119.5043258666992</v>
      </c>
      <c r="F168" s="120" t="n">
        <v>7321700</v>
      </c>
      <c r="G168" s="121" t="n">
        <v>-0.04717263649109815</v>
      </c>
      <c r="H168" s="122" t="n">
        <v>76.4313043121843</v>
      </c>
      <c r="I168" s="119" t="n">
        <v>122.9118333435059</v>
      </c>
      <c r="J168" s="119" t="n">
        <v/>
      </c>
      <c r="K168" s="121" t="n">
        <v>0.378974719739077</v>
      </c>
      <c r="L168" s="121" t="n">
        <v>-0.13008873236871</v>
      </c>
      <c r="M168" s="121" t="n">
        <v>-0.2699169932626242</v>
      </c>
      <c r="N168" t="n">
        <v>45.57992397696741</v>
      </c>
      <c r="O168" t="n">
        <v>0.427091645427189</v>
      </c>
      <c r="P168" t="n">
        <v>95.84079061353712</v>
      </c>
      <c r="Q168" t="n">
        <v>87.13449571155751</v>
      </c>
    </row>
    <row r="169">
      <c r="A169" s="118" t="n">
        <v>44676</v>
      </c>
      <c r="B169" s="119" t="n">
        <v>118.3284527621121</v>
      </c>
      <c r="C169" s="119" t="n">
        <v>119.3839641917341</v>
      </c>
      <c r="D169" s="119" t="n">
        <v>115.5970797654188</v>
      </c>
      <c r="E169" s="119" t="n">
        <v>118.4580764770508</v>
      </c>
      <c r="F169" s="120" t="n">
        <v>6512500</v>
      </c>
      <c r="G169" s="121" t="n">
        <v>-0.008754908092745262</v>
      </c>
      <c r="H169" s="122" t="n">
        <v>75.76215526752247</v>
      </c>
      <c r="I169" s="119" t="n">
        <v>122.6053591918945</v>
      </c>
      <c r="J169" s="119" t="n">
        <v/>
      </c>
      <c r="K169" s="121" t="n">
        <v>0.3766409599342675</v>
      </c>
      <c r="L169" s="121" t="n">
        <v>-0.1377047255656655</v>
      </c>
      <c r="M169" s="121" t="n">
        <v>-0.276308802886685</v>
      </c>
      <c r="N169" t="n">
        <v>44.12381731496987</v>
      </c>
      <c r="O169" t="n">
        <v>0.1058105317771657</v>
      </c>
      <c r="P169" t="n">
        <v>96.39642254211599</v>
      </c>
      <c r="Q169" t="n">
        <v>88.25380828545205</v>
      </c>
    </row>
    <row r="170">
      <c r="A170" s="118" t="n">
        <v>44677</v>
      </c>
      <c r="B170" s="119" t="n">
        <v>117.5414483907595</v>
      </c>
      <c r="C170" s="119" t="n">
        <v>118.1340159924677</v>
      </c>
      <c r="D170" s="119" t="n">
        <v>111.5509605129898</v>
      </c>
      <c r="E170" s="119" t="n">
        <v>111.5879898071289</v>
      </c>
      <c r="F170" s="120" t="n">
        <v>7977900</v>
      </c>
      <c r="G170" s="121" t="n">
        <v>-0.05799593302743555</v>
      </c>
      <c r="H170" s="122" t="n">
        <v>71.36825838461306</v>
      </c>
      <c r="I170" s="119" t="n">
        <v>122.2472099304199</v>
      </c>
      <c r="J170" s="119" t="n">
        <v/>
      </c>
      <c r="K170" s="121" t="n">
        <v>0.4233685838938071</v>
      </c>
      <c r="L170" s="121" t="n">
        <v>-0.1877143445516334</v>
      </c>
      <c r="M170" s="121" t="n">
        <v>-0.3182799490870135</v>
      </c>
      <c r="N170" t="n">
        <v>35.99276912931325</v>
      </c>
      <c r="O170" t="n">
        <v>-0.5354391863158872</v>
      </c>
      <c r="P170" t="n">
        <v>93.60471214280145</v>
      </c>
      <c r="Q170" t="n">
        <v>84.9226680869188</v>
      </c>
    </row>
    <row r="171">
      <c r="A171" s="118" t="n">
        <v>44678</v>
      </c>
      <c r="B171" s="119" t="n">
        <v>112.1157312245427</v>
      </c>
      <c r="C171" s="119" t="n">
        <v>114.8100676545571</v>
      </c>
      <c r="D171" s="119" t="n">
        <v>112.1157312245427</v>
      </c>
      <c r="E171" s="119" t="n">
        <v>112.2546157836914</v>
      </c>
      <c r="F171" s="120" t="n">
        <v>6007800</v>
      </c>
      <c r="G171" s="121" t="n">
        <v>0.005973993955036727</v>
      </c>
      <c r="H171" s="122" t="n">
        <v>71.79461192878424</v>
      </c>
      <c r="I171" s="119" t="n">
        <v>121.8763430786133</v>
      </c>
      <c r="J171" s="119" t="n">
        <v/>
      </c>
      <c r="K171" s="121" t="n">
        <v>0.4024155406157822</v>
      </c>
      <c r="L171" s="121" t="n">
        <v>-0.1828617549562218</v>
      </c>
      <c r="M171" s="121" t="n">
        <v>-0.3142073576238319</v>
      </c>
      <c r="N171" t="n">
        <v>37.20204027738809</v>
      </c>
      <c r="O171" t="n">
        <v>-0.8614278888370248</v>
      </c>
      <c r="P171" t="n">
        <v>93.8679081283444</v>
      </c>
      <c r="Q171" t="n">
        <v>84.82090629659591</v>
      </c>
    </row>
    <row r="172">
      <c r="A172" s="118" t="n">
        <v>44679</v>
      </c>
      <c r="B172" s="119" t="n">
        <v>114.0415844644413</v>
      </c>
      <c r="C172" s="119" t="n">
        <v>118.4858481779616</v>
      </c>
      <c r="D172" s="119" t="n">
        <v>113.5138287665574</v>
      </c>
      <c r="E172" s="119" t="n">
        <v>117.634033203125</v>
      </c>
      <c r="F172" s="120" t="n">
        <v>6551600</v>
      </c>
      <c r="G172" s="121" t="n">
        <v>0.04792156992278551</v>
      </c>
      <c r="H172" s="122" t="n">
        <v>75.23512244440872</v>
      </c>
      <c r="I172" s="119" t="n">
        <v>121.5393466186523</v>
      </c>
      <c r="J172" s="119" t="n">
        <v/>
      </c>
      <c r="K172" s="121" t="n">
        <v>0.4465685382065187</v>
      </c>
      <c r="L172" s="121" t="n">
        <v>-0.1437032074097742</v>
      </c>
      <c r="M172" s="121" t="n">
        <v>-0.2813430975596706</v>
      </c>
      <c r="N172" t="n">
        <v>46.05841618281478</v>
      </c>
      <c r="O172" t="n">
        <v>-0.6700055196100354</v>
      </c>
      <c r="P172" t="n">
        <v>96.23896318893003</v>
      </c>
      <c r="Q172" t="n">
        <v>87.8333959224139</v>
      </c>
    </row>
    <row r="173">
      <c r="A173" s="118" t="n">
        <v>44680</v>
      </c>
      <c r="B173" s="119" t="n">
        <v>116.8655287031845</v>
      </c>
      <c r="C173" s="119" t="n">
        <v>118.9302540017448</v>
      </c>
      <c r="D173" s="119" t="n">
        <v>115.0415290836565</v>
      </c>
      <c r="E173" s="119" t="n">
        <v>115.4581756591797</v>
      </c>
      <c r="F173" s="120" t="n">
        <v>5867900</v>
      </c>
      <c r="G173" s="121" t="n">
        <v>-0.01849683705214922</v>
      </c>
      <c r="H173" s="122" t="n">
        <v>73.84351064395599</v>
      </c>
      <c r="I173" s="119" t="n">
        <v>121.1420205688477</v>
      </c>
      <c r="J173" s="119" t="n">
        <v/>
      </c>
      <c r="K173" s="121" t="n">
        <v>0.4404724047384881</v>
      </c>
      <c r="L173" s="121" t="n">
        <v>-0.14680494439668</v>
      </c>
      <c r="M173" s="121" t="n">
        <v>-0.2946359771805116</v>
      </c>
      <c r="N173" t="n">
        <v>43.39273949769435</v>
      </c>
      <c r="O173" t="n">
        <v>-0.6449475109904075</v>
      </c>
      <c r="P173" t="n">
        <v>92.68238059805158</v>
      </c>
      <c r="Q173" t="n">
        <v>83.88101295644323</v>
      </c>
    </row>
    <row r="174">
      <c r="A174" s="118" t="n">
        <v>44683</v>
      </c>
      <c r="B174" s="119" t="n">
        <v>115.2082302267456</v>
      </c>
      <c r="C174" s="119" t="n">
        <v>116.8285340313131</v>
      </c>
      <c r="D174" s="119" t="n">
        <v>113.6990355118041</v>
      </c>
      <c r="E174" s="119" t="n">
        <v>116.7359466552734</v>
      </c>
      <c r="F174" s="120" t="n">
        <v>5428400</v>
      </c>
      <c r="G174" s="121" t="n">
        <v>0.01106695986489159</v>
      </c>
      <c r="H174" s="122" t="n">
        <v>74.66073381253536</v>
      </c>
      <c r="I174" s="119" t="n">
        <v>120.8384240722656</v>
      </c>
      <c r="J174" s="119" t="n">
        <v/>
      </c>
      <c r="K174" s="121" t="n">
        <v>0.4430856849883577</v>
      </c>
      <c r="L174" s="121" t="n">
        <v>-0.1373626689593941</v>
      </c>
      <c r="M174" s="121" t="n">
        <v>-0.2868297418498298</v>
      </c>
      <c r="N174" t="n">
        <v>45.39152314744921</v>
      </c>
      <c r="O174" t="n">
        <v>-0.5036045718481446</v>
      </c>
      <c r="P174" t="n">
        <v>93.24028917008698</v>
      </c>
      <c r="Q174" t="n">
        <v>85.28148138453105</v>
      </c>
    </row>
    <row r="175">
      <c r="A175" s="118" t="n">
        <v>44684</v>
      </c>
      <c r="B175" s="119" t="n">
        <v>115.7544994095064</v>
      </c>
      <c r="C175" s="119" t="n">
        <v>116.4396615253401</v>
      </c>
      <c r="D175" s="119" t="n">
        <v>111.3102418330973</v>
      </c>
      <c r="E175" s="119" t="n">
        <v>113.7545852661133</v>
      </c>
      <c r="F175" s="120" t="n">
        <v>8201200</v>
      </c>
      <c r="G175" s="121" t="n">
        <v>-0.02553936019351655</v>
      </c>
      <c r="H175" s="122" t="n">
        <v>72.75394643938475</v>
      </c>
      <c r="I175" s="119" t="n">
        <v>120.4724284362793</v>
      </c>
      <c r="J175" s="119" t="n">
        <v/>
      </c>
      <c r="K175" s="121" t="n">
        <v>0.4491279145925226</v>
      </c>
      <c r="L175" s="121" t="n">
        <v>-0.159393874473214</v>
      </c>
      <c r="M175" s="121" t="n">
        <v>-0.3050436539520301</v>
      </c>
      <c r="N175" t="n">
        <v>41.6924153595989</v>
      </c>
      <c r="O175" t="n">
        <v>-0.5674459835248182</v>
      </c>
      <c r="P175" t="n">
        <v>93.66770170297285</v>
      </c>
      <c r="Q175" t="n">
        <v>85.37252919956806</v>
      </c>
    </row>
    <row r="176">
      <c r="A176" s="118" t="n">
        <v>44685</v>
      </c>
      <c r="B176" s="119" t="n">
        <v>113.4582706297529</v>
      </c>
      <c r="C176" s="119" t="n">
        <v>116.8470156704016</v>
      </c>
      <c r="D176" s="119" t="n">
        <v>111.1805879156207</v>
      </c>
      <c r="E176" s="119" t="n">
        <v>116.7173919677734</v>
      </c>
      <c r="F176" s="120" t="n">
        <v>6924000</v>
      </c>
      <c r="G176" s="121" t="n">
        <v>0.02604560242322607</v>
      </c>
      <c r="H176" s="122" t="n">
        <v>74.64886680306564</v>
      </c>
      <c r="I176" s="119" t="n">
        <v>120.2536334228516</v>
      </c>
      <c r="J176" s="119" t="n">
        <v/>
      </c>
      <c r="K176" s="121" t="n">
        <v>0.4593317554596823</v>
      </c>
      <c r="L176" s="121" t="n">
        <v>-0.1374997815332148</v>
      </c>
      <c r="M176" s="121" t="n">
        <v>-0.2869430972613668</v>
      </c>
      <c r="N176" t="n">
        <v>46.36981922402873</v>
      </c>
      <c r="O176" t="n">
        <v>-0.3759100538457105</v>
      </c>
      <c r="P176" t="n">
        <v>96.52015411348729</v>
      </c>
      <c r="Q176" t="n">
        <v>88.2591442982021</v>
      </c>
    </row>
    <row r="177">
      <c r="A177" s="118" t="n">
        <v>44686</v>
      </c>
      <c r="B177" s="119" t="n">
        <v>114.9119183401403</v>
      </c>
      <c r="C177" s="119" t="n">
        <v>115.5044858789313</v>
      </c>
      <c r="D177" s="119" t="n">
        <v>107.8844273095967</v>
      </c>
      <c r="E177" s="119" t="n">
        <v>109.8380508422852</v>
      </c>
      <c r="F177" s="120" t="n">
        <v>8411600</v>
      </c>
      <c r="G177" s="121" t="n">
        <v>-0.05894015458628243</v>
      </c>
      <c r="H177" s="122" t="n">
        <v>70.24905105400215</v>
      </c>
      <c r="I177" s="119" t="n">
        <v>119.9223785400391</v>
      </c>
      <c r="J177" s="119" t="n">
        <v/>
      </c>
      <c r="K177" s="121" t="n">
        <v>0.4931285457025669</v>
      </c>
      <c r="L177" s="121" t="n">
        <v>-0.1883356777403495</v>
      </c>
      <c r="M177" s="121" t="n">
        <v>-0.3289707813375976</v>
      </c>
      <c r="N177" t="n">
        <v>38.62254517306127</v>
      </c>
      <c r="O177" t="n">
        <v>-0.6615952902431639</v>
      </c>
      <c r="P177" t="n">
        <v>93.08956519019419</v>
      </c>
      <c r="Q177" t="n">
        <v>83.81406948831012</v>
      </c>
    </row>
    <row r="178">
      <c r="A178" s="118" t="n">
        <v>44687</v>
      </c>
      <c r="B178" s="119" t="n">
        <v>105.3104518654524</v>
      </c>
      <c r="C178" s="119" t="n">
        <v>107.3103724383385</v>
      </c>
      <c r="D178" s="119" t="n">
        <v>102.4587234742818</v>
      </c>
      <c r="E178" s="119" t="n">
        <v>106.0048675537109</v>
      </c>
      <c r="F178" s="120" t="n">
        <v>11237500</v>
      </c>
      <c r="G178" s="121" t="n">
        <v>-0.03489850064872535</v>
      </c>
      <c r="H178" s="122" t="n">
        <v>67.79746450022172</v>
      </c>
      <c r="I178" s="119" t="n">
        <v>119.5081781005859</v>
      </c>
      <c r="J178" s="119" t="n">
        <v/>
      </c>
      <c r="K178" s="121" t="n">
        <v>0.5033164649048345</v>
      </c>
      <c r="L178" s="121" t="n">
        <v>-0.2166615456172751</v>
      </c>
      <c r="M178" s="121" t="n">
        <v>-0.3523886949604011</v>
      </c>
      <c r="N178" t="n">
        <v>35.10323104592226</v>
      </c>
      <c r="O178" t="n">
        <v>-1.035510829797483</v>
      </c>
      <c r="P178" t="n">
        <v>92.53392598799407</v>
      </c>
      <c r="Q178" t="n">
        <v>82.80988390648506</v>
      </c>
    </row>
    <row r="179">
      <c r="A179" s="118" t="n">
        <v>44690</v>
      </c>
      <c r="B179" s="119" t="n">
        <v>104.5975206556459</v>
      </c>
      <c r="C179" s="119" t="n">
        <v>105.9493156697665</v>
      </c>
      <c r="D179" s="119" t="n">
        <v>102.3939037024675</v>
      </c>
      <c r="E179" s="119" t="n">
        <v>102.9679565429688</v>
      </c>
      <c r="F179" s="120" t="n">
        <v>7506000</v>
      </c>
      <c r="G179" s="121" t="n">
        <v>-0.02864878831345585</v>
      </c>
      <c r="H179" s="122" t="n">
        <v>65.85514929156582</v>
      </c>
      <c r="I179" s="119" t="n">
        <v>119.0031243896484</v>
      </c>
      <c r="J179" s="119" t="n">
        <v/>
      </c>
      <c r="K179" s="121" t="n">
        <v>0.5098239898049645</v>
      </c>
      <c r="L179" s="121" t="n">
        <v>-0.2391032431746756</v>
      </c>
      <c r="M179" s="121" t="n">
        <v>-0.3709419741478814</v>
      </c>
      <c r="N179" t="n">
        <v>32.57098880131493</v>
      </c>
      <c r="O179" t="n">
        <v>-1.391949768438503</v>
      </c>
      <c r="P179" t="n">
        <v>89.57123457355841</v>
      </c>
      <c r="Q179" t="n">
        <v>79.5698166928603</v>
      </c>
    </row>
    <row r="180">
      <c r="A180" s="118" t="n">
        <v>44691</v>
      </c>
      <c r="B180" s="119" t="n">
        <v>104.6530858173413</v>
      </c>
      <c r="C180" s="119" t="n">
        <v>105.0327031658289</v>
      </c>
      <c r="D180" s="119" t="n">
        <v>100.3199310898155</v>
      </c>
      <c r="E180" s="119" t="n">
        <v>101.3754425048828</v>
      </c>
      <c r="F180" s="120" t="n">
        <v>7526900</v>
      </c>
      <c r="G180" s="121" t="n">
        <v>-0.01546611287193389</v>
      </c>
      <c r="H180" s="122" t="n">
        <v>64.83662611942441</v>
      </c>
      <c r="I180" s="119" t="n">
        <v>118.5077911376953</v>
      </c>
      <c r="J180" s="119" t="n">
        <v/>
      </c>
      <c r="K180" s="121" t="n">
        <v>0.5064942513984176</v>
      </c>
      <c r="L180" s="121" t="n">
        <v>-0.2508713582996245</v>
      </c>
      <c r="M180" s="121" t="n">
        <v>-0.3806710565787063</v>
      </c>
      <c r="N180" t="n">
        <v>31.29606626971218</v>
      </c>
      <c r="O180" t="n">
        <v>-1.623399018549147</v>
      </c>
      <c r="P180" t="n">
        <v>89.77819091946566</v>
      </c>
      <c r="Q180" t="n">
        <v>80.53648238629194</v>
      </c>
    </row>
    <row r="181">
      <c r="A181" s="118" t="n">
        <v>44692</v>
      </c>
      <c r="B181" s="119" t="n">
        <v>102.4957653771171</v>
      </c>
      <c r="C181" s="119" t="n">
        <v>102.9124190797332</v>
      </c>
      <c r="D181" s="119" t="n">
        <v>99.61625407026202</v>
      </c>
      <c r="E181" s="119" t="n">
        <v>99.92179870605469</v>
      </c>
      <c r="F181" s="120" t="n">
        <v>6611800</v>
      </c>
      <c r="G181" s="121" t="n">
        <v>-0.01433921039366226</v>
      </c>
      <c r="H181" s="122" t="n">
        <v>63.90692009628277</v>
      </c>
      <c r="I181" s="119" t="n">
        <v>118.0633840942383</v>
      </c>
      <c r="J181" s="119" t="n">
        <v/>
      </c>
      <c r="K181" s="121" t="n">
        <v>0.5066691039472999</v>
      </c>
      <c r="L181" s="121" t="n">
        <v>-0.2616132715048846</v>
      </c>
      <c r="M181" s="121" t="n">
        <v>-0.3895517446013087</v>
      </c>
      <c r="N181" t="n">
        <v>30.13647555888573</v>
      </c>
      <c r="O181" t="n">
        <v>-1.751811772212679</v>
      </c>
      <c r="P181" t="n">
        <v>88.35195744058716</v>
      </c>
      <c r="Q181" t="n">
        <v>78.14790353428643</v>
      </c>
    </row>
    <row r="182">
      <c r="A182" s="118" t="n">
        <v>44693</v>
      </c>
      <c r="B182" s="119" t="n">
        <v>97.38485910658949</v>
      </c>
      <c r="C182" s="119" t="n">
        <v>101.7365280481938</v>
      </c>
      <c r="D182" s="119" t="n">
        <v>97.21819905422377</v>
      </c>
      <c r="E182" s="119" t="n">
        <v>99.90327453613281</v>
      </c>
      <c r="F182" s="120" t="n">
        <v>10245400</v>
      </c>
      <c r="G182" s="121" t="n">
        <v>-0.0001853866739965904</v>
      </c>
      <c r="H182" s="122" t="n">
        <v>63.89507260492076</v>
      </c>
      <c r="I182" s="119" t="n">
        <v>117.5546810913086</v>
      </c>
      <c r="J182" s="119" t="n">
        <v/>
      </c>
      <c r="K182" s="121" t="n">
        <v>0.4977642515018533</v>
      </c>
      <c r="L182" s="121" t="n">
        <v>-0.2617501585646035</v>
      </c>
      <c r="M182" s="121" t="n">
        <v>-0.3896649135730241</v>
      </c>
      <c r="N182" t="n">
        <v>30.12115932118684</v>
      </c>
      <c r="O182" t="n">
        <v>-1.713332921913128</v>
      </c>
      <c r="P182" t="n">
        <v>88.25973519654407</v>
      </c>
      <c r="Q182" t="n">
        <v>77.96315667775167</v>
      </c>
    </row>
    <row r="183">
      <c r="A183" s="118" t="n">
        <v>44694</v>
      </c>
      <c r="B183" s="119" t="n">
        <v>102.0883836193764</v>
      </c>
      <c r="C183" s="119" t="n">
        <v>104.7271622508263</v>
      </c>
      <c r="D183" s="119" t="n">
        <v>100.6162184477488</v>
      </c>
      <c r="E183" s="119" t="n">
        <v>104.6345748901367</v>
      </c>
      <c r="F183" s="120" t="n">
        <v>9618800</v>
      </c>
      <c r="G183" s="121" t="n">
        <v>0.04735881157021238</v>
      </c>
      <c r="H183" s="122" t="n">
        <v>66.92106730868224</v>
      </c>
      <c r="I183" s="119" t="n">
        <v>117.1721971130371</v>
      </c>
      <c r="J183" s="119" t="n">
        <v/>
      </c>
      <c r="K183" s="121" t="n">
        <v>0.4985413520298907</v>
      </c>
      <c r="L183" s="121" t="n">
        <v>-0.2076401771832901</v>
      </c>
      <c r="M183" s="121" t="n">
        <v>-0.3607601692202397</v>
      </c>
      <c r="N183" t="n">
        <v>38.69165042549869</v>
      </c>
      <c r="O183" t="n">
        <v>-1.265239035431688</v>
      </c>
      <c r="P183" t="n">
        <v>90.36983454693696</v>
      </c>
      <c r="Q183" t="n">
        <v>80.85246495263218</v>
      </c>
    </row>
    <row r="184">
      <c r="A184" s="118" t="n">
        <v>44697</v>
      </c>
      <c r="B184" s="119" t="n">
        <v>104.6067856616556</v>
      </c>
      <c r="C184" s="119" t="n">
        <v>105.0326931161098</v>
      </c>
      <c r="D184" s="119" t="n">
        <v>103.2920198821223</v>
      </c>
      <c r="E184" s="119" t="n">
        <v>104.2549438476562</v>
      </c>
      <c r="F184" s="120" t="n">
        <v>5722500</v>
      </c>
      <c r="G184" s="121" t="n">
        <v>-0.003628160604456698</v>
      </c>
      <c r="H184" s="122" t="n">
        <v>66.67826692866467</v>
      </c>
      <c r="I184" s="119" t="n">
        <v>116.8281372070312</v>
      </c>
      <c r="J184" s="119" t="n">
        <v/>
      </c>
      <c r="K184" s="121" t="n">
        <v>0.4982433858564861</v>
      </c>
      <c r="L184" s="121" t="n">
        <v>-0.2105149858769881</v>
      </c>
      <c r="M184" s="121" t="n">
        <v>-0.3630794339910743</v>
      </c>
      <c r="N184" t="n">
        <v>38.28589466025588</v>
      </c>
      <c r="O184" t="n">
        <v>-0.9071801677654978</v>
      </c>
      <c r="P184" t="n">
        <v>90.00315675162976</v>
      </c>
      <c r="Q184" t="n">
        <v>79.9152228389402</v>
      </c>
    </row>
    <row r="185">
      <c r="A185" s="118" t="n">
        <v>44698</v>
      </c>
      <c r="B185" s="119" t="n">
        <v>106.9400301621098</v>
      </c>
      <c r="C185" s="119" t="n">
        <v>108.4214490805673</v>
      </c>
      <c r="D185" s="119" t="n">
        <v>104.6901227514654</v>
      </c>
      <c r="E185" s="119" t="n">
        <v>107.3103866577148</v>
      </c>
      <c r="F185" s="120" t="n">
        <v>6026100</v>
      </c>
      <c r="G185" s="121" t="n">
        <v>0.02930741408794391</v>
      </c>
      <c r="H185" s="122" t="n">
        <v>68.6324345082095</v>
      </c>
      <c r="I185" s="119" t="n">
        <v>116.6699955749512</v>
      </c>
      <c r="J185" s="119" t="n">
        <v/>
      </c>
      <c r="K185" s="121" t="n">
        <v>0.4845178125746252</v>
      </c>
      <c r="L185" s="121" t="n">
        <v>-0.1670260230137305</v>
      </c>
      <c r="M185" s="121" t="n">
        <v>-0.3444129392219233</v>
      </c>
      <c r="N185" t="n">
        <v>43.4280557068654</v>
      </c>
      <c r="O185" t="n">
        <v>-0.4030375077156192</v>
      </c>
      <c r="P185" t="n">
        <v>91.85454794080137</v>
      </c>
      <c r="Q185" t="n">
        <v>81.98515111823045</v>
      </c>
    </row>
    <row r="186">
      <c r="A186" s="118" t="n">
        <v>44699</v>
      </c>
      <c r="B186" s="119" t="n">
        <v>104.1623693046801</v>
      </c>
      <c r="C186" s="119" t="n">
        <v>104.9586333151485</v>
      </c>
      <c r="D186" s="119" t="n">
        <v>100.718065829438</v>
      </c>
      <c r="E186" s="119" t="n">
        <v>101.2643432617188</v>
      </c>
      <c r="F186" s="120" t="n">
        <v>8188300</v>
      </c>
      <c r="G186" s="121" t="n">
        <v>-0.0563416420749745</v>
      </c>
      <c r="H186" s="122" t="n">
        <v>64.76557044841384</v>
      </c>
      <c r="I186" s="119" t="n">
        <v>116.4507456970215</v>
      </c>
      <c r="J186" s="119" t="n">
        <v/>
      </c>
      <c r="K186" s="121" t="n">
        <v>0.5141614203254836</v>
      </c>
      <c r="L186" s="121" t="n">
        <v>-0.2139571446828589</v>
      </c>
      <c r="M186" s="121" t="n">
        <v>-0.3813497907492662</v>
      </c>
      <c r="N186" t="n">
        <v>36.8797238403885</v>
      </c>
      <c r="O186" t="n">
        <v>-0.4136773309419901</v>
      </c>
      <c r="P186" t="n">
        <v>88.15174374159433</v>
      </c>
      <c r="Q186" t="n">
        <v>77.96047189146232</v>
      </c>
    </row>
    <row r="187">
      <c r="A187" s="118" t="n">
        <v>44700</v>
      </c>
      <c r="B187" s="119" t="n">
        <v>100.8754560562516</v>
      </c>
      <c r="C187" s="119" t="n">
        <v>101.0236014700933</v>
      </c>
      <c r="D187" s="119" t="n">
        <v>98.40333774045514</v>
      </c>
      <c r="E187" s="119" t="n">
        <v>98.55148315429688</v>
      </c>
      <c r="F187" s="120" t="n">
        <v>7702000</v>
      </c>
      <c r="G187" s="121" t="n">
        <v>-0.02678988496879364</v>
      </c>
      <c r="H187" s="122" t="n">
        <v>63.03050826616252</v>
      </c>
      <c r="I187" s="119" t="n">
        <v>116.0709465026855</v>
      </c>
      <c r="J187" s="119" t="n">
        <v/>
      </c>
      <c r="K187" s="121" t="n">
        <v>0.5166218276550224</v>
      </c>
      <c r="L187" s="121" t="n">
        <v>-0.2350151423573473</v>
      </c>
      <c r="M187" s="121" t="n">
        <v>-0.3979233586910135</v>
      </c>
      <c r="N187" t="n">
        <v>34.37508614386232</v>
      </c>
      <c r="O187" t="n">
        <v>-0.5327562597085</v>
      </c>
      <c r="P187" t="n">
        <v>87.61183738219452</v>
      </c>
      <c r="Q187" t="n">
        <v>77.5427443147135</v>
      </c>
    </row>
    <row r="188">
      <c r="A188" s="118" t="n">
        <v>44701</v>
      </c>
      <c r="B188" s="119" t="n">
        <v>100.6162078900508</v>
      </c>
      <c r="C188" s="119" t="n">
        <v>101.5606172362912</v>
      </c>
      <c r="D188" s="119" t="n">
        <v>97.28301380723779</v>
      </c>
      <c r="E188" s="119" t="n">
        <v>99.99586486816406</v>
      </c>
      <c r="F188" s="120" t="n">
        <v>7621900</v>
      </c>
      <c r="G188" s="121" t="n">
        <v>0.01465611341034601</v>
      </c>
      <c r="H188" s="122" t="n">
        <v>63.95429054362315</v>
      </c>
      <c r="I188" s="119" t="n">
        <v>115.7370712280273</v>
      </c>
      <c r="J188" s="119" t="n">
        <v/>
      </c>
      <c r="K188" s="121" t="n">
        <v>0.5064779578350173</v>
      </c>
      <c r="L188" s="121" t="n">
        <v>-0.2238034375265392</v>
      </c>
      <c r="M188" s="121" t="n">
        <v>-0.3890992551542687</v>
      </c>
      <c r="N188" t="n">
        <v>36.83474442856825</v>
      </c>
      <c r="O188" t="n">
        <v>-0.4470406845573001</v>
      </c>
      <c r="P188" t="n">
        <v>87.65010390367971</v>
      </c>
      <c r="Q188" t="n">
        <v>77.30173440550291</v>
      </c>
    </row>
    <row r="189">
      <c r="A189" s="118" t="n">
        <v>44704</v>
      </c>
      <c r="B189" s="119" t="n">
        <v>99.50515935045215</v>
      </c>
      <c r="C189" s="119" t="n">
        <v>100.6902945607957</v>
      </c>
      <c r="D189" s="119" t="n">
        <v>97.97744312363368</v>
      </c>
      <c r="E189" s="119" t="n">
        <v>100.5791854858398</v>
      </c>
      <c r="F189" s="120" t="n">
        <v>7136400</v>
      </c>
      <c r="G189" s="121" t="n">
        <v>0.005833447397498359</v>
      </c>
      <c r="H189" s="122" t="n">
        <v>64.3273645333537</v>
      </c>
      <c r="I189" s="119" t="n">
        <v>115.4778228759766</v>
      </c>
      <c r="J189" s="119" t="n">
        <v/>
      </c>
      <c r="K189" s="121" t="n">
        <v>0.5089776044698894</v>
      </c>
      <c r="L189" s="121" t="n">
        <v>-0.2192755357092312</v>
      </c>
      <c r="M189" s="121" t="n">
        <v>-0.3855355977941186</v>
      </c>
      <c r="N189" t="n">
        <v>37.84789019465285</v>
      </c>
      <c r="O189" t="n">
        <v>-0.2913892453831117</v>
      </c>
      <c r="P189" t="n">
        <v>89.29002182813733</v>
      </c>
      <c r="Q189" t="n">
        <v>78.58707584152127</v>
      </c>
    </row>
    <row r="190">
      <c r="A190" s="118" t="n">
        <v>44705</v>
      </c>
      <c r="B190" s="119" t="n">
        <v>99.17183327665245</v>
      </c>
      <c r="C190" s="119" t="n">
        <v>99.98661191919355</v>
      </c>
      <c r="D190" s="119" t="n">
        <v>96.96822306780285</v>
      </c>
      <c r="E190" s="119" t="n">
        <v>99.33849334716797</v>
      </c>
      <c r="F190" s="120" t="n">
        <v>6023400</v>
      </c>
      <c r="G190" s="121" t="n">
        <v>-0.012335476099541</v>
      </c>
      <c r="H190" s="122" t="n">
        <v>63.53385586560606</v>
      </c>
      <c r="I190" s="119" t="n">
        <v>115.2874606323242</v>
      </c>
      <c r="J190" s="119" t="n">
        <v/>
      </c>
      <c r="K190" s="121" t="n">
        <v>0.4736611645141445</v>
      </c>
      <c r="L190" s="121" t="n">
        <v>-0.228906143678817</v>
      </c>
      <c r="M190" s="121" t="n">
        <v>-0.393115308741548</v>
      </c>
      <c r="N190" t="n">
        <v>36.50664855483366</v>
      </c>
      <c r="O190" t="n">
        <v>-0.2158029650169597</v>
      </c>
      <c r="P190" t="n">
        <v>88.60841077921567</v>
      </c>
      <c r="Q190" t="n">
        <v>76.91614875461171</v>
      </c>
    </row>
    <row r="191">
      <c r="A191" s="118" t="n">
        <v>44706</v>
      </c>
      <c r="B191" s="119" t="n">
        <v>95.79233984640199</v>
      </c>
      <c r="C191" s="119" t="n">
        <v>100.8199103007065</v>
      </c>
      <c r="D191" s="119" t="n">
        <v>95.79233984640199</v>
      </c>
      <c r="E191" s="119" t="n">
        <v>100.1810455322266</v>
      </c>
      <c r="F191" s="120" t="n">
        <v>7158800</v>
      </c>
      <c r="G191" s="121" t="n">
        <v>0.008481628386632023</v>
      </c>
      <c r="H191" s="122" t="n">
        <v>64.07272642102797</v>
      </c>
      <c r="I191" s="119" t="n">
        <v>115.0800619506836</v>
      </c>
      <c r="J191" s="119" t="n">
        <v/>
      </c>
      <c r="K191" s="121" t="n">
        <v>0.4745406888407032</v>
      </c>
      <c r="L191" s="121" t="n">
        <v>-0.2223660121382857</v>
      </c>
      <c r="M191" s="121" t="n">
        <v>-0.3879679383167579</v>
      </c>
      <c r="N191" t="n">
        <v>38.11062833255995</v>
      </c>
      <c r="O191" t="n">
        <v>-0.06092268827739833</v>
      </c>
      <c r="P191" t="n">
        <v>89.39124881530883</v>
      </c>
      <c r="Q191" t="n">
        <v>77.99259703740562</v>
      </c>
    </row>
    <row r="192">
      <c r="A192" s="118" t="n">
        <v>44707</v>
      </c>
      <c r="B192" s="119" t="n">
        <v>101.8476509787836</v>
      </c>
      <c r="C192" s="119" t="n">
        <v>105.0882580553813</v>
      </c>
      <c r="D192" s="119" t="n">
        <v>101.8476509787836</v>
      </c>
      <c r="E192" s="119" t="n">
        <v>104.5697631835938</v>
      </c>
      <c r="F192" s="120" t="n">
        <v>6520300</v>
      </c>
      <c r="G192" s="121" t="n">
        <v>0.04380786433253392</v>
      </c>
      <c r="H192" s="122" t="n">
        <v>66.87961572749592</v>
      </c>
      <c r="I192" s="119" t="n">
        <v>114.8532197570801</v>
      </c>
      <c r="J192" s="119" t="n">
        <v/>
      </c>
      <c r="K192" s="121" t="n">
        <v>0.4686152678375743</v>
      </c>
      <c r="L192" s="121" t="n">
        <v>-0.1882995278976725</v>
      </c>
      <c r="M192" s="121" t="n">
        <v>-0.3611561207913774</v>
      </c>
      <c r="N192" t="n">
        <v>45.79232157904829</v>
      </c>
      <c r="O192" t="n">
        <v>0.3619852998754851</v>
      </c>
      <c r="P192" t="n">
        <v>91.17742471620139</v>
      </c>
      <c r="Q192" t="n">
        <v>80.15358152169007</v>
      </c>
    </row>
    <row r="193">
      <c r="A193" s="118" t="n">
        <v>44708</v>
      </c>
      <c r="B193" s="119" t="n">
        <v>105.7548892318973</v>
      </c>
      <c r="C193" s="119" t="n">
        <v>107.4122289843353</v>
      </c>
      <c r="D193" s="119" t="n">
        <v>105.5604536717515</v>
      </c>
      <c r="E193" s="119" t="n">
        <v>107.3937072753906</v>
      </c>
      <c r="F193" s="120" t="n">
        <v>5043000</v>
      </c>
      <c r="G193" s="121" t="n">
        <v>0.02700535992262743</v>
      </c>
      <c r="H193" s="122" t="n">
        <v>68.68572382170396</v>
      </c>
      <c r="I193" s="119" t="n">
        <v>114.641746673584</v>
      </c>
      <c r="J193" s="119" t="n">
        <v/>
      </c>
      <c r="K193" s="121" t="n">
        <v>0.4795241921508644</v>
      </c>
      <c r="L193" s="121" t="n">
        <v>-0.1663792644991825</v>
      </c>
      <c r="M193" s="121" t="n">
        <v>-0.343903911898981</v>
      </c>
      <c r="N193" t="n">
        <v>50.08542545656447</v>
      </c>
      <c r="O193" t="n">
        <v>0.8300330987253348</v>
      </c>
      <c r="P193" t="n">
        <v>93.41575800952981</v>
      </c>
      <c r="Q193" t="n">
        <v>82.76973796150237</v>
      </c>
    </row>
    <row r="194">
      <c r="A194" s="118" t="n">
        <v>44712</v>
      </c>
      <c r="B194" s="119" t="n">
        <v>108.7917935637952</v>
      </c>
      <c r="C194" s="119" t="n">
        <v>110.9120770264586</v>
      </c>
      <c r="D194" s="119" t="n">
        <v>105.9678335435758</v>
      </c>
      <c r="E194" s="119" t="n">
        <v>110.0417404174805</v>
      </c>
      <c r="F194" s="120" t="n">
        <v>13774600</v>
      </c>
      <c r="G194" s="121" t="n">
        <v>0.02465724677237802</v>
      </c>
      <c r="H194" s="122" t="n">
        <v>70.37932466371511</v>
      </c>
      <c r="I194" s="119" t="n">
        <v>114.4123110961914</v>
      </c>
      <c r="J194" s="119" t="n">
        <v/>
      </c>
      <c r="K194" s="121" t="n">
        <v>0.4872429999108116</v>
      </c>
      <c r="L194" s="121" t="n">
        <v>-0.1458244723093676</v>
      </c>
      <c r="M194" s="121" t="n">
        <v>-0.3277263887482822</v>
      </c>
      <c r="N194" t="n">
        <v>53.78179725193576</v>
      </c>
      <c r="O194" t="n">
        <v>1.288719778207904</v>
      </c>
      <c r="P194" t="n">
        <v>92.89159904017285</v>
      </c>
      <c r="Q194" t="n">
        <v>82.55017278277782</v>
      </c>
    </row>
    <row r="195">
      <c r="A195" s="118" t="n">
        <v>44713</v>
      </c>
      <c r="B195" s="119" t="n">
        <v>110.9491105096864</v>
      </c>
      <c r="C195" s="119" t="n">
        <v>111.8009253887259</v>
      </c>
      <c r="D195" s="119" t="n">
        <v>108.8936389499456</v>
      </c>
      <c r="E195" s="119" t="n">
        <v>109.8843383789062</v>
      </c>
      <c r="F195" s="120" t="n">
        <v>5543100</v>
      </c>
      <c r="G195" s="121" t="n">
        <v>-0.00143038485193947</v>
      </c>
      <c r="H195" s="122" t="n">
        <v>70.27865514382641</v>
      </c>
      <c r="I195" s="119" t="n">
        <v>114.1991716003418</v>
      </c>
      <c r="J195" s="119" t="n">
        <v/>
      </c>
      <c r="K195" s="121" t="n">
        <v>0.4795768024434659</v>
      </c>
      <c r="L195" s="121" t="n">
        <v>-0.1470462720450736</v>
      </c>
      <c r="M195" s="121" t="n">
        <v>-0.3286879987381753</v>
      </c>
      <c r="N195" t="n">
        <v>53.52805001808971</v>
      </c>
      <c r="O195" t="n">
        <v>1.535520403466216</v>
      </c>
      <c r="P195" t="n">
        <v>92.14023396330158</v>
      </c>
      <c r="Q195" t="n">
        <v>81.93964399062625</v>
      </c>
    </row>
    <row r="196">
      <c r="A196" s="118" t="n">
        <v>44714</v>
      </c>
      <c r="B196" s="119" t="n">
        <v>110.6528382227069</v>
      </c>
      <c r="C196" s="119" t="n">
        <v>114.4212007843985</v>
      </c>
      <c r="D196" s="119" t="n">
        <v>110.4213663035269</v>
      </c>
      <c r="E196" s="119" t="n">
        <v>114.263801574707</v>
      </c>
      <c r="F196" s="120" t="n">
        <v>5838100</v>
      </c>
      <c r="G196" s="121" t="n">
        <v>0.03985520830729672</v>
      </c>
      <c r="H196" s="122" t="n">
        <v>73.07962558414029</v>
      </c>
      <c r="I196" s="119" t="n">
        <v>114.0199197387695</v>
      </c>
      <c r="J196" s="119" t="n">
        <v/>
      </c>
      <c r="K196" s="121" t="n">
        <v>0.4923527568248823</v>
      </c>
      <c r="L196" s="121" t="n">
        <v>-0.1130516235409447</v>
      </c>
      <c r="M196" s="121" t="n">
        <v>-0.3019327190886971</v>
      </c>
      <c r="N196" t="n">
        <v>59.28410812435697</v>
      </c>
      <c r="O196" t="n">
        <v>1.922609636967053</v>
      </c>
      <c r="P196" t="n">
        <v>93.89491508410842</v>
      </c>
      <c r="Q196" t="n">
        <v>84.18359676120825</v>
      </c>
    </row>
    <row r="197">
      <c r="A197" s="118" t="n">
        <v>44715</v>
      </c>
      <c r="B197" s="119" t="n">
        <v>111.5767050589146</v>
      </c>
      <c r="C197" s="119" t="n">
        <v>113.739369804529</v>
      </c>
      <c r="D197" s="119" t="n">
        <v>111.3817877800751</v>
      </c>
      <c r="E197" s="119" t="n">
        <v>112.263557434082</v>
      </c>
      <c r="F197" s="120" t="n">
        <v>5201500</v>
      </c>
      <c r="G197" s="121" t="n">
        <v>-0.01750549266748502</v>
      </c>
      <c r="H197" s="122" t="n">
        <v>71.80033073433457</v>
      </c>
      <c r="I197" s="119" t="n">
        <v>113.8023294067383</v>
      </c>
      <c r="J197" s="119" t="n">
        <v/>
      </c>
      <c r="K197" s="121" t="n">
        <v>0.4471278981601303</v>
      </c>
      <c r="L197" s="121" t="n">
        <v>-0.1285780918414864</v>
      </c>
      <c r="M197" s="121" t="n">
        <v>-0.3141527307561011</v>
      </c>
      <c r="N197" t="n">
        <v>55.87974780308867</v>
      </c>
      <c r="O197" t="n">
        <v>1.965817160699874</v>
      </c>
      <c r="P197" t="n">
        <v>92.35396932422958</v>
      </c>
      <c r="Q197" t="n">
        <v>81.99318869718414</v>
      </c>
    </row>
    <row r="198">
      <c r="A198" s="118" t="n">
        <v>44718</v>
      </c>
      <c r="B198" s="119" t="n">
        <v>112.7740865143999</v>
      </c>
      <c r="C198" s="119" t="n">
        <v>113.36812228837</v>
      </c>
      <c r="D198" s="119" t="n">
        <v>110.8527505088946</v>
      </c>
      <c r="E198" s="119" t="n">
        <v>111.5952987670898</v>
      </c>
      <c r="F198" s="120" t="n">
        <v>3963400</v>
      </c>
      <c r="G198" s="121" t="n">
        <v>-0.005952587663049735</v>
      </c>
      <c r="H198" s="122" t="n">
        <v>71.37293297140246</v>
      </c>
      <c r="I198" s="119" t="n">
        <v>113.5884104919434</v>
      </c>
      <c r="J198" s="119" t="n">
        <v/>
      </c>
      <c r="K198" s="121" t="n">
        <v>0.4272656397974475</v>
      </c>
      <c r="L198" s="121" t="n">
        <v>-0.1337653071413022</v>
      </c>
      <c r="M198" s="121" t="n">
        <v>-0.3182352967497386</v>
      </c>
      <c r="N198" t="n">
        <v>54.74860722763993</v>
      </c>
      <c r="O198" t="n">
        <v>1.871744987267951</v>
      </c>
      <c r="P198" t="n">
        <v>92.6351529751656</v>
      </c>
      <c r="Q198" t="n">
        <v>82.2663321422952</v>
      </c>
    </row>
    <row r="199">
      <c r="A199" s="118" t="n">
        <v>44719</v>
      </c>
      <c r="B199" s="119" t="n">
        <v>110.1380252733361</v>
      </c>
      <c r="C199" s="119" t="n">
        <v>113.2103039140917</v>
      </c>
      <c r="D199" s="119" t="n">
        <v>109.9523847158888</v>
      </c>
      <c r="E199" s="119" t="n">
        <v>112.9318466186523</v>
      </c>
      <c r="F199" s="120" t="n">
        <v>5373600</v>
      </c>
      <c r="G199" s="121" t="n">
        <v>0.01197673975811475</v>
      </c>
      <c r="H199" s="122" t="n">
        <v>72.22774801537433</v>
      </c>
      <c r="I199" s="119" t="n">
        <v>113.3712240600586</v>
      </c>
      <c r="J199" s="119" t="n">
        <v/>
      </c>
      <c r="K199" s="121" t="n">
        <v>0.4115029267857181</v>
      </c>
      <c r="L199" s="121" t="n">
        <v>-0.1233906396554829</v>
      </c>
      <c r="M199" s="121" t="n">
        <v>-0.3100699783226419</v>
      </c>
      <c r="N199" t="n">
        <v>56.63914173688596</v>
      </c>
      <c r="O199" t="n">
        <v>1.82023596096057</v>
      </c>
      <c r="P199" t="n">
        <v>93.52371309637321</v>
      </c>
      <c r="Q199" t="n">
        <v>82.97593793848033</v>
      </c>
    </row>
    <row r="200">
      <c r="A200" s="118" t="n">
        <v>44720</v>
      </c>
      <c r="B200" s="119" t="n">
        <v>112.217171087979</v>
      </c>
      <c r="C200" s="119" t="n">
        <v>114.9274600041539</v>
      </c>
      <c r="D200" s="119" t="n">
        <v>111.7994850661288</v>
      </c>
      <c r="E200" s="119" t="n">
        <v>113.6094436645508</v>
      </c>
      <c r="F200" s="120" t="n">
        <v>4365800</v>
      </c>
      <c r="G200" s="121" t="n">
        <v>0.006000052829973956</v>
      </c>
      <c r="H200" s="122" t="n">
        <v>72.66111831925663</v>
      </c>
      <c r="I200" s="119" t="n">
        <v>113.1470349121094</v>
      </c>
      <c r="J200" s="119" t="n">
        <v/>
      </c>
      <c r="K200" s="121" t="n">
        <v>0.4043715692988336</v>
      </c>
      <c r="L200" s="121" t="n">
        <v>-0.1181309371821661</v>
      </c>
      <c r="M200" s="121" t="n">
        <v>-0.3059303617435927</v>
      </c>
      <c r="N200" t="n">
        <v>57.60614348526379</v>
      </c>
      <c r="O200" t="n">
        <v>1.751903492020162</v>
      </c>
      <c r="P200" t="n">
        <v>92.50690448498753</v>
      </c>
      <c r="Q200" t="n">
        <v>82.37879951794682</v>
      </c>
    </row>
    <row r="201">
      <c r="A201" s="118" t="n">
        <v>44721</v>
      </c>
      <c r="B201" s="119" t="n">
        <v>112.634843633983</v>
      </c>
      <c r="C201" s="119" t="n">
        <v>113.2660074494557</v>
      </c>
      <c r="D201" s="119" t="n">
        <v>110.0730602557156</v>
      </c>
      <c r="E201" s="119" t="n">
        <v>110.0823440551758</v>
      </c>
      <c r="F201" s="120" t="n">
        <v>3892600</v>
      </c>
      <c r="G201" s="121" t="n">
        <v>-0.03104583118802429</v>
      </c>
      <c r="H201" s="122" t="n">
        <v>70.40529350598392</v>
      </c>
      <c r="I201" s="119" t="n">
        <v>112.7721214294434</v>
      </c>
      <c r="J201" s="119" t="n">
        <v>134.9312231826782</v>
      </c>
      <c r="K201" s="121" t="n">
        <v>0.4195907052607166</v>
      </c>
      <c r="L201" s="121" t="n">
        <v>-0.1455092952363498</v>
      </c>
      <c r="M201" s="121" t="n">
        <v>-0.3274783305656341</v>
      </c>
      <c r="N201" t="n">
        <v>51.20480214114466</v>
      </c>
      <c r="O201" t="n">
        <v>1.404281656064075</v>
      </c>
      <c r="P201" t="n">
        <v>90.30684498676557</v>
      </c>
      <c r="Q201" t="n">
        <v>80.17230790605817</v>
      </c>
    </row>
    <row r="202">
      <c r="A202" s="118" t="n">
        <v>44722</v>
      </c>
      <c r="B202" s="119" t="n">
        <v>108.6807666822876</v>
      </c>
      <c r="C202" s="119" t="n">
        <v>108.6807666822876</v>
      </c>
      <c r="D202" s="119" t="n">
        <v>106.0540184615831</v>
      </c>
      <c r="E202" s="119" t="n">
        <v>106.4902648925781</v>
      </c>
      <c r="F202" s="120" t="n">
        <v>6292600</v>
      </c>
      <c r="G202" s="121" t="n">
        <v>-0.0326308382459336</v>
      </c>
      <c r="H202" s="122" t="n">
        <v>68.10790976193269</v>
      </c>
      <c r="I202" s="119" t="n">
        <v>112.3364772033691</v>
      </c>
      <c r="J202" s="119" t="n">
        <v>134.6818984603882</v>
      </c>
      <c r="K202" s="121" t="n">
        <v>0.4403903014923114</v>
      </c>
      <c r="L202" s="121" t="n">
        <v>-0.1733920432061462</v>
      </c>
      <c r="M202" s="121" t="n">
        <v>-0.3494232763778322</v>
      </c>
      <c r="N202" t="n">
        <v>45.64215875071648</v>
      </c>
      <c r="O202" t="n">
        <v>0.8924820814216811</v>
      </c>
      <c r="P202" t="n">
        <v>87.6883486043011</v>
      </c>
      <c r="Q202" t="n">
        <v>77.34457352673209</v>
      </c>
    </row>
    <row r="203">
      <c r="A203" s="118" t="n">
        <v>44725</v>
      </c>
      <c r="B203" s="119" t="n">
        <v>102.4619727890458</v>
      </c>
      <c r="C203" s="119" t="n">
        <v>103.9749063441627</v>
      </c>
      <c r="D203" s="119" t="n">
        <v>101.3945624647097</v>
      </c>
      <c r="E203" s="119" t="n">
        <v>102.5083847045898</v>
      </c>
      <c r="F203" s="120" t="n">
        <v>6423100</v>
      </c>
      <c r="G203" s="121" t="n">
        <v>-0.03739196434533243</v>
      </c>
      <c r="H203" s="122" t="n">
        <v>65.56122122847938</v>
      </c>
      <c r="I203" s="119" t="n">
        <v>111.8948957824707</v>
      </c>
      <c r="J203" s="119" t="n">
        <v>134.4261047363281</v>
      </c>
      <c r="K203" s="121" t="n">
        <v>0.4312647310307436</v>
      </c>
      <c r="L203" s="121" t="n">
        <v>-0.2043005384541501</v>
      </c>
      <c r="M203" s="121" t="n">
        <v>-0.3737496180314155</v>
      </c>
      <c r="N203" t="n">
        <v>40.40247078955778</v>
      </c>
      <c r="O203" t="n">
        <v>0.2776981222452306</v>
      </c>
      <c r="P203" t="n">
        <v>84.35897212093697</v>
      </c>
      <c r="Q203" t="n">
        <v>73.74836102187011</v>
      </c>
    </row>
    <row r="204">
      <c r="A204" s="118" t="n">
        <v>44726</v>
      </c>
      <c r="B204" s="119" t="n">
        <v>102.4434026366459</v>
      </c>
      <c r="C204" s="119" t="n">
        <v>103.8542355100448</v>
      </c>
      <c r="D204" s="119" t="n">
        <v>102.1092567042555</v>
      </c>
      <c r="E204" s="119" t="n">
        <v>102.7682647705078</v>
      </c>
      <c r="F204" s="120" t="n">
        <v>4548400</v>
      </c>
      <c r="G204" s="121" t="n">
        <v>0.002535207892182534</v>
      </c>
      <c r="H204" s="122" t="n">
        <v>65.72743255395895</v>
      </c>
      <c r="I204" s="119" t="n">
        <v>111.4777700805664</v>
      </c>
      <c r="J204" s="119" t="n">
        <v>134.1672998046875</v>
      </c>
      <c r="K204" s="121" t="n">
        <v>0.4312596129554949</v>
      </c>
      <c r="L204" s="121" t="n">
        <v>-0.2022832748994337</v>
      </c>
      <c r="M204" s="121" t="n">
        <v>-0.3721619431205664</v>
      </c>
      <c r="N204" t="n">
        <v>40.87950199975596</v>
      </c>
      <c r="O204" t="n">
        <v>-0.09934016330997453</v>
      </c>
      <c r="P204" t="n">
        <v>84.10476633127992</v>
      </c>
      <c r="Q204" t="n">
        <v>73.8822479581363</v>
      </c>
    </row>
    <row r="205">
      <c r="A205" s="118" t="n">
        <v>44727</v>
      </c>
      <c r="B205" s="119" t="n">
        <v>104.1048592019351</v>
      </c>
      <c r="C205" s="119" t="n">
        <v>106.4810020041196</v>
      </c>
      <c r="D205" s="119" t="n">
        <v>103.2230823691347</v>
      </c>
      <c r="E205" s="119" t="n">
        <v>105.2929306030273</v>
      </c>
      <c r="F205" s="120" t="n">
        <v>4828700</v>
      </c>
      <c r="G205" s="121" t="n">
        <v>0.02456659006705397</v>
      </c>
      <c r="H205" s="122" t="n">
        <v>67.34213144567201</v>
      </c>
      <c r="I205" s="119" t="n">
        <v>111.0959539794922</v>
      </c>
      <c r="J205" s="119" t="n">
        <v>133.9190433883667</v>
      </c>
      <c r="K205" s="121" t="n">
        <v>0.427242896997271</v>
      </c>
      <c r="L205" s="121" t="n">
        <v>-0.1826860951242552</v>
      </c>
      <c r="M205" s="121" t="n">
        <v>-0.3567381029487136</v>
      </c>
      <c r="N205" t="n">
        <v>45.44772235289891</v>
      </c>
      <c r="O205" t="n">
        <v>-0.1628393435848007</v>
      </c>
      <c r="P205" t="n">
        <v>85.30380097626536</v>
      </c>
      <c r="Q205" t="n">
        <v>75.72720792629475</v>
      </c>
    </row>
    <row r="206">
      <c r="A206" s="118" t="n">
        <v>44728</v>
      </c>
      <c r="B206" s="119" t="n">
        <v>101.6451645792909</v>
      </c>
      <c r="C206" s="119" t="n">
        <v>102.0071548210345</v>
      </c>
      <c r="D206" s="119" t="n">
        <v>98.12735561846917</v>
      </c>
      <c r="E206" s="119" t="n">
        <v>99.42681121826172</v>
      </c>
      <c r="F206" s="120" t="n">
        <v>7384800</v>
      </c>
      <c r="G206" s="121" t="n">
        <v>-0.05571237642612414</v>
      </c>
      <c r="H206" s="122" t="n">
        <v>63.5903412692332</v>
      </c>
      <c r="I206" s="119" t="n">
        <v>110.6345910644531</v>
      </c>
      <c r="J206" s="119" t="n">
        <v>133.6566250610352</v>
      </c>
      <c r="K206" s="121" t="n">
        <v>0.4261585126393332</v>
      </c>
      <c r="L206" s="121" t="n">
        <v>-0.228220595050998</v>
      </c>
      <c r="M206" s="121" t="n">
        <v>-0.3925757518978176</v>
      </c>
      <c r="N206" t="n">
        <v>38.08420189626243</v>
      </c>
      <c r="O206" t="n">
        <v>-0.5615987213342302</v>
      </c>
      <c r="P206" t="n">
        <v>82.4805812496226</v>
      </c>
      <c r="Q206" t="n">
        <v>72.67187917924758</v>
      </c>
    </row>
    <row r="207">
      <c r="A207" s="118" t="n">
        <v>44729</v>
      </c>
      <c r="B207" s="119" t="n">
        <v>98.52648064747949</v>
      </c>
      <c r="C207" s="119" t="n">
        <v>100.7541179578358</v>
      </c>
      <c r="D207" s="119" t="n">
        <v>98.24802332813603</v>
      </c>
      <c r="E207" s="119" t="n">
        <v>99.63101196289062</v>
      </c>
      <c r="F207" s="120" t="n">
        <v>10256800</v>
      </c>
      <c r="G207" s="121" t="n">
        <v>0.0020537794798694</v>
      </c>
      <c r="H207" s="122" t="n">
        <v>63.72094180724984</v>
      </c>
      <c r="I207" s="119" t="n">
        <v>110.2502726745605</v>
      </c>
      <c r="J207" s="119" t="n">
        <v>133.3960578155518</v>
      </c>
      <c r="K207" s="121" t="n">
        <v>0.414768874965799</v>
      </c>
      <c r="L207" s="121" t="n">
        <v>-0.2266355303461279</v>
      </c>
      <c r="M207" s="121" t="n">
        <v>-0.3913282364414903</v>
      </c>
      <c r="N207" t="n">
        <v>38.45799913942137</v>
      </c>
      <c r="O207" t="n">
        <v>-0.7609154239221385</v>
      </c>
      <c r="P207" t="n">
        <v>82.65836310062828</v>
      </c>
      <c r="Q207" t="n">
        <v>73.55555141651021</v>
      </c>
    </row>
    <row r="208">
      <c r="A208" s="118" t="n">
        <v>44733</v>
      </c>
      <c r="B208" s="119" t="n">
        <v>100.6705776581189</v>
      </c>
      <c r="C208" s="119" t="n">
        <v>101.9329052278698</v>
      </c>
      <c r="D208" s="119" t="n">
        <v>100.2807430772598</v>
      </c>
      <c r="E208" s="119" t="n">
        <v>100.8747787475586</v>
      </c>
      <c r="F208" s="120" t="n">
        <v>6211400</v>
      </c>
      <c r="G208" s="121" t="n">
        <v>0.01248373132184222</v>
      </c>
      <c r="H208" s="122" t="n">
        <v>64.51641692434629</v>
      </c>
      <c r="I208" s="119" t="n">
        <v>109.8719409179687</v>
      </c>
      <c r="J208" s="119" t="n">
        <v>133.1458127212524</v>
      </c>
      <c r="K208" s="121" t="n">
        <v>0.4138820161142823</v>
      </c>
      <c r="L208" s="121" t="n">
        <v>-0.21698105609311</v>
      </c>
      <c r="M208" s="121" t="n">
        <v>-0.383729741682034</v>
      </c>
      <c r="N208" t="n">
        <v>40.80226065103906</v>
      </c>
      <c r="O208" t="n">
        <v>-0.756699854432676</v>
      </c>
      <c r="P208" t="n">
        <v>84.73919339904315</v>
      </c>
      <c r="Q208" t="n">
        <v>75.41130925952606</v>
      </c>
    </row>
    <row r="209">
      <c r="A209" s="118" t="n">
        <v>44734</v>
      </c>
      <c r="B209" s="119" t="n">
        <v>97.8303493478121</v>
      </c>
      <c r="C209" s="119" t="n">
        <v>99.22262185158135</v>
      </c>
      <c r="D209" s="119" t="n">
        <v>97.0970849793846</v>
      </c>
      <c r="E209" s="119" t="n">
        <v>97.38481903076172</v>
      </c>
      <c r="F209" s="120" t="n">
        <v>9884000</v>
      </c>
      <c r="G209" s="121" t="n">
        <v>-0.03459695039857857</v>
      </c>
      <c r="H209" s="122" t="n">
        <v>62.28434564812066</v>
      </c>
      <c r="I209" s="119" t="n">
        <v>109.4465872192383</v>
      </c>
      <c r="J209" s="119" t="n">
        <v>132.8798699951172</v>
      </c>
      <c r="K209" s="121" t="n">
        <v>0.4318057017090138</v>
      </c>
      <c r="L209" s="121" t="n">
        <v>-0.2440711236566041</v>
      </c>
      <c r="M209" s="121" t="n">
        <v>-0.4050508132411799</v>
      </c>
      <c r="N209" t="n">
        <v>36.5904543460514</v>
      </c>
      <c r="O209" t="n">
        <v>-0.9255058814413766</v>
      </c>
      <c r="P209" t="n">
        <v>84.58555997064359</v>
      </c>
      <c r="Q209" t="n">
        <v>75.30133370114925</v>
      </c>
    </row>
    <row r="210">
      <c r="A210" s="118" t="n">
        <v>44735</v>
      </c>
      <c r="B210" s="119" t="n">
        <v>97.46834573874366</v>
      </c>
      <c r="C210" s="119" t="n">
        <v>100.3364233053192</v>
      </c>
      <c r="D210" s="119" t="n">
        <v>96.91143822966195</v>
      </c>
      <c r="E210" s="119" t="n">
        <v>100.2436065673828</v>
      </c>
      <c r="F210" s="120" t="n">
        <v>8898400</v>
      </c>
      <c r="G210" s="121" t="n">
        <v>0.02935557682474177</v>
      </c>
      <c r="H210" s="122" t="n">
        <v>64.11273854177284</v>
      </c>
      <c r="I210" s="119" t="n">
        <v>109.1371105957031</v>
      </c>
      <c r="J210" s="119" t="n">
        <v>132.6312182617187</v>
      </c>
      <c r="K210" s="121" t="n">
        <v>0.442839821691098</v>
      </c>
      <c r="L210" s="121" t="n">
        <v>-0.2218803954530648</v>
      </c>
      <c r="M210" s="121" t="n">
        <v>-0.3875857366824638</v>
      </c>
      <c r="N210" t="n">
        <v>41.88265251767618</v>
      </c>
      <c r="O210" t="n">
        <v>-0.7866377692788733</v>
      </c>
      <c r="P210" t="n">
        <v>85.41472370058565</v>
      </c>
      <c r="Q210" t="n">
        <v>76.42276893420379</v>
      </c>
    </row>
    <row r="211">
      <c r="A211" s="118" t="n">
        <v>44736</v>
      </c>
      <c r="B211" s="119" t="n">
        <v>102.0350104039802</v>
      </c>
      <c r="C211" s="119" t="n">
        <v>104.8288391898773</v>
      </c>
      <c r="D211" s="119" t="n">
        <v>101.7379925553491</v>
      </c>
      <c r="E211" s="119" t="n">
        <v>104.8009948730469</v>
      </c>
      <c r="F211" s="120" t="n">
        <v>10463700</v>
      </c>
      <c r="G211" s="121" t="n">
        <v>0.04546313188163897</v>
      </c>
      <c r="H211" s="122" t="n">
        <v>67.02750442939049</v>
      </c>
      <c r="I211" s="119" t="n">
        <v>108.9176704406738</v>
      </c>
      <c r="J211" s="119" t="n">
        <v>132.4142516326904</v>
      </c>
      <c r="K211" s="121" t="n">
        <v>0.4699464569221163</v>
      </c>
      <c r="L211" s="121" t="n">
        <v>-0.182981431552978</v>
      </c>
      <c r="M211" s="121" t="n">
        <v>-0.3597434662630618</v>
      </c>
      <c r="N211" t="n">
        <v>49.16634543248853</v>
      </c>
      <c r="O211" t="n">
        <v>-0.3520115237948667</v>
      </c>
      <c r="P211" t="n">
        <v>88.13038111593343</v>
      </c>
      <c r="Q211" t="n">
        <v>79.04129973189072</v>
      </c>
    </row>
    <row r="212">
      <c r="A212" s="118" t="n">
        <v>44739</v>
      </c>
      <c r="B212" s="119" t="n">
        <v>104.1791057329176</v>
      </c>
      <c r="C212" s="119" t="n">
        <v>105.0794430605728</v>
      </c>
      <c r="D212" s="119" t="n">
        <v>101.9514683711709</v>
      </c>
      <c r="E212" s="119" t="n">
        <v>102.5640716552734</v>
      </c>
      <c r="F212" s="120" t="n">
        <v>12644700</v>
      </c>
      <c r="G212" s="121" t="n">
        <v>-0.02134448456794891</v>
      </c>
      <c r="H212" s="122" t="n">
        <v>65.59683689546925</v>
      </c>
      <c r="I212" s="119" t="n">
        <v>108.6081239318848</v>
      </c>
      <c r="J212" s="119" t="n">
        <v>132.1739747619629</v>
      </c>
      <c r="K212" s="121" t="n">
        <v>0.4508281859938316</v>
      </c>
      <c r="L212" s="121" t="n">
        <v>-0.1917272047043959</v>
      </c>
      <c r="M212" s="121" t="n">
        <v>-0.3734094119669382</v>
      </c>
      <c r="N212" t="n">
        <v>46.11159513473635</v>
      </c>
      <c r="O212" t="n">
        <v>-0.1875884193140867</v>
      </c>
      <c r="P212" t="n">
        <v>87.79375792370108</v>
      </c>
      <c r="Q212" t="n">
        <v>78.46179700129527</v>
      </c>
    </row>
    <row r="213">
      <c r="A213" s="118" t="n">
        <v>44740</v>
      </c>
      <c r="B213" s="119" t="n">
        <v>100.4292488661759</v>
      </c>
      <c r="C213" s="119" t="n">
        <v>105.8591170307716</v>
      </c>
      <c r="D213" s="119" t="n">
        <v>95.12005592627908</v>
      </c>
      <c r="E213" s="119" t="n">
        <v>95.39850616455078</v>
      </c>
      <c r="F213" s="120" t="n">
        <v>31296500</v>
      </c>
      <c r="G213" s="121" t="n">
        <v>-0.06986428458892247</v>
      </c>
      <c r="H213" s="122" t="n">
        <v>61.01396081447106</v>
      </c>
      <c r="I213" s="119" t="n">
        <v>108.0447148132324</v>
      </c>
      <c r="J213" s="119" t="n">
        <v>131.8967174911499</v>
      </c>
      <c r="K213" s="121" t="n">
        <v>0.500589992983593</v>
      </c>
      <c r="L213" s="121" t="n">
        <v>-0.2481966053004119</v>
      </c>
      <c r="M213" s="121" t="n">
        <v>-0.4171857151300203</v>
      </c>
      <c r="N213" t="n">
        <v>37.97273258088028</v>
      </c>
      <c r="O213" t="n">
        <v>-0.5152496234423363</v>
      </c>
      <c r="P213" t="n">
        <v>85.99986471064435</v>
      </c>
      <c r="Q213" t="n">
        <v>76.07130523905859</v>
      </c>
    </row>
    <row r="214">
      <c r="A214" s="118" t="n">
        <v>44741</v>
      </c>
      <c r="B214" s="119" t="n">
        <v>95.593448563639</v>
      </c>
      <c r="C214" s="119" t="n">
        <v>98.02528760613779</v>
      </c>
      <c r="D214" s="119" t="n">
        <v>94.23830388668591</v>
      </c>
      <c r="E214" s="119" t="n">
        <v>95.83477783203125</v>
      </c>
      <c r="F214" s="120" t="n">
        <v>10326600</v>
      </c>
      <c r="G214" s="121" t="n">
        <v>0.004573149884841587</v>
      </c>
      <c r="H214" s="122" t="n">
        <v>61.29298680234348</v>
      </c>
      <c r="I214" s="119" t="n">
        <v>107.5239183044434</v>
      </c>
      <c r="J214" s="119" t="n">
        <v>131.6404064559937</v>
      </c>
      <c r="K214" s="121" t="n">
        <v>0.4895360462561159</v>
      </c>
      <c r="L214" s="121" t="n">
        <v>-0.244758495692518</v>
      </c>
      <c r="M214" s="121" t="n">
        <v>-0.4145204180502832</v>
      </c>
      <c r="N214" t="n">
        <v>38.68235973417394</v>
      </c>
      <c r="O214" t="n">
        <v>-0.6478573509196446</v>
      </c>
      <c r="P214" t="n">
        <v>85.92983428508659</v>
      </c>
      <c r="Q214" t="n">
        <v>76.14107612275265</v>
      </c>
    </row>
    <row r="215">
      <c r="A215" s="118" t="n">
        <v>44742</v>
      </c>
      <c r="B215" s="119" t="n">
        <v>94.61883108977237</v>
      </c>
      <c r="C215" s="119" t="n">
        <v>95.95540772921477</v>
      </c>
      <c r="D215" s="119" t="n">
        <v>93.54213707427309</v>
      </c>
      <c r="E215" s="119" t="n">
        <v>94.86015319824219</v>
      </c>
      <c r="F215" s="120" t="n">
        <v>9027400</v>
      </c>
      <c r="G215" s="121" t="n">
        <v>-0.01016984288832268</v>
      </c>
      <c r="H215" s="122" t="n">
        <v>60.66964675640762</v>
      </c>
      <c r="I215" s="119" t="n">
        <v>106.8832635498047</v>
      </c>
      <c r="J215" s="119" t="n">
        <v>131.3827264022827</v>
      </c>
      <c r="K215" s="121" t="n">
        <v>0.4893349841127108</v>
      </c>
      <c r="L215" s="121" t="n">
        <v>-0.2524391831340655</v>
      </c>
      <c r="M215" s="121" t="n">
        <v>-0.4204746534130326</v>
      </c>
      <c r="N215" t="n">
        <v>37.64618358943027</v>
      </c>
      <c r="O215" t="n">
        <v>-0.7398213297328944</v>
      </c>
      <c r="P215" t="n">
        <v>85.23171938951033</v>
      </c>
      <c r="Q215" t="n">
        <v>75.19670254547964</v>
      </c>
    </row>
    <row r="216">
      <c r="A216" s="118" t="n">
        <v>44743</v>
      </c>
      <c r="B216" s="119" t="n">
        <v>94.34038434917912</v>
      </c>
      <c r="C216" s="119" t="n">
        <v>95.13862115170076</v>
      </c>
      <c r="D216" s="119" t="n">
        <v>92.3819204594416</v>
      </c>
      <c r="E216" s="119" t="n">
        <v>93.91342163085938</v>
      </c>
      <c r="F216" s="120" t="n">
        <v>7934300</v>
      </c>
      <c r="G216" s="121" t="n">
        <v>-0.009980287143373068</v>
      </c>
      <c r="H216" s="122" t="n">
        <v>60.06414626089165</v>
      </c>
      <c r="I216" s="119" t="n">
        <v>106.2455249023437</v>
      </c>
      <c r="J216" s="119" t="n">
        <v>131.1242317581177</v>
      </c>
      <c r="K216" s="121" t="n">
        <v>0.4571394884441161</v>
      </c>
      <c r="L216" s="121" t="n">
        <v>-0.2599000547435222</v>
      </c>
      <c r="M216" s="121" t="n">
        <v>-0.4262584827788334</v>
      </c>
      <c r="N216" t="n">
        <v>36.62002743756221</v>
      </c>
      <c r="O216" t="n">
        <v>-0.7980234177554193</v>
      </c>
      <c r="P216" t="n">
        <v>86.13315382036039</v>
      </c>
      <c r="Q216" t="n">
        <v>75.69301885089152</v>
      </c>
    </row>
    <row r="217">
      <c r="A217" s="118" t="n">
        <v>44747</v>
      </c>
      <c r="B217" s="119" t="n">
        <v>93.23584577044602</v>
      </c>
      <c r="C217" s="119" t="n">
        <v>96.88360001099592</v>
      </c>
      <c r="D217" s="119" t="n">
        <v>92.92026740225134</v>
      </c>
      <c r="E217" s="119" t="n">
        <v>96.82791137695312</v>
      </c>
      <c r="F217" s="120" t="n">
        <v>9948800</v>
      </c>
      <c r="G217" s="121" t="n">
        <v>0.03103379363121905</v>
      </c>
      <c r="H217" s="122" t="n">
        <v>61.92816458058752</v>
      </c>
      <c r="I217" s="119" t="n">
        <v>105.6736680603027</v>
      </c>
      <c r="J217" s="119" t="n">
        <v>130.8817388534546</v>
      </c>
      <c r="K217" s="121" t="n">
        <v>0.4776758101496298</v>
      </c>
      <c r="L217" s="121" t="n">
        <v>-0.2369319457759561</v>
      </c>
      <c r="M217" s="121" t="n">
        <v>-0.4084531069357291</v>
      </c>
      <c r="N217" t="n">
        <v>41.87284060549782</v>
      </c>
      <c r="O217" t="n">
        <v>-0.5837801765766608</v>
      </c>
      <c r="P217" t="n">
        <v>86.29584290723726</v>
      </c>
      <c r="Q217" t="n">
        <v>76.98887290322405</v>
      </c>
    </row>
    <row r="218">
      <c r="A218" s="118" t="n">
        <v>44748</v>
      </c>
      <c r="B218" s="119" t="n">
        <v>97.35697334692735</v>
      </c>
      <c r="C218" s="119" t="n">
        <v>98.12736582108221</v>
      </c>
      <c r="D218" s="119" t="n">
        <v>96.02038949600463</v>
      </c>
      <c r="E218" s="119" t="n">
        <v>96.74437713623047</v>
      </c>
      <c r="F218" s="120" t="n">
        <v>6432900</v>
      </c>
      <c r="G218" s="121" t="n">
        <v>-0.0008627082783749795</v>
      </c>
      <c r="H218" s="122" t="n">
        <v>61.87473864033927</v>
      </c>
      <c r="I218" s="119" t="n">
        <v>105.2184690856934</v>
      </c>
      <c r="J218" s="119" t="n">
        <v>130.6442687225342</v>
      </c>
      <c r="K218" s="121" t="n">
        <v>0.4781557217268683</v>
      </c>
      <c r="L218" s="121" t="n">
        <v>-0.2375902509032987</v>
      </c>
      <c r="M218" s="121" t="n">
        <v>-0.4089634393374227</v>
      </c>
      <c r="N218" t="n">
        <v>41.76599677761943</v>
      </c>
      <c r="O218" t="n">
        <v>-0.4000007997193569</v>
      </c>
      <c r="P218" t="n">
        <v>86.58729691140213</v>
      </c>
      <c r="Q218" t="n">
        <v>77.48252120226093</v>
      </c>
    </row>
    <row r="219">
      <c r="A219" s="118" t="n">
        <v>44749</v>
      </c>
      <c r="B219" s="119" t="n">
        <v>98.0624015957915</v>
      </c>
      <c r="C219" s="119" t="n">
        <v>100.5035170064461</v>
      </c>
      <c r="D219" s="119" t="n">
        <v>97.70968800479743</v>
      </c>
      <c r="E219" s="119" t="n">
        <v>100.3642883300781</v>
      </c>
      <c r="F219" s="120" t="n">
        <v>7633900</v>
      </c>
      <c r="G219" s="121" t="n">
        <v>0.03741727737572065</v>
      </c>
      <c r="H219" s="122" t="n">
        <v>64.18992289859507</v>
      </c>
      <c r="I219" s="119" t="n">
        <v>104.8565933227539</v>
      </c>
      <c r="J219" s="119" t="n">
        <v>130.4349031066895</v>
      </c>
      <c r="K219" s="121" t="n">
        <v>0.499376449933924</v>
      </c>
      <c r="L219" s="121" t="n">
        <v>-0.2090629538473938</v>
      </c>
      <c r="M219" s="121" t="n">
        <v>-0.3868484604079191</v>
      </c>
      <c r="N219" t="n">
        <v>47.96256157222343</v>
      </c>
      <c r="O219" t="n">
        <v>-0.0076926830066264</v>
      </c>
      <c r="P219" t="n">
        <v>87.88411084707859</v>
      </c>
      <c r="Q219" t="n">
        <v>79.14056970493884</v>
      </c>
    </row>
    <row r="220">
      <c r="A220" s="118" t="n">
        <v>44750</v>
      </c>
      <c r="B220" s="119" t="n">
        <v>98.92559850545543</v>
      </c>
      <c r="C220" s="119" t="n">
        <v>100.8098060561891</v>
      </c>
      <c r="D220" s="119" t="n">
        <v>98.8606260754806</v>
      </c>
      <c r="E220" s="119" t="n">
        <v>100.1786422729492</v>
      </c>
      <c r="F220" s="120" t="n">
        <v>5938600</v>
      </c>
      <c r="G220" s="121" t="n">
        <v>-0.001849722248997154</v>
      </c>
      <c r="H220" s="122" t="n">
        <v>64.07118937004813</v>
      </c>
      <c r="I220" s="119" t="n">
        <v>104.6284063720703</v>
      </c>
      <c r="J220" s="119" t="n">
        <v>130.2210591506958</v>
      </c>
      <c r="K220" s="121" t="n">
        <v>0.4977732754662563</v>
      </c>
      <c r="L220" s="121" t="n">
        <v>-0.2105259676992184</v>
      </c>
      <c r="M220" s="121" t="n">
        <v>-0.3879826204527095</v>
      </c>
      <c r="N220" t="n">
        <v>47.68233817771479</v>
      </c>
      <c r="O220" t="n">
        <v>0.2519075281369152</v>
      </c>
      <c r="P220" t="n">
        <v>87.81183287254936</v>
      </c>
      <c r="Q220" t="n">
        <v>79.23983967798694</v>
      </c>
    </row>
    <row r="221">
      <c r="A221" s="118" t="n">
        <v>44753</v>
      </c>
      <c r="B221" s="119" t="n">
        <v>98.944153404888</v>
      </c>
      <c r="C221" s="119" t="n">
        <v>99.39896038889232</v>
      </c>
      <c r="D221" s="119" t="n">
        <v>97.33840326318438</v>
      </c>
      <c r="E221" s="119" t="n">
        <v>97.56116485595703</v>
      </c>
      <c r="F221" s="120" t="n">
        <v>4935200</v>
      </c>
      <c r="G221" s="121" t="n">
        <v>-0.02612809834116681</v>
      </c>
      <c r="H221" s="122" t="n">
        <v>62.397131033352</v>
      </c>
      <c r="I221" s="119" t="n">
        <v>104.3345373535156</v>
      </c>
      <c r="J221" s="119" t="n">
        <v>129.9829702758789</v>
      </c>
      <c r="K221" s="121" t="n">
        <v>0.4947619999590676</v>
      </c>
      <c r="L221" s="121" t="n">
        <v>-0.2311534228529706</v>
      </c>
      <c r="M221" s="121" t="n">
        <v>-0.4039734707320243</v>
      </c>
      <c r="N221" t="n">
        <v>43.79700448210227</v>
      </c>
      <c r="O221" t="n">
        <v>0.2589523786145982</v>
      </c>
      <c r="P221" t="n">
        <v>86.80869139552418</v>
      </c>
      <c r="Q221" t="n">
        <v>77.54693090333346</v>
      </c>
    </row>
    <row r="222">
      <c r="A222" s="118" t="n">
        <v>44754</v>
      </c>
      <c r="B222" s="119" t="n">
        <v>97.46836312110452</v>
      </c>
      <c r="C222" s="119" t="n">
        <v>98.25731615645957</v>
      </c>
      <c r="D222" s="119" t="n">
        <v>95.74194457804009</v>
      </c>
      <c r="E222" s="119" t="n">
        <v>96.30813598632812</v>
      </c>
      <c r="F222" s="120" t="n">
        <v>6017400</v>
      </c>
      <c r="G222" s="121" t="n">
        <v>-0.01284352100017383</v>
      </c>
      <c r="H222" s="122" t="n">
        <v>61.59573217057454</v>
      </c>
      <c r="I222" s="119" t="n">
        <v>103.9080194091797</v>
      </c>
      <c r="J222" s="119" t="n">
        <v>129.7287493896484</v>
      </c>
      <c r="K222" s="121" t="n">
        <v>0.485293512355127</v>
      </c>
      <c r="L222" s="121" t="n">
        <v>-0.2410281200124703</v>
      </c>
      <c r="M222" s="121" t="n">
        <v>-0.4116285499773382</v>
      </c>
      <c r="N222" t="n">
        <v>42.03134525460643</v>
      </c>
      <c r="O222" t="n">
        <v>0.1938168329748153</v>
      </c>
      <c r="P222" t="n">
        <v>86.04053152714764</v>
      </c>
      <c r="Q222" t="n">
        <v>76.79570252970652</v>
      </c>
    </row>
    <row r="223">
      <c r="A223" s="118" t="n">
        <v>44755</v>
      </c>
      <c r="B223" s="119" t="n">
        <v>94.61883099469077</v>
      </c>
      <c r="C223" s="119" t="n">
        <v>98.27586154510668</v>
      </c>
      <c r="D223" s="119" t="n">
        <v>94.2661174678821</v>
      </c>
      <c r="E223" s="119" t="n">
        <v>97.56116485595703</v>
      </c>
      <c r="F223" s="120" t="n">
        <v>5299400</v>
      </c>
      <c r="G223" s="121" t="n">
        <v>0.01301062321263058</v>
      </c>
      <c r="H223" s="122" t="n">
        <v>62.397131033352</v>
      </c>
      <c r="I223" s="119" t="n">
        <v>103.5500791931152</v>
      </c>
      <c r="J223" s="119" t="n">
        <v>129.5268539810181</v>
      </c>
      <c r="K223" s="121" t="n">
        <v>0.4728922390651312</v>
      </c>
      <c r="L223" s="121" t="n">
        <v>-0.2311534228529706</v>
      </c>
      <c r="M223" s="121" t="n">
        <v>-0.4039734707320243</v>
      </c>
      <c r="N223" t="n">
        <v>44.4433769150733</v>
      </c>
      <c r="O223" t="n">
        <v>0.2463435288932243</v>
      </c>
      <c r="P223" t="n">
        <v>85.58868690042624</v>
      </c>
      <c r="Q223" t="n">
        <v>76.63741759803601</v>
      </c>
    </row>
    <row r="224">
      <c r="A224" s="118" t="n">
        <v>44756</v>
      </c>
      <c r="B224" s="119" t="n">
        <v>95.70481473067049</v>
      </c>
      <c r="C224" s="119" t="n">
        <v>96.34526236356349</v>
      </c>
      <c r="D224" s="119" t="n">
        <v>94.53530381713763</v>
      </c>
      <c r="E224" s="119" t="n">
        <v>95.80691528320312</v>
      </c>
      <c r="F224" s="120" t="n">
        <v>6951300</v>
      </c>
      <c r="G224" s="121" t="n">
        <v>-0.0179810232416141</v>
      </c>
      <c r="H224" s="122" t="n">
        <v>61.27516677003126</v>
      </c>
      <c r="I224" s="119" t="n">
        <v>103.1314985656738</v>
      </c>
      <c r="J224" s="119" t="n">
        <v>129.3233336257935</v>
      </c>
      <c r="K224" s="121" t="n">
        <v>0.4758561459211438</v>
      </c>
      <c r="L224" s="121" t="n">
        <v>-0.2449780710258868</v>
      </c>
      <c r="M224" s="121" t="n">
        <v>-0.4146906376074103</v>
      </c>
      <c r="N224" t="n">
        <v>41.81984025482566</v>
      </c>
      <c r="O224" t="n">
        <v>0.1773861507529921</v>
      </c>
      <c r="P224" t="n">
        <v>85.38084317272443</v>
      </c>
      <c r="Q224" t="n">
        <v>76.91108961044777</v>
      </c>
    </row>
    <row r="225">
      <c r="A225" s="118" t="n">
        <v>44757</v>
      </c>
      <c r="B225" s="119" t="n">
        <v>97.23630636811598</v>
      </c>
      <c r="C225" s="119" t="n">
        <v>98.03454311038108</v>
      </c>
      <c r="D225" s="119" t="n">
        <v>96.46591394080788</v>
      </c>
      <c r="E225" s="119" t="n">
        <v>97.18061065673828</v>
      </c>
      <c r="F225" s="120" t="n">
        <v>7862000</v>
      </c>
      <c r="G225" s="121" t="n">
        <v>0.01433816514679065</v>
      </c>
      <c r="H225" s="122" t="n">
        <v>62.15374023057711</v>
      </c>
      <c r="I225" s="119" t="n">
        <v>102.8000190734863</v>
      </c>
      <c r="J225" s="119" t="n">
        <v>129.1393146514893</v>
      </c>
      <c r="K225" s="121" t="n">
        <v>0.4693177982675533</v>
      </c>
      <c r="L225" s="121" t="n">
        <v>-0.227501294203666</v>
      </c>
      <c r="M225" s="121" t="n">
        <v>-0.4062983753074626</v>
      </c>
      <c r="N225" t="n">
        <v>44.57876603704511</v>
      </c>
      <c r="O225" t="n">
        <v>0.2351136083425311</v>
      </c>
      <c r="P225" t="n">
        <v>87.01203275166176</v>
      </c>
      <c r="Q225" t="n">
        <v>78.3061968559141</v>
      </c>
    </row>
    <row r="226">
      <c r="A226" s="118" t="n">
        <v>44760</v>
      </c>
      <c r="B226" s="119" t="n">
        <v>98.56362100730817</v>
      </c>
      <c r="C226" s="119" t="n">
        <v>99.01842807603971</v>
      </c>
      <c r="D226" s="119" t="n">
        <v>96.23388286251944</v>
      </c>
      <c r="E226" s="119" t="n">
        <v>96.47521209716797</v>
      </c>
      <c r="F226" s="120" t="n">
        <v>6834800</v>
      </c>
      <c r="G226" s="121" t="n">
        <v>-0.007258634770900163</v>
      </c>
      <c r="H226" s="122" t="n">
        <v>61.70258893059795</v>
      </c>
      <c r="I226" s="119" t="n">
        <v>102.3951754760742</v>
      </c>
      <c r="J226" s="119" t="n">
        <v>128.9484491348267</v>
      </c>
      <c r="K226" s="121" t="n">
        <v>0.4275927886703199</v>
      </c>
      <c r="L226" s="121" t="n">
        <v>-0.2307874939268453</v>
      </c>
      <c r="M226" s="121" t="n">
        <v>-0.4106078385639957</v>
      </c>
      <c r="N226" t="n">
        <v>43.43961862369789</v>
      </c>
      <c r="O226" t="n">
        <v>0.2359997088171562</v>
      </c>
      <c r="P226" t="n">
        <v>86.2935662637807</v>
      </c>
      <c r="Q226" t="n">
        <v>77.64351609009222</v>
      </c>
    </row>
    <row r="227">
      <c r="A227" s="118" t="n">
        <v>44761</v>
      </c>
      <c r="B227" s="119" t="n">
        <v>98.01598388026623</v>
      </c>
      <c r="C227" s="119" t="n">
        <v>101.7101500783103</v>
      </c>
      <c r="D227" s="119" t="n">
        <v>97.85819469439706</v>
      </c>
      <c r="E227" s="119" t="n">
        <v>101.3481597900391</v>
      </c>
      <c r="F227" s="120" t="n">
        <v>8973900</v>
      </c>
      <c r="G227" s="121" t="n">
        <v>0.050509841719375</v>
      </c>
      <c r="H227" s="122" t="n">
        <v>64.81917693115811</v>
      </c>
      <c r="I227" s="119" t="n">
        <v>102.2253776550293</v>
      </c>
      <c r="J227" s="119" t="n">
        <v>128.7855907821655</v>
      </c>
      <c r="K227" s="121" t="n">
        <v>0.4653471182159546</v>
      </c>
      <c r="L227" s="121" t="n">
        <v>-0.1519289443707038</v>
      </c>
      <c r="M227" s="121" t="n">
        <v>-0.3808377337792228</v>
      </c>
      <c r="N227" t="n">
        <v>52.47446486058528</v>
      </c>
      <c r="O227" t="n">
        <v>0.5566714317237333</v>
      </c>
      <c r="P227" t="n">
        <v>88.62516192899339</v>
      </c>
      <c r="Q227" t="n">
        <v>80.03129789616811</v>
      </c>
    </row>
    <row r="228">
      <c r="A228" s="118" t="n">
        <v>44762</v>
      </c>
      <c r="B228" s="119" t="n">
        <v>101.3760165195407</v>
      </c>
      <c r="C228" s="119" t="n">
        <v>103.6129309573169</v>
      </c>
      <c r="D228" s="119" t="n">
        <v>101.0511543084278</v>
      </c>
      <c r="E228" s="119" t="n">
        <v>103.1302795410156</v>
      </c>
      <c r="F228" s="120" t="n">
        <v>5884600</v>
      </c>
      <c r="G228" s="121" t="n">
        <v>0.01758413526864766</v>
      </c>
      <c r="H228" s="122" t="n">
        <v>65.958966106318</v>
      </c>
      <c r="I228" s="119" t="n">
        <v>102.1678858947754</v>
      </c>
      <c r="J228" s="119" t="n">
        <v>128.6232056045532</v>
      </c>
      <c r="K228" s="121" t="n">
        <v>0.4673259215841518</v>
      </c>
      <c r="L228" s="121" t="n">
        <v>-0.1293942751046164</v>
      </c>
      <c r="M228" s="121" t="n">
        <v>-0.3699503007367543</v>
      </c>
      <c r="N228" t="n">
        <v>55.28745155235251</v>
      </c>
      <c r="O228" t="n">
        <v>0.8624502605839819</v>
      </c>
      <c r="P228" t="n">
        <v>89.18999498847488</v>
      </c>
      <c r="Q228" t="n">
        <v>81.3003208655216</v>
      </c>
    </row>
    <row r="229">
      <c r="A229" s="118" t="n">
        <v>44763</v>
      </c>
      <c r="B229" s="119" t="n">
        <v>102.4434030958791</v>
      </c>
      <c r="C229" s="119" t="n">
        <v>103.6500348958415</v>
      </c>
      <c r="D229" s="119" t="n">
        <v>102.1649457904844</v>
      </c>
      <c r="E229" s="119" t="n">
        <v>103.603630065918</v>
      </c>
      <c r="F229" s="120" t="n">
        <v>4291400</v>
      </c>
      <c r="G229" s="121" t="n">
        <v>0.00458983071711816</v>
      </c>
      <c r="H229" s="122" t="n">
        <v>66.26170659502213</v>
      </c>
      <c r="I229" s="119" t="n">
        <v>102.1805993652344</v>
      </c>
      <c r="J229" s="119" t="n">
        <v>128.4628182220459</v>
      </c>
      <c r="K229" s="121" t="n">
        <v>0.447435944959174</v>
      </c>
      <c r="L229" s="121" t="n">
        <v>-0.1192716321558066</v>
      </c>
      <c r="M229" s="121" t="n">
        <v>-0.3670584792737647</v>
      </c>
      <c r="N229" t="n">
        <v>56.03185684087041</v>
      </c>
      <c r="O229" t="n">
        <v>1.057376787410736</v>
      </c>
      <c r="P229" t="n">
        <v>90.09823025520947</v>
      </c>
      <c r="Q229" t="n">
        <v>82.46738907553767</v>
      </c>
    </row>
    <row r="230">
      <c r="A230" s="118" t="n">
        <v>44764</v>
      </c>
      <c r="B230" s="119" t="n">
        <v>103.8913683052591</v>
      </c>
      <c r="C230" s="119" t="n">
        <v>103.8913683052591</v>
      </c>
      <c r="D230" s="119" t="n">
        <v>100.9397504904186</v>
      </c>
      <c r="E230" s="119" t="n">
        <v>101.2831802368164</v>
      </c>
      <c r="F230" s="120" t="n">
        <v>6039300</v>
      </c>
      <c r="G230" s="121" t="n">
        <v>-0.02239737958626709</v>
      </c>
      <c r="H230" s="122" t="n">
        <v>64.77761800037956</v>
      </c>
      <c r="I230" s="119" t="n">
        <v>102.178754119873</v>
      </c>
      <c r="J230" s="119" t="n">
        <v>128.2801319503784</v>
      </c>
      <c r="K230" s="121" t="n">
        <v>0.4454475221433022</v>
      </c>
      <c r="L230" s="121" t="n">
        <v>-0.1389976397228064</v>
      </c>
      <c r="M230" s="121" t="n">
        <v>-0.3812347107693793</v>
      </c>
      <c r="N230" t="n">
        <v>51.5049361836323</v>
      </c>
      <c r="O230" t="n">
        <v>0.9919010809024633</v>
      </c>
      <c r="P230" t="n">
        <v>89.26228751024664</v>
      </c>
      <c r="Q230" t="n">
        <v>81.02127089057402</v>
      </c>
    </row>
    <row r="231">
      <c r="A231" s="118" t="n">
        <v>44767</v>
      </c>
      <c r="B231" s="119" t="n">
        <v>101.7379803833893</v>
      </c>
      <c r="C231" s="119" t="n">
        <v>101.7379803833893</v>
      </c>
      <c r="D231" s="119" t="n">
        <v>99.94658970649361</v>
      </c>
      <c r="E231" s="119" t="n">
        <v>101.4316787719727</v>
      </c>
      <c r="F231" s="120" t="n">
        <v>5079500</v>
      </c>
      <c r="G231" s="121" t="n">
        <v>0.00146617172574004</v>
      </c>
      <c r="H231" s="122" t="n">
        <v>64.87259311235252</v>
      </c>
      <c r="I231" s="119" t="n">
        <v>102.2089517211914</v>
      </c>
      <c r="J231" s="119" t="n">
        <v>128.1012313079834</v>
      </c>
      <c r="K231" s="121" t="n">
        <v>0.4132744462131819</v>
      </c>
      <c r="L231" s="121" t="n">
        <v>-0.1377352624063725</v>
      </c>
      <c r="M231" s="121" t="n">
        <v>-0.3803274945974401</v>
      </c>
      <c r="N231" t="n">
        <v>51.77346358587239</v>
      </c>
      <c r="O231" t="n">
        <v>0.9219444175870859</v>
      </c>
      <c r="P231" t="n">
        <v>89.37075175057872</v>
      </c>
      <c r="Q231" t="n">
        <v>80.55982324709484</v>
      </c>
    </row>
    <row r="232">
      <c r="A232" s="118" t="n">
        <v>44768</v>
      </c>
      <c r="B232" s="119" t="n">
        <v>99.76096683604148</v>
      </c>
      <c r="C232" s="119" t="n">
        <v>100.1786457458646</v>
      </c>
      <c r="D232" s="119" t="n">
        <v>97.05995483602905</v>
      </c>
      <c r="E232" s="119" t="n">
        <v>97.64470672607422</v>
      </c>
      <c r="F232" s="120" t="n">
        <v>8459500</v>
      </c>
      <c r="G232" s="121" t="n">
        <v>-0.03733520032150783</v>
      </c>
      <c r="H232" s="122" t="n">
        <v>62.45056185312716</v>
      </c>
      <c r="I232" s="119" t="n">
        <v>102.1637803649902</v>
      </c>
      <c r="J232" s="119" t="n">
        <v>127.8893333816528</v>
      </c>
      <c r="K232" s="121" t="n">
        <v>0.4272196865652605</v>
      </c>
      <c r="L232" s="121" t="n">
        <v>-0.1635420834473252</v>
      </c>
      <c r="M232" s="121" t="n">
        <v>-0.4034630917203753</v>
      </c>
      <c r="N232" t="n">
        <v>44.93948273405448</v>
      </c>
      <c r="O232" t="n">
        <v>0.5995925849205275</v>
      </c>
      <c r="P232" t="n">
        <v>88.31339270063005</v>
      </c>
      <c r="Q232" t="n">
        <v>78.97689842077534</v>
      </c>
    </row>
    <row r="233">
      <c r="A233" s="118" t="n">
        <v>44769</v>
      </c>
      <c r="B233" s="119" t="n">
        <v>98.66570176533304</v>
      </c>
      <c r="C233" s="119" t="n">
        <v>100.5963140107033</v>
      </c>
      <c r="D233" s="119" t="n">
        <v>98.1551990793798</v>
      </c>
      <c r="E233" s="119" t="n">
        <v>100.1136627197266</v>
      </c>
      <c r="F233" s="120" t="n">
        <v>7437000</v>
      </c>
      <c r="G233" s="121" t="n">
        <v>0.02528509815261759</v>
      </c>
      <c r="H233" s="122" t="n">
        <v>64.0296304392696</v>
      </c>
      <c r="I233" s="119" t="n">
        <v>102.073362121582</v>
      </c>
      <c r="J233" s="119" t="n">
        <v>127.6868754959106</v>
      </c>
      <c r="K233" s="121" t="n">
        <v>0.3543637779155886</v>
      </c>
      <c r="L233" s="121" t="n">
        <v>-0.1423921629267568</v>
      </c>
      <c r="M233" s="121" t="n">
        <v>-0.388379597442866</v>
      </c>
      <c r="N233" t="n">
        <v>49.60952610371339</v>
      </c>
      <c r="O233" t="n">
        <v>0.5338146852505802</v>
      </c>
      <c r="P233" t="n">
        <v>90.60656909831093</v>
      </c>
      <c r="Q233" t="n">
        <v>82.31446532648867</v>
      </c>
    </row>
    <row r="234">
      <c r="A234" s="118" t="n">
        <v>44770</v>
      </c>
      <c r="B234" s="119" t="n">
        <v>101.5709039759384</v>
      </c>
      <c r="C234" s="119" t="n">
        <v>104.3276042222619</v>
      </c>
      <c r="D234" s="119" t="n">
        <v>100.2714484321693</v>
      </c>
      <c r="E234" s="119" t="n">
        <v>104.1698150634766</v>
      </c>
      <c r="F234" s="120" t="n">
        <v>6773500</v>
      </c>
      <c r="G234" s="121" t="n">
        <v>0.04051547244960374</v>
      </c>
      <c r="H234" s="122" t="n">
        <v>66.62382116729015</v>
      </c>
      <c r="I234" s="119" t="n">
        <v>102.0716595458984</v>
      </c>
      <c r="J234" s="119" t="n">
        <v>127.5148419570923</v>
      </c>
      <c r="K234" s="121" t="n">
        <v>0.3790573690650379</v>
      </c>
      <c r="L234" s="121" t="n">
        <v>-0.107503917734568</v>
      </c>
      <c r="M234" s="121" t="n">
        <v>-0.3635995078734469</v>
      </c>
      <c r="N234" t="n">
        <v>56.18449944873789</v>
      </c>
      <c r="O234" t="n">
        <v>0.732375033749205</v>
      </c>
      <c r="P234" t="n">
        <v>91.7430069586734</v>
      </c>
      <c r="Q234" t="n">
        <v>83.11933069620221</v>
      </c>
    </row>
    <row r="235">
      <c r="A235" s="118" t="n">
        <v>44771</v>
      </c>
      <c r="B235" s="119" t="n">
        <v>104.6617724086686</v>
      </c>
      <c r="C235" s="119" t="n">
        <v>106.9358147831009</v>
      </c>
      <c r="D235" s="119" t="n">
        <v>103.4922614622493</v>
      </c>
      <c r="E235" s="119" t="n">
        <v>106.6666412353516</v>
      </c>
      <c r="F235" s="120" t="n">
        <v>7560000</v>
      </c>
      <c r="G235" s="121" t="n">
        <v>0.02396880680217728</v>
      </c>
      <c r="H235" s="122" t="n">
        <v>68.22071466527173</v>
      </c>
      <c r="I235" s="119" t="n">
        <v>102.0587846374512</v>
      </c>
      <c r="J235" s="119" t="n">
        <v>127.3411378860474</v>
      </c>
      <c r="K235" s="121" t="n">
        <v>0.3809623775796814</v>
      </c>
      <c r="L235" s="121" t="n">
        <v>-0.08611185156704781</v>
      </c>
      <c r="M235" s="121" t="n">
        <v>-0.348345747428855</v>
      </c>
      <c r="N235" t="n">
        <v>59.67271468641118</v>
      </c>
      <c r="O235" t="n">
        <v>0.9850268292783408</v>
      </c>
      <c r="P235" t="n">
        <v>93.08048771085312</v>
      </c>
      <c r="Q235" t="n">
        <v>84.635169425117</v>
      </c>
    </row>
    <row r="236">
      <c r="A236" s="118" t="n">
        <v>44774</v>
      </c>
      <c r="B236" s="119" t="n">
        <v>105.8127063123726</v>
      </c>
      <c r="C236" s="119" t="n">
        <v>107.2513906781527</v>
      </c>
      <c r="D236" s="119" t="n">
        <v>105.1165700866333</v>
      </c>
      <c r="E236" s="119" t="n">
        <v>106.0911636352539</v>
      </c>
      <c r="F236" s="120" t="n">
        <v>4802900</v>
      </c>
      <c r="G236" s="121" t="n">
        <v>-0.005395103787208533</v>
      </c>
      <c r="H236" s="122" t="n">
        <v>67.85265682921505</v>
      </c>
      <c r="I236" s="119" t="n">
        <v>102.1553210449219</v>
      </c>
      <c r="J236" s="119" t="n">
        <v>127.1509549713135</v>
      </c>
      <c r="K236" s="121" t="n">
        <v>0.37872791930777</v>
      </c>
      <c r="L236" s="121" t="n">
        <v>-0.07152429576841723</v>
      </c>
      <c r="M236" s="121" t="n">
        <v>-0.3518614897548521</v>
      </c>
      <c r="N236" t="n">
        <v>58.51639515697893</v>
      </c>
      <c r="O236" t="n">
        <v>1.060025346611941</v>
      </c>
      <c r="P236" t="n">
        <v>92.8048465593225</v>
      </c>
      <c r="Q236" t="n">
        <v>84.58421721531974</v>
      </c>
    </row>
    <row r="237">
      <c r="A237" s="118" t="n">
        <v>44775</v>
      </c>
      <c r="B237" s="119" t="n">
        <v>105.4135886729109</v>
      </c>
      <c r="C237" s="119" t="n">
        <v>105.6085059677227</v>
      </c>
      <c r="D237" s="119" t="n">
        <v>103.6500421389223</v>
      </c>
      <c r="E237" s="119" t="n">
        <v>103.7428588867188</v>
      </c>
      <c r="F237" s="120" t="n">
        <v>6334400</v>
      </c>
      <c r="G237" s="121" t="n">
        <v>-0.02213478171102667</v>
      </c>
      <c r="H237" s="122" t="n">
        <v>66.35075308178718</v>
      </c>
      <c r="I237" s="119" t="n">
        <v>102.2591485595703</v>
      </c>
      <c r="J237" s="119" t="n">
        <v>126.945157623291</v>
      </c>
      <c r="K237" s="121" t="n">
        <v>0.379852134886726</v>
      </c>
      <c r="L237" s="121" t="n">
        <v>-0.09207590280557498</v>
      </c>
      <c r="M237" s="121" t="n">
        <v>-0.3662078941976386</v>
      </c>
      <c r="N237" t="n">
        <v>53.92443233867105</v>
      </c>
      <c r="O237" t="n">
        <v>0.9041889855288817</v>
      </c>
      <c r="P237" t="n">
        <v>92.19258221555951</v>
      </c>
      <c r="Q237" t="n">
        <v>84.33199832335117</v>
      </c>
    </row>
    <row r="238">
      <c r="A238" s="118" t="n">
        <v>44776</v>
      </c>
      <c r="B238" s="119" t="n">
        <v>105.2743720785637</v>
      </c>
      <c r="C238" s="119" t="n">
        <v>106.8337176972766</v>
      </c>
      <c r="D238" s="119" t="n">
        <v>104.4947028099396</v>
      </c>
      <c r="E238" s="119" t="n">
        <v>106.0726089477539</v>
      </c>
      <c r="F238" s="120" t="n">
        <v>5986500</v>
      </c>
      <c r="G238" s="121" t="n">
        <v>0.02245696798831331</v>
      </c>
      <c r="H238" s="122" t="n">
        <v>67.84078981974535</v>
      </c>
      <c r="I238" s="119" t="n">
        <v>102.3806834411621</v>
      </c>
      <c r="J238" s="119" t="n">
        <v>126.7469979476929</v>
      </c>
      <c r="K238" s="121" t="n">
        <v>0.3850996645321113</v>
      </c>
      <c r="L238" s="121" t="n">
        <v>-0.07168668041906145</v>
      </c>
      <c r="M238" s="121" t="n">
        <v>-0.3519748451663891</v>
      </c>
      <c r="N238" t="n">
        <v>57.48865784906845</v>
      </c>
      <c r="O238" t="n">
        <v>0.9083206937854857</v>
      </c>
      <c r="P238" t="n">
        <v>93.63629420634238</v>
      </c>
      <c r="Q238" t="n">
        <v>86.62858129516125</v>
      </c>
    </row>
    <row r="239">
      <c r="A239" s="118" t="n">
        <v>44777</v>
      </c>
      <c r="B239" s="119" t="n">
        <v>106.4067374895455</v>
      </c>
      <c r="C239" s="119" t="n">
        <v>107.0657455722525</v>
      </c>
      <c r="D239" s="119" t="n">
        <v>105.6549126636267</v>
      </c>
      <c r="E239" s="119" t="n">
        <v>106.2582321166992</v>
      </c>
      <c r="F239" s="120" t="n">
        <v>4332000</v>
      </c>
      <c r="G239" s="121" t="n">
        <v>0.001749963263718124</v>
      </c>
      <c r="H239" s="122" t="n">
        <v>67.95950870971153</v>
      </c>
      <c r="I239" s="119" t="n">
        <v>102.4942643737793</v>
      </c>
      <c r="J239" s="119" t="n">
        <v>126.5432192993164</v>
      </c>
      <c r="K239" s="121" t="n">
        <v>0.3654545688459708</v>
      </c>
      <c r="L239" s="121" t="n">
        <v>-0.07006216621257466</v>
      </c>
      <c r="M239" s="121" t="n">
        <v>-0.3508408249514651</v>
      </c>
      <c r="N239" t="n">
        <v>57.76896471918037</v>
      </c>
      <c r="O239" t="n">
        <v>0.8735972820561998</v>
      </c>
      <c r="P239" t="n">
        <v>93.57301370132032</v>
      </c>
      <c r="Q239" t="n">
        <v>87.03370715626451</v>
      </c>
    </row>
    <row r="240">
      <c r="A240" s="118" t="n">
        <v>44778</v>
      </c>
      <c r="B240" s="119" t="n">
        <v>104.6896092367896</v>
      </c>
      <c r="C240" s="119" t="n">
        <v>106.0911655122176</v>
      </c>
      <c r="D240" s="119" t="n">
        <v>104.4854081405924</v>
      </c>
      <c r="E240" s="119" t="n">
        <v>105.6920471191406</v>
      </c>
      <c r="F240" s="120" t="n">
        <v>4162200</v>
      </c>
      <c r="G240" s="121" t="n">
        <v>-0.005328387140271396</v>
      </c>
      <c r="H240" s="122" t="n">
        <v>67.59739413744353</v>
      </c>
      <c r="I240" s="119" t="n">
        <v>102.6213354492187</v>
      </c>
      <c r="J240" s="119" t="n">
        <v>126.3440327453613</v>
      </c>
      <c r="K240" s="121" t="n">
        <v>0.3662880789139066</v>
      </c>
      <c r="L240" s="121" t="n">
        <v>-0.07501723500737956</v>
      </c>
      <c r="M240" s="121" t="n">
        <v>-0.3542997963517829</v>
      </c>
      <c r="N240" t="n">
        <v>56.54426850894463</v>
      </c>
      <c r="O240" t="n">
        <v>0.7663707467474217</v>
      </c>
      <c r="P240" t="n">
        <v>93.41487062773528</v>
      </c>
      <c r="Q240" t="n">
        <v>86.32272540710612</v>
      </c>
    </row>
    <row r="241">
      <c r="A241" s="118" t="n">
        <v>44781</v>
      </c>
      <c r="B241" s="119" t="n">
        <v>105.8126983642578</v>
      </c>
      <c r="C241" s="119" t="n">
        <v>107.279226935875</v>
      </c>
      <c r="D241" s="119" t="n">
        <v>105.1722508186164</v>
      </c>
      <c r="E241" s="119" t="n">
        <v>105.8126983642578</v>
      </c>
      <c r="F241" s="120" t="n">
        <v>6071600</v>
      </c>
      <c r="G241" s="121" t="n">
        <v>0.001141535701179031</v>
      </c>
      <c r="H241" s="122" t="n">
        <v>67.6745589761581</v>
      </c>
      <c r="I241" s="119" t="n">
        <v>102.7339685058594</v>
      </c>
      <c r="J241" s="119" t="n">
        <v>126.1425447845459</v>
      </c>
      <c r="K241" s="121" t="n">
        <v>0.3500207743594697</v>
      </c>
      <c r="L241" s="121" t="n">
        <v>-0.07396133415816508</v>
      </c>
      <c r="M241" s="121" t="n">
        <v>-0.3535627065170599</v>
      </c>
      <c r="N241" t="n">
        <v>56.75466147900137</v>
      </c>
      <c r="O241" t="n">
        <v>0.6614072208424504</v>
      </c>
      <c r="P241" t="n">
        <v>93.30641366102446</v>
      </c>
      <c r="Q241" t="n">
        <v>86.04370899198715</v>
      </c>
    </row>
    <row r="242">
      <c r="A242" s="118" t="n">
        <v>44782</v>
      </c>
      <c r="B242" s="119" t="n">
        <v>103.3251709814388</v>
      </c>
      <c r="C242" s="119" t="n">
        <v>103.7242893355186</v>
      </c>
      <c r="D242" s="119" t="n">
        <v>101.0047170813154</v>
      </c>
      <c r="E242" s="119" t="n">
        <v>102.2020721435547</v>
      </c>
      <c r="F242" s="120" t="n">
        <v>7377600</v>
      </c>
      <c r="G242" s="121" t="n">
        <v>-0.03412280639771259</v>
      </c>
      <c r="H242" s="122" t="n">
        <v>65.36531310216407</v>
      </c>
      <c r="I242" s="119" t="n">
        <v>102.6866146850586</v>
      </c>
      <c r="J242" s="119" t="n">
        <v>125.9058061218262</v>
      </c>
      <c r="K242" s="121" t="n">
        <v>0.3713423653911185</v>
      </c>
      <c r="L242" s="121" t="n">
        <v>-0.1055603722694821</v>
      </c>
      <c r="M242" s="121" t="n">
        <v>-0.3756209611308395</v>
      </c>
      <c r="N242" t="n">
        <v>49.09427902061575</v>
      </c>
      <c r="O242" t="n">
        <v>0.3237355750925657</v>
      </c>
      <c r="P242" t="n">
        <v>92.93589539368833</v>
      </c>
      <c r="Q242" t="n">
        <v>85.06981115548861</v>
      </c>
    </row>
    <row r="243">
      <c r="A243" s="118" t="n">
        <v>44783</v>
      </c>
      <c r="B243" s="119" t="n">
        <v>105.1072973477264</v>
      </c>
      <c r="C243" s="119" t="n">
        <v>105.654928251962</v>
      </c>
      <c r="D243" s="119" t="n">
        <v>103.8264091069076</v>
      </c>
      <c r="E243" s="119" t="n">
        <v>105.0144805908203</v>
      </c>
      <c r="F243" s="120" t="n">
        <v>6951800</v>
      </c>
      <c r="G243" s="121" t="n">
        <v>0.02751811571212825</v>
      </c>
      <c r="H243" s="122" t="n">
        <v>67.16404335166891</v>
      </c>
      <c r="I243" s="119" t="n">
        <v>102.6390301513672</v>
      </c>
      <c r="J243" s="119" t="n">
        <v>125.6771356201172</v>
      </c>
      <c r="K243" s="121" t="n">
        <v>0.379881170023091</v>
      </c>
      <c r="L243" s="121" t="n">
        <v>-0.0809470790960809</v>
      </c>
      <c r="M243" s="121" t="n">
        <v>-0.3584392264910106</v>
      </c>
      <c r="N243" t="n">
        <v>54.2717111157231</v>
      </c>
      <c r="O243" t="n">
        <v>0.2670735020444986</v>
      </c>
      <c r="P243" t="n">
        <v>94.88793168033011</v>
      </c>
      <c r="Q243" t="n">
        <v>87.44419419998928</v>
      </c>
    </row>
    <row r="244">
      <c r="A244" s="118" t="n">
        <v>44784</v>
      </c>
      <c r="B244" s="119" t="n">
        <v>106.6295057639382</v>
      </c>
      <c r="C244" s="119" t="n">
        <v>108.3652080046458</v>
      </c>
      <c r="D244" s="119" t="n">
        <v>105.562102527993</v>
      </c>
      <c r="E244" s="119" t="n">
        <v>105.9055252075195</v>
      </c>
      <c r="F244" s="120" t="n">
        <v>5582100</v>
      </c>
      <c r="G244" s="121" t="n">
        <v>0.008484969041280044</v>
      </c>
      <c r="H244" s="122" t="n">
        <v>67.73392818019501</v>
      </c>
      <c r="I244" s="119" t="n">
        <v>102.556305847168</v>
      </c>
      <c r="J244" s="119" t="n">
        <v>125.4495086288452</v>
      </c>
      <c r="K244" s="121" t="n">
        <v>0.3711236874839767</v>
      </c>
      <c r="L244" s="121" t="n">
        <v>-0.07314894351491319</v>
      </c>
      <c r="M244" s="121" t="n">
        <v>-0.352995603189687</v>
      </c>
      <c r="N244" t="n">
        <v>55.80535050122438</v>
      </c>
      <c r="O244" t="n">
        <v>0.266287439059592</v>
      </c>
      <c r="P244" t="n">
        <v>94.88793168033011</v>
      </c>
      <c r="Q244" t="n">
        <v>86.94784433474877</v>
      </c>
    </row>
    <row r="245">
      <c r="A245" s="118" t="n">
        <v>44785</v>
      </c>
      <c r="B245" s="119" t="n">
        <v>106.1747014358522</v>
      </c>
      <c r="C245" s="119" t="n">
        <v>107.7897355705711</v>
      </c>
      <c r="D245" s="119" t="n">
        <v>105.5992262469458</v>
      </c>
      <c r="E245" s="119" t="n">
        <v>107.7340469360352</v>
      </c>
      <c r="F245" s="120" t="n">
        <v>4407900</v>
      </c>
      <c r="G245" s="121" t="n">
        <v>0.01726559331944832</v>
      </c>
      <c r="H245" s="122" t="n">
        <v>68.90339463808299</v>
      </c>
      <c r="I245" s="119" t="n">
        <v>102.5133000183105</v>
      </c>
      <c r="J245" s="119" t="n">
        <v>125.2330066680908</v>
      </c>
      <c r="K245" s="121" t="n">
        <v>0.372215032263893</v>
      </c>
      <c r="L245" s="121" t="n">
        <v>-0.05714631010594051</v>
      </c>
      <c r="M245" s="121" t="n">
        <v>-0.3418246883984651</v>
      </c>
      <c r="N245" t="n">
        <v>58.85493984990728</v>
      </c>
      <c r="O245" t="n">
        <v>0.3597852596252633</v>
      </c>
      <c r="P245" t="n">
        <v>96.49427456901969</v>
      </c>
      <c r="Q245" t="n">
        <v>88.6407614993594</v>
      </c>
    </row>
    <row r="246">
      <c r="A246" s="118" t="n">
        <v>44788</v>
      </c>
      <c r="B246" s="119" t="n">
        <v>107.1585743430494</v>
      </c>
      <c r="C246" s="119" t="n">
        <v>108.2074241953119</v>
      </c>
      <c r="D246" s="119" t="n">
        <v>106.6016667398067</v>
      </c>
      <c r="E246" s="119" t="n">
        <v>107.9660949707031</v>
      </c>
      <c r="F246" s="120" t="n">
        <v>4279000</v>
      </c>
      <c r="G246" s="121" t="n">
        <v>0.002153896945927825</v>
      </c>
      <c r="H246" s="122" t="n">
        <v>69.051805449358</v>
      </c>
      <c r="I246" s="119" t="n">
        <v>102.3873458862305</v>
      </c>
      <c r="J246" s="119" t="n">
        <v>125.0243041992187</v>
      </c>
      <c r="K246" s="121" t="n">
        <v>0.3694491682379198</v>
      </c>
      <c r="L246" s="121" t="n">
        <v>-0.0551155004228211</v>
      </c>
      <c r="M246" s="121" t="n">
        <v>-0.3404070466049215</v>
      </c>
      <c r="N246" t="n">
        <v>59.23933279199783</v>
      </c>
      <c r="O246" t="n">
        <v>0.404773836694728</v>
      </c>
      <c r="P246" t="n">
        <v>96.89190889643884</v>
      </c>
      <c r="Q246" t="n">
        <v>89.35709604118215</v>
      </c>
    </row>
    <row r="247">
      <c r="A247" s="118" t="n">
        <v>44789</v>
      </c>
      <c r="B247" s="119" t="n">
        <v>107.6133678010564</v>
      </c>
      <c r="C247" s="119" t="n">
        <v>109.9616659159395</v>
      </c>
      <c r="D247" s="119" t="n">
        <v>107.492699671201</v>
      </c>
      <c r="E247" s="119" t="n">
        <v>109.5811080932617</v>
      </c>
      <c r="F247" s="120" t="n">
        <v>6189800</v>
      </c>
      <c r="G247" s="121" t="n">
        <v>0.0149585212190626</v>
      </c>
      <c r="H247" s="122" t="n">
        <v>70.08471834638681</v>
      </c>
      <c r="I247" s="119" t="n">
        <v>102.3336968994141</v>
      </c>
      <c r="J247" s="119" t="n">
        <v>124.8139484786987</v>
      </c>
      <c r="K247" s="121" t="n">
        <v>0.3321860513870019</v>
      </c>
      <c r="L247" s="121" t="n">
        <v>-0.04098142558633244</v>
      </c>
      <c r="M247" s="121" t="n">
        <v>-0.330540511415617</v>
      </c>
      <c r="N247" t="n">
        <v>61.90673637354328</v>
      </c>
      <c r="O247" t="n">
        <v>0.5043344237703178</v>
      </c>
      <c r="P247" t="n">
        <v>97.08168494891366</v>
      </c>
      <c r="Q247" t="n">
        <v>89.14783372984292</v>
      </c>
    </row>
    <row r="248">
      <c r="A248" s="118" t="n">
        <v>44790</v>
      </c>
      <c r="B248" s="119" t="n">
        <v>108.383755913669</v>
      </c>
      <c r="C248" s="119" t="n">
        <v>109.5068618150125</v>
      </c>
      <c r="D248" s="119" t="n">
        <v>108.049617072354</v>
      </c>
      <c r="E248" s="119" t="n">
        <v>108.6343688964844</v>
      </c>
      <c r="F248" s="120" t="n">
        <v>5108400</v>
      </c>
      <c r="G248" s="121" t="n">
        <v>-0.00863962058105483</v>
      </c>
      <c r="H248" s="122" t="n">
        <v>69.47921297134394</v>
      </c>
      <c r="I248" s="119" t="n">
        <v>102.274478302002</v>
      </c>
      <c r="J248" s="119" t="n">
        <v>124.5858111953735</v>
      </c>
      <c r="K248" s="121" t="n">
        <v>0.3311304512438298</v>
      </c>
      <c r="L248" s="121" t="n">
        <v>-0.04926698219945047</v>
      </c>
      <c r="M248" s="121" t="n">
        <v>-0.3363243873913732</v>
      </c>
      <c r="N248" t="n">
        <v>59.4506532406096</v>
      </c>
      <c r="O248" t="n">
        <v>0.4682460305240177</v>
      </c>
      <c r="P248" t="n">
        <v>96.39261116457216</v>
      </c>
      <c r="Q248" t="n">
        <v>88.13102126250082</v>
      </c>
    </row>
    <row r="249">
      <c r="A249" s="118" t="n">
        <v>44791</v>
      </c>
      <c r="B249" s="119" t="n">
        <v>107.6690685568923</v>
      </c>
      <c r="C249" s="119" t="n">
        <v>108.3002323454843</v>
      </c>
      <c r="D249" s="119" t="n">
        <v>107.0193442516345</v>
      </c>
      <c r="E249" s="119" t="n">
        <v>107.678352355957</v>
      </c>
      <c r="F249" s="120" t="n">
        <v>4750200</v>
      </c>
      <c r="G249" s="121" t="n">
        <v>-0.008800313843939311</v>
      </c>
      <c r="H249" s="122" t="n">
        <v>68.86777409156622</v>
      </c>
      <c r="I249" s="119" t="n">
        <v>102.169408416748</v>
      </c>
      <c r="J249" s="119" t="n">
        <v>124.3573197174072</v>
      </c>
      <c r="K249" s="121" t="n">
        <v>0.3335781082590739</v>
      </c>
      <c r="L249" s="121" t="n">
        <v>-0.05763373113789083</v>
      </c>
      <c r="M249" s="121" t="n">
        <v>-0.3421649410728977</v>
      </c>
      <c r="N249" t="n">
        <v>56.99177475927493</v>
      </c>
      <c r="O249" t="n">
        <v>0.3473680117520783</v>
      </c>
      <c r="P249" t="n">
        <v>96.67275468766699</v>
      </c>
      <c r="Q249" t="n">
        <v>88.34294319025793</v>
      </c>
    </row>
    <row r="250">
      <c r="A250" s="118" t="n">
        <v>44792</v>
      </c>
      <c r="B250" s="119" t="n">
        <v>107.2049768650552</v>
      </c>
      <c r="C250" s="119" t="n">
        <v>107.3442055240298</v>
      </c>
      <c r="D250" s="119" t="n">
        <v>104.9123671358592</v>
      </c>
      <c r="E250" s="119" t="n">
        <v>105.0330352783203</v>
      </c>
      <c r="F250" s="120" t="n">
        <v>5967600</v>
      </c>
      <c r="G250" s="121" t="n">
        <v>-0.02456684207882365</v>
      </c>
      <c r="H250" s="122" t="n">
        <v>67.17591036113861</v>
      </c>
      <c r="I250" s="119" t="n">
        <v>101.9978802490234</v>
      </c>
      <c r="J250" s="119" t="n">
        <v>124.108685836792</v>
      </c>
      <c r="K250" s="121" t="n">
        <v>0.3357763594645065</v>
      </c>
      <c r="L250" s="121" t="n">
        <v>-0.08078469444543657</v>
      </c>
      <c r="M250" s="121" t="n">
        <v>-0.3583258710794736</v>
      </c>
      <c r="N250" t="n">
        <v>50.7384030815345</v>
      </c>
      <c r="O250" t="n">
        <v>0.07108318810580583</v>
      </c>
      <c r="P250" t="n">
        <v>95.37367138215527</v>
      </c>
      <c r="Q250" t="n">
        <v>86.6205353262504</v>
      </c>
    </row>
    <row r="251">
      <c r="A251" s="118" t="n">
        <v>44795</v>
      </c>
      <c r="B251" s="119" t="n">
        <v>103.0467139778449</v>
      </c>
      <c r="C251" s="119" t="n">
        <v>103.6593172083455</v>
      </c>
      <c r="D251" s="119" t="n">
        <v>101.9514594505713</v>
      </c>
      <c r="E251" s="119" t="n">
        <v>102.4155502319336</v>
      </c>
      <c r="F251" s="120" t="n">
        <v>5802900</v>
      </c>
      <c r="G251" s="121" t="n">
        <v>-0.02492058845534462</v>
      </c>
      <c r="H251" s="122" t="n">
        <v>65.50184714491554</v>
      </c>
      <c r="I251" s="119" t="n">
        <v>101.8445443725586</v>
      </c>
      <c r="J251" s="119" t="n">
        <v>123.8254329299927</v>
      </c>
      <c r="K251" s="121" t="n">
        <v>0.349162961106937</v>
      </c>
      <c r="L251" s="121" t="n">
        <v>-0.1036920807770157</v>
      </c>
      <c r="M251" s="121" t="n">
        <v>-0.3743167679687437</v>
      </c>
      <c r="N251" t="n">
        <v>45.42702174990996</v>
      </c>
      <c r="O251" t="n">
        <v>-0.2865101408616941</v>
      </c>
      <c r="P251" t="n">
        <v>93.38774729403099</v>
      </c>
      <c r="Q251" t="n">
        <v>84.34005268221917</v>
      </c>
    </row>
    <row r="252">
      <c r="A252" s="118" t="n">
        <v>44796</v>
      </c>
      <c r="B252" s="119" t="n">
        <v>102.879645510886</v>
      </c>
      <c r="C252" s="119" t="n">
        <v>104.7267320001107</v>
      </c>
      <c r="D252" s="119" t="n">
        <v>102.6290395938384</v>
      </c>
      <c r="E252" s="119" t="n">
        <v>102.7311401367188</v>
      </c>
      <c r="F252" s="120" t="n">
        <v>4806700</v>
      </c>
      <c r="G252" s="121" t="n">
        <v>0.003081464719668636</v>
      </c>
      <c r="H252" s="122" t="n">
        <v>65.70368877596573</v>
      </c>
      <c r="I252" s="119" t="n">
        <v>101.7693618774414</v>
      </c>
      <c r="J252" s="119" t="n">
        <v>123.5302028274536</v>
      </c>
      <c r="K252" s="121" t="n">
        <v>0.3189130558942605</v>
      </c>
      <c r="L252" s="121" t="n">
        <v>-0.1009301395459705</v>
      </c>
      <c r="M252" s="121" t="n">
        <v>-0.3723887471635512</v>
      </c>
      <c r="N252" t="n">
        <v>46.158849039594</v>
      </c>
      <c r="O252" t="n">
        <v>-0.4884854268056193</v>
      </c>
      <c r="P252" t="n">
        <v>93.16182861748092</v>
      </c>
      <c r="Q252" t="n">
        <v>84.27029857843942</v>
      </c>
    </row>
    <row r="253">
      <c r="A253" s="118" t="n">
        <v>44797</v>
      </c>
      <c r="B253" s="119" t="n">
        <v>102.7311310387911</v>
      </c>
      <c r="C253" s="119" t="n">
        <v>104.355448700719</v>
      </c>
      <c r="D253" s="119" t="n">
        <v>102.1185278357618</v>
      </c>
      <c r="E253" s="119" t="n">
        <v>103.4087066650391</v>
      </c>
      <c r="F253" s="120" t="n">
        <v>4769000</v>
      </c>
      <c r="G253" s="121" t="n">
        <v>0.006595532059885389</v>
      </c>
      <c r="H253" s="122" t="n">
        <v>66.13703956174034</v>
      </c>
      <c r="I253" s="119" t="n">
        <v>101.7873683166504</v>
      </c>
      <c r="J253" s="119" t="n">
        <v>123.2288166427612</v>
      </c>
      <c r="K253" s="121" t="n">
        <v>0.3081013855637081</v>
      </c>
      <c r="L253" s="121" t="n">
        <v>-0.0950002954572694</v>
      </c>
      <c r="M253" s="121" t="n">
        <v>-0.3682493170243235</v>
      </c>
      <c r="N253" t="n">
        <v>47.77803843296443</v>
      </c>
      <c r="O253" t="n">
        <v>-0.5581206003985772</v>
      </c>
      <c r="P253" t="n">
        <v>93.46006163666655</v>
      </c>
      <c r="Q253" t="n">
        <v>84.51444633162569</v>
      </c>
    </row>
    <row r="254">
      <c r="A254" s="118" t="n">
        <v>44798</v>
      </c>
      <c r="B254" s="119" t="n">
        <v>103.8635227962522</v>
      </c>
      <c r="C254" s="119" t="n">
        <v>105.2000994892317</v>
      </c>
      <c r="D254" s="119" t="n">
        <v>103.390148195893</v>
      </c>
      <c r="E254" s="119" t="n">
        <v>105.0887222290039</v>
      </c>
      <c r="F254" s="120" t="n">
        <v>5433700</v>
      </c>
      <c r="G254" s="121" t="n">
        <v>0.01624636472252527</v>
      </c>
      <c r="H254" s="122" t="n">
        <v>67.21152602812846</v>
      </c>
      <c r="I254" s="119" t="n">
        <v>101.8337774658203</v>
      </c>
      <c r="J254" s="119" t="n">
        <v>122.961926651001</v>
      </c>
      <c r="K254" s="121" t="n">
        <v>0.2782504369241978</v>
      </c>
      <c r="L254" s="121" t="n">
        <v>-0.08029734018349044</v>
      </c>
      <c r="M254" s="121" t="n">
        <v>-0.3579856650149963</v>
      </c>
      <c r="N254" t="n">
        <v>51.65987402456039</v>
      </c>
      <c r="O254" t="n">
        <v>-0.4759111392619813</v>
      </c>
      <c r="P254" t="n">
        <v>94.77946016637674</v>
      </c>
      <c r="Q254" t="n">
        <v>86.00882355014012</v>
      </c>
    </row>
    <row r="255">
      <c r="A255" s="118" t="n">
        <v>44799</v>
      </c>
      <c r="B255" s="119" t="n">
        <v>105.1722621619284</v>
      </c>
      <c r="C255" s="119" t="n">
        <v>105.5621038430182</v>
      </c>
      <c r="D255" s="119" t="n">
        <v>100.4571046871275</v>
      </c>
      <c r="E255" s="119" t="n">
        <v>100.5035095214844</v>
      </c>
      <c r="F255" s="120" t="n">
        <v>6203600</v>
      </c>
      <c r="G255" s="121" t="n">
        <v>-0.04363182471214822</v>
      </c>
      <c r="H255" s="122" t="n">
        <v>64.27896450583317</v>
      </c>
      <c r="I255" s="119" t="n">
        <v>101.7379890441894</v>
      </c>
      <c r="J255" s="119" t="n">
        <v>122.6630274200439</v>
      </c>
      <c r="K255" s="121" t="n">
        <v>0.3050783620949851</v>
      </c>
      <c r="L255" s="121" t="n">
        <v>-0.1204256454239009</v>
      </c>
      <c r="M255" s="121" t="n">
        <v>-0.3859979219417484</v>
      </c>
      <c r="N255" t="n">
        <v>42.39692662396511</v>
      </c>
      <c r="O255" t="n">
        <v>-0.7015854924110043</v>
      </c>
      <c r="P255" t="n">
        <v>91.57129858142558</v>
      </c>
      <c r="Q255" t="n">
        <v>82.48346423344508</v>
      </c>
    </row>
    <row r="256">
      <c r="A256" s="118" t="n">
        <v>44802</v>
      </c>
      <c r="B256" s="119" t="n">
        <v>99.13908614926692</v>
      </c>
      <c r="C256" s="119" t="n">
        <v>100.7448436229292</v>
      </c>
      <c r="D256" s="119" t="n">
        <v>98.79566344880728</v>
      </c>
      <c r="E256" s="119" t="n">
        <v>100.1322402954102</v>
      </c>
      <c r="F256" s="120" t="n">
        <v>4132400</v>
      </c>
      <c r="G256" s="121" t="n">
        <v>-0.003694092155009265</v>
      </c>
      <c r="H256" s="122" t="n">
        <v>64.04151208732006</v>
      </c>
      <c r="I256" s="119" t="n">
        <v>101.7520976257324</v>
      </c>
      <c r="J256" s="119" t="n">
        <v>122.3879070663452</v>
      </c>
      <c r="K256" s="121" t="n">
        <v>0.3049457575493911</v>
      </c>
      <c r="L256" s="121" t="n">
        <v>-0.1186274919973562</v>
      </c>
      <c r="M256" s="121" t="n">
        <v>-0.3882661022014627</v>
      </c>
      <c r="N256" t="n">
        <v>41.74423726233903</v>
      </c>
      <c r="O256" t="n">
        <v>-0.8378821494534168</v>
      </c>
      <c r="P256" t="n">
        <v>90.96579870544082</v>
      </c>
      <c r="Q256" t="n">
        <v>81.67058645464931</v>
      </c>
    </row>
    <row r="257">
      <c r="A257" s="118" t="n">
        <v>44803</v>
      </c>
      <c r="B257" s="119" t="n">
        <v>101.1439448084953</v>
      </c>
      <c r="C257" s="119" t="n">
        <v>102.174226897264</v>
      </c>
      <c r="D257" s="119" t="n">
        <v>99.43608707123076</v>
      </c>
      <c r="E257" s="119" t="n">
        <v>100.1136627197266</v>
      </c>
      <c r="F257" s="120" t="n">
        <v>5129500</v>
      </c>
      <c r="G257" s="121" t="n">
        <v>-0.0001855304108725475</v>
      </c>
      <c r="H257" s="122" t="n">
        <v>64.0296304392696</v>
      </c>
      <c r="I257" s="119" t="n">
        <v>101.7617506408691</v>
      </c>
      <c r="J257" s="119" t="n">
        <v>122.1186413955688</v>
      </c>
      <c r="K257" s="121" t="n">
        <v>0.2962297588760343</v>
      </c>
      <c r="L257" s="121" t="n">
        <v>-0.1187910134008978</v>
      </c>
      <c r="M257" s="121" t="n">
        <v>-0.388379597442866</v>
      </c>
      <c r="N257" t="n">
        <v>41.709635889742</v>
      </c>
      <c r="O257" t="n">
        <v>-0.8865960420475826</v>
      </c>
      <c r="P257" t="n">
        <v>89.96716687360113</v>
      </c>
      <c r="Q257" t="n">
        <v>80.7610479794804</v>
      </c>
    </row>
    <row r="258">
      <c r="A258" s="118" t="n">
        <v>44804</v>
      </c>
      <c r="B258" s="119" t="n">
        <v>100.2064956217815</v>
      </c>
      <c r="C258" s="119" t="n">
        <v>100.2529075394319</v>
      </c>
      <c r="D258" s="119" t="n">
        <v>98.21090354770936</v>
      </c>
      <c r="E258" s="119" t="n">
        <v>98.80493927001953</v>
      </c>
      <c r="F258" s="120" t="n">
        <v>8884800</v>
      </c>
      <c r="G258" s="121" t="n">
        <v>-0.01307237607888612</v>
      </c>
      <c r="H258" s="122" t="n">
        <v>63.19261102997537</v>
      </c>
      <c r="I258" s="119" t="n">
        <v>101.7203538513184</v>
      </c>
      <c r="J258" s="119" t="n">
        <v>121.8330577850342</v>
      </c>
      <c r="K258" s="121" t="n">
        <v>0.2845584605705349</v>
      </c>
      <c r="L258" s="121" t="n">
        <v>-0.1303105086778154</v>
      </c>
      <c r="M258" s="121" t="n">
        <v>-0.3963749293626125</v>
      </c>
      <c r="N258" t="n">
        <v>39.24194450708887</v>
      </c>
      <c r="O258" t="n">
        <v>-0.9581744558444003</v>
      </c>
      <c r="P258" t="n">
        <v>89.28261728168764</v>
      </c>
      <c r="Q258" t="n">
        <v>80.29154597713321</v>
      </c>
    </row>
    <row r="259">
      <c r="A259" s="118" t="n">
        <v>44805</v>
      </c>
      <c r="B259" s="119" t="n">
        <v>98.20162336788704</v>
      </c>
      <c r="C259" s="119" t="n">
        <v>98.89775961931875</v>
      </c>
      <c r="D259" s="119" t="n">
        <v>96.34526003073577</v>
      </c>
      <c r="E259" s="119" t="n">
        <v>98.84206390380859</v>
      </c>
      <c r="F259" s="120" t="n">
        <v>5590800</v>
      </c>
      <c r="G259" s="121" t="n">
        <v>0.0003757366186685207</v>
      </c>
      <c r="H259" s="122" t="n">
        <v>63.2163548079686</v>
      </c>
      <c r="I259" s="119" t="n">
        <v>101.7494987487793</v>
      </c>
      <c r="J259" s="119" t="n">
        <v>121.5487662887573</v>
      </c>
      <c r="K259" s="121" t="n">
        <v>0.2842710076830602</v>
      </c>
      <c r="L259" s="121" t="n">
        <v>-0.1299837344890545</v>
      </c>
      <c r="M259" s="121" t="n">
        <v>-0.3961481253196277</v>
      </c>
      <c r="N259" t="n">
        <v>39.35156028134606</v>
      </c>
      <c r="O259" t="n">
        <v>-0.9522588958968869</v>
      </c>
      <c r="P259" t="n">
        <v>89.56276807840375</v>
      </c>
      <c r="Q259" t="n">
        <v>80.3264230290231</v>
      </c>
    </row>
    <row r="260">
      <c r="A260" s="118" t="n">
        <v>44806</v>
      </c>
      <c r="B260" s="119" t="n">
        <v>100.028908240306</v>
      </c>
      <c r="C260" s="119" t="n">
        <v>100.6711955238073</v>
      </c>
      <c r="D260" s="119" t="n">
        <v>97.78556863422214</v>
      </c>
      <c r="E260" s="119" t="n">
        <v>98.42784881591797</v>
      </c>
      <c r="F260" s="120" t="n">
        <v>7763800</v>
      </c>
      <c r="G260" s="121" t="n">
        <v>-0.004190676231667245</v>
      </c>
      <c r="H260" s="122" t="n">
        <v>62.95143553242221</v>
      </c>
      <c r="I260" s="119" t="n">
        <v>101.71318359375</v>
      </c>
      <c r="J260" s="119" t="n">
        <v>121.2486640167236</v>
      </c>
      <c r="K260" s="121" t="n">
        <v>0.284200350005697</v>
      </c>
      <c r="L260" s="121" t="n">
        <v>-0.1058707037834902</v>
      </c>
      <c r="M260" s="121" t="n">
        <v>-0.3986786730182985</v>
      </c>
      <c r="N260" t="n">
        <v>38.51660049796079</v>
      </c>
      <c r="O260" t="n">
        <v>-0.9247147739214008</v>
      </c>
      <c r="P260" t="n">
        <v>88.6183901875939</v>
      </c>
      <c r="Q260" t="n">
        <v>79.19155547456472</v>
      </c>
    </row>
    <row r="261">
      <c r="A261" s="118" t="n">
        <v>44810</v>
      </c>
      <c r="B261" s="119" t="n">
        <v>98.14859356276227</v>
      </c>
      <c r="C261" s="119" t="n">
        <v>99.05151705822672</v>
      </c>
      <c r="D261" s="119" t="n">
        <v>96.51029945863921</v>
      </c>
      <c r="E261" s="119" t="n">
        <v>97.87864685058594</v>
      </c>
      <c r="F261" s="120" t="n">
        <v>9158900</v>
      </c>
      <c r="G261" s="121" t="n">
        <v>-0.00557974162738395</v>
      </c>
      <c r="H261" s="122" t="n">
        <v>62.60018278707837</v>
      </c>
      <c r="I261" s="119" t="n">
        <v>101.5747366333008</v>
      </c>
      <c r="J261" s="119" t="n">
        <v>120.9462306213379</v>
      </c>
      <c r="K261" s="121" t="n">
        <v>0.2837768686887175</v>
      </c>
      <c r="L261" s="121" t="n">
        <v>-0.106792689417925</v>
      </c>
      <c r="M261" s="121" t="n">
        <v>-0.4020338906578921</v>
      </c>
      <c r="N261" t="n">
        <v>37.38399120957125</v>
      </c>
      <c r="O261" t="n">
        <v>-0.8915651318141664</v>
      </c>
      <c r="P261" t="n">
        <v>88.28400727071175</v>
      </c>
      <c r="Q261" t="n">
        <v>78.6227751092123</v>
      </c>
    </row>
    <row r="262">
      <c r="A262" s="118" t="n">
        <v>44811</v>
      </c>
      <c r="B262" s="119" t="n">
        <v>97.81347939235808</v>
      </c>
      <c r="C262" s="119" t="n">
        <v>101.0528254567825</v>
      </c>
      <c r="D262" s="119" t="n">
        <v>97.73900987088052</v>
      </c>
      <c r="E262" s="119" t="n">
        <v>100.9783630371094</v>
      </c>
      <c r="F262" s="120" t="n">
        <v>7238300</v>
      </c>
      <c r="G262" s="121" t="n">
        <v>0.03166897261315049</v>
      </c>
      <c r="H262" s="122" t="n">
        <v>64.58266626134058</v>
      </c>
      <c r="I262" s="119" t="n">
        <v>101.5430224609375</v>
      </c>
      <c r="J262" s="119" t="n">
        <v>120.6610939788818</v>
      </c>
      <c r="K262" s="121" t="n">
        <v>0.2864228473459597</v>
      </c>
      <c r="L262" s="121" t="n">
        <v>-0.07850573156123541</v>
      </c>
      <c r="M262" s="121" t="n">
        <v>-0.3830969183175447</v>
      </c>
      <c r="N262" t="n">
        <v>46.87858402892914</v>
      </c>
      <c r="O262" t="n">
        <v>-0.6217423281079772</v>
      </c>
      <c r="P262" t="n">
        <v>89.87004220882415</v>
      </c>
      <c r="Q262" t="n">
        <v>80.21105272819614</v>
      </c>
    </row>
    <row r="263">
      <c r="A263" s="118" t="n">
        <v>44812</v>
      </c>
      <c r="B263" s="119" t="n">
        <v>99.60070516288893</v>
      </c>
      <c r="C263" s="119" t="n">
        <v>101.2669234192323</v>
      </c>
      <c r="D263" s="119" t="n">
        <v>98.74432697246351</v>
      </c>
      <c r="E263" s="119" t="n">
        <v>101.2110748291016</v>
      </c>
      <c r="F263" s="120" t="n">
        <v>5628300</v>
      </c>
      <c r="G263" s="121" t="n">
        <v>0.00230457085055602</v>
      </c>
      <c r="H263" s="122" t="n">
        <v>64.73150159145764</v>
      </c>
      <c r="I263" s="119" t="n">
        <v>101.6592738342285</v>
      </c>
      <c r="J263" s="119" t="n">
        <v>120.3608453369141</v>
      </c>
      <c r="K263" s="121" t="n">
        <v>0.2671043070975307</v>
      </c>
      <c r="L263" s="121" t="n">
        <v>-0.07638208273123703</v>
      </c>
      <c r="M263" s="121" t="n">
        <v>-0.3816752214578811</v>
      </c>
      <c r="N263" t="n">
        <v>47.52193786496335</v>
      </c>
      <c r="O263" t="n">
        <v>-0.3992703751466307</v>
      </c>
      <c r="P263" t="n">
        <v>90.45745986233939</v>
      </c>
      <c r="Q263" t="n">
        <v>80.62690934449957</v>
      </c>
    </row>
    <row r="264">
      <c r="A264" s="118" t="n">
        <v>44813</v>
      </c>
      <c r="B264" s="119" t="n">
        <v>101.816121521216</v>
      </c>
      <c r="C264" s="119" t="n">
        <v>103.9663845934479</v>
      </c>
      <c r="D264" s="119" t="n">
        <v>101.7416591006479</v>
      </c>
      <c r="E264" s="119" t="n">
        <v>103.2961730957031</v>
      </c>
      <c r="F264" s="120" t="n">
        <v>5171500</v>
      </c>
      <c r="G264" s="121" t="n">
        <v>0.02060148328749922</v>
      </c>
      <c r="H264" s="122" t="n">
        <v>66.06506653966878</v>
      </c>
      <c r="I264" s="119" t="n">
        <v>101.8085017395019</v>
      </c>
      <c r="J264" s="119" t="n">
        <v>120.0739730072021</v>
      </c>
      <c r="K264" s="121" t="n">
        <v>0.276532777301736</v>
      </c>
      <c r="L264" s="121" t="n">
        <v>-0.05735418364458988</v>
      </c>
      <c r="M264" s="121" t="n">
        <v>-0.368936813866499</v>
      </c>
      <c r="N264" t="n">
        <v>53.01293696026986</v>
      </c>
      <c r="O264" t="n">
        <v>-0.09901437023938997</v>
      </c>
      <c r="P264" t="n">
        <v>91.8627234911054</v>
      </c>
      <c r="Q264" t="n">
        <v>82.38958061288994</v>
      </c>
    </row>
    <row r="265">
      <c r="A265" s="118" t="n">
        <v>44816</v>
      </c>
      <c r="B265" s="119" t="n">
        <v>103.6778177351913</v>
      </c>
      <c r="C265" s="119" t="n">
        <v>105.5208993675975</v>
      </c>
      <c r="D265" s="119" t="n">
        <v>103.6778177351913</v>
      </c>
      <c r="E265" s="119" t="n">
        <v>104.6086654663086</v>
      </c>
      <c r="F265" s="120" t="n">
        <v>4836900</v>
      </c>
      <c r="G265" s="121" t="n">
        <v>0.01270610838011832</v>
      </c>
      <c r="H265" s="122" t="n">
        <v>66.90449643526154</v>
      </c>
      <c r="I265" s="119" t="n">
        <v>102.0034719848633</v>
      </c>
      <c r="J265" s="119" t="n">
        <v>119.803299446106</v>
      </c>
      <c r="K265" s="121" t="n">
        <v>0.2729668251647876</v>
      </c>
      <c r="L265" s="121" t="n">
        <v>-0.04537682373791296</v>
      </c>
      <c r="M265" s="121" t="n">
        <v>-0.360918456628784</v>
      </c>
      <c r="N265" t="n">
        <v>56.12498173444922</v>
      </c>
      <c r="O265" t="n">
        <v>0.1851750260174055</v>
      </c>
      <c r="P265" t="n">
        <v>92.8500375682538</v>
      </c>
      <c r="Q265" t="n">
        <v>83.3688564119243</v>
      </c>
    </row>
    <row r="266">
      <c r="A266" s="118" t="n">
        <v>44817</v>
      </c>
      <c r="B266" s="119" t="n">
        <v>101.3134501954386</v>
      </c>
      <c r="C266" s="119" t="n">
        <v>101.3786163456977</v>
      </c>
      <c r="D266" s="119" t="n">
        <v>98.1485740112564</v>
      </c>
      <c r="E266" s="119" t="n">
        <v>98.40921020507812</v>
      </c>
      <c r="F266" s="120" t="n">
        <v>5955600</v>
      </c>
      <c r="G266" s="121" t="n">
        <v>-0.05926330513438327</v>
      </c>
      <c r="H266" s="122" t="n">
        <v>62.93951484815638</v>
      </c>
      <c r="I266" s="119" t="n">
        <v>102.0933877563477</v>
      </c>
      <c r="J266" s="119" t="n">
        <v>119.5021818161011</v>
      </c>
      <c r="K266" s="121" t="n">
        <v>0.3411217317025083</v>
      </c>
      <c r="L266" s="121" t="n">
        <v>-0.1019509483210872</v>
      </c>
      <c r="M266" s="121" t="n">
        <v>-0.3987925411393449</v>
      </c>
      <c r="N266" t="n">
        <v>41.98124225404093</v>
      </c>
      <c r="O266" t="n">
        <v>-0.03542049444422346</v>
      </c>
      <c r="P266" t="n">
        <v>88.81269043249674</v>
      </c>
      <c r="Q266" t="n">
        <v>78.79716036866164</v>
      </c>
    </row>
    <row r="267">
      <c r="A267" s="118" t="n">
        <v>44818</v>
      </c>
      <c r="B267" s="119" t="n">
        <v>98.79086791876286</v>
      </c>
      <c r="C267" s="119" t="n">
        <v>99.93581376177755</v>
      </c>
      <c r="D267" s="119" t="n">
        <v>97.8786411121505</v>
      </c>
      <c r="E267" s="119" t="n">
        <v>99.6007080078125</v>
      </c>
      <c r="F267" s="120" t="n">
        <v>4888700</v>
      </c>
      <c r="G267" s="121" t="n">
        <v>0.01210758424187497</v>
      </c>
      <c r="H267" s="122" t="n">
        <v>63.70156032632317</v>
      </c>
      <c r="I267" s="119" t="n">
        <v>102.1488436889648</v>
      </c>
      <c r="J267" s="119" t="n">
        <v>119.2255103683472</v>
      </c>
      <c r="K267" s="121" t="n">
        <v>0.3391200937904343</v>
      </c>
      <c r="L267" s="121" t="n">
        <v>-0.0910777437745488</v>
      </c>
      <c r="M267" s="121" t="n">
        <v>-0.3915133711843459</v>
      </c>
      <c r="N267" t="n">
        <v>44.85744388589593</v>
      </c>
      <c r="O267" t="n">
        <v>-0.08908735129671097</v>
      </c>
      <c r="P267" t="n">
        <v>89.15157572094311</v>
      </c>
      <c r="Q267" t="n">
        <v>79.42228768626146</v>
      </c>
    </row>
    <row r="268">
      <c r="A268" s="118" t="n">
        <v>44819</v>
      </c>
      <c r="B268" s="119" t="n">
        <v>98.80948971144599</v>
      </c>
      <c r="C268" s="119" t="n">
        <v>100.6618747384777</v>
      </c>
      <c r="D268" s="119" t="n">
        <v>97.58077097013681</v>
      </c>
      <c r="E268" s="119" t="n">
        <v>98.20443725585938</v>
      </c>
      <c r="F268" s="120" t="n">
        <v>6598900</v>
      </c>
      <c r="G268" s="121" t="n">
        <v>-0.01401868299815301</v>
      </c>
      <c r="H268" s="122" t="n">
        <v>62.80854834562073</v>
      </c>
      <c r="I268" s="119" t="n">
        <v>102.1780448913574</v>
      </c>
      <c r="J268" s="119" t="n">
        <v>118.9333279800415</v>
      </c>
      <c r="K268" s="121" t="n">
        <v>0.3405166139697746</v>
      </c>
      <c r="L268" s="121" t="n">
        <v>-0.1038196367545393</v>
      </c>
      <c r="M268" s="121" t="n">
        <v>-0.4000435523423274</v>
      </c>
      <c r="N268" t="n">
        <v>42.21629950346099</v>
      </c>
      <c r="O268" t="n">
        <v>-0.200255545994991</v>
      </c>
      <c r="P268" t="n">
        <v>88.13941495354698</v>
      </c>
      <c r="Q268" t="n">
        <v>78.09961933086421</v>
      </c>
    </row>
    <row r="269">
      <c r="A269" s="118" t="n">
        <v>44820</v>
      </c>
      <c r="B269" s="119" t="n">
        <v>96.87331561615864</v>
      </c>
      <c r="C269" s="119" t="n">
        <v>98.0089508967567</v>
      </c>
      <c r="D269" s="119" t="n">
        <v>96.11002081962938</v>
      </c>
      <c r="E269" s="119" t="n">
        <v>96.91986083984375</v>
      </c>
      <c r="F269" s="120" t="n">
        <v>8000800</v>
      </c>
      <c r="G269" s="121" t="n">
        <v>-0.01308063517200164</v>
      </c>
      <c r="H269" s="122" t="n">
        <v>61.98697263902864</v>
      </c>
      <c r="I269" s="119" t="n">
        <v>102.1091563415527</v>
      </c>
      <c r="J269" s="119" t="n">
        <v>118.6376273727417</v>
      </c>
      <c r="K269" s="121" t="n">
        <v>0.3415190631142648</v>
      </c>
      <c r="L269" s="121" t="n">
        <v>-0.1155422451344652</v>
      </c>
      <c r="M269" s="121" t="n">
        <v>-0.4078913637532275</v>
      </c>
      <c r="N269" t="n">
        <v>39.88933679503246</v>
      </c>
      <c r="O269" t="n">
        <v>-0.3340523503281012</v>
      </c>
      <c r="P269" t="n">
        <v>87.46703413001302</v>
      </c>
      <c r="Q269" t="n">
        <v>77.62203779977757</v>
      </c>
    </row>
    <row r="270">
      <c r="A270" s="118" t="n">
        <v>44823</v>
      </c>
      <c r="B270" s="119" t="n">
        <v>96.51960733594508</v>
      </c>
      <c r="C270" s="119" t="n">
        <v>99.94512740623767</v>
      </c>
      <c r="D270" s="119" t="n">
        <v>96.18450157132261</v>
      </c>
      <c r="E270" s="119" t="n">
        <v>99.79618835449219</v>
      </c>
      <c r="F270" s="120" t="n">
        <v>5162300</v>
      </c>
      <c r="G270" s="121" t="n">
        <v>0.02967737974161411</v>
      </c>
      <c r="H270" s="122" t="n">
        <v>63.82658356507014</v>
      </c>
      <c r="I270" s="119" t="n">
        <v>102.1015072631836</v>
      </c>
      <c r="J270" s="119" t="n">
        <v>118.3680194473267</v>
      </c>
      <c r="K270" s="121" t="n">
        <v>0.3543901811601088</v>
      </c>
      <c r="L270" s="121" t="n">
        <v>-0.08929385647790511</v>
      </c>
      <c r="M270" s="121" t="n">
        <v>-0.3903191309070427</v>
      </c>
      <c r="N270" t="n">
        <v>46.94157094095397</v>
      </c>
      <c r="O270" t="n">
        <v>-0.2087179381164508</v>
      </c>
      <c r="P270" t="n">
        <v>88.14530658677316</v>
      </c>
      <c r="Q270" t="n">
        <v>78.22650904286384</v>
      </c>
    </row>
    <row r="271">
      <c r="A271" s="118" t="n">
        <v>44824</v>
      </c>
      <c r="B271" s="119" t="n">
        <v>96.64060577382511</v>
      </c>
      <c r="C271" s="119" t="n">
        <v>97.21773389159866</v>
      </c>
      <c r="D271" s="119" t="n">
        <v>94.67651660250063</v>
      </c>
      <c r="E271" s="119" t="n">
        <v>95.33741760253906</v>
      </c>
      <c r="F271" s="120" t="n">
        <v>10006600</v>
      </c>
      <c r="G271" s="121" t="n">
        <v>-0.04467876805189042</v>
      </c>
      <c r="H271" s="122" t="n">
        <v>60.97489044242177</v>
      </c>
      <c r="I271" s="119" t="n">
        <v>102.0570323181152</v>
      </c>
      <c r="J271" s="119" t="n">
        <v>118.0609025192261</v>
      </c>
      <c r="K271" s="121" t="n">
        <v>0.3773060303494838</v>
      </c>
      <c r="L271" s="121" t="n">
        <v>-0.1299830850277605</v>
      </c>
      <c r="M271" s="121" t="n">
        <v>-0.417558921042922</v>
      </c>
      <c r="N271" t="n">
        <v>39.25353406150453</v>
      </c>
      <c r="O271" t="n">
        <v>-0.3951684614211448</v>
      </c>
      <c r="P271" t="n">
        <v>87.13353132130416</v>
      </c>
      <c r="Q271" t="n">
        <v>77.60297581712331</v>
      </c>
    </row>
    <row r="272">
      <c r="A272" s="118" t="n">
        <v>44825</v>
      </c>
      <c r="B272" s="119" t="n">
        <v>95.57012073974103</v>
      </c>
      <c r="C272" s="119" t="n">
        <v>96.46373357746721</v>
      </c>
      <c r="D272" s="119" t="n">
        <v>92.87066129767871</v>
      </c>
      <c r="E272" s="119" t="n">
        <v>92.8892822265625</v>
      </c>
      <c r="F272" s="120" t="n">
        <v>6279300</v>
      </c>
      <c r="G272" s="121" t="n">
        <v>-0.02567864158207867</v>
      </c>
      <c r="H272" s="122" t="n">
        <v>59.40913808524431</v>
      </c>
      <c r="I272" s="119" t="n">
        <v>101.9886552429199</v>
      </c>
      <c r="J272" s="119" t="n">
        <v>117.7390275192261</v>
      </c>
      <c r="K272" s="121" t="n">
        <v>0.3845936467340139</v>
      </c>
      <c r="L272" s="121" t="n">
        <v>-0.1523239375576784</v>
      </c>
      <c r="M272" s="121" t="n">
        <v>-0.43251521675214</v>
      </c>
      <c r="N272" t="n">
        <v>35.78778126750488</v>
      </c>
      <c r="O272" t="n">
        <v>-0.6380509761610895</v>
      </c>
      <c r="P272" t="n">
        <v>85.61358450602286</v>
      </c>
      <c r="Q272" t="n">
        <v>76.21340594337875</v>
      </c>
    </row>
    <row r="273">
      <c r="A273" s="118" t="n">
        <v>44826</v>
      </c>
      <c r="B273" s="119" t="n">
        <v>92.88930330571525</v>
      </c>
      <c r="C273" s="119" t="n">
        <v>93.28025767935065</v>
      </c>
      <c r="D273" s="119" t="n">
        <v>91.06484246027821</v>
      </c>
      <c r="E273" s="119" t="n">
        <v>91.73505401611328</v>
      </c>
      <c r="F273" s="120" t="n">
        <v>9638800</v>
      </c>
      <c r="G273" s="121" t="n">
        <v>-0.01242584916991807</v>
      </c>
      <c r="H273" s="122" t="n">
        <v>58.67092909608223</v>
      </c>
      <c r="I273" s="119" t="n">
        <v>101.8721330261231</v>
      </c>
      <c r="J273" s="119" t="n">
        <v>117.4175247192383</v>
      </c>
      <c r="K273" s="121" t="n">
        <v>0.383081998457258</v>
      </c>
      <c r="L273" s="121" t="n">
        <v>-0.1628570324545368</v>
      </c>
      <c r="M273" s="121" t="n">
        <v>-0.4395666970750016</v>
      </c>
      <c r="N273" t="n">
        <v>34.25228316839748</v>
      </c>
      <c r="O273" t="n">
        <v>-0.8195432873563107</v>
      </c>
      <c r="P273" t="n">
        <v>84.89446339222778</v>
      </c>
      <c r="Q273" t="n">
        <v>75.27539195362858</v>
      </c>
    </row>
    <row r="274">
      <c r="A274" s="118" t="n">
        <v>44827</v>
      </c>
      <c r="B274" s="119" t="n">
        <v>90.21776106794206</v>
      </c>
      <c r="C274" s="119" t="n">
        <v>90.79488922218637</v>
      </c>
      <c r="D274" s="119" t="n">
        <v>88.74701993738067</v>
      </c>
      <c r="E274" s="119" t="n">
        <v>90.31084442138672</v>
      </c>
      <c r="F274" s="120" t="n">
        <v>9026500</v>
      </c>
      <c r="G274" s="121" t="n">
        <v>-0.01552524942620515</v>
      </c>
      <c r="H274" s="122" t="n">
        <v>57.76004828779835</v>
      </c>
      <c r="I274" s="119" t="n">
        <v>101.7622116088867</v>
      </c>
      <c r="J274" s="119" t="n">
        <v>117.0779079055786</v>
      </c>
      <c r="K274" s="121" t="n">
        <v>0.3754764807987551</v>
      </c>
      <c r="L274" s="121" t="n">
        <v>-0.1758538858310736</v>
      </c>
      <c r="M274" s="121" t="n">
        <v>-0.4482675638896642</v>
      </c>
      <c r="N274" t="n">
        <v>32.40475866873693</v>
      </c>
      <c r="O274" t="n">
        <v>-0.9684049577312974</v>
      </c>
      <c r="P274" t="n">
        <v>83.47206311175694</v>
      </c>
      <c r="Q274" t="n">
        <v>74.04977023263358</v>
      </c>
    </row>
    <row r="275">
      <c r="A275" s="118" t="n">
        <v>44830</v>
      </c>
      <c r="B275" s="119" t="n">
        <v>89.44515299372574</v>
      </c>
      <c r="C275" s="119" t="n">
        <v>90.97174977091012</v>
      </c>
      <c r="D275" s="119" t="n">
        <v>89.09143342077824</v>
      </c>
      <c r="E275" s="119" t="n">
        <v>89.41722869873047</v>
      </c>
      <c r="F275" s="120" t="n">
        <v>8521600</v>
      </c>
      <c r="G275" s="121" t="n">
        <v>-0.009894888353459308</v>
      </c>
      <c r="H275" s="122" t="n">
        <v>57.18851905870017</v>
      </c>
      <c r="I275" s="119" t="n">
        <v>101.6069439697266</v>
      </c>
      <c r="J275" s="119" t="n">
        <v>116.7386267089844</v>
      </c>
      <c r="K275" s="121" t="n">
        <v>0.3504155784597755</v>
      </c>
      <c r="L275" s="121" t="n">
        <v>-0.1840087196177124</v>
      </c>
      <c r="M275" s="121" t="n">
        <v>-0.4537268947459581</v>
      </c>
      <c r="N275" t="n">
        <v>31.26523346827422</v>
      </c>
      <c r="O275" t="n">
        <v>-1.052942347719058</v>
      </c>
      <c r="P275" t="n">
        <v>82.64630343656776</v>
      </c>
      <c r="Q275" t="n">
        <v>73.74336060740626</v>
      </c>
    </row>
    <row r="276">
      <c r="A276" s="118" t="n">
        <v>44831</v>
      </c>
      <c r="B276" s="119" t="n">
        <v>90.35739251992479</v>
      </c>
      <c r="C276" s="119" t="n">
        <v>90.98105881980477</v>
      </c>
      <c r="D276" s="119" t="n">
        <v>88.43053792499963</v>
      </c>
      <c r="E276" s="119" t="n">
        <v>89.63133239746094</v>
      </c>
      <c r="F276" s="120" t="n">
        <v>9890300</v>
      </c>
      <c r="G276" s="121" t="n">
        <v>0.002394434516102439</v>
      </c>
      <c r="H276" s="122" t="n">
        <v>57.32545322265911</v>
      </c>
      <c r="I276" s="119" t="n">
        <v>101.4700663757324</v>
      </c>
      <c r="J276" s="119" t="n">
        <v>116.4103463745117</v>
      </c>
      <c r="K276" s="121" t="n">
        <v>0.3515177644962298</v>
      </c>
      <c r="L276" s="121" t="n">
        <v>-0.1820548819311264</v>
      </c>
      <c r="M276" s="121" t="n">
        <v>-0.4524188795675192</v>
      </c>
      <c r="N276" t="n">
        <v>31.88328810690903</v>
      </c>
      <c r="O276" t="n">
        <v>-1.019639001016791</v>
      </c>
      <c r="P276" t="n">
        <v>82.43531750447866</v>
      </c>
      <c r="Q276" t="n">
        <v>73.77294359633186</v>
      </c>
    </row>
    <row r="277">
      <c r="A277" s="118" t="n">
        <v>44832</v>
      </c>
      <c r="B277" s="119" t="n">
        <v>90.39462739257075</v>
      </c>
      <c r="C277" s="119" t="n">
        <v>92.55419393202517</v>
      </c>
      <c r="D277" s="119" t="n">
        <v>90.06883209386521</v>
      </c>
      <c r="E277" s="119" t="n">
        <v>91.87467193603516</v>
      </c>
      <c r="F277" s="120" t="n">
        <v>9423300</v>
      </c>
      <c r="G277" s="121" t="n">
        <v>0.02502851936448258</v>
      </c>
      <c r="H277" s="122" t="n">
        <v>58.76022443872017</v>
      </c>
      <c r="I277" s="119" t="n">
        <v>101.2805966186523</v>
      </c>
      <c r="J277" s="119" t="n">
        <v>116.0888487625122</v>
      </c>
      <c r="K277" s="121" t="n">
        <v>0.3674068828579689</v>
      </c>
      <c r="L277" s="121" t="n">
        <v>-0.1615829267044557</v>
      </c>
      <c r="M277" s="121" t="n">
        <v>-0.43871373489115</v>
      </c>
      <c r="N277" t="n">
        <v>38.15794319346619</v>
      </c>
      <c r="O277" t="n">
        <v>-0.7823961258079914</v>
      </c>
      <c r="P277" t="n">
        <v>84.05735686786223</v>
      </c>
      <c r="Q277" t="n">
        <v>75.24044778208149</v>
      </c>
    </row>
    <row r="278">
      <c r="A278" s="118" t="n">
        <v>44833</v>
      </c>
      <c r="B278" s="119" t="n">
        <v>91.32547225327136</v>
      </c>
      <c r="C278" s="119" t="n">
        <v>91.32547225327136</v>
      </c>
      <c r="D278" s="119" t="n">
        <v>87.94649751691307</v>
      </c>
      <c r="E278" s="119" t="n">
        <v>88.73771667480469</v>
      </c>
      <c r="F278" s="120" t="n">
        <v>19339200</v>
      </c>
      <c r="G278" s="121" t="n">
        <v>-0.03414385265412945</v>
      </c>
      <c r="H278" s="122" t="n">
        <v>56.75392399356093</v>
      </c>
      <c r="I278" s="119" t="n">
        <v>100.9927453613281</v>
      </c>
      <c r="J278" s="119" t="n">
        <v>115.7619202804565</v>
      </c>
      <c r="K278" s="121" t="n">
        <v>0.3816255960421409</v>
      </c>
      <c r="L278" s="121" t="n">
        <v>-0.1902097157177651</v>
      </c>
      <c r="M278" s="121" t="n">
        <v>-0.4578782104238132</v>
      </c>
      <c r="N278" t="n">
        <v>33.5095507624649</v>
      </c>
      <c r="O278" t="n">
        <v>-0.7713391743808864</v>
      </c>
      <c r="P278" t="n">
        <v>82.30147559954635</v>
      </c>
      <c r="Q278" t="n">
        <v>73.07144249875765</v>
      </c>
    </row>
    <row r="279">
      <c r="A279" s="118" t="n">
        <v>44834</v>
      </c>
      <c r="B279" s="119" t="n">
        <v>77.53960790575073</v>
      </c>
      <c r="C279" s="119" t="n">
        <v>80.23906026378667</v>
      </c>
      <c r="D279" s="119" t="n">
        <v>76.79492698517308</v>
      </c>
      <c r="E279" s="119" t="n">
        <v>77.37205505371094</v>
      </c>
      <c r="F279" s="120" t="n">
        <v>48176100</v>
      </c>
      <c r="G279" s="121" t="n">
        <v>-0.1280815198653945</v>
      </c>
      <c r="H279" s="122" t="n">
        <v>49.48479515014056</v>
      </c>
      <c r="I279" s="119" t="n">
        <v>100.468113861084</v>
      </c>
      <c r="J279" s="119" t="n">
        <v>115.3848147201538</v>
      </c>
      <c r="K279" s="121" t="n">
        <v>0.5787581578852893</v>
      </c>
      <c r="L279" s="121" t="n">
        <v>-0.2939288861008638</v>
      </c>
      <c r="M279" s="121" t="n">
        <v>-0.5273139931848787</v>
      </c>
      <c r="N279" t="n">
        <v>22.71336432243783</v>
      </c>
      <c r="O279" t="n">
        <v>-1.426009579818925</v>
      </c>
      <c r="P279" t="n">
        <v>81.02881736009728</v>
      </c>
      <c r="Q279" t="n">
        <v>71.83238845635883</v>
      </c>
    </row>
    <row r="280">
      <c r="A280" s="118" t="n">
        <v>44837</v>
      </c>
      <c r="B280" s="119" t="n">
        <v>77.38137163486005</v>
      </c>
      <c r="C280" s="119" t="n">
        <v>80.49040684228962</v>
      </c>
      <c r="D280" s="119" t="n">
        <v>76.53430386726355</v>
      </c>
      <c r="E280" s="119" t="n">
        <v>79.49440002441406</v>
      </c>
      <c r="F280" s="120" t="n">
        <v>19108200</v>
      </c>
      <c r="G280" s="121" t="n">
        <v>0.02743038128210262</v>
      </c>
      <c r="H280" s="122" t="n">
        <v>50.84218194877567</v>
      </c>
      <c r="I280" s="119" t="n">
        <v>100.0323382568359</v>
      </c>
      <c r="J280" s="119" t="n">
        <v>115.0252492141724</v>
      </c>
      <c r="K280" s="121" t="n">
        <v>0.5947215110134206</v>
      </c>
      <c r="L280" s="121" t="n">
        <v>-0.2745610862343314</v>
      </c>
      <c r="M280" s="121" t="n">
        <v>-0.5143480357912255</v>
      </c>
      <c r="N280" t="n">
        <v>27.41607394668081</v>
      </c>
      <c r="O280" t="n">
        <v>-1.599602856283094</v>
      </c>
      <c r="P280" t="n">
        <v>83.16806938452793</v>
      </c>
      <c r="Q280" t="n">
        <v>73.51759525034477</v>
      </c>
    </row>
    <row r="281">
      <c r="A281" s="118" t="n">
        <v>44838</v>
      </c>
      <c r="B281" s="119" t="n">
        <v>81.63533873736144</v>
      </c>
      <c r="C281" s="119" t="n">
        <v>82.91060261626835</v>
      </c>
      <c r="D281" s="119" t="n">
        <v>81.08614201474434</v>
      </c>
      <c r="E281" s="119" t="n">
        <v>82.51033782958984</v>
      </c>
      <c r="F281" s="120" t="n">
        <v>15114800</v>
      </c>
      <c r="G281" s="121" t="n">
        <v>0.03793899701424919</v>
      </c>
      <c r="H281" s="122" t="n">
        <v>52.77108333792818</v>
      </c>
      <c r="I281" s="119" t="n">
        <v>99.65391143798828</v>
      </c>
      <c r="J281" s="119" t="n">
        <v>114.686213684082</v>
      </c>
      <c r="K281" s="121" t="n">
        <v>0.6185223635137473</v>
      </c>
      <c r="L281" s="121" t="n">
        <v>-0.2470386614509555</v>
      </c>
      <c r="M281" s="121" t="n">
        <v>-0.4959228873711444</v>
      </c>
      <c r="N281" t="n">
        <v>33.59920078483924</v>
      </c>
      <c r="O281" t="n">
        <v>-1.401893436341534</v>
      </c>
      <c r="P281" t="n">
        <v>85.74517158836242</v>
      </c>
      <c r="Q281" t="n">
        <v>75.82904522623204</v>
      </c>
    </row>
    <row r="282">
      <c r="A282" s="118" t="n">
        <v>44839</v>
      </c>
      <c r="B282" s="119" t="n">
        <v>81.43986352896746</v>
      </c>
      <c r="C282" s="119" t="n">
        <v>85.35873150551491</v>
      </c>
      <c r="D282" s="119" t="n">
        <v>81.1233787188835</v>
      </c>
      <c r="E282" s="119" t="n">
        <v>84.80022430419922</v>
      </c>
      <c r="F282" s="120" t="n">
        <v>12732700</v>
      </c>
      <c r="G282" s="121" t="n">
        <v>0.02775272208118595</v>
      </c>
      <c r="H282" s="122" t="n">
        <v>54.2356245477288</v>
      </c>
      <c r="I282" s="119" t="n">
        <v>99.39702178955078</v>
      </c>
      <c r="J282" s="119" t="n">
        <v>114.3649091720581</v>
      </c>
      <c r="K282" s="121" t="n">
        <v>0.6153604798405471</v>
      </c>
      <c r="L282" s="121" t="n">
        <v>-0.2261419346843263</v>
      </c>
      <c r="M282" s="121" t="n">
        <v>-0.4819333753568691</v>
      </c>
      <c r="N282" t="n">
        <v>37.92308522474128</v>
      </c>
      <c r="O282" t="n">
        <v>-1.024962635127277</v>
      </c>
      <c r="P282" t="n">
        <v>85.54553250544969</v>
      </c>
      <c r="Q282" t="n">
        <v>75.78874826202056</v>
      </c>
    </row>
    <row r="283">
      <c r="A283" s="118" t="n">
        <v>44840</v>
      </c>
      <c r="B283" s="119" t="n">
        <v>84.2323954774902</v>
      </c>
      <c r="C283" s="119" t="n">
        <v>86.23371919370557</v>
      </c>
      <c r="D283" s="119" t="n">
        <v>83.59941883938031</v>
      </c>
      <c r="E283" s="119" t="n">
        <v>83.93452453613281</v>
      </c>
      <c r="F283" s="120" t="n">
        <v>9951900</v>
      </c>
      <c r="G283" s="121" t="n">
        <v>-0.01020869667703861</v>
      </c>
      <c r="H283" s="122" t="n">
        <v>53.68194950763129</v>
      </c>
      <c r="I283" s="119" t="n">
        <v>99.07343902587891</v>
      </c>
      <c r="J283" s="119" t="n">
        <v>114.0595071029663</v>
      </c>
      <c r="K283" s="121" t="n">
        <v>0.6141987833074616</v>
      </c>
      <c r="L283" s="121" t="n">
        <v>-0.2340420169442139</v>
      </c>
      <c r="M283" s="121" t="n">
        <v>-0.487222160386348</v>
      </c>
      <c r="N283" t="n">
        <v>36.94364365838347</v>
      </c>
      <c r="O283" t="n">
        <v>-0.7545047244833283</v>
      </c>
      <c r="P283" t="n">
        <v>84.66306040524245</v>
      </c>
      <c r="Q283" t="n">
        <v>75.19205450921622</v>
      </c>
    </row>
    <row r="284">
      <c r="A284" s="118" t="n">
        <v>44841</v>
      </c>
      <c r="B284" s="119" t="n">
        <v>82.41724997242021</v>
      </c>
      <c r="C284" s="119" t="n">
        <v>82.62203758720943</v>
      </c>
      <c r="D284" s="119" t="n">
        <v>80.69518327811667</v>
      </c>
      <c r="E284" s="119" t="n">
        <v>81.13268280029297</v>
      </c>
      <c r="F284" s="120" t="n">
        <v>8554700</v>
      </c>
      <c r="G284" s="121" t="n">
        <v>-0.0333812784587072</v>
      </c>
      <c r="H284" s="122" t="n">
        <v>51.88997740291079</v>
      </c>
      <c r="I284" s="119" t="n">
        <v>98.61269638061523</v>
      </c>
      <c r="J284" s="119" t="n">
        <v>113.6955233001709</v>
      </c>
      <c r="K284" s="121" t="n">
        <v>0.6100725121964135</v>
      </c>
      <c r="L284" s="121" t="n">
        <v>-0.2596106736642687</v>
      </c>
      <c r="M284" s="121" t="n">
        <v>-0.5043393402379457</v>
      </c>
      <c r="N284" t="n">
        <v>33.89264952798851</v>
      </c>
      <c r="O284" t="n">
        <v>-0.6868001978275764</v>
      </c>
      <c r="P284" t="n">
        <v>82.30147559954634</v>
      </c>
      <c r="Q284" t="n">
        <v>72.32694287076833</v>
      </c>
    </row>
    <row r="285">
      <c r="A285" s="118" t="n">
        <v>44844</v>
      </c>
      <c r="B285" s="119" t="n">
        <v>81.69119719750259</v>
      </c>
      <c r="C285" s="119" t="n">
        <v>81.70981102694952</v>
      </c>
      <c r="D285" s="119" t="n">
        <v>79.18721457952633</v>
      </c>
      <c r="E285" s="119" t="n">
        <v>80.6951904296875</v>
      </c>
      <c r="F285" s="120" t="n">
        <v>7991200</v>
      </c>
      <c r="G285" s="121" t="n">
        <v>-0.005392307458664369</v>
      </c>
      <c r="H285" s="122" t="n">
        <v>51.61017069073115</v>
      </c>
      <c r="I285" s="119" t="n">
        <v>98.09326736450195</v>
      </c>
      <c r="J285" s="119" t="n">
        <v>113.3348486328125</v>
      </c>
      <c r="K285" s="121" t="n">
        <v>0.6039920487803558</v>
      </c>
      <c r="L285" s="121" t="n">
        <v>-0.2636030805509844</v>
      </c>
      <c r="M285" s="121" t="n">
        <v>-0.5070120949105471</v>
      </c>
      <c r="N285" t="n">
        <v>33.4284238990774</v>
      </c>
      <c r="O285" t="n">
        <v>-0.5972741379193023</v>
      </c>
      <c r="P285" t="n">
        <v>81.67308563743462</v>
      </c>
      <c r="Q285" t="n">
        <v>71.60395509292231</v>
      </c>
    </row>
    <row r="286">
      <c r="A286" s="118" t="n">
        <v>44845</v>
      </c>
      <c r="B286" s="119" t="n">
        <v>80.09013848739897</v>
      </c>
      <c r="C286" s="119" t="n">
        <v>82.14731109140924</v>
      </c>
      <c r="D286" s="119" t="n">
        <v>79.82019179703504</v>
      </c>
      <c r="E286" s="119" t="n">
        <v>81.90528869628906</v>
      </c>
      <c r="F286" s="120" t="n">
        <v>11903200</v>
      </c>
      <c r="G286" s="121" t="n">
        <v>0.01499591561972902</v>
      </c>
      <c r="H286" s="122" t="n">
        <v>52.38411245552916</v>
      </c>
      <c r="I286" s="119" t="n">
        <v>97.60954986572266</v>
      </c>
      <c r="J286" s="119" t="n">
        <v>112.9791620635986</v>
      </c>
      <c r="K286" s="121" t="n">
        <v>0.5844031444898447</v>
      </c>
      <c r="L286" s="121" t="n">
        <v>-0.2525601344842986</v>
      </c>
      <c r="M286" s="121" t="n">
        <v>-0.4996192898842786</v>
      </c>
      <c r="N286" t="n">
        <v>36.0380606173899</v>
      </c>
      <c r="O286" t="n">
        <v>-0.3922571737459997</v>
      </c>
      <c r="P286" t="n">
        <v>81.15585115552376</v>
      </c>
      <c r="Q286" t="n">
        <v>70.62024100655341</v>
      </c>
    </row>
    <row r="287">
      <c r="A287" s="118" t="n">
        <v>44846</v>
      </c>
      <c r="B287" s="119" t="n">
        <v>81.91459370996907</v>
      </c>
      <c r="C287" s="119" t="n">
        <v>82.73373709041931</v>
      </c>
      <c r="D287" s="119" t="n">
        <v>81.27230655489316</v>
      </c>
      <c r="E287" s="119" t="n">
        <v>82.38932800292969</v>
      </c>
      <c r="F287" s="120" t="n">
        <v>8772900</v>
      </c>
      <c r="G287" s="121" t="n">
        <v>0.005909744222201363</v>
      </c>
      <c r="H287" s="122" t="n">
        <v>52.69368916144838</v>
      </c>
      <c r="I287" s="119" t="n">
        <v>97.18247924804687</v>
      </c>
      <c r="J287" s="119" t="n">
        <v>112.6170735931397</v>
      </c>
      <c r="K287" s="121" t="n">
        <v>0.5819190136143308</v>
      </c>
      <c r="L287" s="121" t="n">
        <v>-0.2481429560576243</v>
      </c>
      <c r="M287" s="121" t="n">
        <v>-0.4966621678737713</v>
      </c>
      <c r="N287" t="n">
        <v>37.10020876007506</v>
      </c>
      <c r="O287" t="n">
        <v>-0.1710414294206064</v>
      </c>
      <c r="P287" t="n">
        <v>80.8881527984166</v>
      </c>
      <c r="Q287" t="n">
        <v>70.59604437012079</v>
      </c>
    </row>
    <row r="288">
      <c r="A288" s="118" t="n">
        <v>44847</v>
      </c>
      <c r="B288" s="119" t="n">
        <v>80.41593644777751</v>
      </c>
      <c r="C288" s="119" t="n">
        <v>83.59943404412518</v>
      </c>
      <c r="D288" s="119" t="n">
        <v>80.09945162206323</v>
      </c>
      <c r="E288" s="119" t="n">
        <v>83.36672210693359</v>
      </c>
      <c r="F288" s="120" t="n">
        <v>9335000</v>
      </c>
      <c r="G288" s="121" t="n">
        <v>0.01186311537786966</v>
      </c>
      <c r="H288" s="122" t="n">
        <v>53.31880047565624</v>
      </c>
      <c r="I288" s="119" t="n">
        <v>96.72836151123047</v>
      </c>
      <c r="J288" s="119" t="n">
        <v>112.2652300643921</v>
      </c>
      <c r="K288" s="121" t="n">
        <v>0.5860597098741999</v>
      </c>
      <c r="L288" s="121" t="n">
        <v>-0.2392235891976717</v>
      </c>
      <c r="M288" s="121" t="n">
        <v>-0.4906910130972111</v>
      </c>
      <c r="N288" t="n">
        <v>39.29240908390364</v>
      </c>
      <c r="O288" t="n">
        <v>0.08060549023910468</v>
      </c>
      <c r="P288" t="n">
        <v>83.02289517766175</v>
      </c>
      <c r="Q288" t="n">
        <v>72.25168495509547</v>
      </c>
    </row>
    <row r="289">
      <c r="A289" s="118" t="n">
        <v>44848</v>
      </c>
      <c r="B289" s="119" t="n">
        <v>84.25101250635034</v>
      </c>
      <c r="C289" s="119" t="n">
        <v>84.59542154965732</v>
      </c>
      <c r="D289" s="119" t="n">
        <v>81.43984896946994</v>
      </c>
      <c r="E289" s="119" t="n">
        <v>81.49570465087891</v>
      </c>
      <c r="F289" s="120" t="n">
        <v>7811700</v>
      </c>
      <c r="G289" s="121" t="n">
        <v>-0.02244321725465892</v>
      </c>
      <c r="H289" s="122" t="n">
        <v>52.12215505282327</v>
      </c>
      <c r="I289" s="119" t="n">
        <v>96.23311096191406</v>
      </c>
      <c r="J289" s="119" t="n">
        <v>111.8931308746338</v>
      </c>
      <c r="K289" s="121" t="n">
        <v>0.5881859010071352</v>
      </c>
      <c r="L289" s="121" t="n">
        <v>-0.2562978594675281</v>
      </c>
      <c r="M289" s="121" t="n">
        <v>-0.5021215453400205</v>
      </c>
      <c r="N289" t="n">
        <v>36.65851272139589</v>
      </c>
      <c r="O289" t="n">
        <v>0.1561716461219333</v>
      </c>
      <c r="P289" t="n">
        <v>81.13088081371447</v>
      </c>
      <c r="Q289" t="n">
        <v>70.07998230054658</v>
      </c>
    </row>
    <row r="290">
      <c r="A290" s="118" t="n">
        <v>44851</v>
      </c>
      <c r="B290" s="119" t="n">
        <v>83.33881483206662</v>
      </c>
      <c r="C290" s="119" t="n">
        <v>84.41860185003995</v>
      </c>
      <c r="D290" s="119" t="n">
        <v>82.56620933835876</v>
      </c>
      <c r="E290" s="119" t="n">
        <v>83.74839019775391</v>
      </c>
      <c r="F290" s="120" t="n">
        <v>8451900</v>
      </c>
      <c r="G290" s="121" t="n">
        <v>0.02764177028133363</v>
      </c>
      <c r="H290" s="122" t="n">
        <v>53.56290368936146</v>
      </c>
      <c r="I290" s="119" t="n">
        <v>95.79423782348633</v>
      </c>
      <c r="J290" s="119" t="n">
        <v>111.538253288269</v>
      </c>
      <c r="K290" s="121" t="n">
        <v>0.58650103212113</v>
      </c>
      <c r="L290" s="121" t="n">
        <v>-0.2357406157411934</v>
      </c>
      <c r="M290" s="121" t="n">
        <v>-0.488359303468284</v>
      </c>
      <c r="N290" t="n">
        <v>41.72363459975087</v>
      </c>
      <c r="O290" t="n">
        <v>0.3802216329152088</v>
      </c>
      <c r="P290" t="n">
        <v>83.21572615106867</v>
      </c>
      <c r="Q290" t="n">
        <v>72.39412125770176</v>
      </c>
    </row>
    <row r="291">
      <c r="A291" s="118" t="n">
        <v>44852</v>
      </c>
      <c r="B291" s="119" t="n">
        <v>86.19650559646149</v>
      </c>
      <c r="C291" s="119" t="n">
        <v>86.48507324615569</v>
      </c>
      <c r="D291" s="119" t="n">
        <v>82.98508349973174</v>
      </c>
      <c r="E291" s="119" t="n">
        <v>83.47843170166016</v>
      </c>
      <c r="F291" s="120" t="n">
        <v>7364700</v>
      </c>
      <c r="G291" s="121" t="n">
        <v>-0.00322344698753374</v>
      </c>
      <c r="H291" s="122" t="n">
        <v>53.39024650882043</v>
      </c>
      <c r="I291" s="119" t="n">
        <v>95.34755249023438</v>
      </c>
      <c r="J291" s="119" t="n">
        <v>111.1858135223389</v>
      </c>
      <c r="K291" s="121" t="n">
        <v>0.5703967568598961</v>
      </c>
      <c r="L291" s="121" t="n">
        <v>-0.238204165351077</v>
      </c>
      <c r="M291" s="121" t="n">
        <v>-0.4900085501302189</v>
      </c>
      <c r="N291" t="n">
        <v>41.29744199844961</v>
      </c>
      <c r="O291" t="n">
        <v>0.5237374863024113</v>
      </c>
      <c r="P291" t="n">
        <v>84.19346086900853</v>
      </c>
      <c r="Q291" t="n">
        <v>72.96662676403062</v>
      </c>
    </row>
    <row r="292">
      <c r="A292" s="118" t="n">
        <v>44853</v>
      </c>
      <c r="B292" s="119" t="n">
        <v>82.15662988052794</v>
      </c>
      <c r="C292" s="119" t="n">
        <v>83.53428066535925</v>
      </c>
      <c r="D292" s="119" t="n">
        <v>81.69120597450018</v>
      </c>
      <c r="E292" s="119" t="n">
        <v>82.4451904296875</v>
      </c>
      <c r="F292" s="120" t="n">
        <v>5102000</v>
      </c>
      <c r="G292" s="121" t="n">
        <v>-0.01237734407451874</v>
      </c>
      <c r="H292" s="122" t="n">
        <v>52.72941705755738</v>
      </c>
      <c r="I292" s="119" t="n">
        <v>94.95241485595703</v>
      </c>
      <c r="J292" s="119" t="n">
        <v>110.8374452972412</v>
      </c>
      <c r="K292" s="121" t="n">
        <v>0.5662407498420243</v>
      </c>
      <c r="L292" s="121" t="n">
        <v>-0.2476331745110618</v>
      </c>
      <c r="M292" s="121" t="n">
        <v>-0.4963208897803199</v>
      </c>
      <c r="N292" t="n">
        <v>39.62894395879857</v>
      </c>
      <c r="O292" t="n">
        <v>0.559348139631541</v>
      </c>
      <c r="P292" t="n">
        <v>83.59682026372687</v>
      </c>
      <c r="Q292" t="n">
        <v>72.70053088292909</v>
      </c>
    </row>
    <row r="293">
      <c r="A293" s="118" t="n">
        <v>44854</v>
      </c>
      <c r="B293" s="119" t="n">
        <v>83.28293763508985</v>
      </c>
      <c r="C293" s="119" t="n">
        <v>84.31617906065752</v>
      </c>
      <c r="D293" s="119" t="n">
        <v>80.62071287574658</v>
      </c>
      <c r="E293" s="119" t="n">
        <v>80.82550048828125</v>
      </c>
      <c r="F293" s="120" t="n">
        <v>13500000</v>
      </c>
      <c r="G293" s="121" t="n">
        <v>-0.01964565710825283</v>
      </c>
      <c r="H293" s="122" t="n">
        <v>51.69351301052655</v>
      </c>
      <c r="I293" s="119" t="n">
        <v>94.46863525390626</v>
      </c>
      <c r="J293" s="119" t="n">
        <v>110.473034286499</v>
      </c>
      <c r="K293" s="121" t="n">
        <v>0.5680217564197129</v>
      </c>
      <c r="L293" s="121" t="n">
        <v>-0.2624139151842423</v>
      </c>
      <c r="M293" s="121" t="n">
        <v>-0.5062159968722856</v>
      </c>
      <c r="N293" t="n">
        <v>37.09862545843699</v>
      </c>
      <c r="O293" t="n">
        <v>0.486758483157077</v>
      </c>
      <c r="P293" t="n">
        <v>82.89584683499271</v>
      </c>
      <c r="Q293" t="n">
        <v>72.32961087714337</v>
      </c>
    </row>
    <row r="294">
      <c r="A294" s="118" t="n">
        <v>44855</v>
      </c>
      <c r="B294" s="119" t="n">
        <v>81.00236994449489</v>
      </c>
      <c r="C294" s="119" t="n">
        <v>82.64066401070595</v>
      </c>
      <c r="D294" s="119" t="n">
        <v>80.71380940793111</v>
      </c>
      <c r="E294" s="119" t="n">
        <v>82.38002777099609</v>
      </c>
      <c r="F294" s="120" t="n">
        <v>7976300</v>
      </c>
      <c r="G294" s="121" t="n">
        <v>0.01923312906599617</v>
      </c>
      <c r="H294" s="122" t="n">
        <v>52.68774101813276</v>
      </c>
      <c r="I294" s="119" t="n">
        <v>93.99812530517578</v>
      </c>
      <c r="J294" s="119" t="n">
        <v>110.1355181503296</v>
      </c>
      <c r="K294" s="121" t="n">
        <v>0.5733959603428282</v>
      </c>
      <c r="L294" s="121" t="n">
        <v>-0.2482278268176979</v>
      </c>
      <c r="M294" s="121" t="n">
        <v>-0.496718985409406</v>
      </c>
      <c r="N294" t="n">
        <v>40.9928288695444</v>
      </c>
      <c r="O294" t="n">
        <v>0.5516179450761585</v>
      </c>
      <c r="P294" t="n">
        <v>84.91034170745341</v>
      </c>
      <c r="Q294" t="n">
        <v>74.02559037611526</v>
      </c>
    </row>
    <row r="295">
      <c r="A295" s="118" t="n">
        <v>44858</v>
      </c>
      <c r="B295" s="119" t="n">
        <v>81.71911679777203</v>
      </c>
      <c r="C295" s="119" t="n">
        <v>82.69650257818446</v>
      </c>
      <c r="D295" s="119" t="n">
        <v>80.2763000862723</v>
      </c>
      <c r="E295" s="119" t="n">
        <v>81.92390441894531</v>
      </c>
      <c r="F295" s="120" t="n">
        <v>8847100</v>
      </c>
      <c r="G295" s="121" t="n">
        <v>-0.005536819595627462</v>
      </c>
      <c r="H295" s="122" t="n">
        <v>52.39601850121421</v>
      </c>
      <c r="I295" s="119" t="n">
        <v>93.48192245483398</v>
      </c>
      <c r="J295" s="119" t="n">
        <v>109.8013103103638</v>
      </c>
      <c r="K295" s="121" t="n">
        <v>0.5730032235959303</v>
      </c>
      <c r="L295" s="121" t="n">
        <v>-0.2523902537176212</v>
      </c>
      <c r="M295" s="121" t="n">
        <v>-0.4995055615930984</v>
      </c>
      <c r="N295" t="n">
        <v>40.20628831203931</v>
      </c>
      <c r="O295" t="n">
        <v>0.5696555362614948</v>
      </c>
      <c r="P295" t="n">
        <v>85.94933486370316</v>
      </c>
      <c r="Q295" t="n">
        <v>74.83997834719878</v>
      </c>
    </row>
    <row r="296">
      <c r="A296" s="118" t="n">
        <v>44859</v>
      </c>
      <c r="B296" s="119" t="n">
        <v>81.94253430645723</v>
      </c>
      <c r="C296" s="119" t="n">
        <v>85.57284230669688</v>
      </c>
      <c r="D296" s="119" t="n">
        <v>81.81221617686244</v>
      </c>
      <c r="E296" s="119" t="n">
        <v>85.37736511230469</v>
      </c>
      <c r="F296" s="120" t="n">
        <v>8639900</v>
      </c>
      <c r="G296" s="121" t="n">
        <v>0.04215449346382405</v>
      </c>
      <c r="H296" s="122" t="n">
        <v>54.60474612065406</v>
      </c>
      <c r="I296" s="119" t="n">
        <v>93.03014785766601</v>
      </c>
      <c r="J296" s="119" t="n">
        <v>109.5031686782837</v>
      </c>
      <c r="K296" s="121" t="n">
        <v>0.595560430944749</v>
      </c>
      <c r="L296" s="121" t="n">
        <v>-0.2208751435544696</v>
      </c>
      <c r="M296" s="121" t="n">
        <v>-0.4784074720605944</v>
      </c>
      <c r="N296" t="n">
        <v>48.29537546006825</v>
      </c>
      <c r="O296" t="n">
        <v>0.8056026857059253</v>
      </c>
      <c r="P296" t="n">
        <v>87.32183082866176</v>
      </c>
      <c r="Q296" t="n">
        <v>76.38811002119995</v>
      </c>
    </row>
    <row r="297">
      <c r="A297" s="118" t="n">
        <v>44860</v>
      </c>
      <c r="B297" s="119" t="n">
        <v>84.50234191280367</v>
      </c>
      <c r="C297" s="119" t="n">
        <v>87.82546747897673</v>
      </c>
      <c r="D297" s="119" t="n">
        <v>84.42787240220288</v>
      </c>
      <c r="E297" s="119" t="n">
        <v>86.00100708007812</v>
      </c>
      <c r="F297" s="120" t="n">
        <v>8648200</v>
      </c>
      <c r="G297" s="121" t="n">
        <v>0.00730453518860763</v>
      </c>
      <c r="H297" s="122" t="n">
        <v>55.00360841015736</v>
      </c>
      <c r="I297" s="119" t="n">
        <v>92.55854583740235</v>
      </c>
      <c r="J297" s="119" t="n">
        <v>109.2383064651489</v>
      </c>
      <c r="K297" s="121" t="n">
        <v>0.5882792786736712</v>
      </c>
      <c r="L297" s="121" t="n">
        <v>-0.2151839986242444</v>
      </c>
      <c r="M297" s="121" t="n">
        <v>-0.4745974810861462</v>
      </c>
      <c r="N297" t="n">
        <v>49.62081712892025</v>
      </c>
      <c r="O297" t="n">
        <v>0.983334033627663</v>
      </c>
      <c r="P297" t="n">
        <v>86.66393178507022</v>
      </c>
      <c r="Q297" t="n">
        <v>74.70020166101035</v>
      </c>
    </row>
    <row r="298">
      <c r="A298" s="118" t="n">
        <v>44861</v>
      </c>
      <c r="B298" s="119" t="n">
        <v>86.45713381157154</v>
      </c>
      <c r="C298" s="119" t="n">
        <v>87.01564812588479</v>
      </c>
      <c r="D298" s="119" t="n">
        <v>83.98108256545446</v>
      </c>
      <c r="E298" s="119" t="n">
        <v>84.27895355224609</v>
      </c>
      <c r="F298" s="120" t="n">
        <v>8617900</v>
      </c>
      <c r="G298" s="121" t="n">
        <v>-0.02002364374906185</v>
      </c>
      <c r="H298" s="122" t="n">
        <v>53.90223575043947</v>
      </c>
      <c r="I298" s="119" t="n">
        <v>92.07143753051758</v>
      </c>
      <c r="J298" s="119" t="n">
        <v>108.9654807281494</v>
      </c>
      <c r="K298" s="121" t="n">
        <v>0.5803220203455681</v>
      </c>
      <c r="L298" s="121" t="n">
        <v>-0.2308988746443557</v>
      </c>
      <c r="M298" s="121" t="n">
        <v>-0.4851179539497369</v>
      </c>
      <c r="N298" t="n">
        <v>46.1061358097003</v>
      </c>
      <c r="O298" t="n">
        <v>0.9633218503094838</v>
      </c>
      <c r="P298" t="n">
        <v>86.20114763196339</v>
      </c>
      <c r="Q298" t="n">
        <v>73.34020638623423</v>
      </c>
    </row>
    <row r="299">
      <c r="A299" s="118" t="n">
        <v>44862</v>
      </c>
      <c r="B299" s="119" t="n">
        <v>84.8932969687023</v>
      </c>
      <c r="C299" s="119" t="n">
        <v>87.38796878226189</v>
      </c>
      <c r="D299" s="119" t="n">
        <v>84.20447174384134</v>
      </c>
      <c r="E299" s="119" t="n">
        <v>87.3414306640625</v>
      </c>
      <c r="F299" s="120" t="n">
        <v>6022400</v>
      </c>
      <c r="G299" s="121" t="n">
        <v>0.03633738890597304</v>
      </c>
      <c r="H299" s="122" t="n">
        <v>55.86090225380462</v>
      </c>
      <c r="I299" s="119" t="n">
        <v>91.66469909667968</v>
      </c>
      <c r="J299" s="119" t="n">
        <v>108.6991452789307</v>
      </c>
      <c r="K299" s="121" t="n">
        <v>0.3564892145376335</v>
      </c>
      <c r="L299" s="121" t="n">
        <v>-0.2029517479442862</v>
      </c>
      <c r="M299" s="121" t="n">
        <v>-0.4664084848017054</v>
      </c>
      <c r="N299" t="n">
        <v>52.54376828784328</v>
      </c>
      <c r="O299" t="n">
        <v>1.123558886786578</v>
      </c>
      <c r="P299" t="n">
        <v>88.25193787454594</v>
      </c>
      <c r="Q299" t="n">
        <v>75.58446119527379</v>
      </c>
    </row>
    <row r="300">
      <c r="A300" s="118" t="n">
        <v>44865</v>
      </c>
      <c r="B300" s="119" t="n">
        <v>86.56882890193766</v>
      </c>
      <c r="C300" s="119" t="n">
        <v>87.39728271790868</v>
      </c>
      <c r="D300" s="119" t="n">
        <v>86.27095794677734</v>
      </c>
      <c r="E300" s="119" t="n">
        <v>86.27095794677734</v>
      </c>
      <c r="F300" s="120" t="n">
        <v>6426400</v>
      </c>
      <c r="G300" s="121" t="n">
        <v>-0.01225618482713509</v>
      </c>
      <c r="H300" s="122" t="n">
        <v>55.17626071117147</v>
      </c>
      <c r="I300" s="119" t="n">
        <v>91.28945755004882</v>
      </c>
      <c r="J300" s="119" t="n">
        <v>108.4395589828491</v>
      </c>
      <c r="K300" s="121" t="n">
        <v>0.3531323431055581</v>
      </c>
      <c r="L300" s="121" t="n">
        <v>-0.212720518637626</v>
      </c>
      <c r="M300" s="121" t="n">
        <v>-0.4729482810341668</v>
      </c>
      <c r="N300" t="n">
        <v>50.28280362199472</v>
      </c>
      <c r="O300" t="n">
        <v>1.122056731247956</v>
      </c>
      <c r="P300" t="n">
        <v>87.61446315947187</v>
      </c>
      <c r="Q300" t="n">
        <v>74.7055628436319</v>
      </c>
    </row>
    <row r="301">
      <c r="A301" s="118" t="n">
        <v>44866</v>
      </c>
      <c r="B301" s="119" t="n">
        <v>89.0728242178641</v>
      </c>
      <c r="C301" s="119" t="n">
        <v>89.78957386658729</v>
      </c>
      <c r="D301" s="119" t="n">
        <v>86.54091718031941</v>
      </c>
      <c r="E301" s="119" t="n">
        <v>87.28559112548828</v>
      </c>
      <c r="F301" s="120" t="n">
        <v>7250700</v>
      </c>
      <c r="G301" s="121" t="n">
        <v>0.01176100512685729</v>
      </c>
      <c r="H301" s="122" t="n">
        <v>55.82518899627637</v>
      </c>
      <c r="I301" s="119" t="n">
        <v>90.98685836791992</v>
      </c>
      <c r="J301" s="119" t="n">
        <v>108.1915585327149</v>
      </c>
      <c r="K301" s="121" t="n">
        <v>0.3316629211136594</v>
      </c>
      <c r="L301" s="121" t="n">
        <v>-0.2034613206210536</v>
      </c>
      <c r="M301" s="121" t="n">
        <v>-0.4667496230652907</v>
      </c>
      <c r="N301" t="n">
        <v>52.37464581179826</v>
      </c>
      <c r="O301" t="n">
        <v>1.149767521873893</v>
      </c>
      <c r="P301" t="n">
        <v>87.23107785611458</v>
      </c>
      <c r="Q301" t="n">
        <v>73.94224454174578</v>
      </c>
    </row>
    <row r="302">
      <c r="A302" s="118" t="n">
        <v>44867</v>
      </c>
      <c r="B302" s="119" t="n">
        <v>86.68985106712663</v>
      </c>
      <c r="C302" s="119" t="n">
        <v>87.90926648635879</v>
      </c>
      <c r="D302" s="119" t="n">
        <v>83.95316342718291</v>
      </c>
      <c r="E302" s="119" t="n">
        <v>84.05555725097656</v>
      </c>
      <c r="F302" s="120" t="n">
        <v>7176600</v>
      </c>
      <c r="G302" s="121" t="n">
        <v>-0.03700535028591356</v>
      </c>
      <c r="H302" s="122" t="n">
        <v>53.75935832269183</v>
      </c>
      <c r="I302" s="119" t="n">
        <v>90.61334671020508</v>
      </c>
      <c r="J302" s="119" t="n">
        <v>107.9330890655518</v>
      </c>
      <c r="K302" s="121" t="n">
        <v>0.3469288925093347</v>
      </c>
      <c r="L302" s="121" t="n">
        <v>-0.2329375134677505</v>
      </c>
      <c r="M302" s="121" t="n">
        <v>-0.4864827400538551</v>
      </c>
      <c r="N302" t="n">
        <v>45.77217436129401</v>
      </c>
      <c r="O302" t="n">
        <v>0.9208304879955753</v>
      </c>
      <c r="P302" t="n">
        <v>85.04191424255045</v>
      </c>
      <c r="Q302" t="n">
        <v>71.40771399508637</v>
      </c>
    </row>
    <row r="303">
      <c r="A303" s="118" t="n">
        <v>44868</v>
      </c>
      <c r="B303" s="119" t="n">
        <v>83.74836346483718</v>
      </c>
      <c r="C303" s="119" t="n">
        <v>85.27495302916836</v>
      </c>
      <c r="D303" s="119" t="n">
        <v>82.5848039126455</v>
      </c>
      <c r="E303" s="119" t="n">
        <v>84.14862823486328</v>
      </c>
      <c r="F303" s="120" t="n">
        <v>6550300</v>
      </c>
      <c r="G303" s="121" t="n">
        <v>0.001107255569180454</v>
      </c>
      <c r="H303" s="122" t="n">
        <v>53.8188836715902</v>
      </c>
      <c r="I303" s="119" t="n">
        <v>90.22814514160156</v>
      </c>
      <c r="J303" s="119" t="n">
        <v>107.6835836410523</v>
      </c>
      <c r="K303" s="121" t="n">
        <v>0.3449248842103071</v>
      </c>
      <c r="L303" s="121" t="n">
        <v>-0.2320881792576283</v>
      </c>
      <c r="M303" s="121" t="n">
        <v>-0.4859141452079093</v>
      </c>
      <c r="N303" t="n">
        <v>45.98347653932871</v>
      </c>
      <c r="O303" t="n">
        <v>0.7530068571661235</v>
      </c>
      <c r="P303" t="n">
        <v>84.16625025184904</v>
      </c>
      <c r="Q303" t="n">
        <v>70.0127997186346</v>
      </c>
    </row>
    <row r="304">
      <c r="A304" s="118" t="n">
        <v>44869</v>
      </c>
      <c r="B304" s="119" t="n">
        <v>87.91857663038451</v>
      </c>
      <c r="C304" s="119" t="n">
        <v>91.4371874704462</v>
      </c>
      <c r="D304" s="119" t="n">
        <v>87.45315270518013</v>
      </c>
      <c r="E304" s="119" t="n">
        <v>89.16591644287109</v>
      </c>
      <c r="F304" s="120" t="n">
        <v>12543300</v>
      </c>
      <c r="G304" s="121" t="n">
        <v>0.05962412356864921</v>
      </c>
      <c r="H304" s="122" t="n">
        <v>57.02778744195185</v>
      </c>
      <c r="I304" s="119" t="n">
        <v>89.9096890258789</v>
      </c>
      <c r="J304" s="119" t="n">
        <v>107.4701579284668</v>
      </c>
      <c r="K304" s="121" t="n">
        <v>0.3804500811716691</v>
      </c>
      <c r="L304" s="121" t="n">
        <v>-0.1863021099678587</v>
      </c>
      <c r="M304" s="121" t="n">
        <v>-0.455262226676891</v>
      </c>
      <c r="N304" t="n">
        <v>55.94856709557325</v>
      </c>
      <c r="O304" t="n">
        <v>0.9448212998768069</v>
      </c>
      <c r="P304" t="n">
        <v>85.37766460023077</v>
      </c>
      <c r="Q304" t="n">
        <v>71.1389501076098</v>
      </c>
    </row>
    <row r="305">
      <c r="A305" s="118" t="n">
        <v>44872</v>
      </c>
      <c r="B305" s="119" t="n">
        <v>89.64993708908797</v>
      </c>
      <c r="C305" s="119" t="n">
        <v>90.17121661504963</v>
      </c>
      <c r="D305" s="119" t="n">
        <v>86.26165212845584</v>
      </c>
      <c r="E305" s="119" t="n">
        <v>86.97840881347656</v>
      </c>
      <c r="F305" s="120" t="n">
        <v>9094500</v>
      </c>
      <c r="G305" s="121" t="n">
        <v>-0.0245330022576068</v>
      </c>
      <c r="H305" s="122" t="n">
        <v>55.62872460389212</v>
      </c>
      <c r="I305" s="119" t="n">
        <v>89.63918701171875</v>
      </c>
      <c r="J305" s="119" t="n">
        <v>107.244778137207</v>
      </c>
      <c r="K305" s="121" t="n">
        <v>0.3932374730862855</v>
      </c>
      <c r="L305" s="121" t="n">
        <v>-0.2062645621410271</v>
      </c>
      <c r="M305" s="121" t="n">
        <v>-0.4606351507912086</v>
      </c>
      <c r="N305" t="n">
        <v>51.48860699445514</v>
      </c>
      <c r="O305" t="n">
        <v>0.8900480122035672</v>
      </c>
      <c r="P305" t="n">
        <v>86.19436134332136</v>
      </c>
      <c r="Q305" t="n">
        <v>71.92108708339269</v>
      </c>
    </row>
    <row r="306">
      <c r="A306" s="118" t="n">
        <v>44873</v>
      </c>
      <c r="B306" s="119" t="n">
        <v>87.90926261437436</v>
      </c>
      <c r="C306" s="119" t="n">
        <v>89.38930710834016</v>
      </c>
      <c r="D306" s="119" t="n">
        <v>86.51299100792905</v>
      </c>
      <c r="E306" s="119" t="n">
        <v>87.26697540283203</v>
      </c>
      <c r="F306" s="120" t="n">
        <v>7017800</v>
      </c>
      <c r="G306" s="121" t="n">
        <v>0.003317680712856985</v>
      </c>
      <c r="H306" s="122" t="n">
        <v>55.81328295059129</v>
      </c>
      <c r="I306" s="119" t="n">
        <v>89.38188171386719</v>
      </c>
      <c r="J306" s="119" t="n">
        <v>107.0067539596558</v>
      </c>
      <c r="K306" s="121" t="n">
        <v>0.3911029833047207</v>
      </c>
      <c r="L306" s="121" t="n">
        <v>-0.2036312013877313</v>
      </c>
      <c r="M306" s="121" t="n">
        <v>-0.4588457104337956</v>
      </c>
      <c r="N306" t="n">
        <v>52.03182771802139</v>
      </c>
      <c r="O306" t="n">
        <v>0.8395782911940408</v>
      </c>
      <c r="P306" t="n">
        <v>86.65940031902093</v>
      </c>
      <c r="Q306" t="n">
        <v>72.44518253694203</v>
      </c>
    </row>
    <row r="307">
      <c r="A307" s="118" t="n">
        <v>44874</v>
      </c>
      <c r="B307" s="119" t="n">
        <v>86.26165437537854</v>
      </c>
      <c r="C307" s="119" t="n">
        <v>87.40660016746681</v>
      </c>
      <c r="D307" s="119" t="n">
        <v>85.6007533627341</v>
      </c>
      <c r="E307" s="119" t="n">
        <v>85.73107147216797</v>
      </c>
      <c r="F307" s="120" t="n">
        <v>6550900</v>
      </c>
      <c r="G307" s="121" t="n">
        <v>-0.0176000591698543</v>
      </c>
      <c r="H307" s="122" t="n">
        <v>54.83096586819707</v>
      </c>
      <c r="I307" s="119" t="n">
        <v>89.09422988891602</v>
      </c>
      <c r="J307" s="119" t="n">
        <v>106.7634519195557</v>
      </c>
      <c r="K307" s="121" t="n">
        <v>0.3979927997638196</v>
      </c>
      <c r="L307" s="121" t="n">
        <v>-0.210829203105516</v>
      </c>
      <c r="M307" s="121" t="n">
        <v>-0.4683700579501813</v>
      </c>
      <c r="N307" t="n">
        <v>48.89358075546671</v>
      </c>
      <c r="O307" t="n">
        <v>0.6761046535212671</v>
      </c>
      <c r="P307" t="n">
        <v>84.87403906371027</v>
      </c>
      <c r="Q307" t="n">
        <v>70.77343323423136</v>
      </c>
    </row>
    <row r="308">
      <c r="A308" s="118" t="n">
        <v>44875</v>
      </c>
      <c r="B308" s="119" t="n">
        <v>89.66857100773353</v>
      </c>
      <c r="C308" s="119" t="n">
        <v>92.78690974273486</v>
      </c>
      <c r="D308" s="119" t="n">
        <v>89.57548764733748</v>
      </c>
      <c r="E308" s="119" t="n">
        <v>92.61004638671875</v>
      </c>
      <c r="F308" s="120" t="n">
        <v>9361000</v>
      </c>
      <c r="G308" s="121" t="n">
        <v>0.08023899382598976</v>
      </c>
      <c r="H308" s="122" t="n">
        <v>59.23054739996839</v>
      </c>
      <c r="I308" s="119" t="n">
        <v>88.97033203125</v>
      </c>
      <c r="J308" s="119" t="n">
        <v>106.5614268493652</v>
      </c>
      <c r="K308" s="121" t="n">
        <v>0.484436764467622</v>
      </c>
      <c r="L308" s="121" t="n">
        <v>-0.1399381179183201</v>
      </c>
      <c r="M308" s="121" t="n">
        <v>-0.4257126063123344</v>
      </c>
      <c r="N308" t="n">
        <v>60.41062506435315</v>
      </c>
      <c r="O308" t="n">
        <v>0.9858488382908287</v>
      </c>
      <c r="P308" t="n">
        <v>89.53821233300664</v>
      </c>
      <c r="Q308" t="n">
        <v>75.99568655522813</v>
      </c>
    </row>
    <row r="309">
      <c r="A309" s="118" t="n">
        <v>44876</v>
      </c>
      <c r="B309" s="119" t="n">
        <v>93.37334009919259</v>
      </c>
      <c r="C309" s="119" t="n">
        <v>99.79619130885891</v>
      </c>
      <c r="D309" s="119" t="n">
        <v>93.21509767838205</v>
      </c>
      <c r="E309" s="119" t="n">
        <v>98.75363922119141</v>
      </c>
      <c r="F309" s="120" t="n">
        <v>12597500</v>
      </c>
      <c r="G309" s="121" t="n">
        <v>0.06633829777838995</v>
      </c>
      <c r="H309" s="122" t="n">
        <v>63.15980109096454</v>
      </c>
      <c r="I309" s="119" t="n">
        <v>88.96856353759766</v>
      </c>
      <c r="J309" s="119" t="n">
        <v>106.3871175003052</v>
      </c>
      <c r="K309" s="121" t="n">
        <v>0.5174037772719595</v>
      </c>
      <c r="L309" s="121" t="n">
        <v>-0.0602831861825045</v>
      </c>
      <c r="M309" s="121" t="n">
        <v>-0.3876153581795067</v>
      </c>
      <c r="N309" t="n">
        <v>67.46288097146797</v>
      </c>
      <c r="O309" t="n">
        <v>1.526782169137773</v>
      </c>
      <c r="P309" t="n">
        <v>90.40482793885201</v>
      </c>
      <c r="Q309" t="n">
        <v>77.39600396408719</v>
      </c>
    </row>
    <row r="310">
      <c r="A310" s="118" t="n">
        <v>44879</v>
      </c>
      <c r="B310" s="119" t="n">
        <v>97.92518038826242</v>
      </c>
      <c r="C310" s="119" t="n">
        <v>99.07943671072475</v>
      </c>
      <c r="D310" s="119" t="n">
        <v>97.10603692550616</v>
      </c>
      <c r="E310" s="119" t="n">
        <v>97.17119598388672</v>
      </c>
      <c r="F310" s="120" t="n">
        <v>7134900</v>
      </c>
      <c r="G310" s="121" t="n">
        <v>-0.01602415110758892</v>
      </c>
      <c r="H310" s="122" t="n">
        <v>62.14771889435766</v>
      </c>
      <c r="I310" s="119" t="n">
        <v>88.94343048095703</v>
      </c>
      <c r="J310" s="119" t="n">
        <v>106.1990298461914</v>
      </c>
      <c r="K310" s="121" t="n">
        <v>0.5210204684112218</v>
      </c>
      <c r="L310" s="121" t="n">
        <v>-0.0753413504054582</v>
      </c>
      <c r="M310" s="121" t="n">
        <v>-0.3974283022160049</v>
      </c>
      <c r="N310" t="n">
        <v>64.28631172407901</v>
      </c>
      <c r="O310" t="n">
        <v>1.687726340743493</v>
      </c>
      <c r="P310" t="n">
        <v>89.63577341505963</v>
      </c>
      <c r="Q310" t="n">
        <v>76.71868272303131</v>
      </c>
    </row>
    <row r="311">
      <c r="A311" s="118" t="n">
        <v>44880</v>
      </c>
      <c r="B311" s="119" t="n">
        <v>100.5222487808509</v>
      </c>
      <c r="C311" s="119" t="n">
        <v>101.7509675542428</v>
      </c>
      <c r="D311" s="119" t="n">
        <v>98.23236411688436</v>
      </c>
      <c r="E311" s="119" t="n">
        <v>99.33076477050781</v>
      </c>
      <c r="F311" s="120" t="n">
        <v>7242900</v>
      </c>
      <c r="G311" s="121" t="n">
        <v>0.02222437178790315</v>
      </c>
      <c r="H311" s="122" t="n">
        <v>63.52891290483596</v>
      </c>
      <c r="I311" s="119" t="n">
        <v>88.97247283935548</v>
      </c>
      <c r="J311" s="119" t="n">
        <v>106.0117633056641</v>
      </c>
      <c r="K311" s="121" t="n">
        <v>0.5216062092786731</v>
      </c>
      <c r="L311" s="121" t="n">
        <v>-0.0547913927999687</v>
      </c>
      <c r="M311" s="121" t="n">
        <v>-0.3840365247755855</v>
      </c>
      <c r="N311" t="n">
        <v>66.59780201642147</v>
      </c>
      <c r="O311" t="n">
        <v>1.837023505148987</v>
      </c>
      <c r="P311" t="n">
        <v>90.40026737831765</v>
      </c>
      <c r="Q311" t="n">
        <v>77.78035629127673</v>
      </c>
    </row>
    <row r="312">
      <c r="A312" s="118" t="n">
        <v>44881</v>
      </c>
      <c r="B312" s="119" t="n">
        <v>97.97170830932608</v>
      </c>
      <c r="C312" s="119" t="n">
        <v>99.22835112856244</v>
      </c>
      <c r="D312" s="119" t="n">
        <v>97.52489834378693</v>
      </c>
      <c r="E312" s="119" t="n">
        <v>97.95309448242188</v>
      </c>
      <c r="F312" s="120" t="n">
        <v>5998700</v>
      </c>
      <c r="G312" s="121" t="n">
        <v>-0.01386952261234353</v>
      </c>
      <c r="H312" s="122" t="n">
        <v>62.64779721076474</v>
      </c>
      <c r="I312" s="119" t="n">
        <v>88.91196746826172</v>
      </c>
      <c r="J312" s="119" t="n">
        <v>105.8169155883789</v>
      </c>
      <c r="K312" s="121" t="n">
        <v>0.5224523249644172</v>
      </c>
      <c r="L312" s="121" t="n">
        <v>-0.06790098495091113</v>
      </c>
      <c r="M312" s="121" t="n">
        <v>-0.3925796441235881</v>
      </c>
      <c r="N312" t="n">
        <v>63.76258554528943</v>
      </c>
      <c r="O312" t="n">
        <v>1.741268864749176</v>
      </c>
      <c r="P312" t="n">
        <v>89.71064807238113</v>
      </c>
      <c r="Q312" t="n">
        <v>76.71868272303131</v>
      </c>
    </row>
    <row r="313">
      <c r="A313" s="118" t="n">
        <v>44882</v>
      </c>
      <c r="B313" s="119" t="n">
        <v>96.91055234078375</v>
      </c>
      <c r="C313" s="119" t="n">
        <v>98.11134669781924</v>
      </c>
      <c r="D313" s="119" t="n">
        <v>95.80284133120284</v>
      </c>
      <c r="E313" s="119" t="n">
        <v>98.07411193847656</v>
      </c>
      <c r="F313" s="120" t="n">
        <v>5252900</v>
      </c>
      <c r="G313" s="121" t="n">
        <v>0.001235463327566411</v>
      </c>
      <c r="H313" s="122" t="n">
        <v>62.72519626677146</v>
      </c>
      <c r="I313" s="119" t="n">
        <v>88.84922821044921</v>
      </c>
      <c r="J313" s="119" t="n">
        <v>105.6204096221924</v>
      </c>
      <c r="K313" s="121" t="n">
        <v>0.5123439661253786</v>
      </c>
      <c r="L313" s="121" t="n">
        <v>-0.06674941080015717</v>
      </c>
      <c r="M313" s="121" t="n">
        <v>-0.3918291985494855</v>
      </c>
      <c r="N313" t="n">
        <v>63.90793902066385</v>
      </c>
      <c r="O313" t="n">
        <v>1.588614163674539</v>
      </c>
      <c r="P313" t="n">
        <v>89.4361270585256</v>
      </c>
      <c r="Q313" t="n">
        <v>76.54935660774591</v>
      </c>
    </row>
    <row r="314">
      <c r="A314" s="118" t="n">
        <v>44883</v>
      </c>
      <c r="B314" s="119" t="n">
        <v>100.1871238038429</v>
      </c>
      <c r="C314" s="119" t="n">
        <v>100.2709037800888</v>
      </c>
      <c r="D314" s="119" t="n">
        <v>96.96639198666134</v>
      </c>
      <c r="E314" s="119" t="n">
        <v>98.12995147705078</v>
      </c>
      <c r="F314" s="120" t="n">
        <v>5498900</v>
      </c>
      <c r="G314" s="121" t="n">
        <v>0.0005693606342236368</v>
      </c>
      <c r="H314" s="122" t="n">
        <v>62.7609095242997</v>
      </c>
      <c r="I314" s="119" t="n">
        <v>88.74590377807617</v>
      </c>
      <c r="J314" s="119" t="n">
        <v>105.4398871231079</v>
      </c>
      <c r="K314" s="121" t="n">
        <v>0.5122635444013083</v>
      </c>
      <c r="L314" s="121" t="n">
        <v>-0.0619328614926693</v>
      </c>
      <c r="M314" s="121" t="n">
        <v>-0.3914829300362553</v>
      </c>
      <c r="N314" t="n">
        <v>63.97973392456697</v>
      </c>
      <c r="O314" t="n">
        <v>1.400517743137815</v>
      </c>
      <c r="P314" t="n">
        <v>89.8422133338569</v>
      </c>
      <c r="Q314" t="n">
        <v>76.55205817394956</v>
      </c>
    </row>
    <row r="315">
      <c r="A315" s="118" t="n">
        <v>44886</v>
      </c>
      <c r="B315" s="119" t="n">
        <v>97.37596229287675</v>
      </c>
      <c r="C315" s="119" t="n">
        <v>98.18580221402755</v>
      </c>
      <c r="D315" s="119" t="n">
        <v>96.43580428351363</v>
      </c>
      <c r="E315" s="119" t="n">
        <v>96.64990234375</v>
      </c>
      <c r="F315" s="120" t="n">
        <v>4774800</v>
      </c>
      <c r="G315" s="121" t="n">
        <v>-0.01508254219046379</v>
      </c>
      <c r="H315" s="122" t="n">
        <v>61.81431545848757</v>
      </c>
      <c r="I315" s="119" t="n">
        <v>88.586728515625</v>
      </c>
      <c r="J315" s="119" t="n">
        <v>105.2515948867798</v>
      </c>
      <c r="K315" s="121" t="n">
        <v>0.5170211654080343</v>
      </c>
      <c r="L315" s="121" t="n">
        <v>-0.07608129868669367</v>
      </c>
      <c r="M315" s="121" t="n">
        <v>-0.3984594638922189</v>
      </c>
      <c r="N315" t="n">
        <v>60.54210909271927</v>
      </c>
      <c r="O315" t="n">
        <v>1.098858574486306</v>
      </c>
      <c r="P315" t="n">
        <v>89.51552590827514</v>
      </c>
      <c r="Q315" t="n">
        <v>75.764551625588</v>
      </c>
    </row>
    <row r="316">
      <c r="A316" s="118" t="n">
        <v>44887</v>
      </c>
      <c r="B316" s="119" t="n">
        <v>97.38530927745761</v>
      </c>
      <c r="C316" s="119" t="n">
        <v>98.81881588717808</v>
      </c>
      <c r="D316" s="119" t="n">
        <v>96.659241954244</v>
      </c>
      <c r="E316" s="119" t="n">
        <v>98.64195251464844</v>
      </c>
      <c r="F316" s="120" t="n">
        <v>5313200</v>
      </c>
      <c r="G316" s="121" t="n">
        <v>0.0206109900019702</v>
      </c>
      <c r="H316" s="122" t="n">
        <v>63.08836969638109</v>
      </c>
      <c r="I316" s="119" t="n">
        <v>88.59138336181641</v>
      </c>
      <c r="J316" s="119" t="n">
        <v>105.0744178390503</v>
      </c>
      <c r="K316" s="121" t="n">
        <v>0.5040759455626603</v>
      </c>
      <c r="L316" s="121" t="n">
        <v>-0.05703841957129185</v>
      </c>
      <c r="M316" s="121" t="n">
        <v>-0.3786074483683517</v>
      </c>
      <c r="N316" t="n">
        <v>63.39305122580299</v>
      </c>
      <c r="O316" t="n">
        <v>0.9609106926507636</v>
      </c>
      <c r="P316" t="n">
        <v>90.72014669439356</v>
      </c>
      <c r="Q316" t="n">
        <v>76.85576623297324</v>
      </c>
    </row>
    <row r="317">
      <c r="A317" s="118" t="n">
        <v>44888</v>
      </c>
      <c r="B317" s="119" t="n">
        <v>98.66984237377822</v>
      </c>
      <c r="C317" s="119" t="n">
        <v>99.58207611674437</v>
      </c>
      <c r="D317" s="119" t="n">
        <v>97.95309287000747</v>
      </c>
      <c r="E317" s="119" t="n">
        <v>99.27489471435547</v>
      </c>
      <c r="F317" s="120" t="n">
        <v>3873100</v>
      </c>
      <c r="G317" s="121" t="n">
        <v>0.006416561955350897</v>
      </c>
      <c r="H317" s="122" t="n">
        <v>63.4931801292</v>
      </c>
      <c r="I317" s="119" t="n">
        <v>88.58486709594726</v>
      </c>
      <c r="J317" s="119" t="n">
        <v>104.9078414916992</v>
      </c>
      <c r="K317" s="121" t="n">
        <v>0.5040953608965901</v>
      </c>
      <c r="L317" s="121" t="n">
        <v>-0.05098784816895541</v>
      </c>
      <c r="M317" s="121" t="n">
        <v>-0.3741840613188241</v>
      </c>
      <c r="N317" t="n">
        <v>64.27625313890368</v>
      </c>
      <c r="O317" t="n">
        <v>0.8438801242525016</v>
      </c>
      <c r="P317" t="n">
        <v>91.29181695786595</v>
      </c>
      <c r="Q317" t="n">
        <v>77.62713889372735</v>
      </c>
    </row>
    <row r="318">
      <c r="A318" s="118" t="n">
        <v>44890</v>
      </c>
      <c r="B318" s="119" t="n">
        <v>99.08872748646041</v>
      </c>
      <c r="C318" s="119" t="n">
        <v>99.76824938193369</v>
      </c>
      <c r="D318" s="119" t="n">
        <v>98.26027366295425</v>
      </c>
      <c r="E318" s="119" t="n">
        <v>98.63261413574219</v>
      </c>
      <c r="F318" s="120" t="n">
        <v>3426100</v>
      </c>
      <c r="G318" s="121" t="n">
        <v>-0.006469718053706552</v>
      </c>
      <c r="H318" s="122" t="n">
        <v>63.08239715543087</v>
      </c>
      <c r="I318" s="119" t="n">
        <v>88.59343063354493</v>
      </c>
      <c r="J318" s="119" t="n">
        <v>104.7254444885254</v>
      </c>
      <c r="K318" s="121" t="n">
        <v>0.4964576962006065</v>
      </c>
      <c r="L318" s="121" t="n">
        <v>-0.05712768922084366</v>
      </c>
      <c r="M318" s="121" t="n">
        <v>-0.3766669299251295</v>
      </c>
      <c r="N318" t="n">
        <v>62.62508900298816</v>
      </c>
      <c r="O318" t="n">
        <v>0.6627899463982496</v>
      </c>
      <c r="P318" t="n">
        <v>91.27139262934848</v>
      </c>
      <c r="Q318" t="n">
        <v>77.11649254149613</v>
      </c>
    </row>
    <row r="319">
      <c r="A319" s="118" t="n">
        <v>44893</v>
      </c>
      <c r="B319" s="119" t="n">
        <v>97.9717289352277</v>
      </c>
      <c r="C319" s="119" t="n">
        <v>98.94912194584983</v>
      </c>
      <c r="D319" s="119" t="n">
        <v>97.41322168707434</v>
      </c>
      <c r="E319" s="119" t="n">
        <v>97.7017822265625</v>
      </c>
      <c r="F319" s="120" t="n">
        <v>6967400</v>
      </c>
      <c r="G319" s="121" t="n">
        <v>-0.009437364276877358</v>
      </c>
      <c r="H319" s="122" t="n">
        <v>62.48706559401641</v>
      </c>
      <c r="I319" s="119" t="n">
        <v>88.6090690612793</v>
      </c>
      <c r="J319" s="119" t="n">
        <v>104.5450444793701</v>
      </c>
      <c r="K319" s="121" t="n">
        <v>0.4887581306056976</v>
      </c>
      <c r="L319" s="121" t="n">
        <v>-0.06602591868424779</v>
      </c>
      <c r="M319" s="121" t="n">
        <v>-0.3825495511732504</v>
      </c>
      <c r="N319" t="n">
        <v>60.21103520318133</v>
      </c>
      <c r="O319" t="n">
        <v>0.4311161885736174</v>
      </c>
      <c r="P319" t="n">
        <v>89.81498816945486</v>
      </c>
      <c r="Q319" t="n">
        <v>75.9849474100708</v>
      </c>
    </row>
    <row r="320">
      <c r="A320" s="118" t="n">
        <v>44894</v>
      </c>
      <c r="B320" s="119" t="n">
        <v>98.08343674136381</v>
      </c>
      <c r="C320" s="119" t="n">
        <v>99.43316323126557</v>
      </c>
      <c r="D320" s="119" t="n">
        <v>97.85072478780798</v>
      </c>
      <c r="E320" s="119" t="n">
        <v>98.90258026123047</v>
      </c>
      <c r="F320" s="120" t="n">
        <v>8494400</v>
      </c>
      <c r="G320" s="121" t="n">
        <v>0.01229044145667091</v>
      </c>
      <c r="H320" s="122" t="n">
        <v>63.25505921549882</v>
      </c>
      <c r="I320" s="119" t="n">
        <v>88.59119689941406</v>
      </c>
      <c r="J320" s="119" t="n">
        <v>104.392080116272</v>
      </c>
      <c r="K320" s="121" t="n">
        <v>0.4843049956273521</v>
      </c>
      <c r="L320" s="121" t="n">
        <v>-0.05454696491578859</v>
      </c>
      <c r="M320" s="121" t="n">
        <v>-0.3749608125795501</v>
      </c>
      <c r="N320" t="n">
        <v>62.23353423585316</v>
      </c>
      <c r="O320" t="n">
        <v>0.3149353861387731</v>
      </c>
      <c r="P320" t="n">
        <v>89.66072193600509</v>
      </c>
      <c r="Q320" t="n">
        <v>75.40977389736689</v>
      </c>
    </row>
    <row r="321">
      <c r="A321" s="118" t="n">
        <v>44895</v>
      </c>
      <c r="B321" s="119" t="n">
        <v>99.67518483771957</v>
      </c>
      <c r="C321" s="119" t="n">
        <v>102.1046981811523</v>
      </c>
      <c r="D321" s="119" t="n">
        <v>98.15789836776732</v>
      </c>
      <c r="E321" s="119" t="n">
        <v>102.1046981811523</v>
      </c>
      <c r="F321" s="120" t="n">
        <v>16251000</v>
      </c>
      <c r="G321" s="121" t="n">
        <v>0.03237648513784119</v>
      </c>
      <c r="H321" s="122" t="n">
        <v>65.30303570008267</v>
      </c>
      <c r="I321" s="119" t="n">
        <v>88.72654251098633</v>
      </c>
      <c r="J321" s="119" t="n">
        <v>104.2486138153076</v>
      </c>
      <c r="K321" s="121" t="n">
        <v>0.4922942905052643</v>
      </c>
      <c r="L321" s="121" t="n">
        <v>-0.02393651877685787</v>
      </c>
      <c r="M321" s="121" t="n">
        <v>-0.3547242406174635</v>
      </c>
      <c r="N321" t="n">
        <v>67.04424246298103</v>
      </c>
      <c r="O321" t="n">
        <v>0.4042354784940487</v>
      </c>
      <c r="P321" t="n">
        <v>92.48508362118673</v>
      </c>
      <c r="Q321" t="n">
        <v>78.84739104214368</v>
      </c>
    </row>
    <row r="322">
      <c r="A322" s="118" t="n">
        <v>44896</v>
      </c>
      <c r="B322" s="119" t="n">
        <v>102.4770221318554</v>
      </c>
      <c r="C322" s="119" t="n">
        <v>104.1246265740043</v>
      </c>
      <c r="D322" s="119" t="n">
        <v>101.9743706124181</v>
      </c>
      <c r="E322" s="119" t="n">
        <v>103.4264907836914</v>
      </c>
      <c r="F322" s="120" t="n">
        <v>7822900</v>
      </c>
      <c r="G322" s="121" t="n">
        <v>0.01294546309900424</v>
      </c>
      <c r="H322" s="122" t="n">
        <v>66.14841373899105</v>
      </c>
      <c r="I322" s="119" t="n">
        <v>88.9372866821289</v>
      </c>
      <c r="J322" s="119" t="n">
        <v>104.0933269882202</v>
      </c>
      <c r="K322" s="121" t="n">
        <v>0.4623201087621487</v>
      </c>
      <c r="L322" s="121" t="n">
        <v>-0.01130092499839808</v>
      </c>
      <c r="M322" s="121" t="n">
        <v>-0.3463708470856951</v>
      </c>
      <c r="N322" t="n">
        <v>68.81037582190406</v>
      </c>
      <c r="O322" t="n">
        <v>0.4967264530781712</v>
      </c>
      <c r="P322" t="n">
        <v>92.41702434699231</v>
      </c>
      <c r="Q322" t="n">
        <v>78.94416080795985</v>
      </c>
    </row>
    <row r="323">
      <c r="A323" s="118" t="n">
        <v>44897</v>
      </c>
      <c r="B323" s="119" t="n">
        <v>101.4470474583942</v>
      </c>
      <c r="C323" s="119" t="n">
        <v>105.2378873960221</v>
      </c>
      <c r="D323" s="119" t="n">
        <v>101.1575940706674</v>
      </c>
      <c r="E323" s="119" t="n">
        <v>104.7616958618164</v>
      </c>
      <c r="F323" s="120" t="n">
        <v>5892000</v>
      </c>
      <c r="G323" s="121" t="n">
        <v>0.01290970106408684</v>
      </c>
      <c r="H323" s="122" t="n">
        <v>67.00236998622496</v>
      </c>
      <c r="I323" s="119" t="n">
        <v>89.19781951904297</v>
      </c>
      <c r="J323" s="119" t="n">
        <v>103.9405130767822</v>
      </c>
      <c r="K323" s="121" t="n">
        <v>0.4609296095997117</v>
      </c>
      <c r="L323" s="121" t="n">
        <v>0</v>
      </c>
      <c r="M323" s="121" t="n">
        <v>-0.337932690114799</v>
      </c>
      <c r="N323" t="n">
        <v>70.52853449456617</v>
      </c>
      <c r="O323" t="n">
        <v>0.5860926938977653</v>
      </c>
      <c r="P323" t="n">
        <v>92.31041488008329</v>
      </c>
      <c r="Q323" t="n">
        <v>78.6296632640359</v>
      </c>
    </row>
    <row r="324">
      <c r="A324" s="118" t="n">
        <v>44900</v>
      </c>
      <c r="B324" s="119" t="n">
        <v>103.6599186354392</v>
      </c>
      <c r="C324" s="119" t="n">
        <v>103.7626267480646</v>
      </c>
      <c r="D324" s="119" t="n">
        <v>101.9512440202047</v>
      </c>
      <c r="E324" s="119" t="n">
        <v>102.3527374267578</v>
      </c>
      <c r="F324" s="120" t="n">
        <v>6220100</v>
      </c>
      <c r="G324" s="121" t="n">
        <v>-0.02299464909613602</v>
      </c>
      <c r="H324" s="122" t="n">
        <v>65.46167399978225</v>
      </c>
      <c r="I324" s="119" t="n">
        <v>89.43865737915038</v>
      </c>
      <c r="J324" s="119" t="n">
        <v>103.7926979064941</v>
      </c>
      <c r="K324" s="121" t="n">
        <v>0.4390720643776275</v>
      </c>
      <c r="L324" s="121" t="n">
        <v>-0.02299464909613591</v>
      </c>
      <c r="M324" s="121" t="n">
        <v>-0.3531566955836319</v>
      </c>
      <c r="N324" t="n">
        <v>63.70949360600873</v>
      </c>
      <c r="O324" t="n">
        <v>0.4285360939489893</v>
      </c>
      <c r="P324" t="n">
        <v>90.64981077674258</v>
      </c>
      <c r="Q324" t="n">
        <v>77.310006903257</v>
      </c>
    </row>
    <row r="325">
      <c r="A325" s="118" t="n">
        <v>44901</v>
      </c>
      <c r="B325" s="119" t="n">
        <v>102.3807462516936</v>
      </c>
      <c r="C325" s="119" t="n">
        <v>103.2024040195971</v>
      </c>
      <c r="D325" s="119" t="n">
        <v>99.67300054974336</v>
      </c>
      <c r="E325" s="119" t="n">
        <v>100.774772644043</v>
      </c>
      <c r="F325" s="120" t="n">
        <v>7086100</v>
      </c>
      <c r="G325" s="121" t="n">
        <v>-0.01541692799221916</v>
      </c>
      <c r="H325" s="122" t="n">
        <v>64.45245608547748</v>
      </c>
      <c r="I325" s="119" t="n">
        <v>89.66580825805664</v>
      </c>
      <c r="J325" s="119" t="n">
        <v>103.6362999343872</v>
      </c>
      <c r="K325" s="121" t="n">
        <v>0.4314396172177937</v>
      </c>
      <c r="L325" s="121" t="n">
        <v>-0.03805707023903371</v>
      </c>
      <c r="M325" s="121" t="n">
        <v>-0.3631290322300682</v>
      </c>
      <c r="N325" t="n">
        <v>59.6416805125942</v>
      </c>
      <c r="O325" t="n">
        <v>0.1765277715140292</v>
      </c>
      <c r="P325" t="n">
        <v>89.34310471614313</v>
      </c>
      <c r="Q325" t="n">
        <v>75.70810399385476</v>
      </c>
    </row>
    <row r="326">
      <c r="A326" s="118" t="n">
        <v>44902</v>
      </c>
      <c r="B326" s="119" t="n">
        <v>100.2052104428309</v>
      </c>
      <c r="C326" s="119" t="n">
        <v>101.8858821266926</v>
      </c>
      <c r="D326" s="119" t="n">
        <v>99.96244517213913</v>
      </c>
      <c r="E326" s="119" t="n">
        <v>101.1482543945312</v>
      </c>
      <c r="F326" s="120" t="n">
        <v>5751500</v>
      </c>
      <c r="G326" s="121" t="n">
        <v>0.003706103627814539</v>
      </c>
      <c r="H326" s="122" t="n">
        <v>64.69132356679742</v>
      </c>
      <c r="I326" s="119" t="n">
        <v>89.89614669799805</v>
      </c>
      <c r="J326" s="119" t="n">
        <v>103.5037554931641</v>
      </c>
      <c r="K326" s="121" t="n">
        <v>0.4313891435363795</v>
      </c>
      <c r="L326" s="121" t="n">
        <v>-0.03449201005729607</v>
      </c>
      <c r="M326" s="121" t="n">
        <v>-0.3568638393398553</v>
      </c>
      <c r="N326" t="n">
        <v>60.28798258679832</v>
      </c>
      <c r="O326" t="n">
        <v>0.002664048259655605</v>
      </c>
      <c r="P326" t="n">
        <v>89.1911151261499</v>
      </c>
      <c r="Q326" t="n">
        <v>75.39901797229527</v>
      </c>
    </row>
    <row r="327">
      <c r="A327" s="118" t="n">
        <v>44903</v>
      </c>
      <c r="B327" s="119" t="n">
        <v>101.4003438711508</v>
      </c>
      <c r="C327" s="119" t="n">
        <v>104.0987502801306</v>
      </c>
      <c r="D327" s="119" t="n">
        <v>101.269625763862</v>
      </c>
      <c r="E327" s="119" t="n">
        <v>103.9773712158203</v>
      </c>
      <c r="F327" s="120" t="n">
        <v>6192800</v>
      </c>
      <c r="G327" s="121" t="n">
        <v>0.02797000144218043</v>
      </c>
      <c r="H327" s="122" t="n">
        <v>66.50073998025731</v>
      </c>
      <c r="I327" s="119" t="n">
        <v>90.13820068359375</v>
      </c>
      <c r="J327" s="119" t="n">
        <v>103.3916383743286</v>
      </c>
      <c r="K327" s="121" t="n">
        <v>0.4261699355092924</v>
      </c>
      <c r="L327" s="121" t="n">
        <v>-0.00748675018616185</v>
      </c>
      <c r="M327" s="121" t="n">
        <v>-0.3342218177725287</v>
      </c>
      <c r="N327" t="n">
        <v>64.87644445867915</v>
      </c>
      <c r="O327" t="n">
        <v>0.04360089103074216</v>
      </c>
      <c r="P327" t="n">
        <v>89.88984827953384</v>
      </c>
      <c r="Q327" t="n">
        <v>76.29137381521245</v>
      </c>
    </row>
    <row r="328">
      <c r="A328" s="118" t="n">
        <v>44904</v>
      </c>
      <c r="B328" s="119" t="n">
        <v>102.9129441672613</v>
      </c>
      <c r="C328" s="119" t="n">
        <v>103.996038030688</v>
      </c>
      <c r="D328" s="119" t="n">
        <v>102.0165884143419</v>
      </c>
      <c r="E328" s="119" t="n">
        <v>102.1659774780273</v>
      </c>
      <c r="F328" s="120" t="n">
        <v>5677700</v>
      </c>
      <c r="G328" s="121" t="n">
        <v>-0.01742103802598693</v>
      </c>
      <c r="H328" s="122" t="n">
        <v>65.34222806030498</v>
      </c>
      <c r="I328" s="119" t="n">
        <v>90.4067658996582</v>
      </c>
      <c r="J328" s="119" t="n">
        <v>103.2688938140869</v>
      </c>
      <c r="K328" s="121" t="n">
        <v>0.3462720041426832</v>
      </c>
      <c r="L328" s="121" t="n">
        <v>-0.02477736125246455</v>
      </c>
      <c r="M328" s="121" t="n">
        <v>-0.345820364801986</v>
      </c>
      <c r="N328" t="n">
        <v>60.08917285875626</v>
      </c>
      <c r="O328" t="n">
        <v>-0.07922132778691715</v>
      </c>
      <c r="P328" t="n">
        <v>89.21834756417319</v>
      </c>
      <c r="Q328" t="n">
        <v>75.80486536971377</v>
      </c>
    </row>
    <row r="329">
      <c r="A329" s="118" t="n">
        <v>44907</v>
      </c>
      <c r="B329" s="119" t="n">
        <v>102.800904830532</v>
      </c>
      <c r="C329" s="119" t="n">
        <v>104.7336736277711</v>
      </c>
      <c r="D329" s="119" t="n">
        <v>102.4367605008785</v>
      </c>
      <c r="E329" s="119" t="n">
        <v>104.6403045654297</v>
      </c>
      <c r="F329" s="120" t="n">
        <v>6426000</v>
      </c>
      <c r="G329" s="121" t="n">
        <v>0.02421869930167797</v>
      </c>
      <c r="H329" s="122" t="n">
        <v>66.92473183339916</v>
      </c>
      <c r="I329" s="119" t="n">
        <v>90.95213088989257</v>
      </c>
      <c r="J329" s="119" t="n">
        <v>103.1509921264648</v>
      </c>
      <c r="K329" s="121" t="n">
        <v>0.2718203198292018</v>
      </c>
      <c r="L329" s="121" t="n">
        <v>-0.001158737412449096</v>
      </c>
      <c r="M329" s="121" t="n">
        <v>-0.3288654689662374</v>
      </c>
      <c r="N329" t="n">
        <v>63.99727033417165</v>
      </c>
      <c r="O329" t="n">
        <v>-0.02456075793413026</v>
      </c>
      <c r="P329" t="n">
        <v>90.50462929625516</v>
      </c>
      <c r="Q329" t="n">
        <v>76.75631168086777</v>
      </c>
    </row>
    <row r="330">
      <c r="A330" s="118" t="n">
        <v>44908</v>
      </c>
      <c r="B330" s="119" t="n">
        <v>107.9456265152385</v>
      </c>
      <c r="C330" s="119" t="n">
        <v>108.7299352297564</v>
      </c>
      <c r="D330" s="119" t="n">
        <v>103.8746724887139</v>
      </c>
      <c r="E330" s="119" t="n">
        <v>105.3685989379883</v>
      </c>
      <c r="F330" s="120" t="n">
        <v>8655300</v>
      </c>
      <c r="G330" s="121" t="n">
        <v>0.006959979480021472</v>
      </c>
      <c r="H330" s="122" t="n">
        <v>67.39052659366557</v>
      </c>
      <c r="I330" s="119" t="n">
        <v>91.46961486816406</v>
      </c>
      <c r="J330" s="119" t="n">
        <v>103.0471245956421</v>
      </c>
      <c r="K330" s="121" t="n">
        <v>0.2625274583309741</v>
      </c>
      <c r="L330" s="121" t="n">
        <v>0</v>
      </c>
      <c r="M330" s="121" t="n">
        <v>-0.3241943864019086</v>
      </c>
      <c r="N330" t="n">
        <v>65.0811210755802</v>
      </c>
      <c r="O330" t="n">
        <v>0.02710543817523359</v>
      </c>
      <c r="P330" t="n">
        <v>91.18973895700618</v>
      </c>
      <c r="Q330" t="n">
        <v>77.58145557702292</v>
      </c>
    </row>
    <row r="331">
      <c r="A331" s="118" t="n">
        <v>44909</v>
      </c>
      <c r="B331" s="119" t="n">
        <v>106.1622450365421</v>
      </c>
      <c r="C331" s="119" t="n">
        <v>106.554406511273</v>
      </c>
      <c r="D331" s="119" t="n">
        <v>102.9222949942969</v>
      </c>
      <c r="E331" s="119" t="n">
        <v>104.061408996582</v>
      </c>
      <c r="F331" s="120" t="n">
        <v>7528500</v>
      </c>
      <c r="G331" s="121" t="n">
        <v>-0.01240587760093081</v>
      </c>
      <c r="H331" s="122" t="n">
        <v>66.55448796928228</v>
      </c>
      <c r="I331" s="119" t="n">
        <v>91.9006362915039</v>
      </c>
      <c r="J331" s="119" t="n">
        <v>102.9567208862305</v>
      </c>
      <c r="K331" s="121" t="n">
        <v>0.259734463288689</v>
      </c>
      <c r="L331" s="121" t="n">
        <v>-0.01240587760093093</v>
      </c>
      <c r="M331" s="121" t="n">
        <v>-0.3325783481262284</v>
      </c>
      <c r="N331" t="n">
        <v>61.50228561497309</v>
      </c>
      <c r="O331" t="n">
        <v>-0.05577524097273567</v>
      </c>
      <c r="P331" t="n">
        <v>90.60670729711488</v>
      </c>
      <c r="Q331" t="n">
        <v>77.00628206431902</v>
      </c>
    </row>
    <row r="332">
      <c r="A332" s="118" t="n">
        <v>44910</v>
      </c>
      <c r="B332" s="119" t="n">
        <v>101.9512342766324</v>
      </c>
      <c r="C332" s="119" t="n">
        <v>102.3527276448144</v>
      </c>
      <c r="D332" s="119" t="n">
        <v>100.5880260581454</v>
      </c>
      <c r="E332" s="119" t="n">
        <v>101.3163146972656</v>
      </c>
      <c r="F332" s="120" t="n">
        <v>7500700</v>
      </c>
      <c r="G332" s="121" t="n">
        <v>-0.02637956112439888</v>
      </c>
      <c r="H332" s="122" t="n">
        <v>64.79880978579354</v>
      </c>
      <c r="I332" s="119" t="n">
        <v>92.23095809936524</v>
      </c>
      <c r="J332" s="119" t="n">
        <v>102.8366103363037</v>
      </c>
      <c r="K332" s="121" t="n">
        <v>0.2735896790152842</v>
      </c>
      <c r="L332" s="121" t="n">
        <v>-0.03845817711885402</v>
      </c>
      <c r="M332" s="121" t="n">
        <v>-0.3501846383875798</v>
      </c>
      <c r="N332" t="n">
        <v>54.69968762313002</v>
      </c>
      <c r="O332" t="n">
        <v>-0.3102791266298257</v>
      </c>
      <c r="P332" t="n">
        <v>88.39031851914872</v>
      </c>
      <c r="Q332" t="n">
        <v>74.42067345850504</v>
      </c>
    </row>
    <row r="333">
      <c r="A333" s="118" t="n">
        <v>44911</v>
      </c>
      <c r="B333" s="119" t="n">
        <v>99.78503926120162</v>
      </c>
      <c r="C333" s="119" t="n">
        <v>100.4759788512805</v>
      </c>
      <c r="D333" s="119" t="n">
        <v>98.15105578389991</v>
      </c>
      <c r="E333" s="119" t="n">
        <v>98.926025390625</v>
      </c>
      <c r="F333" s="120" t="n">
        <v>14083600</v>
      </c>
      <c r="G333" s="121" t="n">
        <v>-0.02359234358042772</v>
      </c>
      <c r="H333" s="122" t="n">
        <v>63.2700540017243</v>
      </c>
      <c r="I333" s="119" t="n">
        <v>92.53078811645508</v>
      </c>
      <c r="J333" s="119" t="n">
        <v>102.7124465942383</v>
      </c>
      <c r="K333" s="121" t="n">
        <v>0.288114234698389</v>
      </c>
      <c r="L333" s="121" t="n">
        <v>-0.06114320217121694</v>
      </c>
      <c r="M333" s="121" t="n">
        <v>-0.3655153056625798</v>
      </c>
      <c r="N333" t="n">
        <v>49.55939941890862</v>
      </c>
      <c r="O333" t="n">
        <v>-0.635661584362893</v>
      </c>
      <c r="P333" t="n">
        <v>87.34678662322844</v>
      </c>
      <c r="Q333" t="n">
        <v>73.71110122214853</v>
      </c>
    </row>
    <row r="334">
      <c r="A334" s="118" t="n">
        <v>44914</v>
      </c>
      <c r="B334" s="119" t="n">
        <v>98.02967488777114</v>
      </c>
      <c r="C334" s="119" t="n">
        <v>98.51520542217254</v>
      </c>
      <c r="D334" s="119" t="n">
        <v>95.65806360069527</v>
      </c>
      <c r="E334" s="119" t="n">
        <v>96.21829223632812</v>
      </c>
      <c r="F334" s="120" t="n">
        <v>10620300</v>
      </c>
      <c r="G334" s="121" t="n">
        <v>-0.02737129227223034</v>
      </c>
      <c r="H334" s="122" t="n">
        <v>61.53827086156332</v>
      </c>
      <c r="I334" s="119" t="n">
        <v>92.83250030517578</v>
      </c>
      <c r="J334" s="119" t="n">
        <v>102.5862483596802</v>
      </c>
      <c r="K334" s="121" t="n">
        <v>0.304730546909975</v>
      </c>
      <c r="L334" s="121" t="n">
        <v>-0.08684092598635873</v>
      </c>
      <c r="M334" s="121" t="n">
        <v>-0.3828819716735461</v>
      </c>
      <c r="N334" t="n">
        <v>44.46217869061958</v>
      </c>
      <c r="O334" t="n">
        <v>-1.007221995242503</v>
      </c>
      <c r="P334" t="n">
        <v>86.60610649599825</v>
      </c>
      <c r="Q334" t="n">
        <v>72.67521838219501</v>
      </c>
    </row>
    <row r="335">
      <c r="A335" s="118" t="n">
        <v>44915</v>
      </c>
      <c r="B335" s="119" t="n">
        <v>96.17159100560832</v>
      </c>
      <c r="C335" s="119" t="n">
        <v>96.54507433714662</v>
      </c>
      <c r="D335" s="119" t="n">
        <v>94.93910099805333</v>
      </c>
      <c r="E335" s="119" t="n">
        <v>96.36766815185547</v>
      </c>
      <c r="F335" s="120" t="n">
        <v>17147900</v>
      </c>
      <c r="G335" s="121" t="n">
        <v>0.001552468995816847</v>
      </c>
      <c r="H335" s="122" t="n">
        <v>61.63380711913207</v>
      </c>
      <c r="I335" s="119" t="n">
        <v>93.14594985961914</v>
      </c>
      <c r="J335" s="119" t="n">
        <v>102.4919993591309</v>
      </c>
      <c r="K335" s="121" t="n">
        <v>0.3000811751120028</v>
      </c>
      <c r="L335" s="121" t="n">
        <v>-0.08542327483570389</v>
      </c>
      <c r="M335" s="121" t="n">
        <v>-0.3819239150678096</v>
      </c>
      <c r="N335" t="n">
        <v>44.79947378463836</v>
      </c>
      <c r="O335" t="n">
        <v>-1.203618353050331</v>
      </c>
      <c r="P335" t="n">
        <v>86.72461560729992</v>
      </c>
      <c r="Q335" t="n">
        <v>72.61862812119017</v>
      </c>
    </row>
    <row r="336">
      <c r="A336" s="118" t="n">
        <v>44916</v>
      </c>
      <c r="B336" s="119" t="n">
        <v>109.0193965114083</v>
      </c>
      <c r="C336" s="119" t="n">
        <v>111.2789608751475</v>
      </c>
      <c r="D336" s="119" t="n">
        <v>107.6935300130754</v>
      </c>
      <c r="E336" s="119" t="n">
        <v>108.104362487793</v>
      </c>
      <c r="F336" s="120" t="n">
        <v>32777300</v>
      </c>
      <c r="G336" s="121" t="n">
        <v>0.1217907889754362</v>
      </c>
      <c r="H336" s="122" t="n">
        <v>69.14023711573101</v>
      </c>
      <c r="I336" s="119" t="n">
        <v>93.66993133544922</v>
      </c>
      <c r="J336" s="119" t="n">
        <v>102.4713869857788</v>
      </c>
      <c r="K336" s="121" t="n">
        <v>0.52373172672909</v>
      </c>
      <c r="L336" s="121" t="n">
        <v>0</v>
      </c>
      <c r="M336" s="121" t="n">
        <v>-0.3066479410370695</v>
      </c>
      <c r="N336" t="n">
        <v>63.53731996545141</v>
      </c>
      <c r="O336" t="n">
        <v>-0.5377109730829721</v>
      </c>
      <c r="P336" t="n">
        <v>88.02135680676371</v>
      </c>
      <c r="Q336" t="n">
        <v>73.67203758163873</v>
      </c>
    </row>
    <row r="337">
      <c r="A337" s="118" t="n">
        <v>44917</v>
      </c>
      <c r="B337" s="119" t="n">
        <v>106.7131452662437</v>
      </c>
      <c r="C337" s="119" t="n">
        <v>109.0754177756129</v>
      </c>
      <c r="D337" s="119" t="n">
        <v>106.4983899819357</v>
      </c>
      <c r="E337" s="119" t="n">
        <v>108.9727096557617</v>
      </c>
      <c r="F337" s="120" t="n">
        <v>17147600</v>
      </c>
      <c r="G337" s="121" t="n">
        <v>0.008032489605281246</v>
      </c>
      <c r="H337" s="122" t="n">
        <v>69.69560535166981</v>
      </c>
      <c r="I337" s="119" t="n">
        <v>94.20159896850586</v>
      </c>
      <c r="J337" s="119" t="n">
        <v>102.4285433197021</v>
      </c>
      <c r="K337" s="121" t="n">
        <v>0.5238177273404527</v>
      </c>
      <c r="L337" s="121" t="n">
        <v>0</v>
      </c>
      <c r="M337" s="121" t="n">
        <v>-0.3010785978306494</v>
      </c>
      <c r="N337" t="n">
        <v>64.49753228624471</v>
      </c>
      <c r="O337" t="n">
        <v>-0.05860325483895901</v>
      </c>
      <c r="P337" t="n">
        <v>86.765631557624</v>
      </c>
      <c r="Q337" t="n">
        <v>71.86965664603768</v>
      </c>
    </row>
    <row r="338">
      <c r="A338" s="118" t="n">
        <v>44918</v>
      </c>
      <c r="B338" s="119" t="n">
        <v>108.4124642716901</v>
      </c>
      <c r="C338" s="119" t="n">
        <v>109.4021890744206</v>
      </c>
      <c r="D338" s="119" t="n">
        <v>108.1043399798053</v>
      </c>
      <c r="E338" s="119" t="n">
        <v>108.5431823730469</v>
      </c>
      <c r="F338" s="120" t="n">
        <v>6603700</v>
      </c>
      <c r="G338" s="121" t="n">
        <v>-0.003941604132554843</v>
      </c>
      <c r="H338" s="122" t="n">
        <v>69.42089286559475</v>
      </c>
      <c r="I338" s="119" t="n">
        <v>94.70512817382813</v>
      </c>
      <c r="J338" s="119" t="n">
        <v>102.387811088562</v>
      </c>
      <c r="K338" s="121" t="n">
        <v>0.523149521283795</v>
      </c>
      <c r="L338" s="121" t="n">
        <v>-0.003941604132554954</v>
      </c>
      <c r="M338" s="121" t="n">
        <v>-0.3038334693177711</v>
      </c>
      <c r="N338" t="n">
        <v>63.6052673717566</v>
      </c>
      <c r="O338" t="n">
        <v>0.1956126893701007</v>
      </c>
      <c r="P338" t="n">
        <v>87.26473290171649</v>
      </c>
      <c r="Q338" t="n">
        <v>72.03130595052701</v>
      </c>
    </row>
    <row r="339">
      <c r="A339" s="118" t="n">
        <v>44922</v>
      </c>
      <c r="B339" s="119" t="n">
        <v>108.7486072748066</v>
      </c>
      <c r="C339" s="119" t="n">
        <v>110.3639127095918</v>
      </c>
      <c r="D339" s="119" t="n">
        <v>108.1416976849983</v>
      </c>
      <c r="E339" s="119" t="n">
        <v>109.7663421630859</v>
      </c>
      <c r="F339" s="120" t="n">
        <v>6661100</v>
      </c>
      <c r="G339" s="121" t="n">
        <v>0.01126887717217695</v>
      </c>
      <c r="H339" s="122" t="n">
        <v>70.20318838048</v>
      </c>
      <c r="I339" s="119" t="n">
        <v>95.27054092407226</v>
      </c>
      <c r="J339" s="119" t="n">
        <v>102.3689347839355</v>
      </c>
      <c r="K339" s="121" t="n">
        <v>0.5205753702172657</v>
      </c>
      <c r="L339" s="121" t="n">
        <v>0</v>
      </c>
      <c r="M339" s="121" t="n">
        <v>-0.2959884541921326</v>
      </c>
      <c r="N339" t="n">
        <v>65.08649332547657</v>
      </c>
      <c r="O339" t="n">
        <v>0.4005691937417106</v>
      </c>
      <c r="P339" t="n">
        <v>86.9205960587154</v>
      </c>
      <c r="Q339" t="n">
        <v>71.01290778128278</v>
      </c>
    </row>
    <row r="340">
      <c r="A340" s="118" t="n">
        <v>44923</v>
      </c>
      <c r="B340" s="119" t="n">
        <v>109.7850148441267</v>
      </c>
      <c r="C340" s="119" t="n">
        <v>110.4012563232923</v>
      </c>
      <c r="D340" s="119" t="n">
        <v>107.3387056423421</v>
      </c>
      <c r="E340" s="119" t="n">
        <v>107.3573837280273</v>
      </c>
      <c r="F340" s="120" t="n">
        <v>5437800</v>
      </c>
      <c r="G340" s="121" t="n">
        <v>-0.02194623950827723</v>
      </c>
      <c r="H340" s="122" t="n">
        <v>68.66249239403727</v>
      </c>
      <c r="I340" s="119" t="n">
        <v>95.74272079467774</v>
      </c>
      <c r="J340" s="119" t="n">
        <v>102.3614386749268</v>
      </c>
      <c r="K340" s="121" t="n">
        <v>0.5294809493643349</v>
      </c>
      <c r="L340" s="121" t="n">
        <v>-0.02194623950827734</v>
      </c>
      <c r="M340" s="121" t="n">
        <v>-0.3114388601930245</v>
      </c>
      <c r="N340" t="n">
        <v>59.91463639809442</v>
      </c>
      <c r="O340" t="n">
        <v>0.3312003988487677</v>
      </c>
      <c r="P340" t="n">
        <v>85.84036874350357</v>
      </c>
      <c r="Q340" t="n">
        <v>70.07532587432605</v>
      </c>
    </row>
    <row r="341">
      <c r="A341" s="118" t="n">
        <v>44924</v>
      </c>
      <c r="B341" s="119" t="n">
        <v>108.3844797488735</v>
      </c>
      <c r="C341" s="119" t="n">
        <v>110.2425507323659</v>
      </c>
      <c r="D341" s="119" t="n">
        <v>108.1230434846961</v>
      </c>
      <c r="E341" s="119" t="n">
        <v>109.5702819824219</v>
      </c>
      <c r="F341" s="120" t="n">
        <v>4588600</v>
      </c>
      <c r="G341" s="121" t="n">
        <v>0.0206124458099739</v>
      </c>
      <c r="H341" s="122" t="n">
        <v>70.07779429768711</v>
      </c>
      <c r="I341" s="119" t="n">
        <v>96.26455780029296</v>
      </c>
      <c r="J341" s="119" t="n">
        <v>102.3565351867676</v>
      </c>
      <c r="K341" s="121" t="n">
        <v>0.5229054093849184</v>
      </c>
      <c r="L341" s="121" t="n">
        <v>-0.001786159370900653</v>
      </c>
      <c r="M341" s="121" t="n">
        <v>-0.2918335390206653</v>
      </c>
      <c r="N341" t="n">
        <v>62.83605793080309</v>
      </c>
      <c r="O341" t="n">
        <v>0.3877274715128145</v>
      </c>
      <c r="P341" t="n">
        <v>87.38551865647472</v>
      </c>
      <c r="Q341" t="n">
        <v>71.78342466640714</v>
      </c>
    </row>
    <row r="342">
      <c r="A342" s="118" t="n">
        <v>44925</v>
      </c>
      <c r="B342" s="119" t="n">
        <v>108.8326437562558</v>
      </c>
      <c r="C342" s="119" t="n">
        <v>109.4769024339274</v>
      </c>
      <c r="D342" s="119" t="n">
        <v>108.0950160108238</v>
      </c>
      <c r="E342" s="119" t="n">
        <v>109.252815246582</v>
      </c>
      <c r="F342" s="120" t="n">
        <v>4355500</v>
      </c>
      <c r="G342" s="121" t="n">
        <v>-0.002897379929083121</v>
      </c>
      <c r="H342" s="122" t="n">
        <v>69.87475230301457</v>
      </c>
      <c r="I342" s="119" t="n">
        <v>96.80071029663085</v>
      </c>
      <c r="J342" s="119" t="n">
        <v>102.3232398986816</v>
      </c>
      <c r="K342" s="121" t="n">
        <v>0.522344441032632</v>
      </c>
      <c r="L342" s="121" t="n">
        <v>-0.004678364117672307</v>
      </c>
      <c r="M342" s="121" t="n">
        <v>-0.2904112457646377</v>
      </c>
      <c r="N342" t="n">
        <v>62.1364156295087</v>
      </c>
      <c r="O342" t="n">
        <v>0.3578347007781502</v>
      </c>
      <c r="P342" t="n">
        <v>87.15535945872604</v>
      </c>
      <c r="Q342" t="n">
        <v>71.7403422364205</v>
      </c>
    </row>
    <row r="343">
      <c r="A343" s="118" t="n">
        <v>44929</v>
      </c>
      <c r="B343" s="119" t="n">
        <v>110.6907185348339</v>
      </c>
      <c r="C343" s="119" t="n">
        <v>111.5683962951218</v>
      </c>
      <c r="D343" s="119" t="n">
        <v>109.6543055279082</v>
      </c>
      <c r="E343" s="119" t="n">
        <v>110.8774566650391</v>
      </c>
      <c r="F343" s="120" t="n">
        <v>8124800</v>
      </c>
      <c r="G343" s="121" t="n">
        <v>0.01487047647047124</v>
      </c>
      <c r="H343" s="122" t="n">
        <v>70.91382316301656</v>
      </c>
      <c r="I343" s="119" t="n">
        <v>97.40174942016601</v>
      </c>
      <c r="J343" s="119" t="n">
        <v>102.2877903747559</v>
      </c>
      <c r="K343" s="121" t="n">
        <v>0.5228723338271802</v>
      </c>
      <c r="L343" s="121" t="n">
        <v>0</v>
      </c>
      <c r="M343" s="121" t="n">
        <v>-0.2786473627343651</v>
      </c>
      <c r="N343" t="n">
        <v>64.32553087206213</v>
      </c>
      <c r="O343" t="n">
        <v>0.3984679024920137</v>
      </c>
      <c r="P343" t="n">
        <v>86.7884270866745</v>
      </c>
      <c r="Q343" t="n">
        <v>71.25540271290967</v>
      </c>
    </row>
    <row r="344">
      <c r="A344" s="118" t="n">
        <v>44930</v>
      </c>
      <c r="B344" s="119" t="n">
        <v>112.0072311390002</v>
      </c>
      <c r="C344" s="119" t="n">
        <v>114.1267451034261</v>
      </c>
      <c r="D344" s="119" t="n">
        <v>111.6057377750519</v>
      </c>
      <c r="E344" s="119" t="n">
        <v>113.1743621826172</v>
      </c>
      <c r="F344" s="120" t="n">
        <v>8550700</v>
      </c>
      <c r="G344" s="121" t="n">
        <v>0.02071571252321447</v>
      </c>
      <c r="H344" s="122" t="n">
        <v>72.38285353758369</v>
      </c>
      <c r="I344" s="119" t="n">
        <v>98.01763610839843</v>
      </c>
      <c r="J344" s="119" t="n">
        <v>102.2460945892334</v>
      </c>
      <c r="K344" s="121" t="n">
        <v>0.5166675148857106</v>
      </c>
      <c r="L344" s="121" t="n">
        <v>0</v>
      </c>
      <c r="M344" s="121" t="n">
        <v>-0.2637040288729076</v>
      </c>
      <c r="N344" t="n">
        <v>67.21178745129509</v>
      </c>
      <c r="O344" t="n">
        <v>0.5231694931673001</v>
      </c>
      <c r="P344" t="n">
        <v>87.45844398329669</v>
      </c>
      <c r="Q344" t="n">
        <v>71.59484359945296</v>
      </c>
    </row>
    <row r="345">
      <c r="A345" s="118" t="n">
        <v>44931</v>
      </c>
      <c r="B345" s="119" t="n">
        <v>112.3060260045991</v>
      </c>
      <c r="C345" s="119" t="n">
        <v>114.2294558494011</v>
      </c>
      <c r="D345" s="119" t="n">
        <v>112.1192878710933</v>
      </c>
      <c r="E345" s="119" t="n">
        <v>112.6234893798828</v>
      </c>
      <c r="F345" s="120" t="n">
        <v>6046700</v>
      </c>
      <c r="G345" s="121" t="n">
        <v>-0.00486746991200615</v>
      </c>
      <c r="H345" s="122" t="n">
        <v>72.03053217584434</v>
      </c>
      <c r="I345" s="119" t="n">
        <v>98.63162780761719</v>
      </c>
      <c r="J345" s="119" t="n">
        <v>102.2065054702759</v>
      </c>
      <c r="K345" s="121" t="n">
        <v>0.5123374605012668</v>
      </c>
      <c r="L345" s="121" t="n">
        <v>-0.004867469912006261</v>
      </c>
      <c r="M345" s="121" t="n">
        <v>-0.2485919165805824</v>
      </c>
      <c r="N345" t="n">
        <v>65.83605463355966</v>
      </c>
      <c r="O345" t="n">
        <v>0.5110954893512925</v>
      </c>
      <c r="P345" t="n">
        <v>86.46025584235429</v>
      </c>
      <c r="Q345" t="n">
        <v>70.47407956297073</v>
      </c>
    </row>
    <row r="346">
      <c r="A346" s="118" t="n">
        <v>44932</v>
      </c>
      <c r="B346" s="119" t="n">
        <v>113.9119968661464</v>
      </c>
      <c r="C346" s="119" t="n">
        <v>117.0492458743154</v>
      </c>
      <c r="D346" s="119" t="n">
        <v>113.6972416065216</v>
      </c>
      <c r="E346" s="119" t="n">
        <v>116.2742691040039</v>
      </c>
      <c r="F346" s="120" t="n">
        <v>10080700</v>
      </c>
      <c r="G346" s="121" t="n">
        <v>0.03241579304834796</v>
      </c>
      <c r="H346" s="122" t="n">
        <v>74.36545900001889</v>
      </c>
      <c r="I346" s="119" t="n">
        <v>99.24956588745117</v>
      </c>
      <c r="J346" s="119" t="n">
        <v>102.1717448425293</v>
      </c>
      <c r="K346" s="121" t="n">
        <v>0.5206677482199917</v>
      </c>
      <c r="L346" s="121" t="n">
        <v>0</v>
      </c>
      <c r="M346" s="121" t="n">
        <v>-0.2184055398157073</v>
      </c>
      <c r="N346" t="n">
        <v>70.19075791013107</v>
      </c>
      <c r="O346" t="n">
        <v>0.6809008903563956</v>
      </c>
      <c r="P346" t="n">
        <v>88.44295044263606</v>
      </c>
      <c r="Q346" t="n">
        <v>72.41926595929284</v>
      </c>
    </row>
    <row r="347">
      <c r="A347" s="118" t="n">
        <v>44935</v>
      </c>
      <c r="B347" s="119" t="n">
        <v>116.7131162462474</v>
      </c>
      <c r="C347" s="119" t="n">
        <v>118.2163817533873</v>
      </c>
      <c r="D347" s="119" t="n">
        <v>116.2929518772022</v>
      </c>
      <c r="E347" s="119" t="n">
        <v>116.5730590820312</v>
      </c>
      <c r="F347" s="120" t="n">
        <v>9397900</v>
      </c>
      <c r="G347" s="121" t="n">
        <v>0.002569699902908784</v>
      </c>
      <c r="H347" s="122" t="n">
        <v>74.556555912791</v>
      </c>
      <c r="I347" s="119" t="n">
        <v>99.86100692749024</v>
      </c>
      <c r="J347" s="119" t="n">
        <v>102.1388947677612</v>
      </c>
      <c r="K347" s="121" t="n">
        <v>0.5151872721967302</v>
      </c>
      <c r="L347" s="121" t="n">
        <v>0</v>
      </c>
      <c r="M347" s="121" t="n">
        <v>-0.196079423825485</v>
      </c>
      <c r="N347" t="n">
        <v>70.52193071367203</v>
      </c>
      <c r="O347" t="n">
        <v>0.7403352334052875</v>
      </c>
      <c r="P347" t="n">
        <v>88.39283519210709</v>
      </c>
      <c r="Q347" t="n">
        <v>72.88806320523908</v>
      </c>
    </row>
    <row r="348">
      <c r="A348" s="118" t="n">
        <v>44936</v>
      </c>
      <c r="B348" s="119" t="n">
        <v>116.9091973330044</v>
      </c>
      <c r="C348" s="119" t="n">
        <v>117.9549494540098</v>
      </c>
      <c r="D348" s="119" t="n">
        <v>116.1248885849531</v>
      </c>
      <c r="E348" s="119" t="n">
        <v>117.497428894043</v>
      </c>
      <c r="F348" s="120" t="n">
        <v>5899900</v>
      </c>
      <c r="G348" s="121" t="n">
        <v>0.007929532083062574</v>
      </c>
      <c r="H348" s="122" t="n">
        <v>75.14775451490414</v>
      </c>
      <c r="I348" s="119" t="n">
        <v>100.5253764343262</v>
      </c>
      <c r="J348" s="119" t="n">
        <v>102.1149256896973</v>
      </c>
      <c r="K348" s="121" t="n">
        <v>0.5075677174033572</v>
      </c>
      <c r="L348" s="121" t="n">
        <v>0</v>
      </c>
      <c r="M348" s="121" t="n">
        <v>-0.1643648018648018</v>
      </c>
      <c r="N348" t="n">
        <v>71.57409239576072</v>
      </c>
      <c r="O348" t="n">
        <v>0.7657111588816727</v>
      </c>
      <c r="P348" t="n">
        <v>89.01271501733653</v>
      </c>
      <c r="Q348" t="n">
        <v>73.50501031461357</v>
      </c>
    </row>
    <row r="349">
      <c r="A349" s="118" t="n">
        <v>44937</v>
      </c>
      <c r="B349" s="119" t="n">
        <v>117.9455941542447</v>
      </c>
      <c r="C349" s="119" t="n">
        <v>119.756976685211</v>
      </c>
      <c r="D349" s="119" t="n">
        <v>117.656147935728</v>
      </c>
      <c r="E349" s="119" t="n">
        <v>119.4581985473633</v>
      </c>
      <c r="F349" s="120" t="n">
        <v>6989200</v>
      </c>
      <c r="G349" s="121" t="n">
        <v>0.01668776646243475</v>
      </c>
      <c r="H349" s="122" t="n">
        <v>76.40180269242522</v>
      </c>
      <c r="I349" s="119" t="n">
        <v>101.1677117919922</v>
      </c>
      <c r="J349" s="119" t="n">
        <v>102.0932608413696</v>
      </c>
      <c r="K349" s="121" t="n">
        <v>0.5049703891960969</v>
      </c>
      <c r="L349" s="121" t="n">
        <v>0</v>
      </c>
      <c r="M349" s="121" t="n">
        <v>-0.1504199168305314</v>
      </c>
      <c r="N349" t="n">
        <v>73.71709326131484</v>
      </c>
      <c r="O349" t="n">
        <v>0.8328050861343859</v>
      </c>
      <c r="P349" t="n">
        <v>90.13853339064931</v>
      </c>
      <c r="Q349" t="n">
        <v>74.77665934055634</v>
      </c>
    </row>
    <row r="350">
      <c r="A350" s="118" t="n">
        <v>44938</v>
      </c>
      <c r="B350" s="119" t="n">
        <v>119.8410171308636</v>
      </c>
      <c r="C350" s="119" t="n">
        <v>119.9437252290534</v>
      </c>
      <c r="D350" s="119" t="n">
        <v>118.0763084999664</v>
      </c>
      <c r="E350" s="119" t="n">
        <v>119.411506652832</v>
      </c>
      <c r="F350" s="120" t="n">
        <v>8366400</v>
      </c>
      <c r="G350" s="121" t="n">
        <v>-0.0003908638762264438</v>
      </c>
      <c r="H350" s="122" t="n">
        <v>76.37193998767418</v>
      </c>
      <c r="I350" s="119" t="n">
        <v>101.8305227661133</v>
      </c>
      <c r="J350" s="119" t="n">
        <v>102.0662238693237</v>
      </c>
      <c r="K350" s="121" t="n">
        <v>0.5056711163883986</v>
      </c>
      <c r="L350" s="121" t="n">
        <v>-0.0003908638762263328</v>
      </c>
      <c r="M350" s="121" t="n">
        <v>-0.1507519869950038</v>
      </c>
      <c r="N350" t="n">
        <v>73.57484826970325</v>
      </c>
      <c r="O350" t="n">
        <v>0.7925202367163475</v>
      </c>
      <c r="P350" t="n">
        <v>90.46669736134825</v>
      </c>
      <c r="Q350" t="n">
        <v>75.1807784068011</v>
      </c>
    </row>
    <row r="351">
      <c r="A351" s="118" t="n">
        <v>44939</v>
      </c>
      <c r="B351" s="119" t="n">
        <v>118.2630756688932</v>
      </c>
      <c r="C351" s="119" t="n">
        <v>120.6626900484504</v>
      </c>
      <c r="D351" s="119" t="n">
        <v>118.2630756688932</v>
      </c>
      <c r="E351" s="119" t="n">
        <v>120.3078918457031</v>
      </c>
      <c r="F351" s="120" t="n">
        <v>4856500</v>
      </c>
      <c r="G351" s="121" t="n">
        <v>0.007506690251193104</v>
      </c>
      <c r="H351" s="122" t="n">
        <v>76.94524048504435</v>
      </c>
      <c r="I351" s="119" t="n">
        <v>102.4909687805176</v>
      </c>
      <c r="J351" s="119" t="n">
        <v>102.0236232376099</v>
      </c>
      <c r="K351" s="121" t="n">
        <v>0.5005898440265502</v>
      </c>
      <c r="L351" s="121" t="n">
        <v>0</v>
      </c>
      <c r="M351" s="121" t="n">
        <v>-0.1293910992156513</v>
      </c>
      <c r="N351" t="n">
        <v>74.58860814203705</v>
      </c>
      <c r="O351" t="n">
        <v>0.7454229113158632</v>
      </c>
      <c r="P351" t="n">
        <v>90.81767140834019</v>
      </c>
      <c r="Q351" t="n">
        <v>75.69807799505557</v>
      </c>
    </row>
    <row r="352">
      <c r="A352" s="118" t="n">
        <v>44943</v>
      </c>
      <c r="B352" s="119" t="n">
        <v>119.5142251234641</v>
      </c>
      <c r="C352" s="119" t="n">
        <v>120.4946181008712</v>
      </c>
      <c r="D352" s="119" t="n">
        <v>119.3554970028867</v>
      </c>
      <c r="E352" s="119" t="n">
        <v>119.6449432373047</v>
      </c>
      <c r="F352" s="120" t="n">
        <v>6172200</v>
      </c>
      <c r="G352" s="121" t="n">
        <v>-0.005510433257767344</v>
      </c>
      <c r="H352" s="122" t="n">
        <v>76.52123887284866</v>
      </c>
      <c r="I352" s="119" t="n">
        <v>103.2027565002441</v>
      </c>
      <c r="J352" s="119" t="n">
        <v>101.9804855728149</v>
      </c>
      <c r="K352" s="121" t="n">
        <v>0.487028011632109</v>
      </c>
      <c r="L352" s="121" t="n">
        <v>-0.005510433257767344</v>
      </c>
      <c r="M352" s="121" t="n">
        <v>-0.1290651323088188</v>
      </c>
      <c r="N352" t="n">
        <v>72.37709943252673</v>
      </c>
      <c r="O352" t="n">
        <v>0.5953125676639441</v>
      </c>
      <c r="P352" t="n">
        <v>90.65131641634481</v>
      </c>
      <c r="Q352" t="n">
        <v>75.85163099089112</v>
      </c>
    </row>
    <row r="353">
      <c r="A353" s="118" t="n">
        <v>44944</v>
      </c>
      <c r="B353" s="119" t="n">
        <v>119.3274875877858</v>
      </c>
      <c r="C353" s="119" t="n">
        <v>120.0651081808563</v>
      </c>
      <c r="D353" s="119" t="n">
        <v>117.646815939213</v>
      </c>
      <c r="E353" s="119" t="n">
        <v>118.0483093261719</v>
      </c>
      <c r="F353" s="120" t="n">
        <v>6828800</v>
      </c>
      <c r="G353" s="121" t="n">
        <v>-0.01334476717470656</v>
      </c>
      <c r="H353" s="122" t="n">
        <v>75.50008075617039</v>
      </c>
      <c r="I353" s="119" t="n">
        <v>103.8807501220703</v>
      </c>
      <c r="J353" s="119" t="n">
        <v>101.9477898406982</v>
      </c>
      <c r="K353" s="121" t="n">
        <v>0.4792931233202742</v>
      </c>
      <c r="L353" s="121" t="n">
        <v>-0.01878166498361722</v>
      </c>
      <c r="M353" s="121" t="n">
        <v>-0.1406875553424914</v>
      </c>
      <c r="N353" t="n">
        <v>67.20874702089591</v>
      </c>
      <c r="O353" t="n">
        <v>0.3275622396031892</v>
      </c>
      <c r="P353" t="n">
        <v>89.22009323327723</v>
      </c>
      <c r="Q353" t="n">
        <v>74.86557610647621</v>
      </c>
    </row>
    <row r="354">
      <c r="A354" s="118" t="n">
        <v>44945</v>
      </c>
      <c r="B354" s="119" t="n">
        <v>116.5170343706226</v>
      </c>
      <c r="C354" s="119" t="n">
        <v>117.1239439753677</v>
      </c>
      <c r="D354" s="119" t="n">
        <v>115.4152623127108</v>
      </c>
      <c r="E354" s="119" t="n">
        <v>116.2742691040039</v>
      </c>
      <c r="F354" s="120" t="n">
        <v>5273500</v>
      </c>
      <c r="G354" s="121" t="n">
        <v>-0.01502808665616917</v>
      </c>
      <c r="H354" s="122" t="n">
        <v>74.3654590000189</v>
      </c>
      <c r="I354" s="119" t="n">
        <v>104.422917175293</v>
      </c>
      <c r="J354" s="119" t="n">
        <v>101.9110384368897</v>
      </c>
      <c r="K354" s="121" t="n">
        <v>0.4686575041236057</v>
      </c>
      <c r="L354" s="121" t="n">
        <v>-0.03352749915086528</v>
      </c>
      <c r="M354" s="121" t="n">
        <v>-0.153601377225529</v>
      </c>
      <c r="N354" t="n">
        <v>61.91807110146783</v>
      </c>
      <c r="O354" t="n">
        <v>-0.01195487390629602</v>
      </c>
      <c r="P354" t="n">
        <v>88.5705879486277</v>
      </c>
      <c r="Q354" t="n">
        <v>74.13005373264187</v>
      </c>
    </row>
    <row r="355">
      <c r="A355" s="118" t="n">
        <v>44946</v>
      </c>
      <c r="B355" s="119" t="n">
        <v>116.4143333850734</v>
      </c>
      <c r="C355" s="119" t="n">
        <v>118.2443942312055</v>
      </c>
      <c r="D355" s="119" t="n">
        <v>115.8167627872998</v>
      </c>
      <c r="E355" s="119" t="n">
        <v>118.2257232666016</v>
      </c>
      <c r="F355" s="120" t="n">
        <v>5673200</v>
      </c>
      <c r="G355" s="121" t="n">
        <v>0.01678319870453993</v>
      </c>
      <c r="H355" s="122" t="n">
        <v>75.61354927517053</v>
      </c>
      <c r="I355" s="119" t="n">
        <v>105.0478634643555</v>
      </c>
      <c r="J355" s="119" t="n">
        <v>101.880248374939</v>
      </c>
      <c r="K355" s="121" t="n">
        <v>0.4681769864957817</v>
      </c>
      <c r="L355" s="121" t="n">
        <v>-0.01730699912664069</v>
      </c>
      <c r="M355" s="121" t="n">
        <v>-0.1393961009562561</v>
      </c>
      <c r="N355" t="n">
        <v>65.16642258548805</v>
      </c>
      <c r="O355" t="n">
        <v>-0.1408763742883297</v>
      </c>
      <c r="P355" t="n">
        <v>90.22057983853998</v>
      </c>
      <c r="Q355" t="n">
        <v>76.15877054239087</v>
      </c>
    </row>
    <row r="356">
      <c r="A356" s="118" t="n">
        <v>44949</v>
      </c>
      <c r="B356" s="119" t="n">
        <v>118.4871539078332</v>
      </c>
      <c r="C356" s="119" t="n">
        <v>120.2145065579255</v>
      </c>
      <c r="D356" s="119" t="n">
        <v>118.1510195720355</v>
      </c>
      <c r="E356" s="119" t="n">
        <v>119.7849960327148</v>
      </c>
      <c r="F356" s="120" t="n">
        <v>5581600</v>
      </c>
      <c r="G356" s="121" t="n">
        <v>0.01318894672859883</v>
      </c>
      <c r="H356" s="122" t="n">
        <v>76.61081234852104</v>
      </c>
      <c r="I356" s="119" t="n">
        <v>105.6982238769531</v>
      </c>
      <c r="J356" s="119" t="n">
        <v>101.8666985702515</v>
      </c>
      <c r="K356" s="121" t="n">
        <v>0.218312749327383</v>
      </c>
      <c r="L356" s="121" t="n">
        <v>-0.004346313487554987</v>
      </c>
      <c r="M356" s="121" t="n">
        <v>-0.1280456419773436</v>
      </c>
      <c r="N356" t="n">
        <v>67.54835388535159</v>
      </c>
      <c r="O356" t="n">
        <v>-0.1557493609574099</v>
      </c>
      <c r="P356" t="n">
        <v>91.30309107082962</v>
      </c>
      <c r="Q356" t="n">
        <v>77.85070608201445</v>
      </c>
    </row>
    <row r="357">
      <c r="A357" s="118" t="n">
        <v>44950</v>
      </c>
      <c r="B357" s="119" t="n">
        <v>118.4031053617402</v>
      </c>
      <c r="C357" s="119" t="n">
        <v>119.5235482907832</v>
      </c>
      <c r="D357" s="119" t="n">
        <v>112.464742165887</v>
      </c>
      <c r="E357" s="119" t="n">
        <v>118.4217834472656</v>
      </c>
      <c r="F357" s="120" t="n">
        <v>5486200</v>
      </c>
      <c r="G357" s="121" t="n">
        <v>-0.01138049530908614</v>
      </c>
      <c r="H357" s="122" t="n">
        <v>75.73894335796342</v>
      </c>
      <c r="I357" s="119" t="n">
        <v>106.3520381164551</v>
      </c>
      <c r="J357" s="119" t="n">
        <v>101.8645728302002</v>
      </c>
      <c r="K357" s="121" t="n">
        <v>0.2257591578105431</v>
      </c>
      <c r="L357" s="121" t="n">
        <v>-0.01567734559638412</v>
      </c>
      <c r="M357" s="121" t="n">
        <v>-0.1379689144585577</v>
      </c>
      <c r="N357" t="n">
        <v>63.46257359452424</v>
      </c>
      <c r="O357" t="n">
        <v>-0.2845104855600384</v>
      </c>
      <c r="P357" t="n">
        <v>91.20512266598568</v>
      </c>
      <c r="Q357" t="n">
        <v>77.69175834372876</v>
      </c>
    </row>
    <row r="358">
      <c r="A358" s="118" t="n">
        <v>44951</v>
      </c>
      <c r="B358" s="119" t="n">
        <v>117.516096867021</v>
      </c>
      <c r="C358" s="119" t="n">
        <v>118.5898589046583</v>
      </c>
      <c r="D358" s="119" t="n">
        <v>116.5543819795763</v>
      </c>
      <c r="E358" s="119" t="n">
        <v>118.4124526977539</v>
      </c>
      <c r="F358" s="120" t="n">
        <v>5933700</v>
      </c>
      <c r="G358" s="121" t="n">
        <v>-7.879250962194995e-05</v>
      </c>
      <c r="H358" s="122" t="n">
        <v>75.73297569654012</v>
      </c>
      <c r="I358" s="119" t="n">
        <v>106.8680862426758</v>
      </c>
      <c r="J358" s="119" t="n">
        <v>101.8576782608032</v>
      </c>
      <c r="K358" s="121" t="n">
        <v>0.22430917245368</v>
      </c>
      <c r="L358" s="121" t="n">
        <v>-0.01575490284860248</v>
      </c>
      <c r="M358" s="121" t="n">
        <v>-0.1380368360511597</v>
      </c>
      <c r="N358" t="n">
        <v>63.4342908236454</v>
      </c>
      <c r="O358" t="n">
        <v>-0.3908545849183307</v>
      </c>
      <c r="P358" t="n">
        <v>91.2392941386976</v>
      </c>
      <c r="Q358" t="n">
        <v>77.5193531141678</v>
      </c>
    </row>
    <row r="359">
      <c r="A359" s="118" t="n">
        <v>44952</v>
      </c>
      <c r="B359" s="119" t="n">
        <v>119.9437236522555</v>
      </c>
      <c r="C359" s="119" t="n">
        <v>120.4385860514271</v>
      </c>
      <c r="D359" s="119" t="n">
        <v>117.6561426414482</v>
      </c>
      <c r="E359" s="119" t="n">
        <v>119.0753707885742</v>
      </c>
      <c r="F359" s="120" t="n">
        <v>5838800</v>
      </c>
      <c r="G359" s="121" t="n">
        <v>0.005598381552930132</v>
      </c>
      <c r="H359" s="122" t="n">
        <v>76.15695779062814</v>
      </c>
      <c r="I359" s="119" t="n">
        <v>107.2745208740234</v>
      </c>
      <c r="J359" s="119" t="n">
        <v>101.8597925949097</v>
      </c>
      <c r="K359" s="121" t="n">
        <v>0.222923442209399</v>
      </c>
      <c r="L359" s="121" t="n">
        <v>-0.01024472325314818</v>
      </c>
      <c r="M359" s="121" t="n">
        <v>-0.1332112373748032</v>
      </c>
      <c r="N359" t="n">
        <v>64.64000533963423</v>
      </c>
      <c r="O359" t="n">
        <v>-0.4337812065748849</v>
      </c>
      <c r="P359" t="n">
        <v>92.2420355665531</v>
      </c>
      <c r="Q359" t="n">
        <v>79.03075355574802</v>
      </c>
    </row>
    <row r="360">
      <c r="A360" s="118" t="n">
        <v>44953</v>
      </c>
      <c r="B360" s="119" t="n">
        <v>118.6458674397913</v>
      </c>
      <c r="C360" s="119" t="n">
        <v>120.0557636680062</v>
      </c>
      <c r="D360" s="119" t="n">
        <v>118.3003941028215</v>
      </c>
      <c r="E360" s="119" t="n">
        <v>119.0753707885742</v>
      </c>
      <c r="F360" s="120" t="n">
        <v>5730000</v>
      </c>
      <c r="G360" s="121" t="n">
        <v>0</v>
      </c>
      <c r="H360" s="122" t="n">
        <v>76.15695779062814</v>
      </c>
      <c r="I360" s="119" t="n">
        <v>107.7126043701172</v>
      </c>
      <c r="J360" s="119" t="n">
        <v>101.8765822601318</v>
      </c>
      <c r="K360" s="121" t="n">
        <v>0.2013922928849757</v>
      </c>
      <c r="L360" s="121" t="n">
        <v>-0.01024472325314818</v>
      </c>
      <c r="M360" s="121" t="n">
        <v>-0.1332112373748032</v>
      </c>
      <c r="N360" t="n">
        <v>64.64000533963423</v>
      </c>
      <c r="O360" t="n">
        <v>-0.4760259061124827</v>
      </c>
      <c r="P360" t="n">
        <v>92.45399616389196</v>
      </c>
      <c r="Q360" t="n">
        <v>79.81747144813708</v>
      </c>
    </row>
    <row r="361">
      <c r="A361" s="118" t="n">
        <v>44956</v>
      </c>
      <c r="B361" s="119" t="n">
        <v>118.113658113176</v>
      </c>
      <c r="C361" s="119" t="n">
        <v>119.1033829292751</v>
      </c>
      <c r="D361" s="119" t="n">
        <v>117.8428828642502</v>
      </c>
      <c r="E361" s="119" t="n">
        <v>117.9922790527344</v>
      </c>
      <c r="F361" s="120" t="n">
        <v>6494600</v>
      </c>
      <c r="G361" s="121" t="n">
        <v>-0.009095850205353861</v>
      </c>
      <c r="H361" s="122" t="n">
        <v>75.46424551046913</v>
      </c>
      <c r="I361" s="119" t="n">
        <v>108.0858346557617</v>
      </c>
      <c r="J361" s="119" t="n">
        <v>101.8876786422729</v>
      </c>
      <c r="K361" s="121" t="n">
        <v>0.1989672985579006</v>
      </c>
      <c r="L361" s="121" t="n">
        <v>-0.01924738899039613</v>
      </c>
      <c r="M361" s="121" t="n">
        <v>-0.141095418119326</v>
      </c>
      <c r="N361" t="n">
        <v>60.83876263808052</v>
      </c>
      <c r="O361" t="n">
        <v>-0.5836640780724682</v>
      </c>
      <c r="P361" t="n">
        <v>91.29398449700345</v>
      </c>
      <c r="Q361" t="n">
        <v>78.20365479957594</v>
      </c>
    </row>
    <row r="362">
      <c r="A362" s="118" t="n">
        <v>44957</v>
      </c>
      <c r="B362" s="119" t="n">
        <v>118.0389740916194</v>
      </c>
      <c r="C362" s="119" t="n">
        <v>119.3741724100696</v>
      </c>
      <c r="D362" s="119" t="n">
        <v>117.6561587792934</v>
      </c>
      <c r="E362" s="119" t="n">
        <v>118.8886489868164</v>
      </c>
      <c r="F362" s="120" t="n">
        <v>7686900</v>
      </c>
      <c r="G362" s="121" t="n">
        <v>0.00759685244897601</v>
      </c>
      <c r="H362" s="122" t="n">
        <v>76.03753624878547</v>
      </c>
      <c r="I362" s="119" t="n">
        <v>108.5045457458496</v>
      </c>
      <c r="J362" s="119" t="n">
        <v>101.8919149017334</v>
      </c>
      <c r="K362" s="121" t="n">
        <v>0.1977771544055738</v>
      </c>
      <c r="L362" s="121" t="n">
        <v>-0.01179675611560804</v>
      </c>
      <c r="M362" s="121" t="n">
        <v>-0.1345704467430291</v>
      </c>
      <c r="N362" t="n">
        <v>62.78906318201761</v>
      </c>
      <c r="O362" t="n">
        <v>-0.5989921329388905</v>
      </c>
      <c r="P362" t="n">
        <v>92.63630948094693</v>
      </c>
      <c r="Q362" t="n">
        <v>79.37561435461291</v>
      </c>
    </row>
    <row r="363">
      <c r="A363" s="118" t="n">
        <v>44958</v>
      </c>
      <c r="B363" s="119" t="n">
        <v>119.4208457730535</v>
      </c>
      <c r="C363" s="119" t="n">
        <v>121.587040631879</v>
      </c>
      <c r="D363" s="119" t="n">
        <v>117.8522214184832</v>
      </c>
      <c r="E363" s="119" t="n">
        <v>120.9147720336914</v>
      </c>
      <c r="F363" s="120" t="n">
        <v>6387900</v>
      </c>
      <c r="G363" s="121" t="n">
        <v>0.0170421908579319</v>
      </c>
      <c r="H363" s="122" t="n">
        <v>77.33338245390419</v>
      </c>
      <c r="I363" s="119" t="n">
        <v>108.9613589477539</v>
      </c>
      <c r="J363" s="119" t="n">
        <v>101.878643951416</v>
      </c>
      <c r="K363" s="121" t="n">
        <v>0.1994584902574068</v>
      </c>
      <c r="L363" s="121" t="n">
        <v>0</v>
      </c>
      <c r="M363" s="121" t="n">
        <v>-0.119821631122329</v>
      </c>
      <c r="N363" t="n">
        <v>66.81238191148685</v>
      </c>
      <c r="O363" t="n">
        <v>-0.482195044206891</v>
      </c>
      <c r="P363" t="n">
        <v>93.6208377611501</v>
      </c>
      <c r="Q363" t="n">
        <v>81.07295302664377</v>
      </c>
    </row>
    <row r="364">
      <c r="A364" s="118" t="n">
        <v>44959</v>
      </c>
      <c r="B364" s="119" t="n">
        <v>121.8017935549658</v>
      </c>
      <c r="C364" s="119" t="n">
        <v>122.6047802874281</v>
      </c>
      <c r="D364" s="119" t="n">
        <v>119.3835014381708</v>
      </c>
      <c r="E364" s="119" t="n">
        <v>120.5039443969727</v>
      </c>
      <c r="F364" s="120" t="n">
        <v>5214500</v>
      </c>
      <c r="G364" s="121" t="n">
        <v>-0.003397662914207733</v>
      </c>
      <c r="H364" s="122" t="n">
        <v>77.07062968831031</v>
      </c>
      <c r="I364" s="119" t="n">
        <v>109.4088388061523</v>
      </c>
      <c r="J364" s="119" t="n">
        <v>101.8717906570435</v>
      </c>
      <c r="K364" s="121" t="n">
        <v>0.1915324113800431</v>
      </c>
      <c r="L364" s="121" t="n">
        <v>-0.003397662914207955</v>
      </c>
      <c r="M364" s="121" t="n">
        <v>-0.1228121805241525</v>
      </c>
      <c r="N364" t="n">
        <v>65.27133850425849</v>
      </c>
      <c r="O364" t="n">
        <v>-0.4431286509682208</v>
      </c>
      <c r="P364" t="n">
        <v>94.98367435706625</v>
      </c>
      <c r="Q364" t="n">
        <v>83.98264050745176</v>
      </c>
    </row>
    <row r="365">
      <c r="A365" s="118" t="n">
        <v>44960</v>
      </c>
      <c r="B365" s="119" t="n">
        <v>118.3844401191485</v>
      </c>
      <c r="C365" s="119" t="n">
        <v>120.8400813377981</v>
      </c>
      <c r="D365" s="119" t="n">
        <v>118.0576448426899</v>
      </c>
      <c r="E365" s="119" t="n">
        <v>119.1500778198242</v>
      </c>
      <c r="F365" s="120" t="n">
        <v>4930200</v>
      </c>
      <c r="G365" s="121" t="n">
        <v>-0.01123503951612104</v>
      </c>
      <c r="H365" s="122" t="n">
        <v>76.20473811822981</v>
      </c>
      <c r="I365" s="119" t="n">
        <v>109.8588423156738</v>
      </c>
      <c r="J365" s="119" t="n">
        <v>101.8330765914917</v>
      </c>
      <c r="K365" s="121" t="n">
        <v>0.1963672633012398</v>
      </c>
      <c r="L365" s="121" t="n">
        <v>-0.01459452955322527</v>
      </c>
      <c r="M365" s="121" t="n">
        <v>-0.1195230940534751</v>
      </c>
      <c r="N365" t="n">
        <v>60.33265439031792</v>
      </c>
      <c r="O365" t="n">
        <v>-0.514002838894704</v>
      </c>
      <c r="P365" t="n">
        <v>93.97407390435606</v>
      </c>
      <c r="Q365" t="n">
        <v>82.49008390963979</v>
      </c>
    </row>
    <row r="366">
      <c r="A366" s="118" t="n">
        <v>44963</v>
      </c>
      <c r="B366" s="119" t="n">
        <v>117.198622450828</v>
      </c>
      <c r="C366" s="119" t="n">
        <v>117.740172940284</v>
      </c>
      <c r="D366" s="119" t="n">
        <v>116.0781795489763</v>
      </c>
      <c r="E366" s="119" t="n">
        <v>117.3947067260742</v>
      </c>
      <c r="F366" s="120" t="n">
        <v>4666400</v>
      </c>
      <c r="G366" s="121" t="n">
        <v>-0.01473243766071586</v>
      </c>
      <c r="H366" s="122" t="n">
        <v>75.08205656445182</v>
      </c>
      <c r="I366" s="119" t="n">
        <v>110.2338973999023</v>
      </c>
      <c r="J366" s="119" t="n">
        <v>101.7910483551025</v>
      </c>
      <c r="K366" s="121" t="n">
        <v>0.1721799110286553</v>
      </c>
      <c r="L366" s="121" t="n">
        <v>-0.02911195421711077</v>
      </c>
      <c r="M366" s="121" t="n">
        <v>-0.1324946651820321</v>
      </c>
      <c r="N366" t="n">
        <v>54.56762481708039</v>
      </c>
      <c r="O366" t="n">
        <v>-0.6745218749671893</v>
      </c>
      <c r="P366" t="n">
        <v>93.39976331636379</v>
      </c>
      <c r="Q366" t="n">
        <v>81.79228278317058</v>
      </c>
    </row>
    <row r="367">
      <c r="A367" s="118" t="n">
        <v>44964</v>
      </c>
      <c r="B367" s="119" t="n">
        <v>115.7420619196277</v>
      </c>
      <c r="C367" s="119" t="n">
        <v>117.5814617659683</v>
      </c>
      <c r="D367" s="119" t="n">
        <v>115.0791322761552</v>
      </c>
      <c r="E367" s="119" t="n">
        <v>117.021240234375</v>
      </c>
      <c r="F367" s="120" t="n">
        <v>5288900</v>
      </c>
      <c r="G367" s="121" t="n">
        <v>-0.003181289021579659</v>
      </c>
      <c r="H367" s="122" t="n">
        <v>74.8431988421857</v>
      </c>
      <c r="I367" s="119" t="n">
        <v>110.5888243103027</v>
      </c>
      <c r="J367" s="119" t="n">
        <v>101.7490507888794</v>
      </c>
      <c r="K367" s="121" t="n">
        <v>0.1724886119874569</v>
      </c>
      <c r="L367" s="121" t="n">
        <v>-0.03220062969834281</v>
      </c>
      <c r="M367" s="121" t="n">
        <v>-0.1352544503798503</v>
      </c>
      <c r="N367" t="n">
        <v>53.3985403898574</v>
      </c>
      <c r="O367" t="n">
        <v>-0.7930865969156731</v>
      </c>
      <c r="P367" t="n">
        <v>94.62130981917031</v>
      </c>
      <c r="Q367" t="n">
        <v>83.48690310908351</v>
      </c>
    </row>
    <row r="368">
      <c r="A368" s="118" t="n">
        <v>44965</v>
      </c>
      <c r="B368" s="119" t="n">
        <v>115.2005159525039</v>
      </c>
      <c r="C368" s="119" t="n">
        <v>115.8727846667029</v>
      </c>
      <c r="D368" s="119" t="n">
        <v>113.7252675225711</v>
      </c>
      <c r="E368" s="119" t="n">
        <v>114.7616806030273</v>
      </c>
      <c r="F368" s="120" t="n">
        <v>5877800</v>
      </c>
      <c r="G368" s="121" t="n">
        <v>-0.01930897012219424</v>
      </c>
      <c r="H368" s="122" t="n">
        <v>73.39805375189249</v>
      </c>
      <c r="I368" s="119" t="n">
        <v>110.9114056396484</v>
      </c>
      <c r="J368" s="119" t="n">
        <v>101.725337562561</v>
      </c>
      <c r="K368" s="121" t="n">
        <v>0.1831678052954982</v>
      </c>
      <c r="L368" s="121" t="n">
        <v>-0.05088783882377601</v>
      </c>
      <c r="M368" s="121" t="n">
        <v>-0.1519517963607662</v>
      </c>
      <c r="N368" t="n">
        <v>46.8575005736699</v>
      </c>
      <c r="O368" t="n">
        <v>-0.9976982620534969</v>
      </c>
      <c r="P368" t="n">
        <v>93.58665174119564</v>
      </c>
      <c r="Q368" t="n">
        <v>82.00241765005384</v>
      </c>
    </row>
    <row r="369">
      <c r="A369" s="118" t="n">
        <v>44966</v>
      </c>
      <c r="B369" s="119" t="n">
        <v>116.4423272925568</v>
      </c>
      <c r="C369" s="119" t="n">
        <v>116.7317735073163</v>
      </c>
      <c r="D369" s="119" t="n">
        <v>113.4451356740259</v>
      </c>
      <c r="E369" s="119" t="n">
        <v>114.0800552368164</v>
      </c>
      <c r="F369" s="120" t="n">
        <v>5929000</v>
      </c>
      <c r="G369" s="121" t="n">
        <v>-0.005939485746716766</v>
      </c>
      <c r="H369" s="122" t="n">
        <v>72.96210705779637</v>
      </c>
      <c r="I369" s="119" t="n">
        <v>111.2389710998535</v>
      </c>
      <c r="J369" s="119" t="n">
        <v>101.7034474563599</v>
      </c>
      <c r="K369" s="121" t="n">
        <v>0.1712209008233408</v>
      </c>
      <c r="L369" s="121" t="n">
        <v>-0.05652507697711773</v>
      </c>
      <c r="M369" s="121" t="n">
        <v>-0.1569887665788101</v>
      </c>
      <c r="N369" t="n">
        <v>45.06418965424276</v>
      </c>
      <c r="O369" t="n">
        <v>-1.142542367973141</v>
      </c>
      <c r="P369" t="n">
        <v>92.7753229306</v>
      </c>
      <c r="Q369" t="n">
        <v>81.27767637116261</v>
      </c>
    </row>
    <row r="370">
      <c r="A370" s="118" t="n">
        <v>44967</v>
      </c>
      <c r="B370" s="119" t="n">
        <v>113.4544709140491</v>
      </c>
      <c r="C370" s="119" t="n">
        <v>114.5095547611971</v>
      </c>
      <c r="D370" s="119" t="n">
        <v>112.5487761288785</v>
      </c>
      <c r="E370" s="119" t="n">
        <v>114.1267395019531</v>
      </c>
      <c r="F370" s="120" t="n">
        <v>5195500</v>
      </c>
      <c r="G370" s="121" t="n">
        <v>0.0004092237248640718</v>
      </c>
      <c r="H370" s="122" t="n">
        <v>72.9919648830205</v>
      </c>
      <c r="I370" s="119" t="n">
        <v>111.543454284668</v>
      </c>
      <c r="J370" s="119" t="n">
        <v>101.716141204834</v>
      </c>
      <c r="K370" s="121" t="n">
        <v>0.1713593361073753</v>
      </c>
      <c r="L370" s="121" t="n">
        <v>-0.05613898465480238</v>
      </c>
      <c r="M370" s="121" t="n">
        <v>-0.1566437863817672</v>
      </c>
      <c r="N370" t="n">
        <v>45.21882802279722</v>
      </c>
      <c r="O370" t="n">
        <v>-1.193249253911318</v>
      </c>
      <c r="P370" t="n">
        <v>92.9918295412307</v>
      </c>
      <c r="Q370" t="n">
        <v>80.74424289530069</v>
      </c>
    </row>
    <row r="371">
      <c r="A371" s="118" t="n">
        <v>44970</v>
      </c>
      <c r="B371" s="119" t="n">
        <v>114.6776231516778</v>
      </c>
      <c r="C371" s="119" t="n">
        <v>117.3853684940517</v>
      </c>
      <c r="D371" s="119" t="n">
        <v>114.3414888540809</v>
      </c>
      <c r="E371" s="119" t="n">
        <v>116.853157043457</v>
      </c>
      <c r="F371" s="120" t="n">
        <v>5689800</v>
      </c>
      <c r="G371" s="121" t="n">
        <v>0.02388938432309495</v>
      </c>
      <c r="H371" s="122" t="n">
        <v>74.73569798460883</v>
      </c>
      <c r="I371" s="119" t="n">
        <v>111.8384234619141</v>
      </c>
      <c r="J371" s="119" t="n">
        <v>101.7391339111328</v>
      </c>
      <c r="K371" s="121" t="n">
        <v>0.1922664124764054</v>
      </c>
      <c r="L371" s="121" t="n">
        <v>-0.03359072611163427</v>
      </c>
      <c r="M371" s="121" t="n">
        <v>-0.136496525673371</v>
      </c>
      <c r="N371" t="n">
        <v>53.45847906768964</v>
      </c>
      <c r="O371" t="n">
        <v>-1.008560641584745</v>
      </c>
      <c r="P371" t="n">
        <v>94.08345462096777</v>
      </c>
      <c r="Q371" t="n">
        <v>82.0374457211725</v>
      </c>
    </row>
    <row r="372">
      <c r="A372" s="118" t="n">
        <v>44971</v>
      </c>
      <c r="B372" s="119" t="n">
        <v>115.7327210754096</v>
      </c>
      <c r="C372" s="119" t="n">
        <v>117.9829533342622</v>
      </c>
      <c r="D372" s="119" t="n">
        <v>115.5366438985822</v>
      </c>
      <c r="E372" s="119" t="n">
        <v>117.8335571289062</v>
      </c>
      <c r="F372" s="120" t="n">
        <v>4845900</v>
      </c>
      <c r="G372" s="121" t="n">
        <v>0.008390017952913498</v>
      </c>
      <c r="H372" s="122" t="n">
        <v>75.36273183242321</v>
      </c>
      <c r="I372" s="119" t="n">
        <v>112.1265647888184</v>
      </c>
      <c r="J372" s="119" t="n">
        <v>101.7401315307617</v>
      </c>
      <c r="K372" s="121" t="n">
        <v>0.1946285667630805</v>
      </c>
      <c r="L372" s="121" t="n">
        <v>-0.025482534953849</v>
      </c>
      <c r="M372" s="121" t="n">
        <v>-0.1292517160213674</v>
      </c>
      <c r="N372" t="n">
        <v>56.0201698438647</v>
      </c>
      <c r="O372" t="n">
        <v>-0.7951404148733057</v>
      </c>
      <c r="P372" t="n">
        <v>94.04016930080842</v>
      </c>
      <c r="Q372" t="n">
        <v>82.64363690547536</v>
      </c>
    </row>
    <row r="373">
      <c r="A373" s="118" t="n">
        <v>44972</v>
      </c>
      <c r="B373" s="119" t="n">
        <v>116.6197489461101</v>
      </c>
      <c r="C373" s="119" t="n">
        <v>119.0473803761181</v>
      </c>
      <c r="D373" s="119" t="n">
        <v>116.6197489461101</v>
      </c>
      <c r="E373" s="119" t="n">
        <v>119.0287094116211</v>
      </c>
      <c r="F373" s="120" t="n">
        <v>5687900</v>
      </c>
      <c r="G373" s="121" t="n">
        <v>0.01014271580893866</v>
      </c>
      <c r="H373" s="122" t="n">
        <v>76.12711460398474</v>
      </c>
      <c r="I373" s="119" t="n">
        <v>112.4119050598145</v>
      </c>
      <c r="J373" s="119" t="n">
        <v>101.7579841995239</v>
      </c>
      <c r="K373" s="121" t="n">
        <v>0.1922176026671509</v>
      </c>
      <c r="L373" s="121" t="n">
        <v>-0.01559828125503848</v>
      </c>
      <c r="M373" s="121" t="n">
        <v>-0.1204199636358511</v>
      </c>
      <c r="N373" t="n">
        <v>58.98394089378472</v>
      </c>
      <c r="O373" t="n">
        <v>-0.5593823404586291</v>
      </c>
      <c r="P373" t="n">
        <v>94.34554501607816</v>
      </c>
      <c r="Q373" t="n">
        <v>83.27676824220025</v>
      </c>
    </row>
    <row r="374">
      <c r="A374" s="118" t="n">
        <v>44973</v>
      </c>
      <c r="B374" s="119" t="n">
        <v>117.11460163803</v>
      </c>
      <c r="C374" s="119" t="n">
        <v>118.7765951598854</v>
      </c>
      <c r="D374" s="119" t="n">
        <v>115.8821114997414</v>
      </c>
      <c r="E374" s="119" t="n">
        <v>116.1342086791992</v>
      </c>
      <c r="F374" s="120" t="n">
        <v>4722200</v>
      </c>
      <c r="G374" s="121" t="n">
        <v>-0.02431766879377151</v>
      </c>
      <c r="H374" s="122" t="n">
        <v>74.27588064481955</v>
      </c>
      <c r="I374" s="119" t="n">
        <v>112.6875344848633</v>
      </c>
      <c r="J374" s="119" t="n">
        <v>101.7549755096436</v>
      </c>
      <c r="K374" s="121" t="n">
        <v>0.2045903031222755</v>
      </c>
      <c r="L374" s="121" t="n">
        <v>-0.03953663621149783</v>
      </c>
      <c r="M374" s="121" t="n">
        <v>-0.141809299637768</v>
      </c>
      <c r="N374" t="n">
        <v>50.16654401930533</v>
      </c>
      <c r="O374" t="n">
        <v>-0.5816993194377598</v>
      </c>
      <c r="P374" t="n">
        <v>93.04653444677911</v>
      </c>
      <c r="Q374" t="n">
        <v>81.71415550215099</v>
      </c>
    </row>
    <row r="375">
      <c r="A375" s="118" t="n">
        <v>44974</v>
      </c>
      <c r="B375" s="119" t="n">
        <v>115.5086215700636</v>
      </c>
      <c r="C375" s="119" t="n">
        <v>116.6103935344304</v>
      </c>
      <c r="D375" s="119" t="n">
        <v>115.2565244049198</v>
      </c>
      <c r="E375" s="119" t="n">
        <v>116.5637054443359</v>
      </c>
      <c r="F375" s="120" t="n">
        <v>5161500</v>
      </c>
      <c r="G375" s="121" t="n">
        <v>0.003698279516616276</v>
      </c>
      <c r="H375" s="122" t="n">
        <v>74.55057361278692</v>
      </c>
      <c r="I375" s="119" t="n">
        <v>113.0033131408691</v>
      </c>
      <c r="J375" s="119" t="n">
        <v>101.7690211105347</v>
      </c>
      <c r="K375" s="121" t="n">
        <v>0.1954369984560798</v>
      </c>
      <c r="L375" s="121" t="n">
        <v>-0.03598457422673851</v>
      </c>
      <c r="M375" s="121" t="n">
        <v>-0.1173051824436712</v>
      </c>
      <c r="N375" t="n">
        <v>51.32918633818484</v>
      </c>
      <c r="O375" t="n">
        <v>-0.5511472839797418</v>
      </c>
      <c r="P375" t="n">
        <v>92.81406951108883</v>
      </c>
      <c r="Q375" t="n">
        <v>81.13759764651664</v>
      </c>
    </row>
    <row r="376">
      <c r="A376" s="118" t="n">
        <v>44978</v>
      </c>
      <c r="B376" s="119" t="n">
        <v>115.1071398866536</v>
      </c>
      <c r="C376" s="119" t="n">
        <v>115.7794085600044</v>
      </c>
      <c r="D376" s="119" t="n">
        <v>112.959622873009</v>
      </c>
      <c r="E376" s="119" t="n">
        <v>113.071662902832</v>
      </c>
      <c r="F376" s="120" t="n">
        <v>5110300</v>
      </c>
      <c r="G376" s="121" t="n">
        <v>-0.02995823209456483</v>
      </c>
      <c r="H376" s="122" t="n">
        <v>72.31717022571212</v>
      </c>
      <c r="I376" s="119" t="n">
        <v>113.2417813110352</v>
      </c>
      <c r="J376" s="119" t="n">
        <v>101.75079246521</v>
      </c>
      <c r="K376" s="121" t="n">
        <v>0.2140796729378499</v>
      </c>
      <c r="L376" s="121" t="n">
        <v>-0.06486477209479447</v>
      </c>
      <c r="M376" s="121" t="n">
        <v>-0.1437491586566932</v>
      </c>
      <c r="N376" t="n">
        <v>42.62224275874351</v>
      </c>
      <c r="O376" t="n">
        <v>-0.738066863672177</v>
      </c>
      <c r="P376" t="n">
        <v>90.95214611832274</v>
      </c>
      <c r="Q376" t="n">
        <v>79.21667500628438</v>
      </c>
    </row>
    <row r="377">
      <c r="A377" s="118" t="n">
        <v>44979</v>
      </c>
      <c r="B377" s="119" t="n">
        <v>113.0716760805856</v>
      </c>
      <c r="C377" s="119" t="n">
        <v>113.3517904349949</v>
      </c>
      <c r="D377" s="119" t="n">
        <v>111.7084676112418</v>
      </c>
      <c r="E377" s="119" t="n">
        <v>111.9512329101562</v>
      </c>
      <c r="F377" s="120" t="n">
        <v>5022000</v>
      </c>
      <c r="G377" s="121" t="n">
        <v>-0.009909025514541314</v>
      </c>
      <c r="H377" s="122" t="n">
        <v>71.60057754080611</v>
      </c>
      <c r="I377" s="119" t="n">
        <v>113.4012585449219</v>
      </c>
      <c r="J377" s="119" t="n">
        <v>101.7613583755493</v>
      </c>
      <c r="K377" s="121" t="n">
        <v>0.2133593051583213</v>
      </c>
      <c r="L377" s="121" t="n">
        <v>-0.07413105092765349</v>
      </c>
      <c r="M377" s="121" t="n">
        <v>-0.13100244431013</v>
      </c>
      <c r="N377" t="n">
        <v>40.26235982485124</v>
      </c>
      <c r="O377" t="n">
        <v>-0.8984618293534394</v>
      </c>
      <c r="P377" t="n">
        <v>90.82678525578764</v>
      </c>
      <c r="Q377" t="n">
        <v>79.27592488370709</v>
      </c>
    </row>
    <row r="378">
      <c r="A378" s="118" t="n">
        <v>44980</v>
      </c>
      <c r="B378" s="119" t="n">
        <v>112.754199393555</v>
      </c>
      <c r="C378" s="119" t="n">
        <v>112.754199393555</v>
      </c>
      <c r="D378" s="119" t="n">
        <v>110.6907125351407</v>
      </c>
      <c r="E378" s="119" t="n">
        <v>112.0072326660156</v>
      </c>
      <c r="F378" s="120" t="n">
        <v>4101900</v>
      </c>
      <c r="G378" s="121" t="n">
        <v>0.0005002156242828182</v>
      </c>
      <c r="H378" s="122" t="n">
        <v>71.63639326839969</v>
      </c>
      <c r="I378" s="119" t="n">
        <v>113.5980836486816</v>
      </c>
      <c r="J378" s="119" t="n">
        <v>101.7913702011108</v>
      </c>
      <c r="K378" s="121" t="n">
        <v>0.2134642212726131</v>
      </c>
      <c r="L378" s="121" t="n">
        <v>-0.07366791681328932</v>
      </c>
      <c r="M378" s="121" t="n">
        <v>-0.1305677581553104</v>
      </c>
      <c r="N378" t="n">
        <v>40.43985884938089</v>
      </c>
      <c r="O378" t="n">
        <v>-0.9566987372521929</v>
      </c>
      <c r="P378" t="n">
        <v>91.30994282206305</v>
      </c>
      <c r="Q378" t="n">
        <v>79.96832287776901</v>
      </c>
    </row>
    <row r="379">
      <c r="A379" s="118" t="n">
        <v>44981</v>
      </c>
      <c r="B379" s="119" t="n">
        <v>110.1491566348374</v>
      </c>
      <c r="C379" s="119" t="n">
        <v>110.8681061980128</v>
      </c>
      <c r="D379" s="119" t="n">
        <v>109.5609180504553</v>
      </c>
      <c r="E379" s="119" t="n">
        <v>110.2145156860352</v>
      </c>
      <c r="F379" s="120" t="n">
        <v>4693000</v>
      </c>
      <c r="G379" s="121" t="n">
        <v>-0.01600536802231345</v>
      </c>
      <c r="H379" s="122" t="n">
        <v>70.48982643034778</v>
      </c>
      <c r="I379" s="119" t="n">
        <v>113.7095678710938</v>
      </c>
      <c r="J379" s="119" t="n">
        <v>101.8276029968262</v>
      </c>
      <c r="K379" s="121" t="n">
        <v>0.2160963325772925</v>
      </c>
      <c r="L379" s="121" t="n">
        <v>-0.08849420271556885</v>
      </c>
      <c r="M379" s="121" t="n">
        <v>-0.1444833411564996</v>
      </c>
      <c r="N379" t="n">
        <v>36.68222970268135</v>
      </c>
      <c r="O379" t="n">
        <v>-1.063652351918799</v>
      </c>
      <c r="P379" t="n">
        <v>90.33452838930731</v>
      </c>
      <c r="Q379" t="n">
        <v>78.62932766574976</v>
      </c>
    </row>
    <row r="380">
      <c r="A380" s="118" t="n">
        <v>44984</v>
      </c>
      <c r="B380" s="119" t="n">
        <v>111.353642895167</v>
      </c>
      <c r="C380" s="119" t="n">
        <v>111.8765153339129</v>
      </c>
      <c r="D380" s="119" t="n">
        <v>110.4759580527554</v>
      </c>
      <c r="E380" s="119" t="n">
        <v>110.6720352172852</v>
      </c>
      <c r="F380" s="120" t="n">
        <v>4239800</v>
      </c>
      <c r="G380" s="121" t="n">
        <v>0.00415117308643187</v>
      </c>
      <c r="H380" s="122" t="n">
        <v>70.78244190069269</v>
      </c>
      <c r="I380" s="119" t="n">
        <v>113.8156365966797</v>
      </c>
      <c r="J380" s="119" t="n">
        <v>101.8740859603882</v>
      </c>
      <c r="K380" s="121" t="n">
        <v>0.2175544824425563</v>
      </c>
      <c r="L380" s="121" t="n">
        <v>-0.08471038438175515</v>
      </c>
      <c r="M380" s="121" t="n">
        <v>-0.1409319434273144</v>
      </c>
      <c r="N380" t="n">
        <v>38.2589720460333</v>
      </c>
      <c r="O380" t="n">
        <v>-1.049504853326057</v>
      </c>
      <c r="P380" t="n">
        <v>90.64218802165486</v>
      </c>
      <c r="Q380" t="n">
        <v>79.19239447028022</v>
      </c>
    </row>
    <row r="381">
      <c r="A381" s="118" t="n">
        <v>44985</v>
      </c>
      <c r="B381" s="119" t="n">
        <v>110.8681297106149</v>
      </c>
      <c r="C381" s="119" t="n">
        <v>112.4180834300177</v>
      </c>
      <c r="D381" s="119" t="n">
        <v>110.037132830464</v>
      </c>
      <c r="E381" s="119" t="n">
        <v>110.9148178100586</v>
      </c>
      <c r="F381" s="120" t="n">
        <v>8414100</v>
      </c>
      <c r="G381" s="121" t="n">
        <v>0.002193712190227348</v>
      </c>
      <c r="H381" s="122" t="n">
        <v>70.9377182063443</v>
      </c>
      <c r="I381" s="119" t="n">
        <v>113.9527047729492</v>
      </c>
      <c r="J381" s="119" t="n">
        <v>101.9290510559082</v>
      </c>
      <c r="K381" s="121" t="n">
        <v>0.2174372672919244</v>
      </c>
      <c r="L381" s="121" t="n">
        <v>-0.08270250239438492</v>
      </c>
      <c r="M381" s="121" t="n">
        <v>-0.1390473953593759</v>
      </c>
      <c r="N381" t="n">
        <v>39.12526501816445</v>
      </c>
      <c r="O381" t="n">
        <v>-0.9715071342098336</v>
      </c>
      <c r="P381" t="n">
        <v>90.3071941205863</v>
      </c>
      <c r="Q381" t="n">
        <v>79.09003699299937</v>
      </c>
    </row>
    <row r="382">
      <c r="A382" s="118" t="n">
        <v>44986</v>
      </c>
      <c r="B382" s="119" t="n">
        <v>110.1304884744228</v>
      </c>
      <c r="C382" s="119" t="n">
        <v>111.8485091692509</v>
      </c>
      <c r="D382" s="119" t="n">
        <v>110.0184484471882</v>
      </c>
      <c r="E382" s="119" t="n">
        <v>110.7187271118164</v>
      </c>
      <c r="F382" s="120" t="n">
        <v>4120500</v>
      </c>
      <c r="G382" s="121" t="n">
        <v>-0.00176793959647481</v>
      </c>
      <c r="H382" s="122" t="n">
        <v>70.81230460544373</v>
      </c>
      <c r="I382" s="119" t="n">
        <v>114.1407530212402</v>
      </c>
      <c r="J382" s="119" t="n">
        <v>101.9831283187866</v>
      </c>
      <c r="K382" s="121" t="n">
        <v>0.2138970110806921</v>
      </c>
      <c r="L382" s="121" t="n">
        <v>-0.08432422896214919</v>
      </c>
      <c r="M382" s="121" t="n">
        <v>-0.1405695075598081</v>
      </c>
      <c r="N382" t="n">
        <v>38.65352344134958</v>
      </c>
      <c r="O382" t="n">
        <v>-0.8833717100450516</v>
      </c>
      <c r="P382" t="n">
        <v>89.96076608688615</v>
      </c>
      <c r="Q382" t="n">
        <v>78.45420409007085</v>
      </c>
    </row>
    <row r="383">
      <c r="A383" s="118" t="n">
        <v>44987</v>
      </c>
      <c r="B383" s="119" t="n">
        <v>109.7570154674822</v>
      </c>
      <c r="C383" s="119" t="n">
        <v>112.007240605484</v>
      </c>
      <c r="D383" s="119" t="n">
        <v>109.7570154674822</v>
      </c>
      <c r="E383" s="119" t="n">
        <v>111.6524353027344</v>
      </c>
      <c r="F383" s="120" t="n">
        <v>4443200</v>
      </c>
      <c r="G383" s="121" t="n">
        <v>0.00843315503415254</v>
      </c>
      <c r="H383" s="122" t="n">
        <v>71.40947574850708</v>
      </c>
      <c r="I383" s="119" t="n">
        <v>114.3952812194824</v>
      </c>
      <c r="J383" s="119" t="n">
        <v>102.0182176208496</v>
      </c>
      <c r="K383" s="121" t="n">
        <v>0.2049444510218847</v>
      </c>
      <c r="L383" s="121" t="n">
        <v>-0.07660219322396966</v>
      </c>
      <c r="M383" s="121" t="n">
        <v>-0.133321796975982</v>
      </c>
      <c r="N383" t="n">
        <v>42.2256031503993</v>
      </c>
      <c r="O383" t="n">
        <v>-0.7193878648225202</v>
      </c>
      <c r="P383" t="n">
        <v>90.660422990171</v>
      </c>
      <c r="Q383" t="n">
        <v>79.10350287423181</v>
      </c>
    </row>
    <row r="384">
      <c r="A384" s="118" t="n">
        <v>44988</v>
      </c>
      <c r="B384" s="119" t="n">
        <v>112.4858003301612</v>
      </c>
      <c r="C384" s="119" t="n">
        <v>113.3378979958243</v>
      </c>
      <c r="D384" s="119" t="n">
        <v>111.4464320634745</v>
      </c>
      <c r="E384" s="119" t="n">
        <v>113.2442626953125</v>
      </c>
      <c r="F384" s="120" t="n">
        <v>3871800</v>
      </c>
      <c r="G384" s="121" t="n">
        <v>0.01425698766231154</v>
      </c>
      <c r="H384" s="122" t="n">
        <v>72.42755976322567</v>
      </c>
      <c r="I384" s="119" t="n">
        <v>114.7358006286621</v>
      </c>
      <c r="J384" s="119" t="n">
        <v>102.0631642150879</v>
      </c>
      <c r="K384" s="121" t="n">
        <v>0.2148568103791047</v>
      </c>
      <c r="L384" s="121" t="n">
        <v>-0.06343732208535835</v>
      </c>
      <c r="M384" s="121" t="n">
        <v>-0.1209655765282742</v>
      </c>
      <c r="N384" t="n">
        <v>47.80549508925996</v>
      </c>
      <c r="O384" t="n">
        <v>-0.4728207424214685</v>
      </c>
      <c r="P384" t="n">
        <v>92.11441988142526</v>
      </c>
      <c r="Q384" t="n">
        <v>80.73883976289339</v>
      </c>
    </row>
    <row r="385">
      <c r="A385" s="118" t="n">
        <v>44991</v>
      </c>
      <c r="B385" s="119" t="n">
        <v>113.4221584362891</v>
      </c>
      <c r="C385" s="119" t="n">
        <v>114.2274348145138</v>
      </c>
      <c r="D385" s="119" t="n">
        <v>112.3266105068142</v>
      </c>
      <c r="E385" s="119" t="n">
        <v>112.5232467651367</v>
      </c>
      <c r="F385" s="120" t="n">
        <v>5183800</v>
      </c>
      <c r="G385" s="121" t="n">
        <v>-0.006366909130890774</v>
      </c>
      <c r="H385" s="122" t="n">
        <v>71.96642007164105</v>
      </c>
      <c r="I385" s="119" t="n">
        <v>115.0589122009277</v>
      </c>
      <c r="J385" s="119" t="n">
        <v>102.089228515625</v>
      </c>
      <c r="K385" s="121" t="n">
        <v>0.2130739513778346</v>
      </c>
      <c r="L385" s="121" t="n">
        <v>-0.06940033155102465</v>
      </c>
      <c r="M385" s="121" t="n">
        <v>-0.1265623088254436</v>
      </c>
      <c r="N385" t="n">
        <v>45.65465083583283</v>
      </c>
      <c r="O385" t="n">
        <v>-0.3339400812986524</v>
      </c>
      <c r="P385" t="n">
        <v>92.17823136079983</v>
      </c>
      <c r="Q385" t="n">
        <v>80.83045809501689</v>
      </c>
    </row>
    <row r="386">
      <c r="A386" s="118" t="n">
        <v>44992</v>
      </c>
      <c r="B386" s="119" t="n">
        <v>112.5513482068743</v>
      </c>
      <c r="C386" s="119" t="n">
        <v>113.3191691180631</v>
      </c>
      <c r="D386" s="119" t="n">
        <v>111.6430779138158</v>
      </c>
      <c r="E386" s="119" t="n">
        <v>111.9801635742188</v>
      </c>
      <c r="F386" s="120" t="n">
        <v>5345700</v>
      </c>
      <c r="G386" s="121" t="n">
        <v>-0.004826408822450001</v>
      </c>
      <c r="H386" s="122" t="n">
        <v>71.61908070688715</v>
      </c>
      <c r="I386" s="119" t="n">
        <v>115.1364282226562</v>
      </c>
      <c r="J386" s="119" t="n">
        <v>102.1428076171875</v>
      </c>
      <c r="K386" s="121" t="n">
        <v>0.2085518143587611</v>
      </c>
      <c r="L386" s="121" t="n">
        <v>-0.07389178600099577</v>
      </c>
      <c r="M386" s="121" t="n">
        <v>-0.1307778762039888</v>
      </c>
      <c r="N386" t="n">
        <v>44.0471359534024</v>
      </c>
      <c r="O386" t="n">
        <v>-0.2577191928865339</v>
      </c>
      <c r="P386" t="n">
        <v>90.76525041986963</v>
      </c>
      <c r="Q386" t="n">
        <v>79.83901685810901</v>
      </c>
    </row>
    <row r="387">
      <c r="A387" s="118" t="n">
        <v>44993</v>
      </c>
      <c r="B387" s="119" t="n">
        <v>111.6805108382781</v>
      </c>
      <c r="C387" s="119" t="n">
        <v>112.4015175702012</v>
      </c>
      <c r="D387" s="119" t="n">
        <v>111.1748788458079</v>
      </c>
      <c r="E387" s="119" t="n">
        <v>112.2329711914062</v>
      </c>
      <c r="F387" s="120" t="n">
        <v>4175200</v>
      </c>
      <c r="G387" s="121" t="n">
        <v>0.002257610715311609</v>
      </c>
      <c r="H387" s="122" t="n">
        <v>71.78076871091179</v>
      </c>
      <c r="I387" s="119" t="n">
        <v>115.2016334533691</v>
      </c>
      <c r="J387" s="119" t="n">
        <v>102.2112150573731</v>
      </c>
      <c r="K387" s="121" t="n">
        <v>0.2091314238293605</v>
      </c>
      <c r="L387" s="121" t="n">
        <v>-0.07180099417353336</v>
      </c>
      <c r="M387" s="121" t="n">
        <v>-0.1288155110233211</v>
      </c>
      <c r="N387" t="n">
        <v>45.0176498393484</v>
      </c>
      <c r="O387" t="n">
        <v>-0.173388574808502</v>
      </c>
      <c r="P387" t="n">
        <v>90.91339226421269</v>
      </c>
      <c r="Q387" t="n">
        <v>80.23773279194647</v>
      </c>
    </row>
    <row r="388">
      <c r="A388" s="118" t="n">
        <v>44994</v>
      </c>
      <c r="B388" s="119" t="n">
        <v>112.4389689300215</v>
      </c>
      <c r="C388" s="119" t="n">
        <v>114.1057013116751</v>
      </c>
      <c r="D388" s="119" t="n">
        <v>110.0699611868456</v>
      </c>
      <c r="E388" s="119" t="n">
        <v>110.3695983886719</v>
      </c>
      <c r="F388" s="120" t="n">
        <v>5635900</v>
      </c>
      <c r="G388" s="121" t="n">
        <v>-0.01660272184683154</v>
      </c>
      <c r="H388" s="122" t="n">
        <v>70.58901257405277</v>
      </c>
      <c r="I388" s="119" t="n">
        <v>115.2381617736816</v>
      </c>
      <c r="J388" s="119" t="n">
        <v>102.2630837249756</v>
      </c>
      <c r="K388" s="121" t="n">
        <v>0.2063636470737658</v>
      </c>
      <c r="L388" s="121" t="n">
        <v>-0.08721162408577576</v>
      </c>
      <c r="M388" s="121" t="n">
        <v>-0.143279544771075</v>
      </c>
      <c r="N388" t="n">
        <v>39.56966284281788</v>
      </c>
      <c r="O388" t="n">
        <v>-0.2230501886180403</v>
      </c>
      <c r="P388" t="n">
        <v>89.23605155833684</v>
      </c>
      <c r="Q388" t="n">
        <v>78.8475588412868</v>
      </c>
    </row>
    <row r="389">
      <c r="A389" s="118" t="n">
        <v>44995</v>
      </c>
      <c r="B389" s="119" t="n">
        <v>111.2685221470508</v>
      </c>
      <c r="C389" s="119" t="n">
        <v>111.4183371923698</v>
      </c>
      <c r="D389" s="119" t="n">
        <v>109.2178755813783</v>
      </c>
      <c r="E389" s="119" t="n">
        <v>110.013786315918</v>
      </c>
      <c r="F389" s="120" t="n">
        <v>5979600</v>
      </c>
      <c r="G389" s="121" t="n">
        <v>-0.003223823208098442</v>
      </c>
      <c r="H389" s="122" t="n">
        <v>70.36144607707979</v>
      </c>
      <c r="I389" s="119" t="n">
        <v>115.2431106567383</v>
      </c>
      <c r="J389" s="119" t="n">
        <v>102.310256729126</v>
      </c>
      <c r="K389" s="121" t="n">
        <v>0.2058776883820965</v>
      </c>
      <c r="L389" s="121" t="n">
        <v>-0.09015429243613049</v>
      </c>
      <c r="M389" s="121" t="n">
        <v>-0.1460414600574946</v>
      </c>
      <c r="N389" t="n">
        <v>38.60883506063261</v>
      </c>
      <c r="O389" t="n">
        <v>-0.25737481330711</v>
      </c>
      <c r="P389" t="n">
        <v>87.94842420632048</v>
      </c>
      <c r="Q389" t="n">
        <v>77.7402439061227</v>
      </c>
    </row>
    <row r="390">
      <c r="A390" s="118" t="n">
        <v>44998</v>
      </c>
      <c r="B390" s="119" t="n">
        <v>108.4500435737952</v>
      </c>
      <c r="C390" s="119" t="n">
        <v>110.7628715889774</v>
      </c>
      <c r="D390" s="119" t="n">
        <v>108.4219537021799</v>
      </c>
      <c r="E390" s="119" t="n">
        <v>109.4238662719727</v>
      </c>
      <c r="F390" s="120" t="n">
        <v>6038200</v>
      </c>
      <c r="G390" s="121" t="n">
        <v>-0.005362237440417528</v>
      </c>
      <c r="H390" s="122" t="n">
        <v>69.98415129656335</v>
      </c>
      <c r="I390" s="119" t="n">
        <v>115.2844403076172</v>
      </c>
      <c r="J390" s="119" t="n">
        <v>102.36068359375</v>
      </c>
      <c r="K390" s="121" t="n">
        <v>0.2061004465969282</v>
      </c>
      <c r="L390" s="121" t="n">
        <v>-0.09503310115423269</v>
      </c>
      <c r="M390" s="121" t="n">
        <v>-0.1506205885129387</v>
      </c>
      <c r="N390" t="n">
        <v>37.00450062126998</v>
      </c>
      <c r="O390" t="n">
        <v>-0.2946407713388004</v>
      </c>
      <c r="P390" t="n">
        <v>87.82307789102791</v>
      </c>
      <c r="Q390" t="n">
        <v>78.31680176175703</v>
      </c>
    </row>
    <row r="391">
      <c r="A391" s="118" t="n">
        <v>44999</v>
      </c>
      <c r="B391" s="119" t="n">
        <v>111.4277038574219</v>
      </c>
      <c r="C391" s="119" t="n">
        <v>111.8865218141856</v>
      </c>
      <c r="D391" s="119" t="n">
        <v>109.7703369517728</v>
      </c>
      <c r="E391" s="119" t="n">
        <v>111.4277038574219</v>
      </c>
      <c r="F391" s="120" t="n">
        <v>6050800</v>
      </c>
      <c r="G391" s="121" t="n">
        <v>0.01831261911792348</v>
      </c>
      <c r="H391" s="122" t="n">
        <v>71.26574440354845</v>
      </c>
      <c r="I391" s="119" t="n">
        <v>115.3215887451172</v>
      </c>
      <c r="J391" s="119" t="n">
        <v>102.416916885376</v>
      </c>
      <c r="K391" s="121" t="n">
        <v>0.1975759490446806</v>
      </c>
      <c r="L391" s="121" t="n">
        <v>-0.07846078702134174</v>
      </c>
      <c r="M391" s="121" t="n">
        <v>-0.1350662268637702</v>
      </c>
      <c r="N391" t="n">
        <v>45.31671696278199</v>
      </c>
      <c r="O391" t="n">
        <v>-0.1655976586926458</v>
      </c>
      <c r="P391" t="n">
        <v>89.27479813882562</v>
      </c>
      <c r="Q391" t="n">
        <v>80.11649791106875</v>
      </c>
    </row>
    <row r="392">
      <c r="A392" s="118" t="n">
        <v>45000</v>
      </c>
      <c r="B392" s="119" t="n">
        <v>108.9182497866506</v>
      </c>
      <c r="C392" s="119" t="n">
        <v>111.0812560775169</v>
      </c>
      <c r="D392" s="119" t="n">
        <v>108.4407004382031</v>
      </c>
      <c r="E392" s="119" t="n">
        <v>110.6505279541016</v>
      </c>
      <c r="F392" s="120" t="n">
        <v>6599200</v>
      </c>
      <c r="G392" s="121" t="n">
        <v>-0.006974709846976235</v>
      </c>
      <c r="H392" s="122" t="n">
        <v>70.76868651430492</v>
      </c>
      <c r="I392" s="119" t="n">
        <v>115.3495429992676</v>
      </c>
      <c r="J392" s="119" t="n">
        <v>102.4473207092285</v>
      </c>
      <c r="K392" s="121" t="n">
        <v>0.1940458551414762</v>
      </c>
      <c r="L392" s="121" t="n">
        <v>-0.08488825564447888</v>
      </c>
      <c r="M392" s="121" t="n">
        <v>-0.1410988889682457</v>
      </c>
      <c r="N392" t="n">
        <v>42.94966089016373</v>
      </c>
      <c r="O392" t="n">
        <v>-0.1161802490238744</v>
      </c>
      <c r="P392" t="n">
        <v>88.71643860227168</v>
      </c>
      <c r="Q392" t="n">
        <v>80.53680120466389</v>
      </c>
    </row>
    <row r="393">
      <c r="A393" s="118" t="n">
        <v>45001</v>
      </c>
      <c r="B393" s="119" t="n">
        <v>109.4238769362437</v>
      </c>
      <c r="C393" s="119" t="n">
        <v>113.122524700282</v>
      </c>
      <c r="D393" s="119" t="n">
        <v>109.1897851247497</v>
      </c>
      <c r="E393" s="119" t="n">
        <v>112.9727096557617</v>
      </c>
      <c r="F393" s="120" t="n">
        <v>5658700</v>
      </c>
      <c r="G393" s="121" t="n">
        <v>0.02098663011010138</v>
      </c>
      <c r="H393" s="122" t="n">
        <v>72.25388276155836</v>
      </c>
      <c r="I393" s="119" t="n">
        <v>115.391448059082</v>
      </c>
      <c r="J393" s="119" t="n">
        <v>102.4752157211304</v>
      </c>
      <c r="K393" s="121" t="n">
        <v>0.2072090917376972</v>
      </c>
      <c r="L393" s="121" t="n">
        <v>-0.06568314395627983</v>
      </c>
      <c r="M393" s="121" t="n">
        <v>-0.1230734490498673</v>
      </c>
      <c r="N393" t="n">
        <v>51.15880603018142</v>
      </c>
      <c r="O393" t="n">
        <v>0.07879733032542258</v>
      </c>
      <c r="P393" t="n">
        <v>90.27300082701056</v>
      </c>
      <c r="Q393" t="n">
        <v>82.65981274286857</v>
      </c>
    </row>
    <row r="394">
      <c r="A394" s="118" t="n">
        <v>45002</v>
      </c>
      <c r="B394" s="119" t="n">
        <v>113.4596056501616</v>
      </c>
      <c r="C394" s="119" t="n">
        <v>113.9839761110954</v>
      </c>
      <c r="D394" s="119" t="n">
        <v>111.1186877793045</v>
      </c>
      <c r="E394" s="119" t="n">
        <v>112.7292404174805</v>
      </c>
      <c r="F394" s="120" t="n">
        <v>12868900</v>
      </c>
      <c r="G394" s="121" t="n">
        <v>-0.002155115505533378</v>
      </c>
      <c r="H394" s="122" t="n">
        <v>72.09816729848394</v>
      </c>
      <c r="I394" s="119" t="n">
        <v>115.3825456237793</v>
      </c>
      <c r="J394" s="119" t="n">
        <v>102.4886532211304</v>
      </c>
      <c r="K394" s="121" t="n">
        <v>0.1905609448263062</v>
      </c>
      <c r="L394" s="121" t="n">
        <v>-0.0676967046998207</v>
      </c>
      <c r="M394" s="121" t="n">
        <v>-0.1249633270570338</v>
      </c>
      <c r="N394" t="n">
        <v>50.34091880728925</v>
      </c>
      <c r="O394" t="n">
        <v>0.1908747129531725</v>
      </c>
      <c r="P394" t="n">
        <v>89.21746745599988</v>
      </c>
      <c r="Q394" t="n">
        <v>82.2691511678991</v>
      </c>
    </row>
    <row r="395">
      <c r="A395" s="118" t="n">
        <v>45005</v>
      </c>
      <c r="B395" s="119" t="n">
        <v>113.2910727780956</v>
      </c>
      <c r="C395" s="119" t="n">
        <v>114.8735357334227</v>
      </c>
      <c r="D395" s="119" t="n">
        <v>112.1861591256269</v>
      </c>
      <c r="E395" s="119" t="n">
        <v>113.4877090454102</v>
      </c>
      <c r="F395" s="120" t="n">
        <v>7594100</v>
      </c>
      <c r="G395" s="121" t="n">
        <v>0.006728233288193719</v>
      </c>
      <c r="H395" s="122" t="n">
        <v>72.58326058771935</v>
      </c>
      <c r="I395" s="119" t="n">
        <v>115.3998300170898</v>
      </c>
      <c r="J395" s="119" t="n">
        <v>102.5066700744629</v>
      </c>
      <c r="K395" s="121" t="n">
        <v>0.1919384571168018</v>
      </c>
      <c r="L395" s="121" t="n">
        <v>-0.06142395063368955</v>
      </c>
      <c r="M395" s="121" t="n">
        <v>-0.1190758761857487</v>
      </c>
      <c r="N395" t="n">
        <v>52.86881696275665</v>
      </c>
      <c r="O395" t="n">
        <v>0.308622868554333</v>
      </c>
      <c r="P395" t="n">
        <v>90.07534016908242</v>
      </c>
      <c r="Q395" t="n">
        <v>82.56109650699264</v>
      </c>
    </row>
    <row r="396">
      <c r="A396" s="118" t="n">
        <v>45006</v>
      </c>
      <c r="B396" s="119" t="n">
        <v>115.6413453900564</v>
      </c>
      <c r="C396" s="119" t="n">
        <v>118.0384430570284</v>
      </c>
      <c r="D396" s="119" t="n">
        <v>115.1450719334331</v>
      </c>
      <c r="E396" s="119" t="n">
        <v>117.6170806884766</v>
      </c>
      <c r="F396" s="120" t="n">
        <v>15078800</v>
      </c>
      <c r="G396" s="121" t="n">
        <v>0.0363860692739344</v>
      </c>
      <c r="H396" s="122" t="n">
        <v>75.22428013559215</v>
      </c>
      <c r="I396" s="119" t="n">
        <v>115.4266862487793</v>
      </c>
      <c r="J396" s="119" t="n">
        <v>102.5234364700317</v>
      </c>
      <c r="K396" s="121" t="n">
        <v>0.2044665771825833</v>
      </c>
      <c r="L396" s="121" t="n">
        <v>-0.02727285748259112</v>
      </c>
      <c r="M396" s="121" t="n">
        <v>-0.08702250999156325</v>
      </c>
      <c r="N396" t="n">
        <v>63.7023561893954</v>
      </c>
      <c r="O396" t="n">
        <v>0.6381725433444181</v>
      </c>
      <c r="P396" t="n">
        <v>91.25808190243002</v>
      </c>
      <c r="Q396" t="n">
        <v>83.74028820509648</v>
      </c>
    </row>
    <row r="397">
      <c r="A397" s="118" t="n">
        <v>45007</v>
      </c>
      <c r="B397" s="119" t="n">
        <v>115.7911647825373</v>
      </c>
      <c r="C397" s="119" t="n">
        <v>117.2893507883779</v>
      </c>
      <c r="D397" s="119" t="n">
        <v>111.7366933230482</v>
      </c>
      <c r="E397" s="119" t="n">
        <v>111.8958740234375</v>
      </c>
      <c r="F397" s="120" t="n">
        <v>17625500</v>
      </c>
      <c r="G397" s="121" t="n">
        <v>-0.04864265148862512</v>
      </c>
      <c r="H397" s="122" t="n">
        <v>71.56517169347383</v>
      </c>
      <c r="I397" s="119" t="n">
        <v>115.3331425476074</v>
      </c>
      <c r="J397" s="119" t="n">
        <v>102.5215980529785</v>
      </c>
      <c r="K397" s="121" t="n">
        <v>0.2701820348089002</v>
      </c>
      <c r="L397" s="121" t="n">
        <v>-0.0745888848695917</v>
      </c>
      <c r="M397" s="121" t="n">
        <v>-0.1314321558550033</v>
      </c>
      <c r="N397" t="n">
        <v>47.43409918785366</v>
      </c>
      <c r="O397" t="n">
        <v>0.4531043493857458</v>
      </c>
      <c r="P397" t="n">
        <v>89.70245070121329</v>
      </c>
      <c r="Q397" t="n">
        <v>82.60158644021864</v>
      </c>
    </row>
    <row r="398">
      <c r="A398" s="118" t="n">
        <v>45008</v>
      </c>
      <c r="B398" s="119" t="n">
        <v>112.8041476794943</v>
      </c>
      <c r="C398" s="119" t="n">
        <v>115.4259713196181</v>
      </c>
      <c r="D398" s="119" t="n">
        <v>111.8677805628971</v>
      </c>
      <c r="E398" s="119" t="n">
        <v>113.272331237793</v>
      </c>
      <c r="F398" s="120" t="n">
        <v>7628100</v>
      </c>
      <c r="G398" s="121" t="n">
        <v>0.01230123296652708</v>
      </c>
      <c r="H398" s="122" t="n">
        <v>72.44551154276476</v>
      </c>
      <c r="I398" s="119" t="n">
        <v>115.2486405944824</v>
      </c>
      <c r="J398" s="119" t="n">
        <v>102.529983215332</v>
      </c>
      <c r="K398" s="121" t="n">
        <v>0.2736311049348498</v>
      </c>
      <c r="L398" s="121" t="n">
        <v>-0.06320518715255896</v>
      </c>
      <c r="M398" s="121" t="n">
        <v>-0.1207477004569416</v>
      </c>
      <c r="N398" t="n">
        <v>50.69639943269803</v>
      </c>
      <c r="O398" t="n">
        <v>0.4071088365183577</v>
      </c>
      <c r="P398" t="n">
        <v>89.94494596063063</v>
      </c>
      <c r="Q398" t="n">
        <v>83.58108876809617</v>
      </c>
    </row>
    <row r="399">
      <c r="A399" s="118" t="n">
        <v>45009</v>
      </c>
      <c r="B399" s="119" t="n">
        <v>112.5794402272368</v>
      </c>
      <c r="C399" s="119" t="n">
        <v>113.3004398831706</v>
      </c>
      <c r="D399" s="119" t="n">
        <v>111.7273425808543</v>
      </c>
      <c r="E399" s="119" t="n">
        <v>113.0288925170898</v>
      </c>
      <c r="F399" s="120" t="n">
        <v>6158800</v>
      </c>
      <c r="G399" s="121" t="n">
        <v>-0.002149145497783334</v>
      </c>
      <c r="H399" s="122" t="n">
        <v>72.28981559779803</v>
      </c>
      <c r="I399" s="119" t="n">
        <v>115.1200544738769</v>
      </c>
      <c r="J399" s="119" t="n">
        <v>102.5304684448242</v>
      </c>
      <c r="K399" s="121" t="n">
        <v>0.2667424260582218</v>
      </c>
      <c r="L399" s="121" t="n">
        <v>-0.0652184955069367</v>
      </c>
      <c r="M399" s="121" t="n">
        <v>-0.1226373415779202</v>
      </c>
      <c r="N399" t="n">
        <v>50.10414934359037</v>
      </c>
      <c r="O399" t="n">
        <v>0.3463866890706725</v>
      </c>
      <c r="P399" t="n">
        <v>90.53517123195491</v>
      </c>
      <c r="Q399" t="n">
        <v>83.8887065471537</v>
      </c>
    </row>
    <row r="400">
      <c r="A400" s="118" t="n">
        <v>45012</v>
      </c>
      <c r="B400" s="119" t="n">
        <v>113.319145489798</v>
      </c>
      <c r="C400" s="119" t="n">
        <v>113.3659667032689</v>
      </c>
      <c r="D400" s="119" t="n">
        <v>110.1261373318938</v>
      </c>
      <c r="E400" s="119" t="n">
        <v>110.3134078979492</v>
      </c>
      <c r="F400" s="120" t="n">
        <v>6564200</v>
      </c>
      <c r="G400" s="121" t="n">
        <v>-0.02402469455966794</v>
      </c>
      <c r="H400" s="122" t="n">
        <v>70.55307485828621</v>
      </c>
      <c r="I400" s="119" t="n">
        <v>114.9380924987793</v>
      </c>
      <c r="J400" s="119" t="n">
        <v>102.5139882659912</v>
      </c>
      <c r="K400" s="121" t="n">
        <v>0.2812397038133137</v>
      </c>
      <c r="L400" s="121" t="n">
        <v>-0.0876763356324094</v>
      </c>
      <c r="M400" s="121" t="n">
        <v>-0.143715711464569</v>
      </c>
      <c r="N400" t="n">
        <v>43.93804186211513</v>
      </c>
      <c r="O400" t="n">
        <v>0.1210676482586473</v>
      </c>
      <c r="P400" t="n">
        <v>90.70445021969958</v>
      </c>
      <c r="Q400" t="n">
        <v>83.31396092226466</v>
      </c>
    </row>
    <row r="401">
      <c r="A401" s="118" t="n">
        <v>45013</v>
      </c>
      <c r="B401" s="119" t="n">
        <v>110.4445023311927</v>
      </c>
      <c r="C401" s="119" t="n">
        <v>110.9033273776723</v>
      </c>
      <c r="D401" s="119" t="n">
        <v>109.4144998964093</v>
      </c>
      <c r="E401" s="119" t="n">
        <v>110.3695983886719</v>
      </c>
      <c r="F401" s="120" t="n">
        <v>4461400</v>
      </c>
      <c r="G401" s="121" t="n">
        <v>0.0005093713610464512</v>
      </c>
      <c r="H401" s="122" t="n">
        <v>70.58901257405277</v>
      </c>
      <c r="I401" s="119" t="n">
        <v>114.7393266296387</v>
      </c>
      <c r="J401" s="119" t="n">
        <v>102.5154245376587</v>
      </c>
      <c r="K401" s="121" t="n">
        <v>0.2811280263720803</v>
      </c>
      <c r="L401" s="121" t="n">
        <v>-0.08721162408577576</v>
      </c>
      <c r="M401" s="121" t="n">
        <v>-0.143279544771075</v>
      </c>
      <c r="N401" t="n">
        <v>44.09136808025129</v>
      </c>
      <c r="O401" t="n">
        <v>-0.0190000473877926</v>
      </c>
      <c r="P401" t="n">
        <v>90.50086156043892</v>
      </c>
      <c r="Q401" t="n">
        <v>82.87142424221096</v>
      </c>
    </row>
    <row r="402">
      <c r="A402" s="118" t="n">
        <v>45014</v>
      </c>
      <c r="B402" s="119" t="n">
        <v>111.0906056889722</v>
      </c>
      <c r="C402" s="119" t="n">
        <v>112.8977946976109</v>
      </c>
      <c r="D402" s="119" t="n">
        <v>110.9501491780999</v>
      </c>
      <c r="E402" s="119" t="n">
        <v>112.822883605957</v>
      </c>
      <c r="F402" s="120" t="n">
        <v>5644000</v>
      </c>
      <c r="G402" s="121" t="n">
        <v>0.02222790744101277</v>
      </c>
      <c r="H402" s="122" t="n">
        <v>72.15805861190131</v>
      </c>
      <c r="I402" s="119" t="n">
        <v>114.6028854370117</v>
      </c>
      <c r="J402" s="119" t="n">
        <v>102.5470876312256</v>
      </c>
      <c r="K402" s="121" t="n">
        <v>0.291931450689196</v>
      </c>
      <c r="L402" s="121" t="n">
        <v>-0.06692224855272189</v>
      </c>
      <c r="M402" s="121" t="n">
        <v>-0.1242364417894241</v>
      </c>
      <c r="N402" t="n">
        <v>50.46166229388574</v>
      </c>
      <c r="O402" t="n">
        <v>0.0547290189293782</v>
      </c>
      <c r="P402" t="n">
        <v>91.8162668720736</v>
      </c>
      <c r="Q402" t="n">
        <v>84.38248908550504</v>
      </c>
    </row>
    <row r="403">
      <c r="A403" s="118" t="n">
        <v>45015</v>
      </c>
      <c r="B403" s="119" t="n">
        <v>113.3285090674351</v>
      </c>
      <c r="C403" s="119" t="n">
        <v>113.7124230078441</v>
      </c>
      <c r="D403" s="119" t="n">
        <v>111.7460463810218</v>
      </c>
      <c r="E403" s="119" t="n">
        <v>112.4576873779297</v>
      </c>
      <c r="F403" s="120" t="n">
        <v>4578900</v>
      </c>
      <c r="G403" s="121" t="n">
        <v>-0.003236898547131828</v>
      </c>
      <c r="H403" s="122" t="n">
        <v>71.92449029681659</v>
      </c>
      <c r="I403" s="119" t="n">
        <v>114.4910729980469</v>
      </c>
      <c r="J403" s="119" t="n">
        <v>102.5968341445923</v>
      </c>
      <c r="K403" s="121" t="n">
        <v>0.2909828098042591</v>
      </c>
      <c r="L403" s="121" t="n">
        <v>-0.06994252657074274</v>
      </c>
      <c r="M403" s="121" t="n">
        <v>-0.1232905864712457</v>
      </c>
      <c r="N403" t="n">
        <v>49.55646372546237</v>
      </c>
      <c r="O403" t="n">
        <v>0.07860311436797873</v>
      </c>
      <c r="P403" t="n">
        <v>92.35388204077431</v>
      </c>
      <c r="Q403" t="n">
        <v>85.18120461662456</v>
      </c>
    </row>
    <row r="404">
      <c r="A404" s="118" t="n">
        <v>45016</v>
      </c>
      <c r="B404" s="119" t="n">
        <v>113.2255220741292</v>
      </c>
      <c r="C404" s="119" t="n">
        <v>114.9016202484823</v>
      </c>
      <c r="D404" s="119" t="n">
        <v>112.9258848506865</v>
      </c>
      <c r="E404" s="119" t="n">
        <v>114.8360748291016</v>
      </c>
      <c r="F404" s="120" t="n">
        <v>5659400</v>
      </c>
      <c r="G404" s="121" t="n">
        <v>0.02114917625132184</v>
      </c>
      <c r="H404" s="122" t="n">
        <v>73.44563401889044</v>
      </c>
      <c r="I404" s="119" t="n">
        <v>114.4623091125488</v>
      </c>
      <c r="J404" s="119" t="n">
        <v>102.6571731948853</v>
      </c>
      <c r="K404" s="121" t="n">
        <v>0.2962785310252839</v>
      </c>
      <c r="L404" s="121" t="n">
        <v>-0.05027257714132838</v>
      </c>
      <c r="M404" s="121" t="n">
        <v>-0.09501569404474053</v>
      </c>
      <c r="N404" t="n">
        <v>55.19365566927583</v>
      </c>
      <c r="O404" t="n">
        <v>0.2448875088755467</v>
      </c>
      <c r="P404" t="n">
        <v>93.65558384994213</v>
      </c>
      <c r="Q404" t="n">
        <v>86.59782371223417</v>
      </c>
    </row>
    <row r="405">
      <c r="A405" s="118" t="n">
        <v>45019</v>
      </c>
      <c r="B405" s="119" t="n">
        <v>114.7049895814587</v>
      </c>
      <c r="C405" s="119" t="n">
        <v>115.032716694337</v>
      </c>
      <c r="D405" s="119" t="n">
        <v>113.1318922957278</v>
      </c>
      <c r="E405" s="119" t="n">
        <v>113.9278030395508</v>
      </c>
      <c r="F405" s="120" t="n">
        <v>4838400</v>
      </c>
      <c r="G405" s="121" t="n">
        <v>-0.007909289749780002</v>
      </c>
      <c r="H405" s="122" t="n">
        <v>72.86473121857875</v>
      </c>
      <c r="I405" s="119" t="n">
        <v>114.3763507080078</v>
      </c>
      <c r="J405" s="119" t="n">
        <v>102.7003475570679</v>
      </c>
      <c r="K405" s="121" t="n">
        <v>0.2968279187025891</v>
      </c>
      <c r="L405" s="121" t="n">
        <v>-0.05778424651202929</v>
      </c>
      <c r="M405" s="121" t="n">
        <v>-0.1021734771395443</v>
      </c>
      <c r="N405" t="n">
        <v>52.76844484895175</v>
      </c>
      <c r="O405" t="n">
        <v>0.2814099544855227</v>
      </c>
      <c r="P405" t="n">
        <v>94.012442256539</v>
      </c>
      <c r="Q405" t="n">
        <v>86.3873616370219</v>
      </c>
    </row>
    <row r="406">
      <c r="A406" s="118" t="n">
        <v>45020</v>
      </c>
      <c r="B406" s="119" t="n">
        <v>113.6562465837699</v>
      </c>
      <c r="C406" s="119" t="n">
        <v>116.0627099685508</v>
      </c>
      <c r="D406" s="119" t="n">
        <v>113.6375223833528</v>
      </c>
      <c r="E406" s="119" t="n">
        <v>115.8192596435547</v>
      </c>
      <c r="F406" s="120" t="n">
        <v>5895300</v>
      </c>
      <c r="G406" s="121" t="n">
        <v>0.01660223890517121</v>
      </c>
      <c r="H406" s="122" t="n">
        <v>74.07444889403068</v>
      </c>
      <c r="I406" s="119" t="n">
        <v>114.2970359802246</v>
      </c>
      <c r="J406" s="119" t="n">
        <v>102.7823097991943</v>
      </c>
      <c r="K406" s="121" t="n">
        <v>0.3011668319815817</v>
      </c>
      <c r="L406" s="121" t="n">
        <v>-0.04214135547240616</v>
      </c>
      <c r="M406" s="121" t="n">
        <v>-0.08726754671161585</v>
      </c>
      <c r="N406" t="n">
        <v>57.00527232139918</v>
      </c>
      <c r="O406" t="n">
        <v>0.4127162926748249</v>
      </c>
      <c r="P406" t="n">
        <v>93.49087996997433</v>
      </c>
      <c r="Q406" t="n">
        <v>86.09593647527191</v>
      </c>
    </row>
    <row r="407">
      <c r="A407" s="118" t="n">
        <v>45021</v>
      </c>
      <c r="B407" s="119" t="n">
        <v>115.1731644096638</v>
      </c>
      <c r="C407" s="119" t="n">
        <v>115.4821672970097</v>
      </c>
      <c r="D407" s="119" t="n">
        <v>112.8884261792242</v>
      </c>
      <c r="E407" s="119" t="n">
        <v>113.2067947387695</v>
      </c>
      <c r="F407" s="120" t="n">
        <v>4331400</v>
      </c>
      <c r="G407" s="121" t="n">
        <v>-0.02255639444445834</v>
      </c>
      <c r="H407" s="122" t="n">
        <v>72.40359640652105</v>
      </c>
      <c r="I407" s="119" t="n">
        <v>114.1927362060547</v>
      </c>
      <c r="J407" s="119" t="n">
        <v>102.8501887130737</v>
      </c>
      <c r="K407" s="121" t="n">
        <v>0.3133645450635315</v>
      </c>
      <c r="L407" s="121" t="n">
        <v>-0.06374719288040487</v>
      </c>
      <c r="M407" s="121" t="n">
        <v>-0.1078554999502468</v>
      </c>
      <c r="N407" t="n">
        <v>50.29456419653953</v>
      </c>
      <c r="O407" t="n">
        <v>0.3081776306184071</v>
      </c>
      <c r="P407" t="n">
        <v>93.24607169899411</v>
      </c>
      <c r="Q407" t="n">
        <v>85.24596669589759</v>
      </c>
    </row>
    <row r="408">
      <c r="A408" s="118" t="n">
        <v>45022</v>
      </c>
      <c r="B408" s="119" t="n">
        <v>111.9052484902797</v>
      </c>
      <c r="C408" s="119" t="n">
        <v>112.8228843655152</v>
      </c>
      <c r="D408" s="119" t="n">
        <v>110.3508754756146</v>
      </c>
      <c r="E408" s="119" t="n">
        <v>112.570068359375</v>
      </c>
      <c r="F408" s="120" t="n">
        <v>4256900</v>
      </c>
      <c r="G408" s="121" t="n">
        <v>-0.005624453734105028</v>
      </c>
      <c r="H408" s="122" t="n">
        <v>71.99636572834976</v>
      </c>
      <c r="I408" s="119" t="n">
        <v>114.0758885192871</v>
      </c>
      <c r="J408" s="119" t="n">
        <v>102.9086651611328</v>
      </c>
      <c r="K408" s="121" t="n">
        <v>0.3077351741099477</v>
      </c>
      <c r="L408" s="121" t="n">
        <v>-0.06901310347747491</v>
      </c>
      <c r="M408" s="121" t="n">
        <v>-0.1128733254149129</v>
      </c>
      <c r="N408" t="n">
        <v>48.78710544049583</v>
      </c>
      <c r="O408" t="n">
        <v>0.1866805987387389</v>
      </c>
      <c r="P408" t="n">
        <v>93.60981822493075</v>
      </c>
      <c r="Q408" t="n">
        <v>85.8207039308295</v>
      </c>
    </row>
    <row r="409">
      <c r="A409" s="118" t="n">
        <v>45026</v>
      </c>
      <c r="B409" s="119" t="n">
        <v>111.7086228652914</v>
      </c>
      <c r="C409" s="119" t="n">
        <v>114.1525421142578</v>
      </c>
      <c r="D409" s="119" t="n">
        <v>111.5494349933228</v>
      </c>
      <c r="E409" s="119" t="n">
        <v>114.1525421142578</v>
      </c>
      <c r="F409" s="120" t="n">
        <v>3731200</v>
      </c>
      <c r="G409" s="121" t="n">
        <v>0.0140576778352024</v>
      </c>
      <c r="H409" s="122" t="n">
        <v>73.00846744306432</v>
      </c>
      <c r="I409" s="119" t="n">
        <v>113.9774319458008</v>
      </c>
      <c r="J409" s="119" t="n">
        <v>102.9925037765503</v>
      </c>
      <c r="K409" s="121" t="n">
        <v>0.3105656459798392</v>
      </c>
      <c r="L409" s="121" t="n">
        <v>-0.05592558961736616</v>
      </c>
      <c r="M409" s="121" t="n">
        <v>-0.1004023844245813</v>
      </c>
      <c r="N409" t="n">
        <v>52.59039249952376</v>
      </c>
      <c r="O409" t="n">
        <v>0.2021221496348342</v>
      </c>
      <c r="P409" t="n">
        <v>93.70589548824529</v>
      </c>
      <c r="Q409" t="n">
        <v>85.77215124877833</v>
      </c>
    </row>
    <row r="410">
      <c r="A410" s="118" t="n">
        <v>45027</v>
      </c>
      <c r="B410" s="119" t="n">
        <v>114.2742540014403</v>
      </c>
      <c r="C410" s="119" t="n">
        <v>116.184443947649</v>
      </c>
      <c r="D410" s="119" t="n">
        <v>114.2742540014403</v>
      </c>
      <c r="E410" s="119" t="n">
        <v>115.4540786743164</v>
      </c>
      <c r="F410" s="120" t="n">
        <v>4471000</v>
      </c>
      <c r="G410" s="121" t="n">
        <v>0.01140173084148977</v>
      </c>
      <c r="H410" s="122" t="n">
        <v>73.84089033799981</v>
      </c>
      <c r="I410" s="119" t="n">
        <v>113.9050061035156</v>
      </c>
      <c r="J410" s="119" t="n">
        <v>103.068556137085</v>
      </c>
      <c r="K410" s="121" t="n">
        <v>0.3109730071214285</v>
      </c>
      <c r="L410" s="121" t="n">
        <v>-0.04516150729584523</v>
      </c>
      <c r="M410" s="121" t="n">
        <v>-0.09014541454614433</v>
      </c>
      <c r="N410" t="n">
        <v>55.51645571800661</v>
      </c>
      <c r="O410" t="n">
        <v>0.2841952469423423</v>
      </c>
      <c r="P410" t="n">
        <v>93.73105494420751</v>
      </c>
      <c r="Q410" t="n">
        <v>85.22167776993629</v>
      </c>
    </row>
    <row r="411">
      <c r="A411" s="118" t="n">
        <v>45028</v>
      </c>
      <c r="B411" s="119" t="n">
        <v>116.8211706759255</v>
      </c>
      <c r="C411" s="119" t="n">
        <v>116.9148059645806</v>
      </c>
      <c r="D411" s="119" t="n">
        <v>115.3791643701108</v>
      </c>
      <c r="E411" s="119" t="n">
        <v>115.7911682128906</v>
      </c>
      <c r="F411" s="120" t="n">
        <v>4524900</v>
      </c>
      <c r="G411" s="121" t="n">
        <v>0.002919684972976233</v>
      </c>
      <c r="H411" s="122" t="n">
        <v>74.05648247591085</v>
      </c>
      <c r="I411" s="119" t="n">
        <v>113.8609838867188</v>
      </c>
      <c r="J411" s="119" t="n">
        <v>103.1235070037842</v>
      </c>
      <c r="K411" s="121" t="n">
        <v>0.3055879173631401</v>
      </c>
      <c r="L411" s="121" t="n">
        <v>-0.04237367969707762</v>
      </c>
      <c r="M411" s="121" t="n">
        <v>-0.08748892578540124</v>
      </c>
      <c r="N411" t="n">
        <v>56.26925263313437</v>
      </c>
      <c r="O411" t="n">
        <v>0.341532805051119</v>
      </c>
      <c r="P411" t="n">
        <v>93.34901526078461</v>
      </c>
      <c r="Q411" t="n">
        <v>84.46883852453576</v>
      </c>
    </row>
    <row r="412">
      <c r="A412" s="118" t="n">
        <v>45029</v>
      </c>
      <c r="B412" s="119" t="n">
        <v>116.7087973218254</v>
      </c>
      <c r="C412" s="119" t="n">
        <v>118.6096214333199</v>
      </c>
      <c r="D412" s="119" t="n">
        <v>116.5402509543871</v>
      </c>
      <c r="E412" s="119" t="n">
        <v>118.384895324707</v>
      </c>
      <c r="F412" s="120" t="n">
        <v>5355300</v>
      </c>
      <c r="G412" s="121" t="n">
        <v>0.02240004269624118</v>
      </c>
      <c r="H412" s="122" t="n">
        <v>75.7153508453047</v>
      </c>
      <c r="I412" s="119" t="n">
        <v>113.8509088134766</v>
      </c>
      <c r="J412" s="119" t="n">
        <v>103.2026111221313</v>
      </c>
      <c r="K412" s="121" t="n">
        <v>0.3117455637780335</v>
      </c>
      <c r="L412" s="121" t="n">
        <v>-0.02092280923524781</v>
      </c>
      <c r="M412" s="121" t="n">
        <v>-0.06704863876220113</v>
      </c>
      <c r="N412" t="n">
        <v>61.64744616974286</v>
      </c>
      <c r="O412" t="n">
        <v>0.5235957925150749</v>
      </c>
      <c r="P412" t="n">
        <v>94.58894947815386</v>
      </c>
      <c r="Q412" t="n">
        <v>86.1229437473512</v>
      </c>
    </row>
    <row r="413">
      <c r="A413" s="118" t="n">
        <v>45030</v>
      </c>
      <c r="B413" s="119" t="n">
        <v>118.9186438176946</v>
      </c>
      <c r="C413" s="119" t="n">
        <v>119.3774617817343</v>
      </c>
      <c r="D413" s="119" t="n">
        <v>117.5047272334241</v>
      </c>
      <c r="E413" s="119" t="n">
        <v>117.9354553222656</v>
      </c>
      <c r="F413" s="120" t="n">
        <v>4828700</v>
      </c>
      <c r="G413" s="121" t="n">
        <v>-0.003796430289596309</v>
      </c>
      <c r="H413" s="122" t="n">
        <v>75.42790279396817</v>
      </c>
      <c r="I413" s="119" t="n">
        <v>113.7913224792481</v>
      </c>
      <c r="J413" s="119" t="n">
        <v>103.3152958679199</v>
      </c>
      <c r="K413" s="121" t="n">
        <v>0.3057344044349712</v>
      </c>
      <c r="L413" s="121" t="n">
        <v>-0.0246398075381199</v>
      </c>
      <c r="M413" s="121" t="n">
        <v>-0.07059052356872442</v>
      </c>
      <c r="N413" t="n">
        <v>60.2643819077236</v>
      </c>
      <c r="O413" t="n">
        <v>0.5788890235557067</v>
      </c>
      <c r="P413" t="n">
        <v>94.35789562498937</v>
      </c>
      <c r="Q413" t="n">
        <v>85.96100918431863</v>
      </c>
    </row>
    <row r="414">
      <c r="A414" s="118" t="n">
        <v>45033</v>
      </c>
      <c r="B414" s="119" t="n">
        <v>118.0103645769722</v>
      </c>
      <c r="C414" s="119" t="n">
        <v>118.4317341301149</v>
      </c>
      <c r="D414" s="119" t="n">
        <v>117.1676326146019</v>
      </c>
      <c r="E414" s="119" t="n">
        <v>118.1601867675781</v>
      </c>
      <c r="F414" s="120" t="n">
        <v>3917900</v>
      </c>
      <c r="G414" s="121" t="n">
        <v>0.001905546086190979</v>
      </c>
      <c r="H414" s="122" t="n">
        <v>75.57163413892681</v>
      </c>
      <c r="I414" s="119" t="n">
        <v>113.7444473266602</v>
      </c>
      <c r="J414" s="119" t="n">
        <v>103.4269229125977</v>
      </c>
      <c r="K414" s="121" t="n">
        <v>0.3052838657332622</v>
      </c>
      <c r="L414" s="121" t="n">
        <v>-0.02278121374074771</v>
      </c>
      <c r="M414" s="121" t="n">
        <v>-0.06881949097844198</v>
      </c>
      <c r="N414" t="n">
        <v>60.73869898394136</v>
      </c>
      <c r="O414" t="n">
        <v>0.593531506295963</v>
      </c>
      <c r="P414" t="n">
        <v>94.69646087409998</v>
      </c>
      <c r="Q414" t="n">
        <v>86.03387596220257</v>
      </c>
    </row>
    <row r="415">
      <c r="A415" s="118" t="n">
        <v>45034</v>
      </c>
      <c r="B415" s="119" t="n">
        <v>119.1340002025508</v>
      </c>
      <c r="C415" s="119" t="n">
        <v>119.1808142754959</v>
      </c>
      <c r="D415" s="119" t="n">
        <v>117.064622435116</v>
      </c>
      <c r="E415" s="119" t="n">
        <v>118.1789016723633</v>
      </c>
      <c r="F415" s="120" t="n">
        <v>3857700</v>
      </c>
      <c r="G415" s="121" t="n">
        <v>0.000158385876809497</v>
      </c>
      <c r="H415" s="122" t="n">
        <v>75.58360361846184</v>
      </c>
      <c r="I415" s="119" t="n">
        <v>113.7250238037109</v>
      </c>
      <c r="J415" s="119" t="n">
        <v>103.5435166549683</v>
      </c>
      <c r="K415" s="121" t="n">
        <v>0.3049768441285075</v>
      </c>
      <c r="L415" s="121" t="n">
        <v>-0.02262643608645132</v>
      </c>
      <c r="M415" s="121" t="n">
        <v>-0.06867200513705274</v>
      </c>
      <c r="N415" t="n">
        <v>60.78068428384939</v>
      </c>
      <c r="O415" t="n">
        <v>0.5674270317103968</v>
      </c>
      <c r="P415" t="n">
        <v>94.7582357395198</v>
      </c>
      <c r="Q415" t="n">
        <v>86.03927070465271</v>
      </c>
    </row>
    <row r="416">
      <c r="A416" s="118" t="n">
        <v>45035</v>
      </c>
      <c r="B416" s="119" t="n">
        <v>117.9822664383494</v>
      </c>
      <c r="C416" s="119" t="n">
        <v>118.0571775284054</v>
      </c>
      <c r="D416" s="119" t="n">
        <v>116.9709881543383</v>
      </c>
      <c r="E416" s="119" t="n">
        <v>117.6732635498047</v>
      </c>
      <c r="F416" s="120" t="n">
        <v>3547400</v>
      </c>
      <c r="G416" s="121" t="n">
        <v>-0.004278582009167864</v>
      </c>
      <c r="H416" s="122" t="n">
        <v>75.26021297183181</v>
      </c>
      <c r="I416" s="119" t="n">
        <v>113.7305949401855</v>
      </c>
      <c r="J416" s="119" t="n">
        <v>103.662315864563</v>
      </c>
      <c r="K416" s="121" t="n">
        <v>0.2774432047579187</v>
      </c>
      <c r="L416" s="121" t="n">
        <v>-0.0268082090332481</v>
      </c>
      <c r="M416" s="121" t="n">
        <v>-0.07265676834050772</v>
      </c>
      <c r="N416" t="n">
        <v>58.94656348498984</v>
      </c>
      <c r="O416" t="n">
        <v>0.4823953271613975</v>
      </c>
      <c r="P416" t="n">
        <v>94.7422337727326</v>
      </c>
      <c r="Q416" t="n">
        <v>85.998797551341</v>
      </c>
    </row>
    <row r="417">
      <c r="A417" s="118" t="n">
        <v>45036</v>
      </c>
      <c r="B417" s="119" t="n">
        <v>116.8586332938546</v>
      </c>
      <c r="C417" s="119" t="n">
        <v>117.3736309845886</v>
      </c>
      <c r="D417" s="119" t="n">
        <v>115.8379892971634</v>
      </c>
      <c r="E417" s="119" t="n">
        <v>116.5308990478516</v>
      </c>
      <c r="F417" s="120" t="n">
        <v>3891600</v>
      </c>
      <c r="G417" s="121" t="n">
        <v>-0.009707935919272104</v>
      </c>
      <c r="H417" s="122" t="n">
        <v>74.52959164703049</v>
      </c>
      <c r="I417" s="119" t="n">
        <v>113.7207881164551</v>
      </c>
      <c r="J417" s="119" t="n">
        <v>103.7608308029175</v>
      </c>
      <c r="K417" s="121" t="n">
        <v>0.2136844323939334</v>
      </c>
      <c r="L417" s="121" t="n">
        <v>-0.03625589257711503</v>
      </c>
      <c r="M417" s="121" t="n">
        <v>-0.07368385430590174</v>
      </c>
      <c r="N417" t="n">
        <v>54.91474566798823</v>
      </c>
      <c r="O417" t="n">
        <v>0.3231528123889678</v>
      </c>
      <c r="P417" t="n">
        <v>94.22521749945975</v>
      </c>
      <c r="Q417" t="n">
        <v>85.34310561982855</v>
      </c>
    </row>
    <row r="418">
      <c r="A418" s="118" t="n">
        <v>45037</v>
      </c>
      <c r="B418" s="119" t="n">
        <v>116.4840829123948</v>
      </c>
      <c r="C418" s="119" t="n">
        <v>117.6826318039265</v>
      </c>
      <c r="D418" s="119" t="n">
        <v>115.7537176281124</v>
      </c>
      <c r="E418" s="119" t="n">
        <v>117.5421752929688</v>
      </c>
      <c r="F418" s="120" t="n">
        <v>3651400</v>
      </c>
      <c r="G418" s="121" t="n">
        <v>0.008678181095143955</v>
      </c>
      <c r="H418" s="122" t="n">
        <v>75.17637294029055</v>
      </c>
      <c r="I418" s="119" t="n">
        <v>113.7763980102539</v>
      </c>
      <c r="J418" s="119" t="n">
        <v>103.8648197937012</v>
      </c>
      <c r="K418" s="121" t="n">
        <v>0.2117727710578846</v>
      </c>
      <c r="L418" s="121" t="n">
        <v>-0.02789234668352136</v>
      </c>
      <c r="M418" s="121" t="n">
        <v>-0.06281718110834078</v>
      </c>
      <c r="N418" t="n">
        <v>57.67464241259179</v>
      </c>
      <c r="O418" t="n">
        <v>0.2624479457849807</v>
      </c>
      <c r="P418" t="n">
        <v>94.29841922388988</v>
      </c>
      <c r="Q418" t="n">
        <v>85.43213984514857</v>
      </c>
    </row>
    <row r="419">
      <c r="A419" s="118" t="n">
        <v>45040</v>
      </c>
      <c r="B419" s="119" t="n">
        <v>117.5234520181255</v>
      </c>
      <c r="C419" s="119" t="n">
        <v>119.0403623454613</v>
      </c>
      <c r="D419" s="119" t="n">
        <v>117.1863592467365</v>
      </c>
      <c r="E419" s="119" t="n">
        <v>119.0029067993164</v>
      </c>
      <c r="F419" s="120" t="n">
        <v>3790900</v>
      </c>
      <c r="G419" s="121" t="n">
        <v>0.0124272968635033</v>
      </c>
      <c r="H419" s="122" t="n">
        <v>76.11061204394098</v>
      </c>
      <c r="I419" s="119" t="n">
        <v>113.8748550415039</v>
      </c>
      <c r="J419" s="119" t="n">
        <v>103.9580128860474</v>
      </c>
      <c r="K419" s="121" t="n">
        <v>0.2143482782398182</v>
      </c>
      <c r="L419" s="121" t="n">
        <v>-0.01581167629247393</v>
      </c>
      <c r="M419" s="121" t="n">
        <v>-0.01581167629247382</v>
      </c>
      <c r="N419" t="n">
        <v>61.35458899826939</v>
      </c>
      <c r="O419" t="n">
        <v>0.2947718302850004</v>
      </c>
      <c r="P419" t="n">
        <v>94.39678040428223</v>
      </c>
      <c r="Q419" t="n">
        <v>85.25406300455138</v>
      </c>
    </row>
    <row r="420">
      <c r="A420" s="118" t="n">
        <v>45041</v>
      </c>
      <c r="B420" s="119" t="n">
        <v>118.4785334177749</v>
      </c>
      <c r="C420" s="119" t="n">
        <v>118.7032595317174</v>
      </c>
      <c r="D420" s="119" t="n">
        <v>116.1563469045696</v>
      </c>
      <c r="E420" s="119" t="n">
        <v>116.7275314331055</v>
      </c>
      <c r="F420" s="120" t="n">
        <v>4383300</v>
      </c>
      <c r="G420" s="121" t="n">
        <v>-0.01912033434652205</v>
      </c>
      <c r="H420" s="122" t="n">
        <v>74.6553516943424</v>
      </c>
      <c r="I420" s="119" t="n">
        <v>113.926870880127</v>
      </c>
      <c r="J420" s="119" t="n">
        <v>104.0407573318481</v>
      </c>
      <c r="K420" s="121" t="n">
        <v>0.2068237100035822</v>
      </c>
      <c r="L420" s="121" t="n">
        <v>-0.03462968610170492</v>
      </c>
      <c r="M420" s="121" t="n">
        <v>-0.03462968610170492</v>
      </c>
      <c r="N420" t="n">
        <v>53.54501628734264</v>
      </c>
      <c r="O420" t="n">
        <v>0.1446084052651826</v>
      </c>
      <c r="P420" t="n">
        <v>92.89834896070845</v>
      </c>
      <c r="Q420" t="n">
        <v>83.64583406745491</v>
      </c>
    </row>
    <row r="421">
      <c r="A421" s="118" t="n">
        <v>45042</v>
      </c>
      <c r="B421" s="119" t="n">
        <v>116.3061752511425</v>
      </c>
      <c r="C421" s="119" t="n">
        <v>117.0271820341477</v>
      </c>
      <c r="D421" s="119" t="n">
        <v>115.4447190957865</v>
      </c>
      <c r="E421" s="119" t="n">
        <v>115.959716796875</v>
      </c>
      <c r="F421" s="120" t="n">
        <v>4003200</v>
      </c>
      <c r="G421" s="121" t="n">
        <v>-0.006577836666326609</v>
      </c>
      <c r="H421" s="122" t="n">
        <v>74.16428098462985</v>
      </c>
      <c r="I421" s="119" t="n">
        <v>113.9090020751953</v>
      </c>
      <c r="J421" s="119" t="n">
        <v>104.1327500915527</v>
      </c>
      <c r="K421" s="121" t="n">
        <v>0.2094285167455278</v>
      </c>
      <c r="L421" s="121" t="n">
        <v>-0.04097973434904822</v>
      </c>
      <c r="M421" s="121" t="n">
        <v>-0.04097973434904834</v>
      </c>
      <c r="N421" t="n">
        <v>51.17773794137078</v>
      </c>
      <c r="O421" t="n">
        <v>-0.01618330307841709</v>
      </c>
      <c r="P421" t="n">
        <v>92.50486059741142</v>
      </c>
      <c r="Q421" t="n">
        <v>84.15312443682446</v>
      </c>
    </row>
    <row r="422">
      <c r="A422" s="118" t="n">
        <v>45043</v>
      </c>
      <c r="B422" s="119" t="n">
        <v>116.521537444088</v>
      </c>
      <c r="C422" s="119" t="n">
        <v>117.9916336722989</v>
      </c>
      <c r="D422" s="119" t="n">
        <v>115.3042572182688</v>
      </c>
      <c r="E422" s="119" t="n">
        <v>117.7013549804688</v>
      </c>
      <c r="F422" s="120" t="n">
        <v>4252100</v>
      </c>
      <c r="G422" s="121" t="n">
        <v>0.01501933802274236</v>
      </c>
      <c r="H422" s="122" t="n">
        <v>75.27817938995165</v>
      </c>
      <c r="I422" s="119" t="n">
        <v>113.9063580322266</v>
      </c>
      <c r="J422" s="119" t="n">
        <v>104.2397161865234</v>
      </c>
      <c r="K422" s="121" t="n">
        <v>0.2018748168402478</v>
      </c>
      <c r="L422" s="121" t="n">
        <v>-0.02657588480857642</v>
      </c>
      <c r="M422" s="121" t="n">
        <v>-0.02657588480857642</v>
      </c>
      <c r="N422" t="n">
        <v>55.93651488608894</v>
      </c>
      <c r="O422" t="n">
        <v>-0.01502334501513758</v>
      </c>
      <c r="P422" t="n">
        <v>94.34644694511525</v>
      </c>
      <c r="Q422" t="n">
        <v>86.44133423139469</v>
      </c>
    </row>
    <row r="423">
      <c r="A423" s="118" t="n">
        <v>45044</v>
      </c>
      <c r="B423" s="119" t="n">
        <v>117.186367269807</v>
      </c>
      <c r="C423" s="119" t="n">
        <v>118.9841907443585</v>
      </c>
      <c r="D423" s="119" t="n">
        <v>117.0084551994169</v>
      </c>
      <c r="E423" s="119" t="n">
        <v>118.6564636230469</v>
      </c>
      <c r="F423" s="120" t="n">
        <v>4421400</v>
      </c>
      <c r="G423" s="121" t="n">
        <v>0.008114678397174169</v>
      </c>
      <c r="H423" s="122" t="n">
        <v>75.88903760602589</v>
      </c>
      <c r="I423" s="119" t="n">
        <v>113.8989131164551</v>
      </c>
      <c r="J423" s="119" t="n">
        <v>104.3451926803589</v>
      </c>
      <c r="K423" s="121" t="n">
        <v>0.201844642085373</v>
      </c>
      <c r="L423" s="121" t="n">
        <v>-0.01533128880694257</v>
      </c>
      <c r="M423" s="121" t="n">
        <v>-0.01867686116974432</v>
      </c>
      <c r="N423" t="n">
        <v>58.3349547291261</v>
      </c>
      <c r="O423" t="n">
        <v>0.03742373651940634</v>
      </c>
      <c r="P423" t="n">
        <v>95.15170955557427</v>
      </c>
      <c r="Q423" t="n">
        <v>87.03765043612711</v>
      </c>
    </row>
    <row r="424">
      <c r="A424" s="118" t="n">
        <v>45047</v>
      </c>
      <c r="B424" s="119" t="n">
        <v>118.8437155636657</v>
      </c>
      <c r="C424" s="119" t="n">
        <v>120.4917165846364</v>
      </c>
      <c r="D424" s="119" t="n">
        <v>118.78753582138</v>
      </c>
      <c r="E424" s="119" t="n">
        <v>119.7800827026367</v>
      </c>
      <c r="F424" s="120" t="n">
        <v>4112600</v>
      </c>
      <c r="G424" s="121" t="n">
        <v>0.009469514304415894</v>
      </c>
      <c r="H424" s="122" t="n">
        <v>76.60766993318451</v>
      </c>
      <c r="I424" s="119" t="n">
        <v>113.9718305969238</v>
      </c>
      <c r="J424" s="119" t="n">
        <v>104.4650585174561</v>
      </c>
      <c r="K424" s="121" t="n">
        <v>0.1917387511586263</v>
      </c>
      <c r="L424" s="121" t="n">
        <v>0</v>
      </c>
      <c r="M424" s="121" t="n">
        <v>-0.009384207669336897</v>
      </c>
      <c r="N424" t="n">
        <v>61.02284268786301</v>
      </c>
      <c r="O424" t="n">
        <v>0.129935876923712</v>
      </c>
      <c r="P424" t="n">
        <v>95.05563956588099</v>
      </c>
      <c r="Q424" t="n">
        <v>86.93783511586399</v>
      </c>
    </row>
    <row r="425">
      <c r="A425" s="118" t="n">
        <v>45048</v>
      </c>
      <c r="B425" s="119" t="n">
        <v>119.059100773558</v>
      </c>
      <c r="C425" s="119" t="n">
        <v>119.4617389886757</v>
      </c>
      <c r="D425" s="119" t="n">
        <v>117.2050904206194</v>
      </c>
      <c r="E425" s="119" t="n">
        <v>119.1621017456055</v>
      </c>
      <c r="F425" s="120" t="n">
        <v>3831600</v>
      </c>
      <c r="G425" s="121" t="n">
        <v>-0.005159296463047469</v>
      </c>
      <c r="H425" s="122" t="n">
        <v>76.21242825265591</v>
      </c>
      <c r="I425" s="119" t="n">
        <v>114.0237985229492</v>
      </c>
      <c r="J425" s="119" t="n">
        <v>104.5749659729004</v>
      </c>
      <c r="K425" s="121" t="n">
        <v>0.1900608117990494</v>
      </c>
      <c r="L425" s="121" t="n">
        <v>-0.00515929646304758</v>
      </c>
      <c r="M425" s="121" t="n">
        <v>-0.01449508822294743</v>
      </c>
      <c r="N425" t="n">
        <v>58.77695986408793</v>
      </c>
      <c r="O425" t="n">
        <v>0.1312693849806137</v>
      </c>
      <c r="P425" t="n">
        <v>93.98728280057675</v>
      </c>
      <c r="Q425" t="n">
        <v>86.17957595814185</v>
      </c>
    </row>
    <row r="426">
      <c r="A426" s="118" t="n">
        <v>45049</v>
      </c>
      <c r="B426" s="119" t="n">
        <v>117.5047195120504</v>
      </c>
      <c r="C426" s="119" t="n">
        <v>120.2108273289392</v>
      </c>
      <c r="D426" s="119" t="n">
        <v>115.800531470829</v>
      </c>
      <c r="E426" s="119" t="n">
        <v>118.675178527832</v>
      </c>
      <c r="F426" s="120" t="n">
        <v>4560100</v>
      </c>
      <c r="G426" s="121" t="n">
        <v>-0.004086225491498507</v>
      </c>
      <c r="H426" s="122" t="n">
        <v>75.90100708556091</v>
      </c>
      <c r="I426" s="119" t="n">
        <v>114.1358688354492</v>
      </c>
      <c r="J426" s="119" t="n">
        <v>104.6859658050537</v>
      </c>
      <c r="K426" s="121" t="n">
        <v>0.1835110392359018</v>
      </c>
      <c r="L426" s="121" t="n">
        <v>-0.009224439905820669</v>
      </c>
      <c r="M426" s="121" t="n">
        <v>-0.01852208351544793</v>
      </c>
      <c r="N426" t="n">
        <v>56.99697408379954</v>
      </c>
      <c r="O426" t="n">
        <v>0.08344859727316223</v>
      </c>
      <c r="P426" t="n">
        <v>93.34217078317243</v>
      </c>
      <c r="Q426" t="n">
        <v>85.61564498802451</v>
      </c>
    </row>
    <row r="427">
      <c r="A427" s="118" t="n">
        <v>45050</v>
      </c>
      <c r="B427" s="119" t="n">
        <v>116.9897275279054</v>
      </c>
      <c r="C427" s="119" t="n">
        <v>117.22381934246</v>
      </c>
      <c r="D427" s="119" t="n">
        <v>115.0046263686721</v>
      </c>
      <c r="E427" s="119" t="n">
        <v>115.800537109375</v>
      </c>
      <c r="F427" s="120" t="n">
        <v>6177100</v>
      </c>
      <c r="G427" s="121" t="n">
        <v>-0.02422276885627661</v>
      </c>
      <c r="H427" s="122" t="n">
        <v>74.06247453496876</v>
      </c>
      <c r="I427" s="119" t="n">
        <v>114.2128549194336</v>
      </c>
      <c r="J427" s="119" t="n">
        <v>104.7582276916504</v>
      </c>
      <c r="K427" s="121" t="n">
        <v>0.1864538080764042</v>
      </c>
      <c r="L427" s="121" t="n">
        <v>-0.03322376728642984</v>
      </c>
      <c r="M427" s="121" t="n">
        <v>-0.04229619622399317</v>
      </c>
      <c r="N427" t="n">
        <v>47.79466680794132</v>
      </c>
      <c r="O427" t="n">
        <v>-0.1452430996863421</v>
      </c>
      <c r="P427" t="n">
        <v>92.6810204308746</v>
      </c>
      <c r="Q427" t="n">
        <v>85.31343034137427</v>
      </c>
    </row>
    <row r="428">
      <c r="A428" s="118" t="n">
        <v>45051</v>
      </c>
      <c r="B428" s="119" t="n">
        <v>117.9167227323653</v>
      </c>
      <c r="C428" s="119" t="n">
        <v>118.9467252318859</v>
      </c>
      <c r="D428" s="119" t="n">
        <v>117.2519028722755</v>
      </c>
      <c r="E428" s="119" t="n">
        <v>118.5347213745117</v>
      </c>
      <c r="F428" s="120" t="n">
        <v>4887800</v>
      </c>
      <c r="G428" s="121" t="n">
        <v>0.02361115356964416</v>
      </c>
      <c r="H428" s="122" t="n">
        <v>75.81117499496176</v>
      </c>
      <c r="I428" s="119" t="n">
        <v>114.3434046936035</v>
      </c>
      <c r="J428" s="119" t="n">
        <v>104.8352499008179</v>
      </c>
      <c r="K428" s="121" t="n">
        <v>0.2006063217794658</v>
      </c>
      <c r="L428" s="121" t="n">
        <v>-0.01039706518834782</v>
      </c>
      <c r="M428" s="121" t="n">
        <v>-0.01968370463880553</v>
      </c>
      <c r="N428" t="n">
        <v>55.20303131407961</v>
      </c>
      <c r="O428" t="n">
        <v>-0.1170395915722129</v>
      </c>
      <c r="P428" t="n">
        <v>94.39678040428224</v>
      </c>
      <c r="Q428" t="n">
        <v>87.12670983131858</v>
      </c>
    </row>
    <row r="429">
      <c r="A429" s="118" t="n">
        <v>45054</v>
      </c>
      <c r="B429" s="119" t="n">
        <v>119.1620908898398</v>
      </c>
      <c r="C429" s="119" t="n">
        <v>119.5647290682767</v>
      </c>
      <c r="D429" s="119" t="n">
        <v>117.9635420267478</v>
      </c>
      <c r="E429" s="119" t="n">
        <v>118.806266784668</v>
      </c>
      <c r="F429" s="120" t="n">
        <v>3892600</v>
      </c>
      <c r="G429" s="121" t="n">
        <v>0.002290851212264577</v>
      </c>
      <c r="H429" s="122" t="n">
        <v>75.98484711710218</v>
      </c>
      <c r="I429" s="119" t="n">
        <v>114.5152397155762</v>
      </c>
      <c r="J429" s="119" t="n">
        <v>104.9112630844116</v>
      </c>
      <c r="K429" s="121" t="n">
        <v>0.1960360219617582</v>
      </c>
      <c r="L429" s="121" t="n">
        <v>-0.008130032105473806</v>
      </c>
      <c r="M429" s="121" t="n">
        <v>-0.01743794586517455</v>
      </c>
      <c r="N429" t="n">
        <v>55.87278233684401</v>
      </c>
      <c r="O429" t="n">
        <v>-0.08619072195208832</v>
      </c>
      <c r="P429" t="n">
        <v>94.42194713386573</v>
      </c>
      <c r="Q429" t="n">
        <v>87.34255825902383</v>
      </c>
    </row>
    <row r="430">
      <c r="A430" s="118" t="n">
        <v>45055</v>
      </c>
      <c r="B430" s="119" t="n">
        <v>117.2987223440453</v>
      </c>
      <c r="C430" s="119" t="n">
        <v>117.6639121441959</v>
      </c>
      <c r="D430" s="119" t="n">
        <v>116.268719797127</v>
      </c>
      <c r="E430" s="119" t="n">
        <v>117.1395416259766</v>
      </c>
      <c r="F430" s="120" t="n">
        <v>4082100</v>
      </c>
      <c r="G430" s="121" t="n">
        <v>-0.01402893301674302</v>
      </c>
      <c r="H430" s="122" t="n">
        <v>74.91886078660889</v>
      </c>
      <c r="I430" s="119" t="n">
        <v>114.64458984375</v>
      </c>
      <c r="J430" s="119" t="n">
        <v>104.9905448913574</v>
      </c>
      <c r="K430" s="121" t="n">
        <v>0.200712097694152</v>
      </c>
      <c r="L430" s="121" t="n">
        <v>-0.02204490944638526</v>
      </c>
      <c r="M430" s="121" t="n">
        <v>-0.0312222431074255</v>
      </c>
      <c r="N430" t="n">
        <v>50.84770950592653</v>
      </c>
      <c r="O430" t="n">
        <v>-0.1788003931704869</v>
      </c>
      <c r="P430" t="n">
        <v>94.00788169600463</v>
      </c>
      <c r="Q430" t="n">
        <v>86.78941677380676</v>
      </c>
    </row>
    <row r="431">
      <c r="A431" s="118" t="n">
        <v>45056</v>
      </c>
      <c r="B431" s="119" t="n">
        <v>118.2538340500835</v>
      </c>
      <c r="C431" s="119" t="n">
        <v>118.4130147857992</v>
      </c>
      <c r="D431" s="119" t="n">
        <v>114.3959979779618</v>
      </c>
      <c r="E431" s="119" t="n">
        <v>115.6507339477539</v>
      </c>
      <c r="F431" s="120" t="n">
        <v>5052600</v>
      </c>
      <c r="G431" s="121" t="n">
        <v>-0.01270969356339446</v>
      </c>
      <c r="H431" s="122" t="n">
        <v>73.96666502389247</v>
      </c>
      <c r="I431" s="119" t="n">
        <v>114.7393081665039</v>
      </c>
      <c r="J431" s="119" t="n">
        <v>105.0616401672363</v>
      </c>
      <c r="K431" s="121" t="n">
        <v>0.206118366492332</v>
      </c>
      <c r="L431" s="121" t="n">
        <v>-0.03447441896608339</v>
      </c>
      <c r="M431" s="121" t="n">
        <v>-0.04353511152856282</v>
      </c>
      <c r="N431" t="n">
        <v>46.79881715276853</v>
      </c>
      <c r="O431" t="n">
        <v>-0.3321749337821159</v>
      </c>
      <c r="P431" t="n">
        <v>94.44711386344923</v>
      </c>
      <c r="Q431" t="n">
        <v>87.73383230086556</v>
      </c>
    </row>
    <row r="432">
      <c r="A432" s="118" t="n">
        <v>45057</v>
      </c>
      <c r="B432" s="119" t="n">
        <v>115.5945378119379</v>
      </c>
      <c r="C432" s="119" t="n">
        <v>115.9784518256628</v>
      </c>
      <c r="D432" s="119" t="n">
        <v>114.1431728148709</v>
      </c>
      <c r="E432" s="119" t="n">
        <v>114.4428100585938</v>
      </c>
      <c r="F432" s="120" t="n">
        <v>5923100</v>
      </c>
      <c r="G432" s="121" t="n">
        <v>-0.01044458472443288</v>
      </c>
      <c r="H432" s="122" t="n">
        <v>73.19411392426667</v>
      </c>
      <c r="I432" s="119" t="n">
        <v>114.8137898254395</v>
      </c>
      <c r="J432" s="119" t="n">
        <v>105.1456306838989</v>
      </c>
      <c r="K432" s="121" t="n">
        <v>0.1912541889138915</v>
      </c>
      <c r="L432" s="121" t="n">
        <v>-0.04455893270079958</v>
      </c>
      <c r="M432" s="121" t="n">
        <v>-0.05352499009214795</v>
      </c>
      <c r="N432" t="n">
        <v>43.75460931161613</v>
      </c>
      <c r="O432" t="n">
        <v>-0.4969131293715827</v>
      </c>
      <c r="P432" t="n">
        <v>94.28240270986016</v>
      </c>
      <c r="Q432" t="n">
        <v>88.01986272016541</v>
      </c>
    </row>
    <row r="433">
      <c r="A433" s="118" t="n">
        <v>45058</v>
      </c>
      <c r="B433" s="119" t="n">
        <v>113.2910647307263</v>
      </c>
      <c r="C433" s="119" t="n">
        <v>113.4877009840732</v>
      </c>
      <c r="D433" s="119" t="n">
        <v>111.4557858889069</v>
      </c>
      <c r="E433" s="119" t="n">
        <v>112.5606994628906</v>
      </c>
      <c r="F433" s="120" t="n">
        <v>6574200</v>
      </c>
      <c r="G433" s="121" t="n">
        <v>-0.01644586142842441</v>
      </c>
      <c r="H433" s="122" t="n">
        <v>71.99037366929188</v>
      </c>
      <c r="I433" s="119" t="n">
        <v>114.8319551086426</v>
      </c>
      <c r="J433" s="119" t="n">
        <v>105.2078658676147</v>
      </c>
      <c r="K433" s="121" t="n">
        <v>0.1983017519508888</v>
      </c>
      <c r="L433" s="121" t="n">
        <v>-0.06027198409662804</v>
      </c>
      <c r="M433" s="121" t="n">
        <v>-0.06909058695055903</v>
      </c>
      <c r="N433" t="n">
        <v>39.44872240350102</v>
      </c>
      <c r="O433" t="n">
        <v>-0.7020304503723124</v>
      </c>
      <c r="P433" t="n">
        <v>94.15886025264179</v>
      </c>
      <c r="Q433" t="n">
        <v>87.70414863245412</v>
      </c>
    </row>
    <row r="434">
      <c r="A434" s="118" t="n">
        <v>45061</v>
      </c>
      <c r="B434" s="119" t="n">
        <v>112.1955217174984</v>
      </c>
      <c r="C434" s="119" t="n">
        <v>112.3547024327748</v>
      </c>
      <c r="D434" s="119" t="n">
        <v>110.5006993096279</v>
      </c>
      <c r="E434" s="119" t="n">
        <v>112.2048873901367</v>
      </c>
      <c r="F434" s="120" t="n">
        <v>5518200</v>
      </c>
      <c r="G434" s="121" t="n">
        <v>-0.003161068423097491</v>
      </c>
      <c r="H434" s="122" t="n">
        <v>71.7628071723189</v>
      </c>
      <c r="I434" s="119" t="n">
        <v>114.8111676025391</v>
      </c>
      <c r="J434" s="119" t="n">
        <v>105.248041229248</v>
      </c>
      <c r="K434" s="121" t="n">
        <v>0.197706385255383</v>
      </c>
      <c r="L434" s="121" t="n">
        <v>-0.06324252865400015</v>
      </c>
      <c r="M434" s="121" t="n">
        <v>-0.07203325530091387</v>
      </c>
      <c r="N434" t="n">
        <v>38.67387405672564</v>
      </c>
      <c r="O434" t="n">
        <v>-0.8226991605744671</v>
      </c>
      <c r="P434" t="n">
        <v>94.48370745204302</v>
      </c>
      <c r="Q434" t="n">
        <v>88.17906215716573</v>
      </c>
    </row>
    <row r="435">
      <c r="A435" s="118" t="n">
        <v>45062</v>
      </c>
      <c r="B435" s="119" t="n">
        <v>110.0231609888004</v>
      </c>
      <c r="C435" s="119" t="n">
        <v>110.3415224510927</v>
      </c>
      <c r="D435" s="119" t="n">
        <v>108.7309766485714</v>
      </c>
      <c r="E435" s="119" t="n">
        <v>109.0680694580078</v>
      </c>
      <c r="F435" s="120" t="n">
        <v>8306400</v>
      </c>
      <c r="G435" s="121" t="n">
        <v>-0.02795616131427658</v>
      </c>
      <c r="H435" s="122" t="n">
        <v>69.75659455864422</v>
      </c>
      <c r="I435" s="119" t="n">
        <v>114.7420640563965</v>
      </c>
      <c r="J435" s="119" t="n">
        <v>105.2600483703613</v>
      </c>
      <c r="K435" s="121" t="n">
        <v>0.2169289470182682</v>
      </c>
      <c r="L435" s="121" t="n">
        <v>-0.08943067163530283</v>
      </c>
      <c r="M435" s="121" t="n">
        <v>-0.09797564331000563</v>
      </c>
      <c r="N435" t="n">
        <v>32.59541378573505</v>
      </c>
      <c r="O435" t="n">
        <v>-1.059713663591817</v>
      </c>
      <c r="P435" t="n">
        <v>93.85232075796935</v>
      </c>
      <c r="Q435" t="n">
        <v>88.27889425734318</v>
      </c>
    </row>
    <row r="436">
      <c r="A436" s="118" t="n">
        <v>45063</v>
      </c>
      <c r="B436" s="119" t="n">
        <v>108.9744135815841</v>
      </c>
      <c r="C436" s="119" t="n">
        <v>109.6766889907184</v>
      </c>
      <c r="D436" s="119" t="n">
        <v>107.9163212036312</v>
      </c>
      <c r="E436" s="119" t="n">
        <v>109.5362396240234</v>
      </c>
      <c r="F436" s="120" t="n">
        <v>7765400</v>
      </c>
      <c r="G436" s="121" t="n">
        <v>0.00429245853843474</v>
      </c>
      <c r="H436" s="122" t="n">
        <v>70.0560218485696</v>
      </c>
      <c r="I436" s="119" t="n">
        <v>114.6931855773926</v>
      </c>
      <c r="J436" s="119" t="n">
        <v>105.2772737503052</v>
      </c>
      <c r="K436" s="121" t="n">
        <v>0.2188629750419165</v>
      </c>
      <c r="L436" s="121" t="n">
        <v>-0.08552209054692705</v>
      </c>
      <c r="M436" s="121" t="n">
        <v>-0.09410374115825548</v>
      </c>
      <c r="N436" t="n">
        <v>34.25625998401146</v>
      </c>
      <c r="O436" t="n">
        <v>-1.124749543345668</v>
      </c>
      <c r="P436" t="n">
        <v>94.99159533062591</v>
      </c>
      <c r="Q436" t="n">
        <v>89.34743920049786</v>
      </c>
    </row>
    <row r="437">
      <c r="A437" s="118" t="n">
        <v>45064</v>
      </c>
      <c r="B437" s="119" t="n">
        <v>109.9576057502437</v>
      </c>
      <c r="C437" s="119" t="n">
        <v>111.5681585529731</v>
      </c>
      <c r="D437" s="119" t="n">
        <v>109.4145110341764</v>
      </c>
      <c r="E437" s="119" t="n">
        <v>111.3059768676758</v>
      </c>
      <c r="F437" s="120" t="n">
        <v>5970500</v>
      </c>
      <c r="G437" s="121" t="n">
        <v>0.01615663683294999</v>
      </c>
      <c r="H437" s="122" t="n">
        <v>71.18789155153816</v>
      </c>
      <c r="I437" s="119" t="n">
        <v>114.674645690918</v>
      </c>
      <c r="J437" s="119" t="n">
        <v>105.31508934021</v>
      </c>
      <c r="K437" s="121" t="n">
        <v>0.2281692059630794</v>
      </c>
      <c r="L437" s="121" t="n">
        <v>-0.07074720307213833</v>
      </c>
      <c r="M437" s="121" t="n">
        <v>-0.07946750429582128</v>
      </c>
      <c r="N437" t="n">
        <v>40.24962017823242</v>
      </c>
      <c r="O437" t="n">
        <v>-0.9929567636146855</v>
      </c>
      <c r="P437" t="n">
        <v>95.90667507497267</v>
      </c>
      <c r="Q437" t="n">
        <v>91.00692238584912</v>
      </c>
    </row>
    <row r="438">
      <c r="A438" s="118" t="n">
        <v>45065</v>
      </c>
      <c r="B438" s="119" t="n">
        <v>107.2702189258311</v>
      </c>
      <c r="C438" s="119" t="n">
        <v>108.1410406652107</v>
      </c>
      <c r="D438" s="119" t="n">
        <v>105.9031237376281</v>
      </c>
      <c r="E438" s="119" t="n">
        <v>107.4574966430664</v>
      </c>
      <c r="F438" s="120" t="n">
        <v>11674300</v>
      </c>
      <c r="G438" s="121" t="n">
        <v>-0.03457568347101947</v>
      </c>
      <c r="H438" s="122" t="n">
        <v>68.72652154628291</v>
      </c>
      <c r="I438" s="119" t="n">
        <v>114.6164036560059</v>
      </c>
      <c r="J438" s="119" t="n">
        <v>105.3220137786865</v>
      </c>
      <c r="K438" s="121" t="n">
        <v>0.2513198909458443</v>
      </c>
      <c r="L438" s="121" t="n">
        <v>-0.1028767536432756</v>
      </c>
      <c r="M438" s="121" t="n">
        <v>-0.1112955444920766</v>
      </c>
      <c r="N438" t="n">
        <v>33.16843293756102</v>
      </c>
      <c r="O438" t="n">
        <v>-1.10098275293941</v>
      </c>
      <c r="P438" t="n">
        <v>95.76710155648203</v>
      </c>
      <c r="Q438" t="n">
        <v>90.80184666312982</v>
      </c>
    </row>
    <row r="439">
      <c r="A439" s="118" t="n">
        <v>45068</v>
      </c>
      <c r="B439" s="119" t="n">
        <v>105.6690441899135</v>
      </c>
      <c r="C439" s="119" t="n">
        <v>105.6690441899135</v>
      </c>
      <c r="D439" s="119" t="n">
        <v>103.0191231213561</v>
      </c>
      <c r="E439" s="119" t="n">
        <v>103.1689453125</v>
      </c>
      <c r="F439" s="120" t="n">
        <v>12710300</v>
      </c>
      <c r="G439" s="121" t="n">
        <v>-0.03990928008318828</v>
      </c>
      <c r="H439" s="122" t="n">
        <v>65.98369554874903</v>
      </c>
      <c r="I439" s="119" t="n">
        <v>114.4795068359375</v>
      </c>
      <c r="J439" s="119" t="n">
        <v>105.3065673446655</v>
      </c>
      <c r="K439" s="121" t="n">
        <v>0.27271836696378</v>
      </c>
      <c r="L439" s="121" t="n">
        <v>-0.1386802965512653</v>
      </c>
      <c r="M439" s="121" t="n">
        <v>-0.1467630995181197</v>
      </c>
      <c r="N439" t="n">
        <v>27.38634817810875</v>
      </c>
      <c r="O439" t="n">
        <v>-1.379234547277731</v>
      </c>
      <c r="P439" t="n">
        <v>95.80599360939617</v>
      </c>
      <c r="Q439" t="n">
        <v>91.10674609606939</v>
      </c>
    </row>
    <row r="440">
      <c r="A440" s="118" t="n">
        <v>45069</v>
      </c>
      <c r="B440" s="119" t="n">
        <v>102.7850184417346</v>
      </c>
      <c r="C440" s="119" t="n">
        <v>103.9929329169757</v>
      </c>
      <c r="D440" s="119" t="n">
        <v>101.3055637808809</v>
      </c>
      <c r="E440" s="119" t="n">
        <v>101.8580169677734</v>
      </c>
      <c r="F440" s="120" t="n">
        <v>11790400</v>
      </c>
      <c r="G440" s="121" t="n">
        <v>-0.0127066176818591</v>
      </c>
      <c r="H440" s="122" t="n">
        <v>65.14526595617488</v>
      </c>
      <c r="I440" s="119" t="n">
        <v>114.3281898498535</v>
      </c>
      <c r="J440" s="119" t="n">
        <v>105.2873971939087</v>
      </c>
      <c r="K440" s="121" t="n">
        <v>0.2698644490762857</v>
      </c>
      <c r="L440" s="121" t="n">
        <v>-0.1496247567248408</v>
      </c>
      <c r="M440" s="121" t="n">
        <v>-0.1576048546045974</v>
      </c>
      <c r="N440" t="n">
        <v>25.90002675516075</v>
      </c>
      <c r="O440" t="n">
        <v>-1.556425662318394</v>
      </c>
      <c r="P440" t="n">
        <v>94.73077781923723</v>
      </c>
      <c r="Q440" t="n">
        <v>89.95185171388403</v>
      </c>
    </row>
    <row r="441">
      <c r="A441" s="118" t="n">
        <v>45070</v>
      </c>
      <c r="B441" s="119" t="n">
        <v>102.0640433028902</v>
      </c>
      <c r="C441" s="119" t="n">
        <v>102.1576786110821</v>
      </c>
      <c r="D441" s="119" t="n">
        <v>100.3785791797714</v>
      </c>
      <c r="E441" s="119" t="n">
        <v>101.3992233276367</v>
      </c>
      <c r="F441" s="120" t="n">
        <v>8503200</v>
      </c>
      <c r="G441" s="121" t="n">
        <v>-0.004504246732801365</v>
      </c>
      <c r="H441" s="122" t="n">
        <v>64.85183560483431</v>
      </c>
      <c r="I441" s="119" t="n">
        <v>114.1276202392578</v>
      </c>
      <c r="J441" s="119" t="n">
        <v>105.2653298187256</v>
      </c>
      <c r="K441" s="121" t="n">
        <v>0.2699723100028812</v>
      </c>
      <c r="L441" s="121" t="n">
        <v>-0.153455056636018</v>
      </c>
      <c r="M441" s="121" t="n">
        <v>-0.1613992101859724</v>
      </c>
      <c r="N441" t="n">
        <v>25.38085860631659</v>
      </c>
      <c r="O441" t="n">
        <v>-1.603056595379318</v>
      </c>
      <c r="P441" t="n">
        <v>94.04447528459843</v>
      </c>
      <c r="Q441" t="n">
        <v>89.49043763023347</v>
      </c>
    </row>
    <row r="442">
      <c r="A442" s="118" t="n">
        <v>45071</v>
      </c>
      <c r="B442" s="119" t="n">
        <v>101.4553819401171</v>
      </c>
      <c r="C442" s="119" t="n">
        <v>102.035932160184</v>
      </c>
      <c r="D442" s="119" t="n">
        <v>100.584560181974</v>
      </c>
      <c r="E442" s="119" t="n">
        <v>100.6407470703125</v>
      </c>
      <c r="F442" s="120" t="n">
        <v>6729800</v>
      </c>
      <c r="G442" s="121" t="n">
        <v>-0.007480099279197239</v>
      </c>
      <c r="H442" s="122" t="n">
        <v>64.36673743607196</v>
      </c>
      <c r="I442" s="119" t="n">
        <v>113.927424621582</v>
      </c>
      <c r="J442" s="119" t="n">
        <v>105.2575231933594</v>
      </c>
      <c r="K442" s="121" t="n">
        <v>0.2576657354670371</v>
      </c>
      <c r="L442" s="121" t="n">
        <v>-0.1597872968566831</v>
      </c>
      <c r="M442" s="121" t="n">
        <v>-0.1676720273493945</v>
      </c>
      <c r="N442" t="n">
        <v>24.50628844949489</v>
      </c>
      <c r="O442" t="n">
        <v>-1.580881819451136</v>
      </c>
      <c r="P442" t="n">
        <v>94.8588953842325</v>
      </c>
      <c r="Q442" t="n">
        <v>91.66800905981171</v>
      </c>
    </row>
    <row r="443">
      <c r="A443" s="118" t="n">
        <v>45072</v>
      </c>
      <c r="B443" s="119" t="n">
        <v>100.1912892342369</v>
      </c>
      <c r="C443" s="119" t="n">
        <v>101.5490188008733</v>
      </c>
      <c r="D443" s="119" t="n">
        <v>100.1912892342369</v>
      </c>
      <c r="E443" s="119" t="n">
        <v>100.6688385009766</v>
      </c>
      <c r="F443" s="120" t="n">
        <v>7911200</v>
      </c>
      <c r="G443" s="121" t="n">
        <v>0.0002791258161511934</v>
      </c>
      <c r="H443" s="122" t="n">
        <v>64.3847038541918</v>
      </c>
      <c r="I443" s="119" t="n">
        <v>113.6813471984863</v>
      </c>
      <c r="J443" s="119" t="n">
        <v>105.2357949829101</v>
      </c>
      <c r="K443" s="121" t="n">
        <v>0.2527524998690998</v>
      </c>
      <c r="L443" s="121" t="n">
        <v>-0.1595527718001776</v>
      </c>
      <c r="M443" s="121" t="n">
        <v>-0.167439703124723</v>
      </c>
      <c r="N443" t="n">
        <v>24.60990263058621</v>
      </c>
      <c r="O443" t="n">
        <v>-1.462943334785018</v>
      </c>
      <c r="P443" t="n">
        <v>96.08738819534892</v>
      </c>
      <c r="Q443" t="n">
        <v>94.01017466884039</v>
      </c>
    </row>
    <row r="444">
      <c r="A444" s="118" t="n">
        <v>45076</v>
      </c>
      <c r="B444" s="119" t="n">
        <v>101.502219317909</v>
      </c>
      <c r="C444" s="119" t="n">
        <v>101.9516716326924</v>
      </c>
      <c r="D444" s="119" t="n">
        <v>99.50775234632098</v>
      </c>
      <c r="E444" s="119" t="n">
        <v>99.74184417724609</v>
      </c>
      <c r="F444" s="120" t="n">
        <v>9335200</v>
      </c>
      <c r="G444" s="121" t="n">
        <v>-0.009208354218981807</v>
      </c>
      <c r="H444" s="122" t="n">
        <v>63.79182669481816</v>
      </c>
      <c r="I444" s="119" t="n">
        <v>113.4215992736816</v>
      </c>
      <c r="J444" s="119" t="n">
        <v>105.2049765777588</v>
      </c>
      <c r="K444" s="121" t="n">
        <v>0.2441150590587665</v>
      </c>
      <c r="L444" s="121" t="n">
        <v>-0.1672919075798029</v>
      </c>
      <c r="M444" s="121" t="n">
        <v>-0.1751062132470111</v>
      </c>
      <c r="N444" t="n">
        <v>23.46538118339707</v>
      </c>
      <c r="O444" t="n">
        <v>-1.34878154079159</v>
      </c>
      <c r="P444" t="n">
        <v>96.12398178394271</v>
      </c>
      <c r="Q444" t="n">
        <v>94.43651034162937</v>
      </c>
    </row>
    <row r="445">
      <c r="A445" s="118" t="n">
        <v>45077</v>
      </c>
      <c r="B445" s="119" t="n">
        <v>98.97400842155798</v>
      </c>
      <c r="C445" s="119" t="n">
        <v>99.41410214075452</v>
      </c>
      <c r="D445" s="119" t="n">
        <v>98.15937354415686</v>
      </c>
      <c r="E445" s="119" t="n">
        <v>98.56201171875</v>
      </c>
      <c r="F445" s="120" t="n">
        <v>21465200</v>
      </c>
      <c r="G445" s="121" t="n">
        <v>-0.01182886147963613</v>
      </c>
      <c r="H445" s="122" t="n">
        <v>63.0372420133122</v>
      </c>
      <c r="I445" s="119" t="n">
        <v>113.1230853271484</v>
      </c>
      <c r="J445" s="119" t="n">
        <v>105.1591164016724</v>
      </c>
      <c r="K445" s="121" t="n">
        <v>0.2438717553079559</v>
      </c>
      <c r="L445" s="121" t="n">
        <v>-0.1771418962580135</v>
      </c>
      <c r="M445" s="121" t="n">
        <v>-0.1848637675859248</v>
      </c>
      <c r="N445" t="n">
        <v>22.05922902429737</v>
      </c>
      <c r="O445" t="n">
        <v>-1.256032846352558</v>
      </c>
      <c r="P445" t="n">
        <v>95.59094899664012</v>
      </c>
      <c r="Q445" t="n">
        <v>93.89954469380555</v>
      </c>
    </row>
    <row r="446">
      <c r="A446" s="118" t="n">
        <v>45078</v>
      </c>
      <c r="B446" s="119" t="n">
        <v>97.55074093190737</v>
      </c>
      <c r="C446" s="119" t="n">
        <v>97.94401346454936</v>
      </c>
      <c r="D446" s="119" t="n">
        <v>96.352191988285</v>
      </c>
      <c r="E446" s="119" t="n">
        <v>97.03573608398438</v>
      </c>
      <c r="F446" s="120" t="n">
        <v>12025200</v>
      </c>
      <c r="G446" s="121" t="n">
        <v>-0.01548543508954447</v>
      </c>
      <c r="H446" s="122" t="n">
        <v>62.06108289389115</v>
      </c>
      <c r="I446" s="119" t="n">
        <v>112.7114584350586</v>
      </c>
      <c r="J446" s="119" t="n">
        <v>105.1044646072388</v>
      </c>
      <c r="K446" s="121" t="n">
        <v>0.2439764676308575</v>
      </c>
      <c r="L446" s="121" t="n">
        <v>-0.1898842120114156</v>
      </c>
      <c r="M446" s="121" t="n">
        <v>-0.1974865068021088</v>
      </c>
      <c r="N446" t="n">
        <v>20.35953815536419</v>
      </c>
      <c r="O446" t="n">
        <v>-1.200813948924909</v>
      </c>
      <c r="P446" t="n">
        <v>96.4991697161322</v>
      </c>
      <c r="Q446" t="n">
        <v>94.98426547435348</v>
      </c>
    </row>
    <row r="447">
      <c r="A447" s="118" t="n">
        <v>45079</v>
      </c>
      <c r="B447" s="119" t="n">
        <v>101.1129492415631</v>
      </c>
      <c r="C447" s="119" t="n">
        <v>101.8551152223391</v>
      </c>
      <c r="D447" s="119" t="n">
        <v>99.70377496178277</v>
      </c>
      <c r="E447" s="119" t="n">
        <v>101.2538681030273</v>
      </c>
      <c r="F447" s="120" t="n">
        <v>11838200</v>
      </c>
      <c r="G447" s="121" t="n">
        <v>0.04346988222351578</v>
      </c>
      <c r="H447" s="122" t="n">
        <v>64.75887085795245</v>
      </c>
      <c r="I447" s="119" t="n">
        <v>112.4986183166504</v>
      </c>
      <c r="J447" s="119" t="n">
        <v>105.0628284072876</v>
      </c>
      <c r="K447" s="121" t="n">
        <v>0.3025661998545463</v>
      </c>
      <c r="L447" s="121" t="n">
        <v>-0.1546685741201412</v>
      </c>
      <c r="M447" s="121" t="n">
        <v>-0.1626013397700141</v>
      </c>
      <c r="N447" t="n">
        <v>35.21610739611504</v>
      </c>
      <c r="O447" t="n">
        <v>-0.8026810926674144</v>
      </c>
      <c r="P447" t="n">
        <v>97.89465032429422</v>
      </c>
      <c r="Q447" t="n">
        <v>95.69663156644232</v>
      </c>
    </row>
    <row r="448">
      <c r="A448" s="118" t="n">
        <v>45082</v>
      </c>
      <c r="B448" s="119" t="n">
        <v>101.3478029084509</v>
      </c>
      <c r="C448" s="119" t="n">
        <v>101.3478029084509</v>
      </c>
      <c r="D448" s="119" t="n">
        <v>98.81129228988765</v>
      </c>
      <c r="E448" s="119" t="n">
        <v>98.830078125</v>
      </c>
      <c r="F448" s="120" t="n">
        <v>7434000</v>
      </c>
      <c r="G448" s="121" t="n">
        <v>-0.023937751944065</v>
      </c>
      <c r="H448" s="122" t="n">
        <v>63.20868907117704</v>
      </c>
      <c r="I448" s="119" t="n">
        <v>112.2097732543945</v>
      </c>
      <c r="J448" s="119" t="n">
        <v>105.0138069534302</v>
      </c>
      <c r="K448" s="121" t="n">
        <v>0.2864136276835201</v>
      </c>
      <c r="L448" s="121" t="n">
        <v>-0.1749039081033761</v>
      </c>
      <c r="M448" s="121" t="n">
        <v>-0.1826467811768919</v>
      </c>
      <c r="N448" t="n">
        <v>31.57158481782785</v>
      </c>
      <c r="O448" t="n">
        <v>-0.6325296651073709</v>
      </c>
      <c r="P448" t="n">
        <v>97.70706363182074</v>
      </c>
      <c r="Q448" t="n">
        <v>95.76407843200468</v>
      </c>
    </row>
    <row r="449">
      <c r="A449" s="118" t="n">
        <v>45083</v>
      </c>
      <c r="B449" s="119" t="n">
        <v>99.10252812847261</v>
      </c>
      <c r="C449" s="119" t="n">
        <v>100.2862365337849</v>
      </c>
      <c r="D449" s="119" t="n">
        <v>98.83008690683712</v>
      </c>
      <c r="E449" s="119" t="n">
        <v>99.76014709472656</v>
      </c>
      <c r="F449" s="120" t="n">
        <v>7896300</v>
      </c>
      <c r="G449" s="121" t="n">
        <v>0.00941078857137212</v>
      </c>
      <c r="H449" s="122" t="n">
        <v>63.80353267989949</v>
      </c>
      <c r="I449" s="119" t="n">
        <v>111.9443983459473</v>
      </c>
      <c r="J449" s="119" t="n">
        <v>104.974215927124</v>
      </c>
      <c r="K449" s="121" t="n">
        <v>0.291177039473864</v>
      </c>
      <c r="L449" s="121" t="n">
        <v>-0.1671391032314715</v>
      </c>
      <c r="M449" s="121" t="n">
        <v>-0.1749548428464173</v>
      </c>
      <c r="N449" t="n">
        <v>34.3780104718537</v>
      </c>
      <c r="O449" t="n">
        <v>-0.398715093441286</v>
      </c>
      <c r="P449" t="n">
        <v>97.91982432749897</v>
      </c>
      <c r="Q449" t="n">
        <v>95.74791098456861</v>
      </c>
    </row>
    <row r="450">
      <c r="A450" s="118" t="n">
        <v>45084</v>
      </c>
      <c r="B450" s="119" t="n">
        <v>99.61921143537744</v>
      </c>
      <c r="C450" s="119" t="n">
        <v>101.6859971695525</v>
      </c>
      <c r="D450" s="119" t="n">
        <v>99.03675024932491</v>
      </c>
      <c r="E450" s="119" t="n">
        <v>100.6056289672852</v>
      </c>
      <c r="F450" s="120" t="n">
        <v>11123900</v>
      </c>
      <c r="G450" s="121" t="n">
        <v>0.008475146610958495</v>
      </c>
      <c r="H450" s="122" t="n">
        <v>64.34427697365872</v>
      </c>
      <c r="I450" s="119" t="n">
        <v>111.750242767334</v>
      </c>
      <c r="J450" s="119" t="n">
        <v>104.9520788955688</v>
      </c>
      <c r="K450" s="121" t="n">
        <v>0.2964586439246613</v>
      </c>
      <c r="L450" s="121" t="n">
        <v>-0.1600804850248239</v>
      </c>
      <c r="M450" s="121" t="n">
        <v>-0.1679624641788793</v>
      </c>
      <c r="N450" t="n">
        <v>36.91106245532107</v>
      </c>
      <c r="O450" t="n">
        <v>-0.1417440411972306</v>
      </c>
      <c r="P450" t="n">
        <v>97.58122998390328</v>
      </c>
      <c r="Q450" t="n">
        <v>94.1235062100789</v>
      </c>
    </row>
    <row r="451">
      <c r="A451" s="118" t="n">
        <v>45085</v>
      </c>
      <c r="B451" s="119" t="n">
        <v>100.6714090521817</v>
      </c>
      <c r="C451" s="119" t="n">
        <v>101.0096042687115</v>
      </c>
      <c r="D451" s="119" t="n">
        <v>99.27162417567784</v>
      </c>
      <c r="E451" s="119" t="n">
        <v>99.76953125</v>
      </c>
      <c r="F451" s="120" t="n">
        <v>9137600</v>
      </c>
      <c r="G451" s="121" t="n">
        <v>-0.008310645496357294</v>
      </c>
      <c r="H451" s="122" t="n">
        <v>63.80953449801122</v>
      </c>
      <c r="I451" s="119" t="n">
        <v>111.5382414245606</v>
      </c>
      <c r="J451" s="119" t="n">
        <v>104.9388488006592</v>
      </c>
      <c r="K451" s="121" t="n">
        <v>0.2958268756597088</v>
      </c>
      <c r="L451" s="121" t="n">
        <v>-0.1670607583592548</v>
      </c>
      <c r="M451" s="121" t="n">
        <v>-0.1748772331787513</v>
      </c>
      <c r="N451" t="n">
        <v>35.45361581300094</v>
      </c>
      <c r="O451" t="n">
        <v>0.009278779668816739</v>
      </c>
      <c r="P451" t="n">
        <v>98.17146980247007</v>
      </c>
      <c r="Q451" t="n">
        <v>95.29188325341102</v>
      </c>
    </row>
    <row r="452">
      <c r="A452" s="118" t="n">
        <v>45086</v>
      </c>
      <c r="B452" s="119" t="n">
        <v>99.49708672487185</v>
      </c>
      <c r="C452" s="119" t="n">
        <v>99.84467840639074</v>
      </c>
      <c r="D452" s="119" t="n">
        <v>98.97099020113448</v>
      </c>
      <c r="E452" s="119" t="n">
        <v>99.45011138916016</v>
      </c>
      <c r="F452" s="120" t="n">
        <v>5795200</v>
      </c>
      <c r="G452" s="121" t="n">
        <v>-0.003201577243451714</v>
      </c>
      <c r="H452" s="122" t="n">
        <v>63.60524334444714</v>
      </c>
      <c r="I452" s="119" t="n">
        <v>111.2707859802246</v>
      </c>
      <c r="J452" s="119" t="n">
        <v>104.9224436569214</v>
      </c>
      <c r="K452" s="121" t="n">
        <v>0.2958883656661406</v>
      </c>
      <c r="L452" s="121" t="n">
        <v>-0.1697274776804698</v>
      </c>
      <c r="M452" s="121" t="n">
        <v>-0.1775189274520601</v>
      </c>
      <c r="N452" t="n">
        <v>34.88687081386053</v>
      </c>
      <c r="O452" t="n">
        <v>0.1189304613711659</v>
      </c>
      <c r="P452" t="n">
        <v>98.3476150886907</v>
      </c>
      <c r="Q452" t="n">
        <v>95.65615002317348</v>
      </c>
    </row>
    <row r="453">
      <c r="A453" s="118" t="n">
        <v>45089</v>
      </c>
      <c r="B453" s="119" t="n">
        <v>99.85409317426425</v>
      </c>
      <c r="C453" s="119" t="n">
        <v>100.3801826268142</v>
      </c>
      <c r="D453" s="119" t="n">
        <v>98.26642114683592</v>
      </c>
      <c r="E453" s="119" t="n">
        <v>100.3613967895508</v>
      </c>
      <c r="F453" s="120" t="n">
        <v>7964600</v>
      </c>
      <c r="G453" s="121" t="n">
        <v>0.009163241625991247</v>
      </c>
      <c r="H453" s="122" t="n">
        <v>64.18807355789228</v>
      </c>
      <c r="I453" s="119" t="n">
        <v>111.028860168457</v>
      </c>
      <c r="J453" s="119" t="n">
        <v>104.9072071075439</v>
      </c>
      <c r="K453" s="121" t="n">
        <v>0.2988010572001736</v>
      </c>
      <c r="L453" s="121" t="n">
        <v>-0.1621194899430347</v>
      </c>
      <c r="M453" s="121" t="n">
        <v>-0.1699823346514988</v>
      </c>
      <c r="N453" t="n">
        <v>37.93511863341518</v>
      </c>
      <c r="O453" t="n">
        <v>0.2751730602334321</v>
      </c>
      <c r="P453" t="n">
        <v>99.23980474691049</v>
      </c>
      <c r="Q453" t="n">
        <v>97.27245848900942</v>
      </c>
    </row>
    <row r="454">
      <c r="A454" s="118" t="n">
        <v>45090</v>
      </c>
      <c r="B454" s="119" t="n">
        <v>100.6526173664146</v>
      </c>
      <c r="C454" s="119" t="n">
        <v>100.9720339187496</v>
      </c>
      <c r="D454" s="119" t="n">
        <v>99.85408673672327</v>
      </c>
      <c r="E454" s="119" t="n">
        <v>100.3144149780273</v>
      </c>
      <c r="F454" s="120" t="n">
        <v>8460500</v>
      </c>
      <c r="G454" s="121" t="n">
        <v>-0.0004681263217365395</v>
      </c>
      <c r="H454" s="122" t="n">
        <v>64.15802543111828</v>
      </c>
      <c r="I454" s="119" t="n">
        <v>110.7384269714355</v>
      </c>
      <c r="J454" s="119" t="n">
        <v>104.8833355712891</v>
      </c>
      <c r="K454" s="121" t="n">
        <v>0.2992393069347347</v>
      </c>
      <c r="L454" s="121" t="n">
        <v>-0.1625117238642624</v>
      </c>
      <c r="M454" s="121" t="n">
        <v>-0.1703708877681548</v>
      </c>
      <c r="N454" t="n">
        <v>37.83677283251951</v>
      </c>
      <c r="O454" t="n">
        <v>0.3906458983009919</v>
      </c>
      <c r="P454" t="n">
        <v>99.89408880073239</v>
      </c>
      <c r="Q454" t="n">
        <v>98.01990299195985</v>
      </c>
    </row>
    <row r="455">
      <c r="A455" s="118" t="n">
        <v>45091</v>
      </c>
      <c r="B455" s="119" t="n">
        <v>100.9720396909386</v>
      </c>
      <c r="C455" s="119" t="n">
        <v>106.5335792463472</v>
      </c>
      <c r="D455" s="119" t="n">
        <v>100.9720396909386</v>
      </c>
      <c r="E455" s="119" t="n">
        <v>106.0262756347656</v>
      </c>
      <c r="F455" s="120" t="n">
        <v>17415500</v>
      </c>
      <c r="G455" s="121" t="n">
        <v>0.05693957999943877</v>
      </c>
      <c r="H455" s="122" t="n">
        <v>67.81115645275946</v>
      </c>
      <c r="I455" s="119" t="n">
        <v>110.5803964233398</v>
      </c>
      <c r="J455" s="119" t="n">
        <v>104.9109494018555</v>
      </c>
      <c r="K455" s="121" t="n">
        <v>0.3599955675201741</v>
      </c>
      <c r="L455" s="121" t="n">
        <v>-0.1148254931666395</v>
      </c>
      <c r="M455" s="121" t="n">
        <v>-0.1231321545623664</v>
      </c>
      <c r="N455" t="n">
        <v>53.58970039874869</v>
      </c>
      <c r="O455" t="n">
        <v>0.8411372747592423</v>
      </c>
      <c r="P455" t="n">
        <v>100.0130488765526</v>
      </c>
      <c r="Q455" t="n">
        <v>98.73226908404871</v>
      </c>
    </row>
    <row r="456">
      <c r="A456" s="118" t="n">
        <v>45092</v>
      </c>
      <c r="B456" s="119" t="n">
        <v>105.0586408163734</v>
      </c>
      <c r="C456" s="119" t="n">
        <v>105.9886938278709</v>
      </c>
      <c r="D456" s="119" t="n">
        <v>103.4897618489897</v>
      </c>
      <c r="E456" s="119" t="n">
        <v>105.6035232543945</v>
      </c>
      <c r="F456" s="120" t="n">
        <v>10374200</v>
      </c>
      <c r="G456" s="121" t="n">
        <v>-0.003987241632700256</v>
      </c>
      <c r="H456" s="122" t="n">
        <v>67.54077698658946</v>
      </c>
      <c r="I456" s="119" t="n">
        <v>110.3760816955566</v>
      </c>
      <c r="J456" s="119" t="n">
        <v>104.9383058166504</v>
      </c>
      <c r="K456" s="121" t="n">
        <v>0.3595282117029195</v>
      </c>
      <c r="L456" s="121" t="n">
        <v>-0.1183548978124904</v>
      </c>
      <c r="M456" s="121" t="n">
        <v>-0.1266284385420715</v>
      </c>
      <c r="N456" t="n">
        <v>52.52869528200837</v>
      </c>
      <c r="O456" t="n">
        <v>1.084582483890046</v>
      </c>
      <c r="P456" t="n">
        <v>101.2529830939219</v>
      </c>
      <c r="Q456" t="n">
        <v>99.90873404607744</v>
      </c>
    </row>
    <row r="457">
      <c r="A457" s="118" t="n">
        <v>45093</v>
      </c>
      <c r="B457" s="119" t="n">
        <v>107.0972290768936</v>
      </c>
      <c r="C457" s="119" t="n">
        <v>107.8112126109533</v>
      </c>
      <c r="D457" s="119" t="n">
        <v>106.2141443681206</v>
      </c>
      <c r="E457" s="119" t="n">
        <v>106.7120513916016</v>
      </c>
      <c r="F457" s="120" t="n">
        <v>14445500</v>
      </c>
      <c r="G457" s="121" t="n">
        <v>0.01049707531572253</v>
      </c>
      <c r="H457" s="122" t="n">
        <v>68.24975760950012</v>
      </c>
      <c r="I457" s="119" t="n">
        <v>110.2461868286133</v>
      </c>
      <c r="J457" s="119" t="n">
        <v>104.9712977600098</v>
      </c>
      <c r="K457" s="121" t="n">
        <v>0.3563713586389624</v>
      </c>
      <c r="L457" s="121" t="n">
        <v>-0.1091002027730901</v>
      </c>
      <c r="M457" s="121" t="n">
        <v>-0.1174605914828375</v>
      </c>
      <c r="N457" t="n">
        <v>55.04223748160796</v>
      </c>
      <c r="O457" t="n">
        <v>1.280744128766151</v>
      </c>
      <c r="P457" t="n">
        <v>100.908089794309</v>
      </c>
      <c r="Q457" t="n">
        <v>99.2800242167728</v>
      </c>
    </row>
    <row r="458">
      <c r="A458" s="118" t="n">
        <v>45097</v>
      </c>
      <c r="B458" s="119" t="n">
        <v>104.6640527871002</v>
      </c>
      <c r="C458" s="119" t="n">
        <v>105.9886726089004</v>
      </c>
      <c r="D458" s="119" t="n">
        <v>102.3623976393262</v>
      </c>
      <c r="E458" s="119" t="n">
        <v>102.9072799682617</v>
      </c>
      <c r="F458" s="120" t="n">
        <v>10602400</v>
      </c>
      <c r="G458" s="121" t="n">
        <v>-0.03565456172684245</v>
      </c>
      <c r="H458" s="122" t="n">
        <v>65.81634241397016</v>
      </c>
      <c r="I458" s="119" t="n">
        <v>110.052931060791</v>
      </c>
      <c r="J458" s="119" t="n">
        <v>104.991809463501</v>
      </c>
      <c r="K458" s="121" t="n">
        <v>0.3577027378109355</v>
      </c>
      <c r="L458" s="121" t="n">
        <v>-0.1408648445857484</v>
      </c>
      <c r="M458" s="121" t="n">
        <v>-0.1489271473001836</v>
      </c>
      <c r="N458" t="n">
        <v>46.03295159189499</v>
      </c>
      <c r="O458" t="n">
        <v>1.120511859508286</v>
      </c>
      <c r="P458" t="n">
        <v>100.3845563563811</v>
      </c>
      <c r="Q458" t="n">
        <v>99.13790673253835</v>
      </c>
    </row>
    <row r="459">
      <c r="A459" s="118" t="n">
        <v>45098</v>
      </c>
      <c r="B459" s="119" t="n">
        <v>102.5221104692013</v>
      </c>
      <c r="C459" s="119" t="n">
        <v>103.6776363851802</v>
      </c>
      <c r="D459" s="119" t="n">
        <v>102.1275434412788</v>
      </c>
      <c r="E459" s="119" t="n">
        <v>103.3206481933594</v>
      </c>
      <c r="F459" s="120" t="n">
        <v>8377800</v>
      </c>
      <c r="G459" s="121" t="n">
        <v>0.00401689972978736</v>
      </c>
      <c r="H459" s="122" t="n">
        <v>66.08072006202843</v>
      </c>
      <c r="I459" s="119" t="n">
        <v>109.836293182373</v>
      </c>
      <c r="J459" s="119" t="n">
        <v>105.0142023849487</v>
      </c>
      <c r="K459" s="121" t="n">
        <v>0.3286346925484516</v>
      </c>
      <c r="L459" s="121" t="n">
        <v>-0.1374137848121141</v>
      </c>
      <c r="M459" s="121" t="n">
        <v>-0.1455084729881445</v>
      </c>
      <c r="N459" t="n">
        <v>47.04704438608159</v>
      </c>
      <c r="O459" t="n">
        <v>1.011936374530389</v>
      </c>
      <c r="P459" t="n">
        <v>99.8702240493557</v>
      </c>
      <c r="Q459" t="n">
        <v>97.78686354204572</v>
      </c>
    </row>
    <row r="460">
      <c r="A460" s="118" t="n">
        <v>45099</v>
      </c>
      <c r="B460" s="119" t="n">
        <v>104.1097859265599</v>
      </c>
      <c r="C460" s="119" t="n">
        <v>104.5137494696341</v>
      </c>
      <c r="D460" s="119" t="n">
        <v>103.1327576556959</v>
      </c>
      <c r="E460" s="119" t="n">
        <v>103.7715835571289</v>
      </c>
      <c r="F460" s="120" t="n">
        <v>6002900</v>
      </c>
      <c r="G460" s="121" t="n">
        <v>0.004364426391572973</v>
      </c>
      <c r="H460" s="122" t="n">
        <v>66.36912450064129</v>
      </c>
      <c r="I460" s="119" t="n">
        <v>109.6026432800293</v>
      </c>
      <c r="J460" s="119" t="n">
        <v>105.0409210586548</v>
      </c>
      <c r="K460" s="121" t="n">
        <v>0.3252609144303372</v>
      </c>
      <c r="L460" s="121" t="n">
        <v>-0.1336490907695411</v>
      </c>
      <c r="M460" s="121" t="n">
        <v>-0.1417791076162783</v>
      </c>
      <c r="N460" t="n">
        <v>48.1907602340216</v>
      </c>
      <c r="O460" t="n">
        <v>0.9415211068510958</v>
      </c>
      <c r="P460" t="n">
        <v>100.230719266586</v>
      </c>
      <c r="Q460" t="n">
        <v>98.94065044988675</v>
      </c>
    </row>
    <row r="461">
      <c r="A461" s="118" t="n">
        <v>45100</v>
      </c>
      <c r="B461" s="119" t="n">
        <v>101.2256665880646</v>
      </c>
      <c r="C461" s="119" t="n">
        <v>103.611868776543</v>
      </c>
      <c r="D461" s="119" t="n">
        <v>100.8029172511884</v>
      </c>
      <c r="E461" s="119" t="n">
        <v>102.8884887695312</v>
      </c>
      <c r="F461" s="120" t="n">
        <v>14329200</v>
      </c>
      <c r="G461" s="121" t="n">
        <v>-0.008509986619906318</v>
      </c>
      <c r="H461" s="122" t="n">
        <v>65.80432413916594</v>
      </c>
      <c r="I461" s="119" t="n">
        <v>109.3445896911621</v>
      </c>
      <c r="J461" s="119" t="n">
        <v>105.0659702682495</v>
      </c>
      <c r="K461" s="121" t="n">
        <v>0.3264892846563497</v>
      </c>
      <c r="L461" s="121" t="n">
        <v>-0.1410217254152359</v>
      </c>
      <c r="M461" s="121" t="n">
        <v>-0.1490825559273878</v>
      </c>
      <c r="N461" t="n">
        <v>46.09122164197242</v>
      </c>
      <c r="O461" t="n">
        <v>0.8114346040005311</v>
      </c>
      <c r="P461" t="n">
        <v>99.47297522386368</v>
      </c>
      <c r="Q461" t="n">
        <v>97.95981411882173</v>
      </c>
    </row>
    <row r="462">
      <c r="A462" s="118" t="n">
        <v>45103</v>
      </c>
      <c r="B462" s="119" t="n">
        <v>103.0294228087916</v>
      </c>
      <c r="C462" s="119" t="n">
        <v>105.4156253494122</v>
      </c>
      <c r="D462" s="119" t="n">
        <v>103.0294228087916</v>
      </c>
      <c r="E462" s="119" t="n">
        <v>104.9740829467773</v>
      </c>
      <c r="F462" s="120" t="n">
        <v>6887100</v>
      </c>
      <c r="G462" s="121" t="n">
        <v>0.02027043260318262</v>
      </c>
      <c r="H462" s="122" t="n">
        <v>67.13820625662689</v>
      </c>
      <c r="I462" s="119" t="n">
        <v>109.0763734436035</v>
      </c>
      <c r="J462" s="119" t="n">
        <v>105.0859488677979</v>
      </c>
      <c r="K462" s="121" t="n">
        <v>0.3318277475629237</v>
      </c>
      <c r="L462" s="121" t="n">
        <v>-0.1236098641926674</v>
      </c>
      <c r="M462" s="121" t="n">
        <v>-0.1318340912264416</v>
      </c>
      <c r="N462" t="n">
        <v>51.46881710677531</v>
      </c>
      <c r="O462" t="n">
        <v>0.8383720471444744</v>
      </c>
      <c r="P462" t="n">
        <v>99.06656163557538</v>
      </c>
      <c r="Q462" t="n">
        <v>96.64660963509436</v>
      </c>
    </row>
    <row r="463">
      <c r="A463" s="118" t="n">
        <v>45104</v>
      </c>
      <c r="B463" s="119" t="n">
        <v>105.7162506729234</v>
      </c>
      <c r="C463" s="119" t="n">
        <v>107.2663437753203</v>
      </c>
      <c r="D463" s="119" t="n">
        <v>105.6223071567786</v>
      </c>
      <c r="E463" s="119" t="n">
        <v>106.7308578491211</v>
      </c>
      <c r="F463" s="120" t="n">
        <v>7138600</v>
      </c>
      <c r="G463" s="121" t="n">
        <v>0.01673532030981817</v>
      </c>
      <c r="H463" s="122" t="n">
        <v>68.26178564335818</v>
      </c>
      <c r="I463" s="119" t="n">
        <v>108.8522814941406</v>
      </c>
      <c r="J463" s="119" t="n">
        <v>105.113547782898</v>
      </c>
      <c r="K463" s="121" t="n">
        <v>0.3356087592866187</v>
      </c>
      <c r="L463" s="121" t="n">
        <v>-0.1089431945535665</v>
      </c>
      <c r="M463" s="121" t="n">
        <v>-0.1173050566610516</v>
      </c>
      <c r="N463" t="n">
        <v>55.4959772807864</v>
      </c>
      <c r="O463" t="n">
        <v>0.939421654873638</v>
      </c>
      <c r="P463" t="n">
        <v>100.1526514895283</v>
      </c>
      <c r="Q463" t="n">
        <v>98.30836649883443</v>
      </c>
    </row>
    <row r="464">
      <c r="A464" s="118" t="n">
        <v>45105</v>
      </c>
      <c r="B464" s="119" t="n">
        <v>106.4771782168495</v>
      </c>
      <c r="C464" s="119" t="n">
        <v>106.8623558629633</v>
      </c>
      <c r="D464" s="119" t="n">
        <v>105.3310561130696</v>
      </c>
      <c r="E464" s="119" t="n">
        <v>106.1859512329102</v>
      </c>
      <c r="F464" s="120" t="n">
        <v>6766000</v>
      </c>
      <c r="G464" s="121" t="n">
        <v>-0.00510542712006723</v>
      </c>
      <c r="H464" s="122" t="n">
        <v>67.91328007167036</v>
      </c>
      <c r="I464" s="119" t="n">
        <v>108.6127967834473</v>
      </c>
      <c r="J464" s="119" t="n">
        <v>105.127996673584</v>
      </c>
      <c r="K464" s="121" t="n">
        <v>0.3339186708874403</v>
      </c>
      <c r="L464" s="121" t="n">
        <v>-0.1134924201336133</v>
      </c>
      <c r="M464" s="121" t="n">
        <v>-0.1218115913635205</v>
      </c>
      <c r="N464" t="n">
        <v>53.99920397113417</v>
      </c>
      <c r="O464" t="n">
        <v>0.9325970748165082</v>
      </c>
      <c r="P464" t="n">
        <v>100.2031595156057</v>
      </c>
      <c r="Q464" t="n">
        <v>98.50023642899308</v>
      </c>
    </row>
    <row r="465">
      <c r="A465" s="118" t="n">
        <v>45106</v>
      </c>
      <c r="B465" s="119" t="n">
        <v>106.7214633563912</v>
      </c>
      <c r="C465" s="119" t="n">
        <v>107.3508928105847</v>
      </c>
      <c r="D465" s="119" t="n">
        <v>105.7914103444164</v>
      </c>
      <c r="E465" s="119" t="n">
        <v>106.5053939819336</v>
      </c>
      <c r="F465" s="120" t="n">
        <v>12465500</v>
      </c>
      <c r="G465" s="121" t="n">
        <v>0.003008333450088552</v>
      </c>
      <c r="H465" s="122" t="n">
        <v>68.11758586381519</v>
      </c>
      <c r="I465" s="119" t="n">
        <v>108.3793266296387</v>
      </c>
      <c r="J465" s="119" t="n">
        <v>105.1374803161621</v>
      </c>
      <c r="K465" s="121" t="n">
        <v>0.3290962234798599</v>
      </c>
      <c r="L465" s="121" t="n">
        <v>-0.1108255097273443</v>
      </c>
      <c r="M465" s="121" t="n">
        <v>-0.1191697077983392</v>
      </c>
      <c r="N465" t="n">
        <v>54.7693672830958</v>
      </c>
      <c r="O465" t="n">
        <v>0.9115519793219464</v>
      </c>
      <c r="P465" t="n">
        <v>100.5981026031561</v>
      </c>
      <c r="Q465" t="n">
        <v>98.30296336642715</v>
      </c>
    </row>
    <row r="466">
      <c r="A466" s="118" t="n">
        <v>45107</v>
      </c>
      <c r="B466" s="119" t="n">
        <v>104.833149159894</v>
      </c>
      <c r="C466" s="119" t="n">
        <v>105.4531891690942</v>
      </c>
      <c r="D466" s="119" t="n">
        <v>103.151541136607</v>
      </c>
      <c r="E466" s="119" t="n">
        <v>103.6870269775391</v>
      </c>
      <c r="F466" s="120" t="n">
        <v>19629600</v>
      </c>
      <c r="G466" s="121" t="n">
        <v>-0.02646219969734687</v>
      </c>
      <c r="H466" s="122" t="n">
        <v>66.31504470378576</v>
      </c>
      <c r="I466" s="119" t="n">
        <v>108.0996018981934</v>
      </c>
      <c r="J466" s="119" t="n">
        <v>105.1638694000244</v>
      </c>
      <c r="K466" s="121" t="n">
        <v>0.3398834136041237</v>
      </c>
      <c r="L466" s="121" t="n">
        <v>-0.1343550226547257</v>
      </c>
      <c r="M466" s="121" t="n">
        <v>-0.142478414890052</v>
      </c>
      <c r="N466" t="n">
        <v>47.25258090219211</v>
      </c>
      <c r="O466" t="n">
        <v>0.6803716596132895</v>
      </c>
      <c r="P466" t="n">
        <v>101.7852303301276</v>
      </c>
      <c r="Q466" t="n">
        <v>99.81880209534195</v>
      </c>
    </row>
    <row r="467">
      <c r="A467" s="118" t="n">
        <v>45110</v>
      </c>
      <c r="B467" s="119" t="n">
        <v>104.3352654428587</v>
      </c>
      <c r="C467" s="119" t="n">
        <v>104.560738496951</v>
      </c>
      <c r="D467" s="119" t="n">
        <v>102.5033416748047</v>
      </c>
      <c r="E467" s="119" t="n">
        <v>102.5033416748047</v>
      </c>
      <c r="F467" s="120" t="n">
        <v>5734200</v>
      </c>
      <c r="G467" s="121" t="n">
        <v>-0.01141594408904012</v>
      </c>
      <c r="H467" s="122" t="n">
        <v>65.55799586118513</v>
      </c>
      <c r="I467" s="119" t="n">
        <v>107.8190507507324</v>
      </c>
      <c r="J467" s="119" t="n">
        <v>105.1783825683594</v>
      </c>
      <c r="K467" s="121" t="n">
        <v>0.3087664178477286</v>
      </c>
      <c r="L467" s="121" t="n">
        <v>-0.1442371773170579</v>
      </c>
      <c r="M467" s="121" t="n">
        <v>-0.1522678333608122</v>
      </c>
      <c r="N467" t="n">
        <v>44.49080676545333</v>
      </c>
      <c r="O467" t="n">
        <v>0.4323723693776431</v>
      </c>
      <c r="P467" t="n">
        <v>101.9023429061461</v>
      </c>
      <c r="Q467" t="n">
        <v>100.0538803048446</v>
      </c>
    </row>
    <row r="468">
      <c r="A468" s="118" t="n">
        <v>45112</v>
      </c>
      <c r="B468" s="119" t="n">
        <v>102.0429954699782</v>
      </c>
      <c r="C468" s="119" t="n">
        <v>102.3154366535647</v>
      </c>
      <c r="D468" s="119" t="n">
        <v>100.0889390157627</v>
      </c>
      <c r="E468" s="119" t="n">
        <v>100.6150283813477</v>
      </c>
      <c r="F468" s="120" t="n">
        <v>10405300</v>
      </c>
      <c r="G468" s="121" t="n">
        <v>-0.01842196812907593</v>
      </c>
      <c r="H468" s="122" t="n">
        <v>64.3502885508243</v>
      </c>
      <c r="I468" s="119" t="n">
        <v>107.4805078125</v>
      </c>
      <c r="J468" s="119" t="n">
        <v>105.1904355239868</v>
      </c>
      <c r="K468" s="121" t="n">
        <v>0.303482843468228</v>
      </c>
      <c r="L468" s="121" t="n">
        <v>-0.1600020127625709</v>
      </c>
      <c r="M468" s="121" t="n">
        <v>-0.1678847283166318</v>
      </c>
      <c r="N468" t="n">
        <v>40.4310490780994</v>
      </c>
      <c r="O468" t="n">
        <v>0.1408786305286278</v>
      </c>
      <c r="P468" t="n">
        <v>101.7507897334288</v>
      </c>
      <c r="Q468" t="n">
        <v>100.0511955185552</v>
      </c>
    </row>
    <row r="469">
      <c r="A469" s="118" t="n">
        <v>45113</v>
      </c>
      <c r="B469" s="119" t="n">
        <v>98.91463508215874</v>
      </c>
      <c r="C469" s="119" t="n">
        <v>99.66619035409713</v>
      </c>
      <c r="D469" s="119" t="n">
        <v>97.3927243677803</v>
      </c>
      <c r="E469" s="119" t="n">
        <v>98.73613739013672</v>
      </c>
      <c r="F469" s="120" t="n">
        <v>9923500</v>
      </c>
      <c r="G469" s="121" t="n">
        <v>-0.01867405914839704</v>
      </c>
      <c r="H469" s="122" t="n">
        <v>63.14860745620978</v>
      </c>
      <c r="I469" s="119" t="n">
        <v>107.0751724243164</v>
      </c>
      <c r="J469" s="119" t="n">
        <v>105.1995169067383</v>
      </c>
      <c r="K469" s="121" t="n">
        <v>0.3095550191368255</v>
      </c>
      <c r="L469" s="121" t="n">
        <v>-0.1756881848607773</v>
      </c>
      <c r="M469" s="121" t="n">
        <v>-0.1834236981183315</v>
      </c>
      <c r="N469" t="n">
        <v>36.8298887601414</v>
      </c>
      <c r="O469" t="n">
        <v>-0.1623157842013636</v>
      </c>
      <c r="P469" t="n">
        <v>100.9540227126096</v>
      </c>
      <c r="Q469" t="n">
        <v>99.28921121985665</v>
      </c>
    </row>
    <row r="470">
      <c r="A470" s="118" t="n">
        <v>45114</v>
      </c>
      <c r="B470" s="119" t="n">
        <v>98.45429657792161</v>
      </c>
      <c r="C470" s="119" t="n">
        <v>99.08372593394394</v>
      </c>
      <c r="D470" s="119" t="n">
        <v>97.7309165512083</v>
      </c>
      <c r="E470" s="119" t="n">
        <v>98.13488006591797</v>
      </c>
      <c r="F470" s="120" t="n">
        <v>7463100</v>
      </c>
      <c r="G470" s="121" t="n">
        <v>-0.006089536618624214</v>
      </c>
      <c r="H470" s="122" t="n">
        <v>62.76406169869006</v>
      </c>
      <c r="I470" s="119" t="n">
        <v>106.7033193969727</v>
      </c>
      <c r="J470" s="119" t="n">
        <v>105.1912103652954</v>
      </c>
      <c r="K470" s="121" t="n">
        <v>0.3083708372699087</v>
      </c>
      <c r="L470" s="121" t="n">
        <v>-0.1807078618442322</v>
      </c>
      <c r="M470" s="121" t="n">
        <v>-0.1883962694105407</v>
      </c>
      <c r="N470" t="n">
        <v>35.7330543553133</v>
      </c>
      <c r="O470" t="n">
        <v>-0.375044457321106</v>
      </c>
      <c r="P470" t="n">
        <v>100.6991186553109</v>
      </c>
      <c r="Q470" t="n">
        <v>98.95956141331229</v>
      </c>
    </row>
    <row r="471">
      <c r="A471" s="118" t="n">
        <v>45117</v>
      </c>
      <c r="B471" s="119" t="n">
        <v>98.15368186628805</v>
      </c>
      <c r="C471" s="119" t="n">
        <v>99.8728689156344</v>
      </c>
      <c r="D471" s="119" t="n">
        <v>97.93760533872984</v>
      </c>
      <c r="E471" s="119" t="n">
        <v>99.37496185302734</v>
      </c>
      <c r="F471" s="120" t="n">
        <v>5374600</v>
      </c>
      <c r="G471" s="121" t="n">
        <v>0.01263650382286508</v>
      </c>
      <c r="H471" s="122" t="n">
        <v>63.5571800042841</v>
      </c>
      <c r="I471" s="119" t="n">
        <v>106.3716242980957</v>
      </c>
      <c r="J471" s="119" t="n">
        <v>105.2113980865478</v>
      </c>
      <c r="K471" s="121" t="n">
        <v>0.3107979369680801</v>
      </c>
      <c r="L471" s="121" t="n">
        <v>-0.1703548736083835</v>
      </c>
      <c r="M471" s="121" t="n">
        <v>-0.1781404357662955</v>
      </c>
      <c r="N471" t="n">
        <v>39.72041522332609</v>
      </c>
      <c r="O471" t="n">
        <v>-0.4015546050868093</v>
      </c>
      <c r="P471" t="n">
        <v>100.9540227126096</v>
      </c>
      <c r="Q471" t="n">
        <v>98.99198859771312</v>
      </c>
    </row>
    <row r="472">
      <c r="A472" s="118" t="n">
        <v>45118</v>
      </c>
      <c r="B472" s="119" t="n">
        <v>99.25283405313698</v>
      </c>
      <c r="C472" s="119" t="n">
        <v>101.1035505833685</v>
      </c>
      <c r="D472" s="119" t="n">
        <v>99.22465171692926</v>
      </c>
      <c r="E472" s="119" t="n">
        <v>100.8874740600586</v>
      </c>
      <c r="F472" s="120" t="n">
        <v>5454900</v>
      </c>
      <c r="G472" s="121" t="n">
        <v>0.01522025446679631</v>
      </c>
      <c r="H472" s="122" t="n">
        <v>64.52453645714128</v>
      </c>
      <c r="I472" s="119" t="n">
        <v>106.0353466796875</v>
      </c>
      <c r="J472" s="119" t="n">
        <v>105.2513890457153</v>
      </c>
      <c r="K472" s="121" t="n">
        <v>0.3151438023557548</v>
      </c>
      <c r="L472" s="121" t="n">
        <v>-0.1577274636675657</v>
      </c>
      <c r="M472" s="121" t="n">
        <v>-0.1656315240626882</v>
      </c>
      <c r="N472" t="n">
        <v>44.26272604644086</v>
      </c>
      <c r="O472" t="n">
        <v>-0.2916557859377074</v>
      </c>
      <c r="P472" t="n">
        <v>101.5969380963913</v>
      </c>
      <c r="Q472" t="n">
        <v>99.48105598014381</v>
      </c>
    </row>
    <row r="473">
      <c r="A473" s="118" t="n">
        <v>45119</v>
      </c>
      <c r="B473" s="119" t="n">
        <v>101.9584421586902</v>
      </c>
      <c r="C473" s="119" t="n">
        <v>102.4845315287177</v>
      </c>
      <c r="D473" s="119" t="n">
        <v>100.7277657391915</v>
      </c>
      <c r="E473" s="119" t="n">
        <v>101.2350692749023</v>
      </c>
      <c r="F473" s="120" t="n">
        <v>8305000</v>
      </c>
      <c r="G473" s="121" t="n">
        <v>0.003445375336058376</v>
      </c>
      <c r="H473" s="122" t="n">
        <v>64.74684770362131</v>
      </c>
      <c r="I473" s="119" t="n">
        <v>105.6869187927246</v>
      </c>
      <c r="J473" s="119" t="n">
        <v>105.2988891220093</v>
      </c>
      <c r="K473" s="121" t="n">
        <v>0.3138068197028797</v>
      </c>
      <c r="L473" s="121" t="n">
        <v>-0.1548255186446467</v>
      </c>
      <c r="M473" s="121" t="n">
        <v>-0.1627568114945092</v>
      </c>
      <c r="N473" t="n">
        <v>45.28316527835356</v>
      </c>
      <c r="O473" t="n">
        <v>-0.1756970851570947</v>
      </c>
      <c r="P473" t="n">
        <v>102.4143767488511</v>
      </c>
      <c r="Q473" t="n">
        <v>100.7374856238089</v>
      </c>
    </row>
    <row r="474">
      <c r="A474" s="118" t="n">
        <v>45120</v>
      </c>
      <c r="B474" s="119" t="n">
        <v>102.4657524312039</v>
      </c>
      <c r="C474" s="119" t="n">
        <v>102.5221171052898</v>
      </c>
      <c r="D474" s="119" t="n">
        <v>101.1599182537239</v>
      </c>
      <c r="E474" s="119" t="n">
        <v>101.3102264404297</v>
      </c>
      <c r="F474" s="120" t="n">
        <v>6692300</v>
      </c>
      <c r="G474" s="121" t="n">
        <v>0.0007424024704645316</v>
      </c>
      <c r="H474" s="122" t="n">
        <v>64.79491592331127</v>
      </c>
      <c r="I474" s="119" t="n">
        <v>105.3175216674805</v>
      </c>
      <c r="J474" s="119" t="n">
        <v>105.3538860321045</v>
      </c>
      <c r="K474" s="121" t="n">
        <v>0.3137807056867016</v>
      </c>
      <c r="L474" s="121" t="n">
        <v>-0.154198059021715</v>
      </c>
      <c r="M474" s="121" t="n">
        <v>-0.1621352400829831</v>
      </c>
      <c r="N474" t="n">
        <v>45.51543691643291</v>
      </c>
      <c r="O474" t="n">
        <v>-0.07900482532230435</v>
      </c>
      <c r="P474" t="n">
        <v>103.2272330199128</v>
      </c>
      <c r="Q474" t="n">
        <v>102.447895849086</v>
      </c>
    </row>
    <row r="475">
      <c r="A475" s="118" t="n">
        <v>45121</v>
      </c>
      <c r="B475" s="119" t="n">
        <v>101.4041848839706</v>
      </c>
      <c r="C475" s="119" t="n">
        <v>102.0617966900876</v>
      </c>
      <c r="D475" s="119" t="n">
        <v>100.6995977342319</v>
      </c>
      <c r="E475" s="119" t="n">
        <v>101.41357421875</v>
      </c>
      <c r="F475" s="120" t="n">
        <v>6933600</v>
      </c>
      <c r="G475" s="121" t="n">
        <v>0.001020112005978735</v>
      </c>
      <c r="H475" s="122" t="n">
        <v>64.86101399497102</v>
      </c>
      <c r="I475" s="119" t="n">
        <v>104.9625511169434</v>
      </c>
      <c r="J475" s="119" t="n">
        <v>105.4138677597046</v>
      </c>
      <c r="K475" s="121" t="n">
        <v>0.2332447988488122</v>
      </c>
      <c r="L475" s="121" t="n">
        <v>-0.1533352463070429</v>
      </c>
      <c r="M475" s="121" t="n">
        <v>-0.1612805241820051</v>
      </c>
      <c r="N475" t="n">
        <v>45.85580011200391</v>
      </c>
      <c r="O475" t="n">
        <v>0.002521961571673392</v>
      </c>
      <c r="P475" t="n">
        <v>103.1629414815346</v>
      </c>
      <c r="Q475" t="n">
        <v>102.426291709414</v>
      </c>
    </row>
    <row r="476">
      <c r="A476" s="118" t="n">
        <v>45124</v>
      </c>
      <c r="B476" s="119" t="n">
        <v>100.7653493906705</v>
      </c>
      <c r="C476" s="119" t="n">
        <v>102.493932927613</v>
      </c>
      <c r="D476" s="119" t="n">
        <v>100.2956246685757</v>
      </c>
      <c r="E476" s="119" t="n">
        <v>102.1275482177734</v>
      </c>
      <c r="F476" s="120" t="n">
        <v>6682900</v>
      </c>
      <c r="G476" s="121" t="n">
        <v>0.007040221237872846</v>
      </c>
      <c r="H476" s="122" t="n">
        <v>65.31764988320839</v>
      </c>
      <c r="I476" s="119" t="n">
        <v>104.6315985107422</v>
      </c>
      <c r="J476" s="119" t="n">
        <v>105.4763488388061</v>
      </c>
      <c r="K476" s="121" t="n">
        <v>0.2353478851887237</v>
      </c>
      <c r="L476" s="121" t="n">
        <v>-0.1473745391267353</v>
      </c>
      <c r="M476" s="121" t="n">
        <v>-0.1553757535157337</v>
      </c>
      <c r="N476" t="n">
        <v>48.26048094581324</v>
      </c>
      <c r="O476" t="n">
        <v>0.1092325457552874</v>
      </c>
      <c r="P476" t="n">
        <v>103.5211455080659</v>
      </c>
      <c r="Q476" t="n">
        <v>103.382797164732</v>
      </c>
    </row>
    <row r="477">
      <c r="A477" s="118" t="n">
        <v>45125</v>
      </c>
      <c r="B477" s="119" t="n">
        <v>102.0054288953466</v>
      </c>
      <c r="C477" s="119" t="n">
        <v>103.6588548623363</v>
      </c>
      <c r="D477" s="119" t="n">
        <v>101.7517735154286</v>
      </c>
      <c r="E477" s="119" t="n">
        <v>103.0764007568359</v>
      </c>
      <c r="F477" s="120" t="n">
        <v>5717200</v>
      </c>
      <c r="G477" s="121" t="n">
        <v>0.009290857908771155</v>
      </c>
      <c r="H477" s="122" t="n">
        <v>65.92450688720814</v>
      </c>
      <c r="I477" s="119" t="n">
        <v>104.3771157836914</v>
      </c>
      <c r="J477" s="119" t="n">
        <v>105.5323574829102</v>
      </c>
      <c r="K477" s="121" t="n">
        <v>0.2345654646569799</v>
      </c>
      <c r="L477" s="121" t="n">
        <v>-0.1394529171203612</v>
      </c>
      <c r="M477" s="121" t="n">
        <v>-0.1475284696553456</v>
      </c>
      <c r="N477" t="n">
        <v>51.35266654122889</v>
      </c>
      <c r="O477" t="n">
        <v>0.2408743376739699</v>
      </c>
      <c r="P477" t="n">
        <v>104.2903600515261</v>
      </c>
      <c r="Q477" t="n">
        <v>104.2285551856149</v>
      </c>
    </row>
    <row r="478">
      <c r="A478" s="118" t="n">
        <v>45126</v>
      </c>
      <c r="B478" s="119" t="n">
        <v>102.4751521663898</v>
      </c>
      <c r="C478" s="119" t="n">
        <v>103.5743063503324</v>
      </c>
      <c r="D478" s="119" t="n">
        <v>102.0054274210368</v>
      </c>
      <c r="E478" s="119" t="n">
        <v>103.2267074584961</v>
      </c>
      <c r="F478" s="120" t="n">
        <v>5027100</v>
      </c>
      <c r="G478" s="121" t="n">
        <v>0.00145820673361241</v>
      </c>
      <c r="H478" s="122" t="n">
        <v>66.02063844706115</v>
      </c>
      <c r="I478" s="119" t="n">
        <v>104.0709555053711</v>
      </c>
      <c r="J478" s="119" t="n">
        <v>105.6048024368286</v>
      </c>
      <c r="K478" s="121" t="n">
        <v>0.1971721173194661</v>
      </c>
      <c r="L478" s="121" t="n">
        <v>-0.1381980615695156</v>
      </c>
      <c r="M478" s="121" t="n">
        <v>-0.1462853899295841</v>
      </c>
      <c r="N478" t="n">
        <v>51.84364347622462</v>
      </c>
      <c r="O478" t="n">
        <v>0.3297313162093684</v>
      </c>
      <c r="P478" t="n">
        <v>104.5222867392426</v>
      </c>
      <c r="Q478" t="n">
        <v>104.2042075299535</v>
      </c>
    </row>
    <row r="479">
      <c r="A479" s="118" t="n">
        <v>45127</v>
      </c>
      <c r="B479" s="119" t="n">
        <v>102.9354904594069</v>
      </c>
      <c r="C479" s="119" t="n">
        <v>103.3582399045247</v>
      </c>
      <c r="D479" s="119" t="n">
        <v>100.9720442725096</v>
      </c>
      <c r="E479" s="119" t="n">
        <v>101.0190124511719</v>
      </c>
      <c r="F479" s="120" t="n">
        <v>6458000</v>
      </c>
      <c r="G479" s="121" t="n">
        <v>-0.0213868587081677</v>
      </c>
      <c r="H479" s="122" t="n">
        <v>64.60866438077082</v>
      </c>
      <c r="I479" s="119" t="n">
        <v>103.7152104187012</v>
      </c>
      <c r="J479" s="119" t="n">
        <v>105.7230372238159</v>
      </c>
      <c r="K479" s="121" t="n">
        <v>0.2108444723283568</v>
      </c>
      <c r="L479" s="121" t="n">
        <v>-0.1566292978611535</v>
      </c>
      <c r="M479" s="121" t="n">
        <v>-0.1645436636722586</v>
      </c>
      <c r="N479" t="n">
        <v>44.7065891633479</v>
      </c>
      <c r="O479" t="n">
        <v>0.2358798882387927</v>
      </c>
      <c r="P479" t="n">
        <v>103.8288269612772</v>
      </c>
      <c r="Q479" t="n">
        <v>101.8021208469298</v>
      </c>
    </row>
    <row r="480">
      <c r="A480" s="118" t="n">
        <v>45128</v>
      </c>
      <c r="B480" s="119" t="n">
        <v>101.4605381346613</v>
      </c>
      <c r="C480" s="119" t="n">
        <v>102.6724287558058</v>
      </c>
      <c r="D480" s="119" t="n">
        <v>101.0002099222271</v>
      </c>
      <c r="E480" s="119" t="n">
        <v>102.4563522338867</v>
      </c>
      <c r="F480" s="120" t="n">
        <v>6631600</v>
      </c>
      <c r="G480" s="121" t="n">
        <v>0.01422840857219421</v>
      </c>
      <c r="H480" s="122" t="n">
        <v>65.5279428548842</v>
      </c>
      <c r="I480" s="119" t="n">
        <v>103.4215466308594</v>
      </c>
      <c r="J480" s="119" t="n">
        <v>105.8378469848633</v>
      </c>
      <c r="K480" s="121" t="n">
        <v>0.2170158579518667</v>
      </c>
      <c r="L480" s="121" t="n">
        <v>-0.1446294749333037</v>
      </c>
      <c r="M480" s="121" t="n">
        <v>-0.152656449574759</v>
      </c>
      <c r="N480" t="n">
        <v>49.57384725117237</v>
      </c>
      <c r="O480" t="n">
        <v>0.2645102045121756</v>
      </c>
      <c r="P480" t="n">
        <v>103.8288269612772</v>
      </c>
      <c r="Q480" t="n">
        <v>101.496776746261</v>
      </c>
    </row>
    <row r="481">
      <c r="A481" s="118" t="n">
        <v>45131</v>
      </c>
      <c r="B481" s="119" t="n">
        <v>103.7246101421553</v>
      </c>
      <c r="C481" s="119" t="n">
        <v>103.8561324827927</v>
      </c>
      <c r="D481" s="119" t="n">
        <v>101.9396548753806</v>
      </c>
      <c r="E481" s="119" t="n">
        <v>102.1839065551758</v>
      </c>
      <c r="F481" s="120" t="n">
        <v>6787600</v>
      </c>
      <c r="G481" s="121" t="n">
        <v>-0.002659138967674779</v>
      </c>
      <c r="H481" s="122" t="n">
        <v>65.35369494856721</v>
      </c>
      <c r="I481" s="119" t="n">
        <v>103.1522100830078</v>
      </c>
      <c r="J481" s="119" t="n">
        <v>105.9362148284912</v>
      </c>
      <c r="K481" s="121" t="n">
        <v>0.2151547663009026</v>
      </c>
      <c r="L481" s="121" t="n">
        <v>-0.1469040240283089</v>
      </c>
      <c r="M481" s="121" t="n">
        <v>-0.1549096538287026</v>
      </c>
      <c r="N481" t="n">
        <v>48.69879423868142</v>
      </c>
      <c r="O481" t="n">
        <v>0.2586914706849697</v>
      </c>
      <c r="P481" t="n">
        <v>104.2926585158465</v>
      </c>
      <c r="Q481" t="n">
        <v>101.6589210582224</v>
      </c>
    </row>
    <row r="482">
      <c r="A482" s="118" t="n">
        <v>45132</v>
      </c>
      <c r="B482" s="119" t="n">
        <v>101.7235928600999</v>
      </c>
      <c r="C482" s="119" t="n">
        <v>102.2590787997042</v>
      </c>
      <c r="D482" s="119" t="n">
        <v>100.8874833608482</v>
      </c>
      <c r="E482" s="119" t="n">
        <v>101.7423858642578</v>
      </c>
      <c r="F482" s="120" t="n">
        <v>7692800</v>
      </c>
      <c r="G482" s="121" t="n">
        <v>-0.004320843719941014</v>
      </c>
      <c r="H482" s="122" t="n">
        <v>65.07131184617376</v>
      </c>
      <c r="I482" s="119" t="n">
        <v>102.8982015991211</v>
      </c>
      <c r="J482" s="119" t="n">
        <v>106.0209256362915</v>
      </c>
      <c r="K482" s="121" t="n">
        <v>0.2012995407485804</v>
      </c>
      <c r="L482" s="121" t="n">
        <v>-0.1505901184185932</v>
      </c>
      <c r="M482" s="121" t="n">
        <v>-0.1585611571437396</v>
      </c>
      <c r="N482" t="n">
        <v>47.24340632652429</v>
      </c>
      <c r="O482" t="n">
        <v>0.2202061848073448</v>
      </c>
      <c r="P482" t="n">
        <v>104.577398967582</v>
      </c>
      <c r="Q482" t="n">
        <v>102.3479378995512</v>
      </c>
    </row>
    <row r="483">
      <c r="A483" s="118" t="n">
        <v>45133</v>
      </c>
      <c r="B483" s="119" t="n">
        <v>101.7423818768542</v>
      </c>
      <c r="C483" s="119" t="n">
        <v>102.9542654025968</v>
      </c>
      <c r="D483" s="119" t="n">
        <v>101.4135688238564</v>
      </c>
      <c r="E483" s="119" t="n">
        <v>102.6818313598633</v>
      </c>
      <c r="F483" s="120" t="n">
        <v>5148900</v>
      </c>
      <c r="G483" s="121" t="n">
        <v>0.009233570528401458</v>
      </c>
      <c r="H483" s="122" t="n">
        <v>65.672152393481</v>
      </c>
      <c r="I483" s="119" t="n">
        <v>102.7006242370606</v>
      </c>
      <c r="J483" s="119" t="n">
        <v>106.1146621704102</v>
      </c>
      <c r="K483" s="121" t="n">
        <v>0.1939194577083051</v>
      </c>
      <c r="L483" s="121" t="n">
        <v>-0.1427470323694902</v>
      </c>
      <c r="M483" s="121" t="n">
        <v>-0.1507916722428897</v>
      </c>
      <c r="N483" t="n">
        <v>50.62464623702107</v>
      </c>
      <c r="O483" t="n">
        <v>0.2508917406372398</v>
      </c>
      <c r="P483" t="n">
        <v>104.5934736705819</v>
      </c>
      <c r="Q483" t="n">
        <v>102.0074566583208</v>
      </c>
    </row>
    <row r="484">
      <c r="A484" s="118" t="n">
        <v>45134</v>
      </c>
      <c r="B484" s="119" t="n">
        <v>103.179734572327</v>
      </c>
      <c r="C484" s="119" t="n">
        <v>103.555515784934</v>
      </c>
      <c r="D484" s="119" t="n">
        <v>100.8968721274698</v>
      </c>
      <c r="E484" s="119" t="n">
        <v>101.150520324707</v>
      </c>
      <c r="F484" s="120" t="n">
        <v>6544600</v>
      </c>
      <c r="G484" s="121" t="n">
        <v>-0.01491316443110124</v>
      </c>
      <c r="H484" s="122" t="n">
        <v>64.69277278629268</v>
      </c>
      <c r="I484" s="119" t="n">
        <v>102.4795368957519</v>
      </c>
      <c r="J484" s="119" t="n">
        <v>106.2147513580322</v>
      </c>
      <c r="K484" s="121" t="n">
        <v>0.1991505951735135</v>
      </c>
      <c r="L484" s="121" t="n">
        <v>-0.1511519279791717</v>
      </c>
      <c r="M484" s="121" t="n">
        <v>-0.1634560556709921</v>
      </c>
      <c r="N484" t="n">
        <v>45.50505390322827</v>
      </c>
      <c r="O484" t="n">
        <v>0.1650739097629158</v>
      </c>
      <c r="P484" t="n">
        <v>103.9000211662377</v>
      </c>
      <c r="Q484" t="n">
        <v>101.7642821401645</v>
      </c>
    </row>
    <row r="485">
      <c r="A485" s="118" t="n">
        <v>45135</v>
      </c>
      <c r="B485" s="119" t="n">
        <v>101.5638780532724</v>
      </c>
      <c r="C485" s="119" t="n">
        <v>102.3624086321617</v>
      </c>
      <c r="D485" s="119" t="n">
        <v>101.1129391749676</v>
      </c>
      <c r="E485" s="119" t="n">
        <v>102.0429992675781</v>
      </c>
      <c r="F485" s="120" t="n">
        <v>5988300</v>
      </c>
      <c r="G485" s="121" t="n">
        <v>0.00882327584678877</v>
      </c>
      <c r="H485" s="122" t="n">
        <v>65.26357496587977</v>
      </c>
      <c r="I485" s="119" t="n">
        <v>102.3390354919434</v>
      </c>
      <c r="J485" s="119" t="n">
        <v>106.3214904022217</v>
      </c>
      <c r="K485" s="121" t="n">
        <v>0.2022712981550125</v>
      </c>
      <c r="L485" s="121" t="n">
        <v>-0.1410975024362369</v>
      </c>
      <c r="M485" s="121" t="n">
        <v>-0.1560749976922166</v>
      </c>
      <c r="N485" t="n">
        <v>48.75759035166723</v>
      </c>
      <c r="O485" t="n">
        <v>0.1650371028006977</v>
      </c>
      <c r="P485" t="n">
        <v>104.9172443740356</v>
      </c>
      <c r="Q485" t="n">
        <v>103.6178837641917</v>
      </c>
    </row>
    <row r="486">
      <c r="A486" s="118" t="n">
        <v>45138</v>
      </c>
      <c r="B486" s="119" t="n">
        <v>102.7851542209502</v>
      </c>
      <c r="C486" s="119" t="n">
        <v>104.1379563768398</v>
      </c>
      <c r="D486" s="119" t="n">
        <v>102.4469518901204</v>
      </c>
      <c r="E486" s="119" t="n">
        <v>103.705810546875</v>
      </c>
      <c r="F486" s="120" t="n">
        <v>6406000</v>
      </c>
      <c r="G486" s="121" t="n">
        <v>0.0162952019367506</v>
      </c>
      <c r="H486" s="122" t="n">
        <v>66.32705809906304</v>
      </c>
      <c r="I486" s="119" t="n">
        <v>102.2224269104004</v>
      </c>
      <c r="J486" s="119" t="n">
        <v>106.4304930114746</v>
      </c>
      <c r="K486" s="121" t="n">
        <v>0.1904529103956547</v>
      </c>
      <c r="L486" s="121" t="n">
        <v>-0.1271015127944559</v>
      </c>
      <c r="M486" s="121" t="n">
        <v>-0.1423230693601386</v>
      </c>
      <c r="N486" t="n">
        <v>54.23786010453723</v>
      </c>
      <c r="O486" t="n">
        <v>0.2675527663868267</v>
      </c>
      <c r="P486" t="n">
        <v>105.1169998348886</v>
      </c>
      <c r="Q486" t="n">
        <v>103.6719066983074</v>
      </c>
    </row>
    <row r="487">
      <c r="A487" s="118" t="n">
        <v>45139</v>
      </c>
      <c r="B487" s="119" t="n">
        <v>103.3394326645618</v>
      </c>
      <c r="C487" s="119" t="n">
        <v>103.8373396933386</v>
      </c>
      <c r="D487" s="119" t="n">
        <v>102.5315056176081</v>
      </c>
      <c r="E487" s="119" t="n">
        <v>102.775764465332</v>
      </c>
      <c r="F487" s="120" t="n">
        <v>4566700</v>
      </c>
      <c r="G487" s="121" t="n">
        <v>-0.008968119304391231</v>
      </c>
      <c r="H487" s="122" t="n">
        <v>65.73222912892136</v>
      </c>
      <c r="I487" s="119" t="n">
        <v>102.0518226623535</v>
      </c>
      <c r="J487" s="119" t="n">
        <v>106.5324251937866</v>
      </c>
      <c r="K487" s="121" t="n">
        <v>0.1886836222201255</v>
      </c>
      <c r="L487" s="121" t="n">
        <v>-0.1349297705683378</v>
      </c>
      <c r="M487" s="121" t="n">
        <v>-0.150014818398741</v>
      </c>
      <c r="N487" t="n">
        <v>50.95533367987453</v>
      </c>
      <c r="O487" t="n">
        <v>0.2628923850006789</v>
      </c>
      <c r="P487" t="n">
        <v>104.816206501017</v>
      </c>
      <c r="Q487" t="n">
        <v>103.4314589162261</v>
      </c>
    </row>
    <row r="488">
      <c r="A488" s="118" t="n">
        <v>45140</v>
      </c>
      <c r="B488" s="119" t="n">
        <v>101.7235865548062</v>
      </c>
      <c r="C488" s="119" t="n">
        <v>101.9490524187086</v>
      </c>
      <c r="D488" s="119" t="n">
        <v>100.9438417814983</v>
      </c>
      <c r="E488" s="119" t="n">
        <v>101.0002136230469</v>
      </c>
      <c r="F488" s="120" t="n">
        <v>6213200</v>
      </c>
      <c r="G488" s="121" t="n">
        <v>-0.01727596823552768</v>
      </c>
      <c r="H488" s="122" t="n">
        <v>64.59664122643969</v>
      </c>
      <c r="I488" s="119" t="n">
        <v>101.9226770019531</v>
      </c>
      <c r="J488" s="119" t="n">
        <v>106.6205926513672</v>
      </c>
      <c r="K488" s="121" t="n">
        <v>0.1872216972174554</v>
      </c>
      <c r="L488" s="121" t="n">
        <v>-0.1498746963734998</v>
      </c>
      <c r="M488" s="121" t="n">
        <v>-0.1646991353967535</v>
      </c>
      <c r="N488" t="n">
        <v>45.31666064166457</v>
      </c>
      <c r="O488" t="n">
        <v>0.1367431163637517</v>
      </c>
      <c r="P488" t="n">
        <v>103.3581145609895</v>
      </c>
      <c r="Q488" t="n">
        <v>101.1617238073094</v>
      </c>
    </row>
    <row r="489">
      <c r="A489" s="118" t="n">
        <v>45141</v>
      </c>
      <c r="B489" s="119" t="n">
        <v>100.521086385337</v>
      </c>
      <c r="C489" s="119" t="n">
        <v>102.4845322024037</v>
      </c>
      <c r="D489" s="119" t="n">
        <v>100.1922805269083</v>
      </c>
      <c r="E489" s="119" t="n">
        <v>102.0617828369141</v>
      </c>
      <c r="F489" s="120" t="n">
        <v>5084300</v>
      </c>
      <c r="G489" s="121" t="n">
        <v>0.01051056404523232</v>
      </c>
      <c r="H489" s="122" t="n">
        <v>65.27558836115708</v>
      </c>
      <c r="I489" s="119" t="n">
        <v>101.9005337524414</v>
      </c>
      <c r="J489" s="119" t="n">
        <v>106.7234230422974</v>
      </c>
      <c r="K489" s="121" t="n">
        <v>0.1764312268416666</v>
      </c>
      <c r="L489" s="121" t="n">
        <v>-0.1287162181085308</v>
      </c>
      <c r="M489" s="121" t="n">
        <v>-0.1559196521623032</v>
      </c>
      <c r="N489" t="n">
        <v>48.9537267066306</v>
      </c>
      <c r="O489" t="n">
        <v>0.1218066286740439</v>
      </c>
      <c r="P489" t="n">
        <v>103.0619254293799</v>
      </c>
      <c r="Q489" t="n">
        <v>100.9996130551766</v>
      </c>
    </row>
    <row r="490">
      <c r="A490" s="118" t="n">
        <v>45142</v>
      </c>
      <c r="B490" s="119" t="n">
        <v>102.1275454442551</v>
      </c>
      <c r="C490" s="119" t="n">
        <v>103.6306630806518</v>
      </c>
      <c r="D490" s="119" t="n">
        <v>101.6860030706882</v>
      </c>
      <c r="E490" s="119" t="n">
        <v>102.2214889526367</v>
      </c>
      <c r="F490" s="120" t="n">
        <v>5621400</v>
      </c>
      <c r="G490" s="121" t="n">
        <v>0.001564798412132973</v>
      </c>
      <c r="H490" s="122" t="n">
        <v>65.37773149817566</v>
      </c>
      <c r="I490" s="119" t="n">
        <v>101.9078031921387</v>
      </c>
      <c r="J490" s="119" t="n">
        <v>106.8157885360718</v>
      </c>
      <c r="K490" s="121" t="n">
        <v>0.1740150450718309</v>
      </c>
      <c r="L490" s="121" t="n">
        <v>-0.1161189776900505</v>
      </c>
      <c r="M490" s="121" t="n">
        <v>-0.1545988365742941</v>
      </c>
      <c r="N490" t="n">
        <v>49.49793259235499</v>
      </c>
      <c r="O490" t="n">
        <v>0.1195267349458676</v>
      </c>
      <c r="P490" t="n">
        <v>102.5957808632478</v>
      </c>
      <c r="Q490" t="n">
        <v>100.5267466800106</v>
      </c>
    </row>
    <row r="491">
      <c r="A491" s="118" t="n">
        <v>45145</v>
      </c>
      <c r="B491" s="119" t="n">
        <v>103.2173100380285</v>
      </c>
      <c r="C491" s="119" t="n">
        <v>104.2225206276378</v>
      </c>
      <c r="D491" s="119" t="n">
        <v>102.5690876466457</v>
      </c>
      <c r="E491" s="119" t="n">
        <v>103.7903747558594</v>
      </c>
      <c r="F491" s="120" t="n">
        <v>4887300</v>
      </c>
      <c r="G491" s="121" t="n">
        <v>0.01534790599606306</v>
      </c>
      <c r="H491" s="122" t="n">
        <v>66.38114277544551</v>
      </c>
      <c r="I491" s="119" t="n">
        <v>101.9556262207031</v>
      </c>
      <c r="J491" s="119" t="n">
        <v>106.9173482513428</v>
      </c>
      <c r="K491" s="121" t="n">
        <v>0.1764418920314862</v>
      </c>
      <c r="L491" s="121" t="n">
        <v>-0.09308086106309699</v>
      </c>
      <c r="M491" s="121" t="n">
        <v>-0.1416236989890741</v>
      </c>
      <c r="N491" t="n">
        <v>54.61653411908969</v>
      </c>
      <c r="O491" t="n">
        <v>0.214957394859223</v>
      </c>
      <c r="P491" t="n">
        <v>103.4912872927653</v>
      </c>
      <c r="Q491" t="n">
        <v>101.3778994433436</v>
      </c>
    </row>
    <row r="492">
      <c r="A492" s="118" t="n">
        <v>45146</v>
      </c>
      <c r="B492" s="119" t="n">
        <v>102.9918383044594</v>
      </c>
      <c r="C492" s="119" t="n">
        <v>103.2360971628407</v>
      </c>
      <c r="D492" s="119" t="n">
        <v>100.8498947534721</v>
      </c>
      <c r="E492" s="119" t="n">
        <v>103.048210144043</v>
      </c>
      <c r="F492" s="120" t="n">
        <v>5851900</v>
      </c>
      <c r="G492" s="121" t="n">
        <v>-0.007150611157943687</v>
      </c>
      <c r="H492" s="122" t="n">
        <v>65.90647703523835</v>
      </c>
      <c r="I492" s="119" t="n">
        <v>102.0037754821777</v>
      </c>
      <c r="J492" s="119" t="n">
        <v>107.0203633499145</v>
      </c>
      <c r="K492" s="121" t="n">
        <v>0.1724289095939465</v>
      </c>
      <c r="L492" s="121" t="n">
        <v>-0.08450986324923981</v>
      </c>
      <c r="M492" s="121" t="n">
        <v>-0.1477616141447973</v>
      </c>
      <c r="N492" t="n">
        <v>51.93492622021089</v>
      </c>
      <c r="O492" t="n">
        <v>0.2186527341058396</v>
      </c>
      <c r="P492" t="n">
        <v>103.0412392504968</v>
      </c>
      <c r="Q492" t="n">
        <v>100.5159320252388</v>
      </c>
    </row>
    <row r="493">
      <c r="A493" s="118" t="n">
        <v>45147</v>
      </c>
      <c r="B493" s="119" t="n">
        <v>103.1421536534418</v>
      </c>
      <c r="C493" s="119" t="n">
        <v>103.3582230083161</v>
      </c>
      <c r="D493" s="119" t="n">
        <v>101.7423760113371</v>
      </c>
      <c r="E493" s="119" t="n">
        <v>103.048210144043</v>
      </c>
      <c r="F493" s="120" t="n">
        <v>4328600</v>
      </c>
      <c r="G493" s="121" t="n">
        <v>0</v>
      </c>
      <c r="H493" s="122" t="n">
        <v>65.90647703523835</v>
      </c>
      <c r="I493" s="119" t="n">
        <v>102.0513629150391</v>
      </c>
      <c r="J493" s="119" t="n">
        <v>107.1314768981934</v>
      </c>
      <c r="K493" s="121" t="n">
        <v>0.1722452844486703</v>
      </c>
      <c r="L493" s="121" t="n">
        <v>-0.08160675937631812</v>
      </c>
      <c r="M493" s="121" t="n">
        <v>-0.1477616141447973</v>
      </c>
      <c r="N493" t="n">
        <v>51.93492622021089</v>
      </c>
      <c r="O493" t="n">
        <v>0.2115212936617879</v>
      </c>
      <c r="P493" t="n">
        <v>102.3523982220359</v>
      </c>
      <c r="Q493" t="n">
        <v>99.41081525884913</v>
      </c>
    </row>
    <row r="494">
      <c r="A494" s="118" t="n">
        <v>45148</v>
      </c>
      <c r="B494" s="119" t="n">
        <v>103.6306633628805</v>
      </c>
      <c r="C494" s="119" t="n">
        <v>105.1713598403119</v>
      </c>
      <c r="D494" s="119" t="n">
        <v>101.9490480387778</v>
      </c>
      <c r="E494" s="119" t="n">
        <v>102.4281692504883</v>
      </c>
      <c r="F494" s="120" t="n">
        <v>7276500</v>
      </c>
      <c r="G494" s="121" t="n">
        <v>-0.006016998186460287</v>
      </c>
      <c r="H494" s="122" t="n">
        <v>65.50991788244134</v>
      </c>
      <c r="I494" s="119" t="n">
        <v>102.1050894165039</v>
      </c>
      <c r="J494" s="119" t="n">
        <v>107.2317176055908</v>
      </c>
      <c r="K494" s="121" t="n">
        <v>0.1740122980752054</v>
      </c>
      <c r="L494" s="121" t="n">
        <v>-0.07976038544400643</v>
      </c>
      <c r="M494" s="121" t="n">
        <v>-0.1528895309669199</v>
      </c>
      <c r="N494" t="n">
        <v>49.57642656553338</v>
      </c>
      <c r="O494" t="n">
        <v>0.1579260182367522</v>
      </c>
      <c r="P494" t="n">
        <v>102.3891227358125</v>
      </c>
      <c r="Q494" t="n">
        <v>99.59453854061107</v>
      </c>
    </row>
    <row r="495">
      <c r="A495" s="118" t="n">
        <v>45149</v>
      </c>
      <c r="B495" s="119" t="n">
        <v>102.3060486658559</v>
      </c>
      <c r="C495" s="119" t="n">
        <v>102.897899251388</v>
      </c>
      <c r="D495" s="119" t="n">
        <v>101.3290203574478</v>
      </c>
      <c r="E495" s="119" t="n">
        <v>101.5450897216797</v>
      </c>
      <c r="F495" s="120" t="n">
        <v>5104300</v>
      </c>
      <c r="G495" s="121" t="n">
        <v>-0.008621451845429617</v>
      </c>
      <c r="H495" s="122" t="n">
        <v>64.94512728001982</v>
      </c>
      <c r="I495" s="119" t="n">
        <v>102.1647509765625</v>
      </c>
      <c r="J495" s="119" t="n">
        <v>107.3298235321045</v>
      </c>
      <c r="K495" s="121" t="n">
        <v>0.1770471114005345</v>
      </c>
      <c r="L495" s="121" t="n">
        <v>-0.08769418696715781</v>
      </c>
      <c r="M495" s="121" t="n">
        <v>-0.1601928530834479</v>
      </c>
      <c r="N495" t="n">
        <v>46.34813515992345</v>
      </c>
      <c r="O495" t="n">
        <v>0.06087120756306051</v>
      </c>
      <c r="P495" t="n">
        <v>102.3294063052112</v>
      </c>
      <c r="Q495" t="n">
        <v>98.95956141331226</v>
      </c>
    </row>
    <row r="496">
      <c r="A496" s="118" t="n">
        <v>45152</v>
      </c>
      <c r="B496" s="119" t="n">
        <v>101.385382038222</v>
      </c>
      <c r="C496" s="119" t="n">
        <v>101.7423774132592</v>
      </c>
      <c r="D496" s="119" t="n">
        <v>100.5868514461832</v>
      </c>
      <c r="E496" s="119" t="n">
        <v>101.1223373413086</v>
      </c>
      <c r="F496" s="120" t="n">
        <v>5305200</v>
      </c>
      <c r="G496" s="121" t="n">
        <v>-0.004163198649287714</v>
      </c>
      <c r="H496" s="122" t="n">
        <v>64.67474781384982</v>
      </c>
      <c r="I496" s="119" t="n">
        <v>102.246483001709</v>
      </c>
      <c r="J496" s="119" t="n">
        <v>107.4085483932495</v>
      </c>
      <c r="K496" s="121" t="n">
        <v>0.1757036896430557</v>
      </c>
      <c r="L496" s="121" t="n">
        <v>-0.09149229729571351</v>
      </c>
      <c r="M496" s="121" t="n">
        <v>-0.163689137063153</v>
      </c>
      <c r="N496" t="n">
        <v>44.84270624924454</v>
      </c>
      <c r="O496" t="n">
        <v>-0.02909715889226741</v>
      </c>
      <c r="P496" t="n">
        <v>102.8942902800416</v>
      </c>
      <c r="Q496" t="n">
        <v>100.0701148719379</v>
      </c>
    </row>
    <row r="497">
      <c r="A497" s="118" t="n">
        <v>45153</v>
      </c>
      <c r="B497" s="119" t="n">
        <v>99.64740400074312</v>
      </c>
      <c r="C497" s="119" t="n">
        <v>100.3519910962044</v>
      </c>
      <c r="D497" s="119" t="n">
        <v>99.20586160746515</v>
      </c>
      <c r="E497" s="119" t="n">
        <v>100.0983428955078</v>
      </c>
      <c r="F497" s="120" t="n">
        <v>6197600</v>
      </c>
      <c r="G497" s="121" t="n">
        <v>-0.01012629328715564</v>
      </c>
      <c r="H497" s="122" t="n">
        <v>64.01983234921394</v>
      </c>
      <c r="I497" s="119" t="n">
        <v>102.2233724975586</v>
      </c>
      <c r="J497" s="119" t="n">
        <v>107.4790350723267</v>
      </c>
      <c r="K497" s="121" t="n">
        <v>0.1749635693295551</v>
      </c>
      <c r="L497" s="121" t="n">
        <v>-0.06848432149878725</v>
      </c>
      <c r="M497" s="121" t="n">
        <v>-0.1721578661404858</v>
      </c>
      <c r="N497" t="n">
        <v>41.34006717616184</v>
      </c>
      <c r="O497" t="n">
        <v>-0.1482111346572629</v>
      </c>
      <c r="P497" t="n">
        <v>101.6956847787108</v>
      </c>
      <c r="Q497" t="n">
        <v>99.00819799493496</v>
      </c>
    </row>
    <row r="498">
      <c r="A498" s="118" t="n">
        <v>45154</v>
      </c>
      <c r="B498" s="119" t="n">
        <v>99.64739820074469</v>
      </c>
      <c r="C498" s="119" t="n">
        <v>101.8175240348751</v>
      </c>
      <c r="D498" s="119" t="n">
        <v>99.64739820074469</v>
      </c>
      <c r="E498" s="119" t="n">
        <v>100.0795440673828</v>
      </c>
      <c r="F498" s="120" t="n">
        <v>5953100</v>
      </c>
      <c r="G498" s="121" t="n">
        <v>-0.0001878035897620034</v>
      </c>
      <c r="H498" s="122" t="n">
        <v>64.00780919488281</v>
      </c>
      <c r="I498" s="119" t="n">
        <v>102.2483618164062</v>
      </c>
      <c r="J498" s="119" t="n">
        <v>107.5580380249023</v>
      </c>
      <c r="K498" s="121" t="n">
        <v>0.1747034186753445</v>
      </c>
      <c r="L498" s="121" t="n">
        <v>-0.06231856386969981</v>
      </c>
      <c r="M498" s="121" t="n">
        <v>-0.1723133378649807</v>
      </c>
      <c r="N498" t="n">
        <v>41.27632564913231</v>
      </c>
      <c r="O498" t="n">
        <v>-0.2148618231014239</v>
      </c>
      <c r="P498" t="n">
        <v>100.9494257839689</v>
      </c>
      <c r="Q498" t="n">
        <v>97.95981411882173</v>
      </c>
    </row>
    <row r="499">
      <c r="A499" s="118" t="n">
        <v>45155</v>
      </c>
      <c r="B499" s="119" t="n">
        <v>100.925050219467</v>
      </c>
      <c r="C499" s="119" t="n">
        <v>101.3008314162697</v>
      </c>
      <c r="D499" s="119" t="n">
        <v>98.43550785400816</v>
      </c>
      <c r="E499" s="119" t="n">
        <v>98.68916320800781</v>
      </c>
      <c r="F499" s="120" t="n">
        <v>5692800</v>
      </c>
      <c r="G499" s="121" t="n">
        <v>-0.01389275772918053</v>
      </c>
      <c r="H499" s="122" t="n">
        <v>63.11856420896268</v>
      </c>
      <c r="I499" s="119" t="n">
        <v>102.2269421386719</v>
      </c>
      <c r="J499" s="119" t="n">
        <v>107.6147766876221</v>
      </c>
      <c r="K499" s="121" t="n">
        <v>0.1651468250888583</v>
      </c>
      <c r="L499" s="121" t="n">
        <v>-0.07534554488900824</v>
      </c>
      <c r="M499" s="121" t="n">
        <v>-0.1838121881376967</v>
      </c>
      <c r="N499" t="n">
        <v>36.76158136204931</v>
      </c>
      <c r="O499" t="n">
        <v>-0.332177047624118</v>
      </c>
      <c r="P499" t="n">
        <v>100.1801966932662</v>
      </c>
      <c r="Q499" t="n">
        <v>96.88978415325076</v>
      </c>
    </row>
    <row r="500">
      <c r="A500" s="118" t="n">
        <v>45156</v>
      </c>
      <c r="B500" s="119" t="n">
        <v>97.54303529083026</v>
      </c>
      <c r="C500" s="119" t="n">
        <v>98.68916473345065</v>
      </c>
      <c r="D500" s="119" t="n">
        <v>97.47727411793058</v>
      </c>
      <c r="E500" s="119" t="n">
        <v>98.46369171142578</v>
      </c>
      <c r="F500" s="120" t="n">
        <v>5836100</v>
      </c>
      <c r="G500" s="121" t="n">
        <v>-0.002284663171242096</v>
      </c>
      <c r="H500" s="122" t="n">
        <v>62.97435954989277</v>
      </c>
      <c r="I500" s="119" t="n">
        <v>102.1841033935547</v>
      </c>
      <c r="J500" s="119" t="n">
        <v>107.6757403564453</v>
      </c>
      <c r="K500" s="121" t="n">
        <v>0.1548823258182273</v>
      </c>
      <c r="L500" s="121" t="n">
        <v>-0.0774580688687253</v>
      </c>
      <c r="M500" s="121" t="n">
        <v>-0.1856769023722752</v>
      </c>
      <c r="N500" t="n">
        <v>36.07253049020724</v>
      </c>
      <c r="O500" t="n">
        <v>-0.3999990711251402</v>
      </c>
      <c r="P500" t="n">
        <v>100.2284208022657</v>
      </c>
      <c r="Q500" t="n">
        <v>96.76820528412972</v>
      </c>
    </row>
    <row r="501">
      <c r="A501" s="118" t="n">
        <v>45159</v>
      </c>
      <c r="B501" s="119" t="n">
        <v>99.08373081626235</v>
      </c>
      <c r="C501" s="119" t="n">
        <v>99.09312731728043</v>
      </c>
      <c r="D501" s="119" t="n">
        <v>96.41569075411468</v>
      </c>
      <c r="E501" s="119" t="n">
        <v>96.63176727294922</v>
      </c>
      <c r="F501" s="120" t="n">
        <v>6697600</v>
      </c>
      <c r="G501" s="121" t="n">
        <v>-0.01860507570491576</v>
      </c>
      <c r="H501" s="122" t="n">
        <v>61.80271682299844</v>
      </c>
      <c r="I501" s="119" t="n">
        <v>102.1213481140137</v>
      </c>
      <c r="J501" s="119" t="n">
        <v>107.7224712371826</v>
      </c>
      <c r="K501" s="121" t="n">
        <v>0.1658205033033814</v>
      </c>
      <c r="L501" s="121" t="n">
        <v>-0.09462203133838176</v>
      </c>
      <c r="M501" s="121" t="n">
        <v>-0.2008274452519004</v>
      </c>
      <c r="N501" t="n">
        <v>30.99000726605554</v>
      </c>
      <c r="O501" t="n">
        <v>-0.5348527675160678</v>
      </c>
      <c r="P501" t="n">
        <v>100.8805227697075</v>
      </c>
      <c r="Q501" t="n">
        <v>98.32728585221709</v>
      </c>
    </row>
    <row r="502">
      <c r="A502" s="118" t="n">
        <v>45160</v>
      </c>
      <c r="B502" s="119" t="n">
        <v>94.84682642992036</v>
      </c>
      <c r="C502" s="119" t="n">
        <v>96.17145374587095</v>
      </c>
      <c r="D502" s="119" t="n">
        <v>94.63075704553705</v>
      </c>
      <c r="E502" s="119" t="n">
        <v>95.31655120849609</v>
      </c>
      <c r="F502" s="120" t="n">
        <v>9814700</v>
      </c>
      <c r="G502" s="121" t="n">
        <v>-0.01361059723494573</v>
      </c>
      <c r="H502" s="122" t="n">
        <v>60.9615449362952</v>
      </c>
      <c r="I502" s="119" t="n">
        <v>102.0386769104004</v>
      </c>
      <c r="J502" s="119" t="n">
        <v>107.7787762069702</v>
      </c>
      <c r="K502" s="121" t="n">
        <v>0.1702174061851991</v>
      </c>
      <c r="L502" s="121" t="n">
        <v>-0.1069447662152285</v>
      </c>
      <c r="M502" s="121" t="n">
        <v>-0.2117046610157995</v>
      </c>
      <c r="N502" t="n">
        <v>27.94567785812289</v>
      </c>
      <c r="O502" t="n">
        <v>-0.6704572053031344</v>
      </c>
      <c r="P502" t="n">
        <v>100.6072891868162</v>
      </c>
      <c r="Q502" t="n">
        <v>98.1867708497991</v>
      </c>
    </row>
    <row r="503">
      <c r="A503" s="118" t="n">
        <v>45161</v>
      </c>
      <c r="B503" s="119" t="n">
        <v>91.10781506186034</v>
      </c>
      <c r="C503" s="119" t="n">
        <v>93.18399758305448</v>
      </c>
      <c r="D503" s="119" t="n">
        <v>90.70385149283146</v>
      </c>
      <c r="E503" s="119" t="n">
        <v>92.77063751220703</v>
      </c>
      <c r="F503" s="120" t="n">
        <v>20909100</v>
      </c>
      <c r="G503" s="121" t="n">
        <v>-0.02671009036741279</v>
      </c>
      <c r="H503" s="122" t="n">
        <v>59.33325656210966</v>
      </c>
      <c r="I503" s="119" t="n">
        <v>101.8868617248535</v>
      </c>
      <c r="J503" s="119" t="n">
        <v>107.8218862533569</v>
      </c>
      <c r="K503" s="121" t="n">
        <v>0.1827448978381189</v>
      </c>
      <c r="L503" s="121" t="n">
        <v>-0.1307983522127106</v>
      </c>
      <c r="M503" s="121" t="n">
        <v>-0.2327601007562778</v>
      </c>
      <c r="N503" t="n">
        <v>23.1955445891853</v>
      </c>
      <c r="O503" t="n">
        <v>-0.87643572468779</v>
      </c>
      <c r="P503" t="n">
        <v>101.7278341847105</v>
      </c>
      <c r="Q503" t="n">
        <v>99.73504515307189</v>
      </c>
    </row>
    <row r="504">
      <c r="A504" s="118" t="n">
        <v>45162</v>
      </c>
      <c r="B504" s="119" t="n">
        <v>92.72365542272904</v>
      </c>
      <c r="C504" s="119" t="n">
        <v>93.18399080173837</v>
      </c>
      <c r="D504" s="119" t="n">
        <v>91.65268365113603</v>
      </c>
      <c r="E504" s="119" t="n">
        <v>91.71844482421875</v>
      </c>
      <c r="F504" s="120" t="n">
        <v>10310000</v>
      </c>
      <c r="G504" s="121" t="n">
        <v>-0.01134187191340397</v>
      </c>
      <c r="H504" s="122" t="n">
        <v>58.66030636597708</v>
      </c>
      <c r="I504" s="119" t="n">
        <v>101.7149423217773</v>
      </c>
      <c r="J504" s="119" t="n">
        <v>107.8346488952637</v>
      </c>
      <c r="K504" s="121" t="n">
        <v>0.1806023886365661</v>
      </c>
      <c r="L504" s="121" t="n">
        <v>-0.1406567259688337</v>
      </c>
      <c r="M504" s="121" t="n">
        <v>-0.2414620374203531</v>
      </c>
      <c r="N504" t="n">
        <v>21.56414735379873</v>
      </c>
      <c r="O504" t="n">
        <v>-1.018402261249385</v>
      </c>
      <c r="P504" t="n">
        <v>100.3179809009251</v>
      </c>
      <c r="Q504" t="n">
        <v>97.60314026028381</v>
      </c>
    </row>
    <row r="505">
      <c r="A505" s="118" t="n">
        <v>45163</v>
      </c>
      <c r="B505" s="119" t="n">
        <v>92.53578467136946</v>
      </c>
      <c r="C505" s="119" t="n">
        <v>93.09005648943995</v>
      </c>
      <c r="D505" s="119" t="n">
        <v>91.88756216029648</v>
      </c>
      <c r="E505" s="119" t="n">
        <v>92.85519409179688</v>
      </c>
      <c r="F505" s="120" t="n">
        <v>7290600</v>
      </c>
      <c r="G505" s="121" t="n">
        <v>0.01239390037365706</v>
      </c>
      <c r="H505" s="122" t="n">
        <v>59.3873363589652</v>
      </c>
      <c r="I505" s="119" t="n">
        <v>101.451520690918</v>
      </c>
      <c r="J505" s="119" t="n">
        <v>107.8640328216553</v>
      </c>
      <c r="K505" s="121" t="n">
        <v>0.1845810383784751</v>
      </c>
      <c r="L505" s="121" t="n">
        <v>-0.1300061110437192</v>
      </c>
      <c r="M505" s="121" t="n">
        <v>-0.2320607934825042</v>
      </c>
      <c r="N505" t="n">
        <v>27.49702084388522</v>
      </c>
      <c r="O505" t="n">
        <v>-0.9707909000688291</v>
      </c>
      <c r="P505" t="n">
        <v>101.025187823085</v>
      </c>
      <c r="Q505" t="n">
        <v>98.35972142657511</v>
      </c>
    </row>
    <row r="506">
      <c r="A506" s="118" t="n">
        <v>45166</v>
      </c>
      <c r="B506" s="119" t="n">
        <v>93.55975698147655</v>
      </c>
      <c r="C506" s="119" t="n">
        <v>94.00129932113875</v>
      </c>
      <c r="D506" s="119" t="n">
        <v>92.88335947260924</v>
      </c>
      <c r="E506" s="119" t="n">
        <v>93.59733581542969</v>
      </c>
      <c r="F506" s="120" t="n">
        <v>6006600</v>
      </c>
      <c r="G506" s="121" t="n">
        <v>0.007992463220733992</v>
      </c>
      <c r="H506" s="122" t="n">
        <v>59.86198746059159</v>
      </c>
      <c r="I506" s="119" t="n">
        <v>101.2113969421387</v>
      </c>
      <c r="J506" s="119" t="n">
        <v>107.8956846237183</v>
      </c>
      <c r="K506" s="121" t="n">
        <v>0.1741478694996728</v>
      </c>
      <c r="L506" s="121" t="n">
        <v>-0.1230527168839727</v>
      </c>
      <c r="M506" s="121" t="n">
        <v>-0.2259230676186533</v>
      </c>
      <c r="N506" t="n">
        <v>31.1581083557941</v>
      </c>
      <c r="O506" t="n">
        <v>-0.829821954292147</v>
      </c>
      <c r="P506" t="n">
        <v>101.6658265634102</v>
      </c>
      <c r="Q506" t="n">
        <v>99.10007641573027</v>
      </c>
    </row>
    <row r="507">
      <c r="A507" s="118" t="n">
        <v>45167</v>
      </c>
      <c r="B507" s="119" t="n">
        <v>93.97314019672662</v>
      </c>
      <c r="C507" s="119" t="n">
        <v>95.97417238621894</v>
      </c>
      <c r="D507" s="119" t="n">
        <v>93.6819131209506</v>
      </c>
      <c r="E507" s="119" t="n">
        <v>95.60778045654297</v>
      </c>
      <c r="F507" s="120" t="n">
        <v>8641600</v>
      </c>
      <c r="G507" s="121" t="n">
        <v>0.02147972080185911</v>
      </c>
      <c r="H507" s="122" t="n">
        <v>61.14780623788949</v>
      </c>
      <c r="I507" s="119" t="n">
        <v>100.9893115234375</v>
      </c>
      <c r="J507" s="119" t="n">
        <v>107.9450681686401</v>
      </c>
      <c r="K507" s="121" t="n">
        <v>0.197103834863723</v>
      </c>
      <c r="L507" s="121" t="n">
        <v>-0.1042161340846915</v>
      </c>
      <c r="M507" s="121" t="n">
        <v>-0.2092961112319425</v>
      </c>
      <c r="N507" t="n">
        <v>39.99734354958339</v>
      </c>
      <c r="O507" t="n">
        <v>-0.5548966469090859</v>
      </c>
      <c r="P507" t="n">
        <v>103.1353890041756</v>
      </c>
      <c r="Q507" t="n">
        <v>101.2644084929192</v>
      </c>
    </row>
    <row r="508">
      <c r="A508" s="118" t="n">
        <v>45168</v>
      </c>
      <c r="B508" s="119" t="n">
        <v>95.48563976558384</v>
      </c>
      <c r="C508" s="119" t="n">
        <v>96.58479388165208</v>
      </c>
      <c r="D508" s="119" t="n">
        <v>95.36351391960859</v>
      </c>
      <c r="E508" s="119" t="n">
        <v>95.91778564453125</v>
      </c>
      <c r="F508" s="120" t="n">
        <v>4822100</v>
      </c>
      <c r="G508" s="121" t="n">
        <v>0.003242468201938742</v>
      </c>
      <c r="H508" s="122" t="n">
        <v>61.34607605523416</v>
      </c>
      <c r="I508" s="119" t="n">
        <v>100.8495216369629</v>
      </c>
      <c r="J508" s="119" t="n">
        <v>107.9616068649292</v>
      </c>
      <c r="K508" s="121" t="n">
        <v>0.1915088318821248</v>
      </c>
      <c r="L508" s="121" t="n">
        <v>-0.1013115833836514</v>
      </c>
      <c r="M508" s="121" t="n">
        <v>-0.2067322790154626</v>
      </c>
      <c r="N508" t="n">
        <v>41.24999805813785</v>
      </c>
      <c r="O508" t="n">
        <v>-0.3176754778021178</v>
      </c>
      <c r="P508" t="n">
        <v>103.5601830334054</v>
      </c>
      <c r="Q508" t="n">
        <v>101.8291197290519</v>
      </c>
    </row>
    <row r="509">
      <c r="A509" s="118" t="n">
        <v>45169</v>
      </c>
      <c r="B509" s="119" t="n">
        <v>96.40631703510138</v>
      </c>
      <c r="C509" s="119" t="n">
        <v>96.65996526423028</v>
      </c>
      <c r="D509" s="119" t="n">
        <v>95.45747096664026</v>
      </c>
      <c r="E509" s="119" t="n">
        <v>95.55141448974609</v>
      </c>
      <c r="F509" s="120" t="n">
        <v>7046200</v>
      </c>
      <c r="G509" s="121" t="n">
        <v>-0.003819637331317405</v>
      </c>
      <c r="H509" s="122" t="n">
        <v>61.11175629300375</v>
      </c>
      <c r="I509" s="119" t="n">
        <v>100.6941369628906</v>
      </c>
      <c r="J509" s="119" t="n">
        <v>107.945595741272</v>
      </c>
      <c r="K509" s="121" t="n">
        <v>0.1852404266520541</v>
      </c>
      <c r="L509" s="121" t="n">
        <v>-0.1047442472089818</v>
      </c>
      <c r="M509" s="121" t="n">
        <v>-0.2097622740162643</v>
      </c>
      <c r="N509" t="n">
        <v>40.1823379295662</v>
      </c>
      <c r="O509" t="n">
        <v>-0.1589627691743363</v>
      </c>
      <c r="P509" t="n">
        <v>103.4086444079307</v>
      </c>
      <c r="Q509" t="n">
        <v>102.1344554397635</v>
      </c>
    </row>
    <row r="510">
      <c r="A510" s="118" t="n">
        <v>45170</v>
      </c>
      <c r="B510" s="119" t="n">
        <v>96.11697500005845</v>
      </c>
      <c r="C510" s="119" t="n">
        <v>97.05014748983898</v>
      </c>
      <c r="D510" s="119" t="n">
        <v>95.692800456361</v>
      </c>
      <c r="E510" s="119" t="n">
        <v>96.48458862304688</v>
      </c>
      <c r="F510" s="120" t="n">
        <v>6359400</v>
      </c>
      <c r="G510" s="121" t="n">
        <v>0.009766199048795166</v>
      </c>
      <c r="H510" s="122" t="n">
        <v>61.70858586918268</v>
      </c>
      <c r="I510" s="119" t="n">
        <v>100.548397064209</v>
      </c>
      <c r="J510" s="119" t="n">
        <v>107.9421627044678</v>
      </c>
      <c r="K510" s="121" t="n">
        <v>0.1902726212227834</v>
      </c>
      <c r="L510" s="121" t="n">
        <v>-0.09600100132764577</v>
      </c>
      <c r="M510" s="121" t="n">
        <v>-0.2020446550884401</v>
      </c>
      <c r="N510" t="n">
        <v>44.14764380141296</v>
      </c>
      <c r="O510" t="n">
        <v>0.02551862755684731</v>
      </c>
      <c r="P510" t="n">
        <v>103.6015117494439</v>
      </c>
      <c r="Q510" t="n">
        <v>102.0263844016606</v>
      </c>
    </row>
    <row r="511">
      <c r="A511" s="118" t="n">
        <v>45174</v>
      </c>
      <c r="B511" s="119" t="n">
        <v>95.67395255340976</v>
      </c>
      <c r="C511" s="119" t="n">
        <v>96.10754792860629</v>
      </c>
      <c r="D511" s="119" t="n">
        <v>94.47685306009227</v>
      </c>
      <c r="E511" s="119" t="n">
        <v>94.56168365478516</v>
      </c>
      <c r="F511" s="120" t="n">
        <v>6698700</v>
      </c>
      <c r="G511" s="121" t="n">
        <v>-0.01992965918914025</v>
      </c>
      <c r="H511" s="122" t="n">
        <v>60.47875478376608</v>
      </c>
      <c r="I511" s="119" t="n">
        <v>100.3818609619141</v>
      </c>
      <c r="J511" s="119" t="n">
        <v>107.9183172988892</v>
      </c>
      <c r="K511" s="121" t="n">
        <v>0.1867819775002527</v>
      </c>
      <c r="L511" s="121" t="n">
        <v>-0.1140173932785098</v>
      </c>
      <c r="M511" s="121" t="n">
        <v>-0.2179476331606802</v>
      </c>
      <c r="N511" t="n">
        <v>38.48614428304195</v>
      </c>
      <c r="O511" t="n">
        <v>0.03415406105681185</v>
      </c>
      <c r="P511" t="n">
        <v>103.1537476242533</v>
      </c>
      <c r="Q511" t="n">
        <v>102.1560847493069</v>
      </c>
    </row>
    <row r="512">
      <c r="A512" s="118" t="n">
        <v>45175</v>
      </c>
      <c r="B512" s="119" t="n">
        <v>94.03382753504081</v>
      </c>
      <c r="C512" s="119" t="n">
        <v>94.55225349318128</v>
      </c>
      <c r="D512" s="119" t="n">
        <v>93.3457260084174</v>
      </c>
      <c r="E512" s="119" t="n">
        <v>94.42971801757812</v>
      </c>
      <c r="F512" s="120" t="n">
        <v>6096000</v>
      </c>
      <c r="G512" s="121" t="n">
        <v>-0.001395550841594484</v>
      </c>
      <c r="H512" s="122" t="n">
        <v>60.394353606629</v>
      </c>
      <c r="I512" s="119" t="n">
        <v>100.1709736633301</v>
      </c>
      <c r="J512" s="119" t="n">
        <v>107.9007004165649</v>
      </c>
      <c r="K512" s="121" t="n">
        <v>0.1868483076986333</v>
      </c>
      <c r="L512" s="121" t="n">
        <v>-0.1152538270509581</v>
      </c>
      <c r="M512" s="121" t="n">
        <v>-0.2190390269993938</v>
      </c>
      <c r="N512" t="n">
        <v>38.12480160563128</v>
      </c>
      <c r="O512" t="n">
        <v>0.0463356879457264</v>
      </c>
      <c r="P512" t="n">
        <v>102.4603096671516</v>
      </c>
      <c r="Q512" t="n">
        <v>101.256287014394</v>
      </c>
    </row>
    <row r="513">
      <c r="A513" s="118" t="n">
        <v>45176</v>
      </c>
      <c r="B513" s="119" t="n">
        <v>92.61992064794626</v>
      </c>
      <c r="C513" s="119" t="n">
        <v>93.0912208648928</v>
      </c>
      <c r="D513" s="119" t="n">
        <v>92.03550579000313</v>
      </c>
      <c r="E513" s="119" t="n">
        <v>92.30886077880859</v>
      </c>
      <c r="F513" s="120" t="n">
        <v>9927100</v>
      </c>
      <c r="G513" s="121" t="n">
        <v>-0.02245963753036662</v>
      </c>
      <c r="H513" s="122" t="n">
        <v>59.03791831574332</v>
      </c>
      <c r="I513" s="119" t="n">
        <v>99.88253372192383</v>
      </c>
      <c r="J513" s="119" t="n">
        <v>107.8718741607666</v>
      </c>
      <c r="K513" s="121" t="n">
        <v>0.1967521162270626</v>
      </c>
      <c r="L513" s="121" t="n">
        <v>-0.1351249054017727</v>
      </c>
      <c r="M513" s="121" t="n">
        <v>-0.2365791273783499</v>
      </c>
      <c r="N513" t="n">
        <v>32.79556257670652</v>
      </c>
      <c r="O513" t="n">
        <v>-0.06693060486493452</v>
      </c>
      <c r="P513" t="n">
        <v>102.145725547358</v>
      </c>
      <c r="Q513" t="n">
        <v>100.5321498124178</v>
      </c>
    </row>
    <row r="514">
      <c r="A514" s="118" t="n">
        <v>45177</v>
      </c>
      <c r="B514" s="119" t="n">
        <v>92.46910787147326</v>
      </c>
      <c r="C514" s="119" t="n">
        <v>92.49738473591732</v>
      </c>
      <c r="D514" s="119" t="n">
        <v>91.69617574696075</v>
      </c>
      <c r="E514" s="119" t="n">
        <v>92.06378936767578</v>
      </c>
      <c r="F514" s="120" t="n">
        <v>6435000</v>
      </c>
      <c r="G514" s="121" t="n">
        <v>-0.002654906680302882</v>
      </c>
      <c r="H514" s="122" t="n">
        <v>58.88117815201568</v>
      </c>
      <c r="I514" s="119" t="n">
        <v>99.60009048461914</v>
      </c>
      <c r="J514" s="119" t="n">
        <v>107.8415433502197</v>
      </c>
      <c r="K514" s="121" t="n">
        <v>0.1969773859956273</v>
      </c>
      <c r="L514" s="121" t="n">
        <v>-0.1374210680680491</v>
      </c>
      <c r="M514" s="121" t="n">
        <v>-0.2386059385529558</v>
      </c>
      <c r="N514" t="n">
        <v>32.2348387530038</v>
      </c>
      <c r="O514" t="n">
        <v>-0.1330267994511802</v>
      </c>
      <c r="P514" t="n">
        <v>102.2995771843956</v>
      </c>
      <c r="Q514" t="n">
        <v>100.6726396449643</v>
      </c>
    </row>
    <row r="515">
      <c r="A515" s="118" t="n">
        <v>45180</v>
      </c>
      <c r="B515" s="119" t="n">
        <v>92.68591201739062</v>
      </c>
      <c r="C515" s="119" t="n">
        <v>92.73303772909759</v>
      </c>
      <c r="D515" s="119" t="n">
        <v>91.03636108674876</v>
      </c>
      <c r="E515" s="119" t="n">
        <v>91.23430633544922</v>
      </c>
      <c r="F515" s="120" t="n">
        <v>7584700</v>
      </c>
      <c r="G515" s="121" t="n">
        <v>-0.009009872805841757</v>
      </c>
      <c r="H515" s="122" t="n">
        <v>58.35066622620791</v>
      </c>
      <c r="I515" s="119" t="n">
        <v>99.29466873168946</v>
      </c>
      <c r="J515" s="119" t="n">
        <v>107.8144653701782</v>
      </c>
      <c r="K515" s="121" t="n">
        <v>0.1970704588962902</v>
      </c>
      <c r="L515" s="121" t="n">
        <v>-0.1451927945297549</v>
      </c>
      <c r="M515" s="121" t="n">
        <v>-0.2454660022017169</v>
      </c>
      <c r="N515" t="n">
        <v>30.34378770301566</v>
      </c>
      <c r="O515" t="n">
        <v>-0.2030854079496238</v>
      </c>
      <c r="P515" t="n">
        <v>102.9723726043417</v>
      </c>
      <c r="Q515" t="n">
        <v>101.8588537372062</v>
      </c>
    </row>
    <row r="516">
      <c r="A516" s="118" t="n">
        <v>45181</v>
      </c>
      <c r="B516" s="119" t="n">
        <v>91.4228045022556</v>
      </c>
      <c r="C516" s="119" t="n">
        <v>91.59247285025934</v>
      </c>
      <c r="D516" s="119" t="n">
        <v>90.65930053197371</v>
      </c>
      <c r="E516" s="119" t="n">
        <v>90.77241516113281</v>
      </c>
      <c r="F516" s="120" t="n">
        <v>6307700</v>
      </c>
      <c r="G516" s="121" t="n">
        <v>-0.005062691797295349</v>
      </c>
      <c r="H516" s="122" t="n">
        <v>58.05525478693776</v>
      </c>
      <c r="I516" s="119" t="n">
        <v>99.03637649536132</v>
      </c>
      <c r="J516" s="119" t="n">
        <v>107.7751176834106</v>
      </c>
      <c r="K516" s="121" t="n">
        <v>0.1970295686290242</v>
      </c>
      <c r="L516" s="121" t="n">
        <v>-0.1495204199571581</v>
      </c>
      <c r="M516" s="121" t="n">
        <v>-0.2492859752831507</v>
      </c>
      <c r="N516" t="n">
        <v>29.3125742919752</v>
      </c>
      <c r="O516" t="n">
        <v>-0.2480332663647866</v>
      </c>
      <c r="P516" t="n">
        <v>102.4074959031326</v>
      </c>
      <c r="Q516" t="n">
        <v>100.7294144850266</v>
      </c>
    </row>
    <row r="517">
      <c r="A517" s="118" t="n">
        <v>45182</v>
      </c>
      <c r="B517" s="119" t="n">
        <v>90.7724225232995</v>
      </c>
      <c r="C517" s="119" t="n">
        <v>91.62075714065317</v>
      </c>
      <c r="D517" s="119" t="n">
        <v>90.16915883512912</v>
      </c>
      <c r="E517" s="119" t="n">
        <v>90.61217498779297</v>
      </c>
      <c r="F517" s="120" t="n">
        <v>7140700</v>
      </c>
      <c r="G517" s="121" t="n">
        <v>-0.001765295911267728</v>
      </c>
      <c r="H517" s="122" t="n">
        <v>57.95277008303478</v>
      </c>
      <c r="I517" s="119" t="n">
        <v>98.7985531616211</v>
      </c>
      <c r="J517" s="119" t="n">
        <v>107.7318040847778</v>
      </c>
      <c r="K517" s="121" t="n">
        <v>0.1965539691207462</v>
      </c>
      <c r="L517" s="121" t="n">
        <v>-0.1510217680824243</v>
      </c>
      <c r="M517" s="121" t="n">
        <v>-0.2506112076815147</v>
      </c>
      <c r="N517" t="n">
        <v>28.94506383700815</v>
      </c>
      <c r="O517" t="n">
        <v>-0.2550699719362917</v>
      </c>
      <c r="P517" t="n">
        <v>102.5268996698501</v>
      </c>
      <c r="Q517" t="n">
        <v>101.1130872256866</v>
      </c>
    </row>
    <row r="518">
      <c r="A518" s="118" t="n">
        <v>45183</v>
      </c>
      <c r="B518" s="119" t="n">
        <v>91.16832000546789</v>
      </c>
      <c r="C518" s="119" t="n">
        <v>92.07321560755175</v>
      </c>
      <c r="D518" s="119" t="n">
        <v>90.39538789588767</v>
      </c>
      <c r="E518" s="119" t="n">
        <v>91.61134338378906</v>
      </c>
      <c r="F518" s="120" t="n">
        <v>7075300</v>
      </c>
      <c r="G518" s="121" t="n">
        <v>0.01102686693185206</v>
      </c>
      <c r="H518" s="122" t="n">
        <v>58.59180756707262</v>
      </c>
      <c r="I518" s="119" t="n">
        <v>98.61847946166992</v>
      </c>
      <c r="J518" s="119" t="n">
        <v>107.6966977310181</v>
      </c>
      <c r="K518" s="121" t="n">
        <v>0.2040044147130773</v>
      </c>
      <c r="L518" s="121" t="n">
        <v>-0.1416601980910301</v>
      </c>
      <c r="M518" s="121" t="n">
        <v>-0.2423477971883974</v>
      </c>
      <c r="N518" t="n">
        <v>34.46273737754422</v>
      </c>
      <c r="O518" t="n">
        <v>-0.1634037232661947</v>
      </c>
      <c r="P518" t="n">
        <v>103.4109355986297</v>
      </c>
      <c r="Q518" t="n">
        <v>101.9399007233155</v>
      </c>
    </row>
    <row r="519">
      <c r="A519" s="118" t="n">
        <v>45184</v>
      </c>
      <c r="B519" s="119" t="n">
        <v>92.5162403180715</v>
      </c>
      <c r="C519" s="119" t="n">
        <v>92.5162403180715</v>
      </c>
      <c r="D519" s="119" t="n">
        <v>90.61218328486551</v>
      </c>
      <c r="E519" s="119" t="n">
        <v>90.73472595214844</v>
      </c>
      <c r="F519" s="120" t="n">
        <v>10467300</v>
      </c>
      <c r="G519" s="121" t="n">
        <v>-0.009568874325619259</v>
      </c>
      <c r="H519" s="122" t="n">
        <v>58.03114992395243</v>
      </c>
      <c r="I519" s="119" t="n">
        <v>98.45845123291015</v>
      </c>
      <c r="J519" s="119" t="n">
        <v>107.661862449646</v>
      </c>
      <c r="K519" s="121" t="n">
        <v>0.2018831024173945</v>
      </c>
      <c r="L519" s="121" t="n">
        <v>-0.1498735437841742</v>
      </c>
      <c r="M519" s="121" t="n">
        <v>-0.2495976758996301</v>
      </c>
      <c r="N519" t="n">
        <v>32.10704699665551</v>
      </c>
      <c r="O519" t="n">
        <v>-0.1340135105015934</v>
      </c>
      <c r="P519" t="n">
        <v>102.164993370094</v>
      </c>
      <c r="Q519" t="n">
        <v>100.1943953072625</v>
      </c>
    </row>
    <row r="520">
      <c r="A520" s="118" t="n">
        <v>45187</v>
      </c>
      <c r="B520" s="119" t="n">
        <v>90.48962786592556</v>
      </c>
      <c r="C520" s="119" t="n">
        <v>90.8383925622545</v>
      </c>
      <c r="D520" s="119" t="n">
        <v>89.810954506296</v>
      </c>
      <c r="E520" s="119" t="n">
        <v>90.02775573730469</v>
      </c>
      <c r="F520" s="120" t="n">
        <v>6946300</v>
      </c>
      <c r="G520" s="121" t="n">
        <v>-0.007791616797482748</v>
      </c>
      <c r="H520" s="122" t="n">
        <v>57.57899344142772</v>
      </c>
      <c r="I520" s="119" t="n">
        <v>98.29630874633789</v>
      </c>
      <c r="J520" s="119" t="n">
        <v>107.6174883270264</v>
      </c>
      <c r="K520" s="121" t="n">
        <v>0.2021667740961711</v>
      </c>
      <c r="L520" s="121" t="n">
        <v>-0.1564974033604098</v>
      </c>
      <c r="M520" s="121" t="n">
        <v>-0.2554445232529606</v>
      </c>
      <c r="N520" t="n">
        <v>30.3077696431926</v>
      </c>
      <c r="O520" t="n">
        <v>-0.1340654611256729</v>
      </c>
      <c r="P520" t="n">
        <v>102.2249134620908</v>
      </c>
      <c r="Q520" t="n">
        <v>100.2988502738319</v>
      </c>
    </row>
    <row r="521">
      <c r="A521" s="118" t="n">
        <v>45188</v>
      </c>
      <c r="B521" s="119" t="n">
        <v>89.58474849911002</v>
      </c>
      <c r="C521" s="119" t="n">
        <v>90.00891582913219</v>
      </c>
      <c r="D521" s="119" t="n">
        <v>88.99091279878483</v>
      </c>
      <c r="E521" s="119" t="n">
        <v>89.18885803222656</v>
      </c>
      <c r="F521" s="120" t="n">
        <v>9386600</v>
      </c>
      <c r="G521" s="121" t="n">
        <v>-0.009318211902626716</v>
      </c>
      <c r="H521" s="122" t="n">
        <v>57.04246017940054</v>
      </c>
      <c r="I521" s="119" t="n">
        <v>98.09258666992187</v>
      </c>
      <c r="J521" s="119" t="n">
        <v>107.5529091262817</v>
      </c>
      <c r="K521" s="121" t="n">
        <v>0.1961034516115074</v>
      </c>
      <c r="L521" s="121" t="n">
        <v>-0.1643573392963135</v>
      </c>
      <c r="M521" s="121" t="n">
        <v>-0.2623824489585508</v>
      </c>
      <c r="N521" t="n">
        <v>28.28239004911619</v>
      </c>
      <c r="O521" t="n">
        <v>-0.1606822079502539</v>
      </c>
      <c r="P521" t="n">
        <v>102.0129164966456</v>
      </c>
      <c r="Q521" t="n">
        <v>100.0850657755866</v>
      </c>
    </row>
    <row r="522">
      <c r="A522" s="118" t="n">
        <v>45189</v>
      </c>
      <c r="B522" s="119" t="n">
        <v>88.57615388488146</v>
      </c>
      <c r="C522" s="119" t="n">
        <v>89.92407264024241</v>
      </c>
      <c r="D522" s="119" t="n">
        <v>88.44419041441003</v>
      </c>
      <c r="E522" s="119" t="n">
        <v>88.64213562011719</v>
      </c>
      <c r="F522" s="120" t="n">
        <v>10274200</v>
      </c>
      <c r="G522" s="121" t="n">
        <v>-0.00612994071425188</v>
      </c>
      <c r="H522" s="122" t="n">
        <v>56.69279328030574</v>
      </c>
      <c r="I522" s="119" t="n">
        <v>97.84767990112304</v>
      </c>
      <c r="J522" s="119" t="n">
        <v>107.4789873504639</v>
      </c>
      <c r="K522" s="121" t="n">
        <v>0.1929768750660242</v>
      </c>
      <c r="L522" s="121" t="n">
        <v>-0.1694797792647268</v>
      </c>
      <c r="M522" s="121" t="n">
        <v>-0.2669040008162266</v>
      </c>
      <c r="N522" t="n">
        <v>27.01530746493226</v>
      </c>
      <c r="O522" t="n">
        <v>-0.1835417886599613</v>
      </c>
      <c r="P522" t="n">
        <v>101.0750703177334</v>
      </c>
      <c r="Q522" t="n">
        <v>98.64282375082814</v>
      </c>
    </row>
    <row r="523">
      <c r="A523" s="118" t="n">
        <v>45190</v>
      </c>
      <c r="B523" s="119" t="n">
        <v>88.05772405965246</v>
      </c>
      <c r="C523" s="119" t="n">
        <v>88.12370579730934</v>
      </c>
      <c r="D523" s="119" t="n">
        <v>86.22908424824564</v>
      </c>
      <c r="E523" s="119" t="n">
        <v>86.332763671875</v>
      </c>
      <c r="F523" s="120" t="n">
        <v>7958600</v>
      </c>
      <c r="G523" s="121" t="n">
        <v>-0.02605275619869063</v>
      </c>
      <c r="H523" s="122" t="n">
        <v>55.21578975875116</v>
      </c>
      <c r="I523" s="119" t="n">
        <v>97.5496337890625</v>
      </c>
      <c r="J523" s="119" t="n">
        <v>107.3868426895142</v>
      </c>
      <c r="K523" s="121" t="n">
        <v>0.1919420047223935</v>
      </c>
      <c r="L523" s="121" t="n">
        <v>-0.1894047761888991</v>
      </c>
      <c r="M523" s="121" t="n">
        <v>-0.2860031721531969</v>
      </c>
      <c r="N523" t="n">
        <v>22.44172300248231</v>
      </c>
      <c r="O523" t="n">
        <v>-0.314917960105034</v>
      </c>
      <c r="P523" t="n">
        <v>99.40446498515071</v>
      </c>
      <c r="Q523" t="n">
        <v>96.83524104179151</v>
      </c>
    </row>
    <row r="524">
      <c r="A524" s="118" t="n">
        <v>45191</v>
      </c>
      <c r="B524" s="119" t="n">
        <v>86.3233477441521</v>
      </c>
      <c r="C524" s="119" t="n">
        <v>87.03029805550446</v>
      </c>
      <c r="D524" s="119" t="n">
        <v>85.3524704671968</v>
      </c>
      <c r="E524" s="119" t="n">
        <v>85.63524627685547</v>
      </c>
      <c r="F524" s="120" t="n">
        <v>9289400</v>
      </c>
      <c r="G524" s="121" t="n">
        <v>-0.008079405376973492</v>
      </c>
      <c r="H524" s="122" t="n">
        <v>54.76967901008047</v>
      </c>
      <c r="I524" s="119" t="n">
        <v>97.23613418579102</v>
      </c>
      <c r="J524" s="119" t="n">
        <v>107.3032552337646</v>
      </c>
      <c r="K524" s="121" t="n">
        <v>0.1905227665885486</v>
      </c>
      <c r="L524" s="121" t="n">
        <v>-0.1959539035987075</v>
      </c>
      <c r="M524" s="121" t="n">
        <v>-0.2917718419632445</v>
      </c>
      <c r="N524" t="n">
        <v>21.27042143669826</v>
      </c>
      <c r="O524" t="n">
        <v>-0.4038407185783734</v>
      </c>
      <c r="P524" t="n">
        <v>99.18095387723999</v>
      </c>
      <c r="Q524" t="n">
        <v>96.84876565272403</v>
      </c>
    </row>
    <row r="525">
      <c r="A525" s="118" t="n">
        <v>45194</v>
      </c>
      <c r="B525" s="119" t="n">
        <v>84.8340231928545</v>
      </c>
      <c r="C525" s="119" t="n">
        <v>85.63523197360428</v>
      </c>
      <c r="D525" s="119" t="n">
        <v>84.63607800171415</v>
      </c>
      <c r="E525" s="119" t="n">
        <v>85.39958190917969</v>
      </c>
      <c r="F525" s="120" t="n">
        <v>8291700</v>
      </c>
      <c r="G525" s="121" t="n">
        <v>-0.002751955274512663</v>
      </c>
      <c r="H525" s="122" t="n">
        <v>54.61895530304531</v>
      </c>
      <c r="I525" s="119" t="n">
        <v>96.9158543395996</v>
      </c>
      <c r="J525" s="119" t="n">
        <v>107.2263792800903</v>
      </c>
      <c r="K525" s="121" t="n">
        <v>0.1812767409643498</v>
      </c>
      <c r="L525" s="121" t="n">
        <v>-0.17719169903702</v>
      </c>
      <c r="M525" s="121" t="n">
        <v>-0.2937208541783121</v>
      </c>
      <c r="N525" t="n">
        <v>20.87401376140474</v>
      </c>
      <c r="O525" t="n">
        <v>-0.431098206404835</v>
      </c>
      <c r="P525" t="n">
        <v>99.59803786792683</v>
      </c>
      <c r="Q525" t="n">
        <v>97.30875344365838</v>
      </c>
    </row>
    <row r="526">
      <c r="A526" s="118" t="n">
        <v>45195</v>
      </c>
      <c r="B526" s="119" t="n">
        <v>84.83405283903677</v>
      </c>
      <c r="C526" s="119" t="n">
        <v>85.49387037341836</v>
      </c>
      <c r="D526" s="119" t="n">
        <v>84.62667955923921</v>
      </c>
      <c r="E526" s="119" t="n">
        <v>84.99429321289062</v>
      </c>
      <c r="F526" s="120" t="n">
        <v>8060500</v>
      </c>
      <c r="G526" s="121" t="n">
        <v>-0.004745792511256952</v>
      </c>
      <c r="H526" s="122" t="n">
        <v>54.35974507399545</v>
      </c>
      <c r="I526" s="119" t="n">
        <v>96.57318923950196</v>
      </c>
      <c r="J526" s="119" t="n">
        <v>107.1456094741821</v>
      </c>
      <c r="K526" s="121" t="n">
        <v>0.1755419383201568</v>
      </c>
      <c r="L526" s="121" t="n">
        <v>-0.1810965765099302</v>
      </c>
      <c r="M526" s="121" t="n">
        <v>-0.2970727084594096</v>
      </c>
      <c r="N526" t="n">
        <v>20.17756376481836</v>
      </c>
      <c r="O526" t="n">
        <v>-0.4281186830560681</v>
      </c>
      <c r="P526" t="n">
        <v>98.1348034776636</v>
      </c>
      <c r="Q526" t="n">
        <v>95.8475585056887</v>
      </c>
    </row>
    <row r="527">
      <c r="A527" s="118" t="n">
        <v>45196</v>
      </c>
      <c r="B527" s="119" t="n">
        <v>85.36189456658215</v>
      </c>
      <c r="C527" s="119" t="n">
        <v>85.49385805444359</v>
      </c>
      <c r="D527" s="119" t="n">
        <v>84.08938539564924</v>
      </c>
      <c r="E527" s="119" t="n">
        <v>84.28733062744141</v>
      </c>
      <c r="F527" s="120" t="n">
        <v>7631000</v>
      </c>
      <c r="G527" s="121" t="n">
        <v>-0.008317765331355198</v>
      </c>
      <c r="H527" s="122" t="n">
        <v>53.90759347099766</v>
      </c>
      <c r="I527" s="119" t="n">
        <v>96.19740783691407</v>
      </c>
      <c r="J527" s="119" t="n">
        <v>107.0471592712402</v>
      </c>
      <c r="K527" s="121" t="n">
        <v>0.1458394499640246</v>
      </c>
      <c r="L527" s="121" t="n">
        <v>-0.187908023015564</v>
      </c>
      <c r="M527" s="121" t="n">
        <v>-0.3029194927154494</v>
      </c>
      <c r="N527" t="n">
        <v>18.9875047640131</v>
      </c>
      <c r="O527" t="n">
        <v>-0.4246197321910912</v>
      </c>
      <c r="P527" t="n">
        <v>98.17397192818589</v>
      </c>
      <c r="Q527" t="n">
        <v>96.07216604866288</v>
      </c>
    </row>
    <row r="528">
      <c r="A528" s="118" t="n">
        <v>45197</v>
      </c>
      <c r="B528" s="119" t="n">
        <v>83.98569818350477</v>
      </c>
      <c r="C528" s="119" t="n">
        <v>84.62666677355219</v>
      </c>
      <c r="D528" s="119" t="n">
        <v>83.57095887804162</v>
      </c>
      <c r="E528" s="119" t="n">
        <v>84.48527526855469</v>
      </c>
      <c r="F528" s="120" t="n">
        <v>16315600</v>
      </c>
      <c r="G528" s="121" t="n">
        <v>0.002348450705933702</v>
      </c>
      <c r="H528" s="122" t="n">
        <v>54.03419279693982</v>
      </c>
      <c r="I528" s="119" t="n">
        <v>95.82257919311523</v>
      </c>
      <c r="J528" s="119" t="n">
        <v>106.9587557601929</v>
      </c>
      <c r="K528" s="121" t="n">
        <v>0.1451010610038003</v>
      </c>
      <c r="L528" s="121" t="n">
        <v>-0.1860008650389317</v>
      </c>
      <c r="M528" s="121" t="n">
        <v>-0.3012824335060243</v>
      </c>
      <c r="N528" t="n">
        <v>20.40306422243246</v>
      </c>
      <c r="O528" t="n">
        <v>-0.3622617755756559</v>
      </c>
      <c r="P528" t="n">
        <v>98.74313279232119</v>
      </c>
      <c r="Q528" t="n">
        <v>96.87582326454623</v>
      </c>
    </row>
    <row r="529">
      <c r="A529" s="118" t="n">
        <v>45198</v>
      </c>
      <c r="B529" s="119" t="n">
        <v>93.66619810312933</v>
      </c>
      <c r="C529" s="119" t="n">
        <v>93.76045669856204</v>
      </c>
      <c r="D529" s="119" t="n">
        <v>89.18884650111212</v>
      </c>
      <c r="E529" s="119" t="n">
        <v>90.13144683837891</v>
      </c>
      <c r="F529" s="120" t="n">
        <v>34935400</v>
      </c>
      <c r="G529" s="121" t="n">
        <v>0.06683024410912597</v>
      </c>
      <c r="H529" s="122" t="n">
        <v>57.64531109179888</v>
      </c>
      <c r="I529" s="119" t="n">
        <v>95.60482788085938</v>
      </c>
      <c r="J529" s="119" t="n">
        <v>106.8862114715576</v>
      </c>
      <c r="K529" s="121" t="n">
        <v>0.2976028382152001</v>
      </c>
      <c r="L529" s="121" t="n">
        <v>-0.1316011041448661</v>
      </c>
      <c r="M529" s="121" t="n">
        <v>-0.2545869679738975</v>
      </c>
      <c r="N529" t="n">
        <v>48.20432992558413</v>
      </c>
      <c r="O529" t="n">
        <v>0.08223774083166235</v>
      </c>
      <c r="P529" t="n">
        <v>98.50349606606176</v>
      </c>
      <c r="Q529" t="n">
        <v>96.94617305528391</v>
      </c>
    </row>
    <row r="530">
      <c r="A530" s="118" t="n">
        <v>45201</v>
      </c>
      <c r="B530" s="119" t="n">
        <v>90.67815005792124</v>
      </c>
      <c r="C530" s="119" t="n">
        <v>90.84781840720386</v>
      </c>
      <c r="D530" s="119" t="n">
        <v>88.34993325314018</v>
      </c>
      <c r="E530" s="119" t="n">
        <v>89.13228607177734</v>
      </c>
      <c r="F530" s="120" t="n">
        <v>12776300</v>
      </c>
      <c r="G530" s="121" t="n">
        <v>-0.01108559555682298</v>
      </c>
      <c r="H530" s="122" t="n">
        <v>57.00627848728795</v>
      </c>
      <c r="I530" s="119" t="n">
        <v>95.33834655761719</v>
      </c>
      <c r="J530" s="119" t="n">
        <v>106.8050299072266</v>
      </c>
      <c r="K530" s="121" t="n">
        <v>0.2951630061296439</v>
      </c>
      <c r="L530" s="121" t="n">
        <v>-0.1412278230863079</v>
      </c>
      <c r="M530" s="121" t="n">
        <v>-0.2628503153697239</v>
      </c>
      <c r="N530" t="n">
        <v>45.1959432339497</v>
      </c>
      <c r="O530" t="n">
        <v>0.3186777630045787</v>
      </c>
      <c r="P530" t="n">
        <v>98.46432034191821</v>
      </c>
      <c r="Q530" t="n">
        <v>97.7552417935317</v>
      </c>
    </row>
    <row r="531">
      <c r="A531" s="118" t="n">
        <v>45202</v>
      </c>
      <c r="B531" s="119" t="n">
        <v>88.90608246379506</v>
      </c>
      <c r="C531" s="119" t="n">
        <v>90.53678455891625</v>
      </c>
      <c r="D531" s="119" t="n">
        <v>88.77411896378194</v>
      </c>
      <c r="E531" s="119" t="n">
        <v>89.63188171386719</v>
      </c>
      <c r="F531" s="120" t="n">
        <v>10964300</v>
      </c>
      <c r="G531" s="121" t="n">
        <v>0.005605102977921161</v>
      </c>
      <c r="H531" s="122" t="n">
        <v>57.32580454859726</v>
      </c>
      <c r="I531" s="119" t="n">
        <v>95.08730606079102</v>
      </c>
      <c r="J531" s="119" t="n">
        <v>106.732882270813</v>
      </c>
      <c r="K531" s="121" t="n">
        <v>0.2905313674726775</v>
      </c>
      <c r="L531" s="121" t="n">
        <v>-0.1364143166001329</v>
      </c>
      <c r="M531" s="121" t="n">
        <v>-0.2587185154772291</v>
      </c>
      <c r="N531" t="n">
        <v>46.97780203977553</v>
      </c>
      <c r="O531" t="n">
        <v>0.5072363498633359</v>
      </c>
      <c r="P531" t="n">
        <v>97.14626743214239</v>
      </c>
      <c r="Q531" t="n">
        <v>96.03968852451912</v>
      </c>
    </row>
    <row r="532">
      <c r="A532" s="118" t="n">
        <v>45203</v>
      </c>
      <c r="B532" s="119" t="n">
        <v>90.09375197478946</v>
      </c>
      <c r="C532" s="119" t="n">
        <v>90.7347205630259</v>
      </c>
      <c r="D532" s="119" t="n">
        <v>89.66015663443402</v>
      </c>
      <c r="E532" s="119" t="n">
        <v>90.38595581054688</v>
      </c>
      <c r="F532" s="120" t="n">
        <v>8045400</v>
      </c>
      <c r="G532" s="121" t="n">
        <v>0.008413012002659093</v>
      </c>
      <c r="H532" s="122" t="n">
        <v>57.8080872303267</v>
      </c>
      <c r="I532" s="119" t="n">
        <v>94.86017745971679</v>
      </c>
      <c r="J532" s="119" t="n">
        <v>106.6782304763794</v>
      </c>
      <c r="K532" s="121" t="n">
        <v>0.2931091765946215</v>
      </c>
      <c r="L532" s="121" t="n">
        <v>-0.1291489598803652</v>
      </c>
      <c r="M532" s="121" t="n">
        <v>-0.25248210545059</v>
      </c>
      <c r="N532" t="n">
        <v>49.6393364670429</v>
      </c>
      <c r="O532" t="n">
        <v>0.6709833542024417</v>
      </c>
      <c r="P532" t="n">
        <v>97.85369983656156</v>
      </c>
      <c r="Q532" t="n">
        <v>97.34665927008092</v>
      </c>
    </row>
    <row r="533">
      <c r="A533" s="118" t="n">
        <v>45204</v>
      </c>
      <c r="B533" s="119" t="n">
        <v>90.29170989990234</v>
      </c>
      <c r="C533" s="119" t="n">
        <v>90.70645645397887</v>
      </c>
      <c r="D533" s="119" t="n">
        <v>89.81098159326562</v>
      </c>
      <c r="E533" s="119" t="n">
        <v>90.29170989990234</v>
      </c>
      <c r="F533" s="120" t="n">
        <v>7430000</v>
      </c>
      <c r="G533" s="121" t="n">
        <v>-0.001042705249940323</v>
      </c>
      <c r="H533" s="122" t="n">
        <v>57.74781043428263</v>
      </c>
      <c r="I533" s="119" t="n">
        <v>94.61237503051758</v>
      </c>
      <c r="J533" s="119" t="n">
        <v>106.6350588989258</v>
      </c>
      <c r="K533" s="121" t="n">
        <v>0.2829933882205912</v>
      </c>
      <c r="L533" s="121" t="n">
        <v>-0.1300570008318139</v>
      </c>
      <c r="M533" s="121" t="n">
        <v>-0.253261546283661</v>
      </c>
      <c r="N533" t="n">
        <v>49.30620998516302</v>
      </c>
      <c r="O533" t="n">
        <v>0.7549279429245024</v>
      </c>
      <c r="P533" t="n">
        <v>97.81682257673835</v>
      </c>
      <c r="Q533" t="n">
        <v>97.05982341489427</v>
      </c>
    </row>
    <row r="534">
      <c r="A534" s="118" t="n">
        <v>45205</v>
      </c>
      <c r="B534" s="119" t="n">
        <v>90.29168703379342</v>
      </c>
      <c r="C534" s="119" t="n">
        <v>92.10147795266757</v>
      </c>
      <c r="D534" s="119" t="n">
        <v>89.60358562437813</v>
      </c>
      <c r="E534" s="119" t="n">
        <v>91.53591918945312</v>
      </c>
      <c r="F534" s="120" t="n">
        <v>8532900</v>
      </c>
      <c r="G534" s="121" t="n">
        <v>0.01377988401072616</v>
      </c>
      <c r="H534" s="122" t="n">
        <v>58.54356856394045</v>
      </c>
      <c r="I534" s="119" t="n">
        <v>94.42008300781249</v>
      </c>
      <c r="J534" s="119" t="n">
        <v>106.6116470336914</v>
      </c>
      <c r="K534" s="121" t="n">
        <v>0.2876606267730215</v>
      </c>
      <c r="L534" s="121" t="n">
        <v>-0.118069287207333</v>
      </c>
      <c r="M534" s="121" t="n">
        <v>-0.242971577005101</v>
      </c>
      <c r="N534" t="n">
        <v>53.72167483388791</v>
      </c>
      <c r="O534" t="n">
        <v>0.8681498600277728</v>
      </c>
      <c r="P534" t="n">
        <v>98.97817986356124</v>
      </c>
      <c r="Q534" t="n">
        <v>98.68608236991504</v>
      </c>
    </row>
    <row r="535">
      <c r="A535" s="118" t="n">
        <v>45208</v>
      </c>
      <c r="B535" s="119" t="n">
        <v>91.22485609313577</v>
      </c>
      <c r="C535" s="119" t="n">
        <v>91.56419277723363</v>
      </c>
      <c r="D535" s="119" t="n">
        <v>90.41421925795414</v>
      </c>
      <c r="E535" s="119" t="n">
        <v>91.31911468505859</v>
      </c>
      <c r="F535" s="120" t="n">
        <v>5964200</v>
      </c>
      <c r="G535" s="121" t="n">
        <v>-0.002368518351203885</v>
      </c>
      <c r="H535" s="122" t="n">
        <v>58.40490704745179</v>
      </c>
      <c r="I535" s="119" t="n">
        <v>94.20560531616211</v>
      </c>
      <c r="J535" s="119" t="n">
        <v>106.5864042663574</v>
      </c>
      <c r="K535" s="121" t="n">
        <v>0.2859039457873873</v>
      </c>
      <c r="L535" s="121" t="n">
        <v>-0.1201581562850729</v>
      </c>
      <c r="M535" s="121" t="n">
        <v>-0.2447646127173473</v>
      </c>
      <c r="N535" t="n">
        <v>52.85772273608154</v>
      </c>
      <c r="O535" t="n">
        <v>0.8985697831047352</v>
      </c>
      <c r="P535" t="n">
        <v>99.61185774833399</v>
      </c>
      <c r="Q535" t="n">
        <v>99.18941267950781</v>
      </c>
    </row>
    <row r="536">
      <c r="A536" s="118" t="n">
        <v>45209</v>
      </c>
      <c r="B536" s="119" t="n">
        <v>91.66789022628635</v>
      </c>
      <c r="C536" s="119" t="n">
        <v>93.185477467561</v>
      </c>
      <c r="D536" s="119" t="n">
        <v>91.64904138226058</v>
      </c>
      <c r="E536" s="119" t="n">
        <v>92.01665496826172</v>
      </c>
      <c r="F536" s="120" t="n">
        <v>8499000</v>
      </c>
      <c r="G536" s="121" t="n">
        <v>0.007638491520738144</v>
      </c>
      <c r="H536" s="122" t="n">
        <v>58.85103243470326</v>
      </c>
      <c r="I536" s="119" t="n">
        <v>93.97182220458984</v>
      </c>
      <c r="J536" s="119" t="n">
        <v>106.5059657287598</v>
      </c>
      <c r="K536" s="121" t="n">
        <v>0.2863597782802413</v>
      </c>
      <c r="L536" s="121" t="n">
        <v>-0.1134374918222657</v>
      </c>
      <c r="M536" s="121" t="n">
        <v>-0.2389957536154275</v>
      </c>
      <c r="N536" t="n">
        <v>55.34593157723336</v>
      </c>
      <c r="O536" t="n">
        <v>0.9317996838036169</v>
      </c>
      <c r="P536" t="n">
        <v>100.1303287458602</v>
      </c>
      <c r="Q536" t="n">
        <v>99.73870317439111</v>
      </c>
    </row>
    <row r="537">
      <c r="A537" s="118" t="n">
        <v>45210</v>
      </c>
      <c r="B537" s="119" t="n">
        <v>92.66704568456544</v>
      </c>
      <c r="C537" s="119" t="n">
        <v>93.27030938257639</v>
      </c>
      <c r="D537" s="119" t="n">
        <v>92.38426987132497</v>
      </c>
      <c r="E537" s="119" t="n">
        <v>92.98753356933594</v>
      </c>
      <c r="F537" s="120" t="n">
        <v>7642900</v>
      </c>
      <c r="G537" s="121" t="n">
        <v>0.01055111817973708</v>
      </c>
      <c r="H537" s="122" t="n">
        <v>59.47197663292135</v>
      </c>
      <c r="I537" s="119" t="n">
        <v>93.77605758666992</v>
      </c>
      <c r="J537" s="119" t="n">
        <v>106.4260398483276</v>
      </c>
      <c r="K537" s="121" t="n">
        <v>0.2882099497512357</v>
      </c>
      <c r="L537" s="121" t="n">
        <v>-0.1040832660247583</v>
      </c>
      <c r="M537" s="121" t="n">
        <v>-0.230966307876542</v>
      </c>
      <c r="N537" t="n">
        <v>58.61971585458434</v>
      </c>
      <c r="O537" t="n">
        <v>0.9803689106484732</v>
      </c>
      <c r="P537" t="n">
        <v>100.5404737018585</v>
      </c>
      <c r="Q537" t="n">
        <v>100.4503896799505</v>
      </c>
    </row>
    <row r="538">
      <c r="A538" s="118" t="n">
        <v>45211</v>
      </c>
      <c r="B538" s="119" t="n">
        <v>93.82644794503479</v>
      </c>
      <c r="C538" s="119" t="n">
        <v>94.30717617938042</v>
      </c>
      <c r="D538" s="119" t="n">
        <v>92.8649914763435</v>
      </c>
      <c r="E538" s="119" t="n">
        <v>93.55309295654297</v>
      </c>
      <c r="F538" s="120" t="n">
        <v>10705200</v>
      </c>
      <c r="G538" s="121" t="n">
        <v>0.006082099024438792</v>
      </c>
      <c r="H538" s="122" t="n">
        <v>59.83369108398189</v>
      </c>
      <c r="I538" s="119" t="n">
        <v>93.62711517333985</v>
      </c>
      <c r="J538" s="119" t="n">
        <v>106.3510894012451</v>
      </c>
      <c r="K538" s="121" t="n">
        <v>0.286559761948779</v>
      </c>
      <c r="L538" s="121" t="n">
        <v>-0.09863421173106912</v>
      </c>
      <c r="M538" s="121" t="n">
        <v>-0.2262889688079174</v>
      </c>
      <c r="N538" t="n">
        <v>60.43921515804469</v>
      </c>
      <c r="O538" t="n">
        <v>1.007905466436427</v>
      </c>
      <c r="P538" t="n">
        <v>99.92754745856018</v>
      </c>
      <c r="Q538" t="n">
        <v>100.1013087326371</v>
      </c>
    </row>
    <row r="539">
      <c r="A539" s="118" t="n">
        <v>45212</v>
      </c>
      <c r="B539" s="119" t="n">
        <v>93.87357001478532</v>
      </c>
      <c r="C539" s="119" t="n">
        <v>95.06124852772456</v>
      </c>
      <c r="D539" s="119" t="n">
        <v>93.74160653462211</v>
      </c>
      <c r="E539" s="119" t="n">
        <v>94.17520904541016</v>
      </c>
      <c r="F539" s="120" t="n">
        <v>8774700</v>
      </c>
      <c r="G539" s="121" t="n">
        <v>0.006649871951921238</v>
      </c>
      <c r="H539" s="122" t="n">
        <v>60.23157746810119</v>
      </c>
      <c r="I539" s="119" t="n">
        <v>93.46938369750977</v>
      </c>
      <c r="J539" s="119" t="n">
        <v>106.2731337356567</v>
      </c>
      <c r="K539" s="121" t="n">
        <v>0.2842498490928535</v>
      </c>
      <c r="L539" s="121" t="n">
        <v>-0.09264024465723808</v>
      </c>
      <c r="M539" s="121" t="n">
        <v>-0.2211438895227011</v>
      </c>
      <c r="N539" t="n">
        <v>62.39783083015683</v>
      </c>
      <c r="O539" t="n">
        <v>1.022127735856896</v>
      </c>
      <c r="P539" t="n">
        <v>99.42982082888715</v>
      </c>
      <c r="Q539" t="n">
        <v>98.84305007831234</v>
      </c>
    </row>
    <row r="540">
      <c r="A540" s="118" t="n">
        <v>45215</v>
      </c>
      <c r="B540" s="119" t="n">
        <v>93.99611262084363</v>
      </c>
      <c r="C540" s="119" t="n">
        <v>96.69195032817886</v>
      </c>
      <c r="D540" s="119" t="n">
        <v>93.88299798441707</v>
      </c>
      <c r="E540" s="119" t="n">
        <v>96.18294525146484</v>
      </c>
      <c r="F540" s="120" t="n">
        <v>10845400</v>
      </c>
      <c r="G540" s="121" t="n">
        <v>0.02131915847499299</v>
      </c>
      <c r="H540" s="122" t="n">
        <v>61.51566401334245</v>
      </c>
      <c r="I540" s="119" t="n">
        <v>93.34861282348633</v>
      </c>
      <c r="J540" s="119" t="n">
        <v>106.2172615432739</v>
      </c>
      <c r="K540" s="121" t="n">
        <v>0.2896658774746835</v>
      </c>
      <c r="L540" s="121" t="n">
        <v>-0.07329609823925487</v>
      </c>
      <c r="M540" s="121" t="n">
        <v>-0.2045393326742191</v>
      </c>
      <c r="N540" t="n">
        <v>67.91814396203063</v>
      </c>
      <c r="O540" t="n">
        <v>1.113356716611097</v>
      </c>
      <c r="P540" t="n">
        <v>100.4759639548423</v>
      </c>
      <c r="Q540" t="n">
        <v>99.96061754111884</v>
      </c>
    </row>
    <row r="541">
      <c r="A541" s="118" t="n">
        <v>45216</v>
      </c>
      <c r="B541" s="119" t="n">
        <v>96.11696189276843</v>
      </c>
      <c r="C541" s="119" t="n">
        <v>97.64396990572477</v>
      </c>
      <c r="D541" s="119" t="n">
        <v>96.11696189276843</v>
      </c>
      <c r="E541" s="119" t="n">
        <v>97.09726715087891</v>
      </c>
      <c r="F541" s="120" t="n">
        <v>9253800</v>
      </c>
      <c r="G541" s="121" t="n">
        <v>0.009506070925813459</v>
      </c>
      <c r="H541" s="122" t="n">
        <v>62.10043627850179</v>
      </c>
      <c r="I541" s="119" t="n">
        <v>93.21475067138672</v>
      </c>
      <c r="J541" s="119" t="n">
        <v>106.1548964691162</v>
      </c>
      <c r="K541" s="121" t="n">
        <v>0.2863344247481482</v>
      </c>
      <c r="L541" s="121" t="n">
        <v>-0.06448678522188933</v>
      </c>
      <c r="M541" s="121" t="n">
        <v>-0.1969776271519252</v>
      </c>
      <c r="N541" t="n">
        <v>70.07287453143753</v>
      </c>
      <c r="O541" t="n">
        <v>1.175752926440808</v>
      </c>
      <c r="P541" t="n">
        <v>100.471352478959</v>
      </c>
      <c r="Q541" t="n">
        <v>99.63318268326317</v>
      </c>
    </row>
    <row r="542">
      <c r="A542" s="118" t="n">
        <v>45217</v>
      </c>
      <c r="B542" s="119" t="n">
        <v>97.05956080214311</v>
      </c>
      <c r="C542" s="119" t="n">
        <v>97.93617942986117</v>
      </c>
      <c r="D542" s="119" t="n">
        <v>97.02185592454049</v>
      </c>
      <c r="E542" s="119" t="n">
        <v>97.81363677978516</v>
      </c>
      <c r="F542" s="120" t="n">
        <v>8757300</v>
      </c>
      <c r="G542" s="121" t="n">
        <v>0.007377855730924754</v>
      </c>
      <c r="H542" s="122" t="n">
        <v>62.55860433819206</v>
      </c>
      <c r="I542" s="119" t="n">
        <v>93.11005920410156</v>
      </c>
      <c r="J542" s="119" t="n">
        <v>106.0977005767822</v>
      </c>
      <c r="K542" s="121" t="n">
        <v>0.2837441283054328</v>
      </c>
      <c r="L542" s="121" t="n">
        <v>-0.0575847036888828</v>
      </c>
      <c r="M542" s="121" t="n">
        <v>-0.1910530439363473</v>
      </c>
      <c r="N542" t="n">
        <v>71.67789908312633</v>
      </c>
      <c r="O542" t="n">
        <v>1.201493771413584</v>
      </c>
      <c r="P542" t="n">
        <v>99.13255520133001</v>
      </c>
      <c r="Q542" t="n">
        <v>98.32621193770137</v>
      </c>
    </row>
    <row r="543">
      <c r="A543" s="118" t="n">
        <v>45218</v>
      </c>
      <c r="B543" s="119" t="n">
        <v>97.8136455312042</v>
      </c>
      <c r="C543" s="119" t="n">
        <v>98.36035551815131</v>
      </c>
      <c r="D543" s="119" t="n">
        <v>96.94645484316646</v>
      </c>
      <c r="E543" s="119" t="n">
        <v>97.13497924804688</v>
      </c>
      <c r="F543" s="120" t="n">
        <v>8391100</v>
      </c>
      <c r="G543" s="121" t="n">
        <v>-0.00693827112538703</v>
      </c>
      <c r="H543" s="122" t="n">
        <v>62.12455578006787</v>
      </c>
      <c r="I543" s="119" t="n">
        <v>92.99179458618164</v>
      </c>
      <c r="J543" s="119" t="n">
        <v>106.0289881896973</v>
      </c>
      <c r="K543" s="121" t="n">
        <v>0.263300995297249</v>
      </c>
      <c r="L543" s="121" t="n">
        <v>-0.06412343652740127</v>
      </c>
      <c r="M543" s="121" t="n">
        <v>-0.1966657372435734</v>
      </c>
      <c r="N543" t="n">
        <v>67.95942659277199</v>
      </c>
      <c r="O543" t="n">
        <v>1.111144544501465</v>
      </c>
      <c r="P543" t="n">
        <v>98.2615536018607</v>
      </c>
      <c r="Q543" t="n">
        <v>97.40618601608975</v>
      </c>
    </row>
    <row r="544">
      <c r="A544" s="118" t="n">
        <v>45219</v>
      </c>
      <c r="B544" s="119" t="n">
        <v>97.38947085937799</v>
      </c>
      <c r="C544" s="119" t="n">
        <v>97.81363815329095</v>
      </c>
      <c r="D544" s="119" t="n">
        <v>96.68252057520961</v>
      </c>
      <c r="E544" s="119" t="n">
        <v>96.77677917480469</v>
      </c>
      <c r="F544" s="120" t="n">
        <v>7823500</v>
      </c>
      <c r="G544" s="121" t="n">
        <v>-0.003687652748938897</v>
      </c>
      <c r="H544" s="122" t="n">
        <v>61.8954619911689</v>
      </c>
      <c r="I544" s="119" t="n">
        <v>92.87876678466797</v>
      </c>
      <c r="J544" s="119" t="n">
        <v>105.9470002746582</v>
      </c>
      <c r="K544" s="121" t="n">
        <v>0.2606256602498892</v>
      </c>
      <c r="L544" s="121" t="n">
        <v>-0.06757462430935834</v>
      </c>
      <c r="M544" s="121" t="n">
        <v>-0.199628155045944</v>
      </c>
      <c r="N544" t="n">
        <v>66.01286753587215</v>
      </c>
      <c r="O544" t="n">
        <v>0.9706868885159061</v>
      </c>
      <c r="P544" t="n">
        <v>97.05409610344817</v>
      </c>
      <c r="Q544" t="n">
        <v>95.95307899681667</v>
      </c>
    </row>
    <row r="545">
      <c r="A545" s="118" t="n">
        <v>45222</v>
      </c>
      <c r="B545" s="119" t="n">
        <v>96.26776867349119</v>
      </c>
      <c r="C545" s="119" t="n">
        <v>97.80421180690176</v>
      </c>
      <c r="D545" s="119" t="n">
        <v>95.92843198092626</v>
      </c>
      <c r="E545" s="119" t="n">
        <v>96.90873718261719</v>
      </c>
      <c r="F545" s="120" t="n">
        <v>5966100</v>
      </c>
      <c r="G545" s="121" t="n">
        <v>0.001363529649753614</v>
      </c>
      <c r="H545" s="122" t="n">
        <v>61.97985828877906</v>
      </c>
      <c r="I545" s="119" t="n">
        <v>92.78603973388672</v>
      </c>
      <c r="J545" s="119" t="n">
        <v>105.8684265136719</v>
      </c>
      <c r="K545" s="121" t="n">
        <v>0.2591438250968282</v>
      </c>
      <c r="L545" s="121" t="n">
        <v>-0.06630323466342158</v>
      </c>
      <c r="M545" s="121" t="n">
        <v>-0.1985368243045211</v>
      </c>
      <c r="N545" t="n">
        <v>66.39474135465301</v>
      </c>
      <c r="O545" t="n">
        <v>0.8352536142363016</v>
      </c>
      <c r="P545" t="n">
        <v>96.885893611651</v>
      </c>
      <c r="Q545" t="n">
        <v>96.24261641820696</v>
      </c>
    </row>
    <row r="546">
      <c r="A546" s="118" t="n">
        <v>45223</v>
      </c>
      <c r="B546" s="119" t="n">
        <v>97.70997345586598</v>
      </c>
      <c r="C546" s="119" t="n">
        <v>99.58574647898836</v>
      </c>
      <c r="D546" s="119" t="n">
        <v>97.70997345586598</v>
      </c>
      <c r="E546" s="119" t="n">
        <v>99.14272308349609</v>
      </c>
      <c r="F546" s="120" t="n">
        <v>9252200</v>
      </c>
      <c r="G546" s="121" t="n">
        <v>0.02305247148839773</v>
      </c>
      <c r="H546" s="122" t="n">
        <v>63.40864720483606</v>
      </c>
      <c r="I546" s="119" t="n">
        <v>92.74644744873046</v>
      </c>
      <c r="J546" s="119" t="n">
        <v>105.7827687835693</v>
      </c>
      <c r="K546" s="121" t="n">
        <v>0.2619660344638077</v>
      </c>
      <c r="L546" s="121" t="n">
        <v>-0.04477921660169093</v>
      </c>
      <c r="M546" s="121" t="n">
        <v>-0.1800611172978005</v>
      </c>
      <c r="N546" t="n">
        <v>72.10833294173192</v>
      </c>
      <c r="O546" t="n">
        <v>0.8423119585759259</v>
      </c>
      <c r="P546" t="n">
        <v>97.61634702737992</v>
      </c>
      <c r="Q546" t="n">
        <v>97.17889368682621</v>
      </c>
    </row>
    <row r="547">
      <c r="A547" s="118" t="n">
        <v>45224</v>
      </c>
      <c r="B547" s="119" t="n">
        <v>98.46404588456487</v>
      </c>
      <c r="C547" s="119" t="n">
        <v>99.01075589228675</v>
      </c>
      <c r="D547" s="119" t="n">
        <v>97.5497222626954</v>
      </c>
      <c r="E547" s="119" t="n">
        <v>97.59685516357422</v>
      </c>
      <c r="F547" s="120" t="n">
        <v>7054700</v>
      </c>
      <c r="G547" s="121" t="n">
        <v>-0.01559234880627569</v>
      </c>
      <c r="H547" s="122" t="n">
        <v>62.41995746028418</v>
      </c>
      <c r="I547" s="119" t="n">
        <v>92.69641769409179</v>
      </c>
      <c r="J547" s="119" t="n">
        <v>105.687887763977</v>
      </c>
      <c r="K547" s="121" t="n">
        <v>0.2690977349028673</v>
      </c>
      <c r="L547" s="121" t="n">
        <v>-0.05967335224344128</v>
      </c>
      <c r="M547" s="121" t="n">
        <v>-0.1928458903567212</v>
      </c>
      <c r="N547" t="n">
        <v>63.99955271165371</v>
      </c>
      <c r="O547" t="n">
        <v>0.6951700391195168</v>
      </c>
      <c r="P547" t="n">
        <v>96.21533846705505</v>
      </c>
      <c r="Q547" t="n">
        <v>94.80034083361993</v>
      </c>
    </row>
    <row r="548">
      <c r="A548" s="118" t="n">
        <v>45225</v>
      </c>
      <c r="B548" s="119" t="n">
        <v>96.31489732401039</v>
      </c>
      <c r="C548" s="119" t="n">
        <v>96.73906457529849</v>
      </c>
      <c r="D548" s="119" t="n">
        <v>94.21289552606775</v>
      </c>
      <c r="E548" s="119" t="n">
        <v>94.27887725830078</v>
      </c>
      <c r="F548" s="120" t="n">
        <v>11222600</v>
      </c>
      <c r="G548" s="121" t="n">
        <v>-0.03399677069217488</v>
      </c>
      <c r="H548" s="122" t="n">
        <v>60.29788047989159</v>
      </c>
      <c r="I548" s="119" t="n">
        <v>92.58040435791015</v>
      </c>
      <c r="J548" s="119" t="n">
        <v>105.5717950057983</v>
      </c>
      <c r="K548" s="121" t="n">
        <v>0.3066186218320343</v>
      </c>
      <c r="L548" s="121" t="n">
        <v>-0.09164142166296252</v>
      </c>
      <c r="M548" s="121" t="n">
        <v>-0.2202865235355103</v>
      </c>
      <c r="N548" t="n">
        <v>50.7961309300663</v>
      </c>
      <c r="O548" t="n">
        <v>0.3444154517989881</v>
      </c>
      <c r="P548" t="n">
        <v>95.06320413199859</v>
      </c>
      <c r="Q548" t="n">
        <v>92.99278329445475</v>
      </c>
    </row>
    <row r="549">
      <c r="A549" s="118" t="n">
        <v>45226</v>
      </c>
      <c r="B549" s="119" t="n">
        <v>94.05267167192521</v>
      </c>
      <c r="C549" s="119" t="n">
        <v>94.58052562221435</v>
      </c>
      <c r="D549" s="119" t="n">
        <v>92.19574763633857</v>
      </c>
      <c r="E549" s="119" t="n">
        <v>92.35599517822266</v>
      </c>
      <c r="F549" s="120" t="n">
        <v>9602700</v>
      </c>
      <c r="G549" s="121" t="n">
        <v>-0.02039568285067617</v>
      </c>
      <c r="H549" s="122" t="n">
        <v>59.06806403305575</v>
      </c>
      <c r="I549" s="119" t="n">
        <v>92.45374099731445</v>
      </c>
      <c r="J549" s="119" t="n">
        <v>105.4362839889526</v>
      </c>
      <c r="K549" s="121" t="n">
        <v>0.2199441813948995</v>
      </c>
      <c r="L549" s="121" t="n">
        <v>-0.1101680151414157</v>
      </c>
      <c r="M549" s="121" t="n">
        <v>-0.2361893123158781</v>
      </c>
      <c r="N549" t="n">
        <v>45.00180007158833</v>
      </c>
      <c r="O549" t="n">
        <v>-0.02732571216106905</v>
      </c>
      <c r="P549" t="n">
        <v>94.63229298728335</v>
      </c>
      <c r="Q549" t="n">
        <v>93.43924647445658</v>
      </c>
    </row>
    <row r="550">
      <c r="A550" s="118" t="n">
        <v>45229</v>
      </c>
      <c r="B550" s="119" t="n">
        <v>93.31744942903202</v>
      </c>
      <c r="C550" s="119" t="n">
        <v>96.19238382843407</v>
      </c>
      <c r="D550" s="119" t="n">
        <v>93.31744942903202</v>
      </c>
      <c r="E550" s="119" t="n">
        <v>95.95673370361328</v>
      </c>
      <c r="F550" s="120" t="n">
        <v>8206700</v>
      </c>
      <c r="G550" s="121" t="n">
        <v>0.03898759921802752</v>
      </c>
      <c r="H550" s="122" t="n">
        <v>61.37098604016131</v>
      </c>
      <c r="I550" s="119" t="n">
        <v>92.40360183715821</v>
      </c>
      <c r="J550" s="119" t="n">
        <v>105.3190101242065</v>
      </c>
      <c r="K550" s="121" t="n">
        <v>0.2519943011291472</v>
      </c>
      <c r="L550" s="121" t="n">
        <v>-0.07547560234436734</v>
      </c>
      <c r="M550" s="121" t="n">
        <v>-0.2064101673460037</v>
      </c>
      <c r="N550" t="n">
        <v>55.28733394302091</v>
      </c>
      <c r="O550" t="n">
        <v>-0.04016672601171378</v>
      </c>
      <c r="P550" t="n">
        <v>95.76369750172913</v>
      </c>
      <c r="Q550" t="n">
        <v>94.49188405884698</v>
      </c>
    </row>
    <row r="551">
      <c r="A551" s="118" t="n">
        <v>45230</v>
      </c>
      <c r="B551" s="119" t="n">
        <v>95.57968239344055</v>
      </c>
      <c r="C551" s="119" t="n">
        <v>97.02185986076756</v>
      </c>
      <c r="D551" s="119" t="n">
        <v>95.57968239344055</v>
      </c>
      <c r="E551" s="119" t="n">
        <v>96.87104034423828</v>
      </c>
      <c r="F551" s="120" t="n">
        <v>6558500</v>
      </c>
      <c r="G551" s="121" t="n">
        <v>0.00952832183147323</v>
      </c>
      <c r="H551" s="122" t="n">
        <v>61.95574854626682</v>
      </c>
      <c r="I551" s="119" t="n">
        <v>92.40838729858399</v>
      </c>
      <c r="J551" s="119" t="n">
        <v>105.2018258666992</v>
      </c>
      <c r="K551" s="121" t="n">
        <v>0.2527475687245471</v>
      </c>
      <c r="L551" s="121" t="n">
        <v>-0.05994446474295978</v>
      </c>
      <c r="M551" s="121" t="n">
        <v>-0.1988485880182914</v>
      </c>
      <c r="N551" t="n">
        <v>57.46270432546999</v>
      </c>
      <c r="O551" t="n">
        <v>0.001266809542134872</v>
      </c>
      <c r="P551" t="n">
        <v>96.36510960256189</v>
      </c>
      <c r="Q551" t="n">
        <v>94.94379232104185</v>
      </c>
    </row>
    <row r="552">
      <c r="A552" s="118" t="n">
        <v>45231</v>
      </c>
      <c r="B552" s="119" t="n">
        <v>96.66368691981683</v>
      </c>
      <c r="C552" s="119" t="n">
        <v>96.77679438051446</v>
      </c>
      <c r="D552" s="119" t="n">
        <v>94.23177583421935</v>
      </c>
      <c r="E552" s="119" t="n">
        <v>95.08953857421875</v>
      </c>
      <c r="F552" s="120" t="n">
        <v>7272400</v>
      </c>
      <c r="G552" s="121" t="n">
        <v>-0.0183904473792047</v>
      </c>
      <c r="H552" s="122" t="n">
        <v>60.81635461278746</v>
      </c>
      <c r="I552" s="119" t="n">
        <v>92.40384704589843</v>
      </c>
      <c r="J552" s="119" t="n">
        <v>105.0790488433838</v>
      </c>
      <c r="K552" s="121" t="n">
        <v>0.2642043609858856</v>
      </c>
      <c r="L552" s="121" t="n">
        <v>-0.07723250659763459</v>
      </c>
      <c r="M552" s="121" t="n">
        <v>-0.2135821209031166</v>
      </c>
      <c r="N552" t="n">
        <v>52.13977315890184</v>
      </c>
      <c r="O552" t="n">
        <v>-0.09749651539197757</v>
      </c>
      <c r="P552" t="n">
        <v>97.39282864584793</v>
      </c>
      <c r="Q552" t="n">
        <v>96.59168897556323</v>
      </c>
    </row>
    <row r="553">
      <c r="A553" s="118" t="n">
        <v>45232</v>
      </c>
      <c r="B553" s="119" t="n">
        <v>96.19236874104527</v>
      </c>
      <c r="C553" s="119" t="n">
        <v>99.49146997108545</v>
      </c>
      <c r="D553" s="119" t="n">
        <v>96.04154923290929</v>
      </c>
      <c r="E553" s="119" t="n">
        <v>99.04844665527344</v>
      </c>
      <c r="F553" s="120" t="n">
        <v>8135100</v>
      </c>
      <c r="G553" s="121" t="n">
        <v>0.04163347662019312</v>
      </c>
      <c r="H553" s="122" t="n">
        <v>63.34835089068432</v>
      </c>
      <c r="I553" s="119" t="n">
        <v>92.52940322875976</v>
      </c>
      <c r="J553" s="119" t="n">
        <v>104.9840495300293</v>
      </c>
      <c r="K553" s="121" t="n">
        <v>0.2975692789040085</v>
      </c>
      <c r="L553" s="121" t="n">
        <v>-0.0329960265808299</v>
      </c>
      <c r="M553" s="121" t="n">
        <v>-0.1808408105200346</v>
      </c>
      <c r="N553" t="n">
        <v>60.82445118067475</v>
      </c>
      <c r="O553" t="n">
        <v>0.08760658060785143</v>
      </c>
      <c r="P553" t="n">
        <v>99.25929805190582</v>
      </c>
      <c r="Q553" t="n">
        <v>98.34514807099832</v>
      </c>
    </row>
    <row r="554">
      <c r="A554" s="118" t="n">
        <v>45233</v>
      </c>
      <c r="B554" s="119" t="n">
        <v>100.3209744372229</v>
      </c>
      <c r="C554" s="119" t="n">
        <v>101.470948231497</v>
      </c>
      <c r="D554" s="119" t="n">
        <v>99.96278882567496</v>
      </c>
      <c r="E554" s="119" t="n">
        <v>100.9148101806641</v>
      </c>
      <c r="F554" s="120" t="n">
        <v>7568000</v>
      </c>
      <c r="G554" s="121" t="n">
        <v>0.01884293584013785</v>
      </c>
      <c r="H554" s="122" t="n">
        <v>64.54201980209604</v>
      </c>
      <c r="I554" s="119" t="n">
        <v>92.71333053588867</v>
      </c>
      <c r="J554" s="119" t="n">
        <v>104.9072522354126</v>
      </c>
      <c r="K554" s="121" t="n">
        <v>0.3001263608392345</v>
      </c>
      <c r="L554" s="121" t="n">
        <v>-0.006206893339137376</v>
      </c>
      <c r="M554" s="121" t="n">
        <v>-0.1654054464698044</v>
      </c>
      <c r="N554" t="n">
        <v>64.1291099742494</v>
      </c>
      <c r="O554" t="n">
        <v>0.3071872615869073</v>
      </c>
      <c r="P554" t="n">
        <v>100.1648929941205</v>
      </c>
      <c r="Q554" t="n">
        <v>99.50058780039872</v>
      </c>
    </row>
    <row r="555">
      <c r="A555" s="118" t="n">
        <v>45236</v>
      </c>
      <c r="B555" s="119" t="n">
        <v>100.8205323651887</v>
      </c>
      <c r="C555" s="119" t="n">
        <v>101.4237960126275</v>
      </c>
      <c r="D555" s="119" t="n">
        <v>100.2644016117407</v>
      </c>
      <c r="E555" s="119" t="n">
        <v>101.0938873291016</v>
      </c>
      <c r="F555" s="120" t="n">
        <v>5231900</v>
      </c>
      <c r="G555" s="121" t="n">
        <v>0.001774537831631395</v>
      </c>
      <c r="H555" s="122" t="n">
        <v>64.65655205796476</v>
      </c>
      <c r="I555" s="119" t="n">
        <v>92.87810440063477</v>
      </c>
      <c r="J555" s="119" t="n">
        <v>104.8215930557251</v>
      </c>
      <c r="K555" s="121" t="n">
        <v>0.2991252542383159</v>
      </c>
      <c r="L555" s="121" t="n">
        <v>-0.0002813425100230971</v>
      </c>
      <c r="M555" s="121" t="n">
        <v>-0.1639244268604915</v>
      </c>
      <c r="N555" t="n">
        <v>64.4390753582631</v>
      </c>
      <c r="O555" t="n">
        <v>0.4284882260770613</v>
      </c>
      <c r="P555" t="n">
        <v>100.3953067686136</v>
      </c>
      <c r="Q555" t="n">
        <v>99.90648553756016</v>
      </c>
    </row>
    <row r="556">
      <c r="A556" s="118" t="n">
        <v>45237</v>
      </c>
      <c r="B556" s="119" t="n">
        <v>101.1598732775916</v>
      </c>
      <c r="C556" s="119" t="n">
        <v>103.0827789306641</v>
      </c>
      <c r="D556" s="119" t="n">
        <v>101.0750426946401</v>
      </c>
      <c r="E556" s="119" t="n">
        <v>103.0827789306641</v>
      </c>
      <c r="F556" s="120" t="n">
        <v>7745800</v>
      </c>
      <c r="G556" s="121" t="n">
        <v>0.01967370781863242</v>
      </c>
      <c r="H556" s="122" t="n">
        <v>65.92858617171335</v>
      </c>
      <c r="I556" s="119" t="n">
        <v>93.06781326293945</v>
      </c>
      <c r="J556" s="119" t="n">
        <v>104.7380819702149</v>
      </c>
      <c r="K556" s="121" t="n">
        <v>0.3034116316269858</v>
      </c>
      <c r="L556" s="121" t="n">
        <v>0</v>
      </c>
      <c r="M556" s="121" t="n">
        <v>-0.147475720320249</v>
      </c>
      <c r="N556" t="n">
        <v>67.77015410387887</v>
      </c>
      <c r="O556" t="n">
        <v>0.596352090267962</v>
      </c>
      <c r="P556" t="n">
        <v>100.6810437064626</v>
      </c>
      <c r="Q556" t="n">
        <v>100.8508591148332</v>
      </c>
    </row>
    <row r="557">
      <c r="A557" s="118" t="n">
        <v>45238</v>
      </c>
      <c r="B557" s="119" t="n">
        <v>103.0922122517226</v>
      </c>
      <c r="C557" s="119" t="n">
        <v>104.345865365811</v>
      </c>
      <c r="D557" s="119" t="n">
        <v>102.6491888962641</v>
      </c>
      <c r="E557" s="119" t="n">
        <v>103.1110610961914</v>
      </c>
      <c r="F557" s="120" t="n">
        <v>8639700</v>
      </c>
      <c r="G557" s="121" t="n">
        <v>0.0002743636310615916</v>
      </c>
      <c r="H557" s="122" t="n">
        <v>65.94667457800618</v>
      </c>
      <c r="I557" s="119" t="n">
        <v>93.21787887573242</v>
      </c>
      <c r="J557" s="119" t="n">
        <v>104.6615283584595</v>
      </c>
      <c r="K557" s="121" t="n">
        <v>0.3035003057298842</v>
      </c>
      <c r="L557" s="121" t="n">
        <v>0</v>
      </c>
      <c r="M557" s="121" t="n">
        <v>-0.1472418186633079</v>
      </c>
      <c r="N557" t="n">
        <v>67.81632132849312</v>
      </c>
      <c r="O557" t="n">
        <v>0.6581202558652808</v>
      </c>
      <c r="P557" t="n">
        <v>100.7547764052453</v>
      </c>
      <c r="Q557" t="n">
        <v>100.9158141631207</v>
      </c>
    </row>
    <row r="558">
      <c r="A558" s="118" t="n">
        <v>45239</v>
      </c>
      <c r="B558" s="119" t="n">
        <v>103.5163787703234</v>
      </c>
      <c r="C558" s="119" t="n">
        <v>103.5917885305565</v>
      </c>
      <c r="D558" s="119" t="n">
        <v>100.7828360893764</v>
      </c>
      <c r="E558" s="119" t="n">
        <v>100.8582458496094</v>
      </c>
      <c r="F558" s="120" t="n">
        <v>9154200</v>
      </c>
      <c r="G558" s="121" t="n">
        <v>-0.02184843432539596</v>
      </c>
      <c r="H558" s="122" t="n">
        <v>64.50584298951036</v>
      </c>
      <c r="I558" s="119" t="n">
        <v>93.31668807983398</v>
      </c>
      <c r="J558" s="119" t="n">
        <v>104.5737573242187</v>
      </c>
      <c r="K558" s="121" t="n">
        <v>0.3184366095567792</v>
      </c>
      <c r="L558" s="121" t="n">
        <v>-0.02184843432539596</v>
      </c>
      <c r="M558" s="121" t="n">
        <v>-0.1658732497836867</v>
      </c>
      <c r="N558" t="n">
        <v>60.39510822864531</v>
      </c>
      <c r="O558" t="n">
        <v>0.5030774067232153</v>
      </c>
      <c r="P558" t="n">
        <v>99.96900709978154</v>
      </c>
      <c r="Q558" t="n">
        <v>100.1391977791453</v>
      </c>
    </row>
    <row r="559">
      <c r="A559" s="118" t="n">
        <v>45240</v>
      </c>
      <c r="B559" s="119" t="n">
        <v>101.1787273953372</v>
      </c>
      <c r="C559" s="119" t="n">
        <v>101.6406067870507</v>
      </c>
      <c r="D559" s="119" t="n">
        <v>99.54803266752324</v>
      </c>
      <c r="E559" s="119" t="n">
        <v>100.0193328857422</v>
      </c>
      <c r="F559" s="120" t="n">
        <v>8897700</v>
      </c>
      <c r="G559" s="121" t="n">
        <v>-0.008317742954979557</v>
      </c>
      <c r="H559" s="122" t="n">
        <v>63.96929996842934</v>
      </c>
      <c r="I559" s="119" t="n">
        <v>93.40604644775391</v>
      </c>
      <c r="J559" s="119" t="n">
        <v>104.4784771347046</v>
      </c>
      <c r="K559" s="121" t="n">
        <v>0.3211780914346186</v>
      </c>
      <c r="L559" s="121" t="n">
        <v>-0.0299844476196881</v>
      </c>
      <c r="M559" s="121" t="n">
        <v>-0.1728113016838585</v>
      </c>
      <c r="N559" t="n">
        <v>57.8560902905423</v>
      </c>
      <c r="O559" t="n">
        <v>0.3093545415953547</v>
      </c>
      <c r="P559" t="n">
        <v>101.5290170210009</v>
      </c>
      <c r="Q559" t="n">
        <v>102.3905504919373</v>
      </c>
    </row>
    <row r="560">
      <c r="A560" s="118" t="n">
        <v>45243</v>
      </c>
      <c r="B560" s="119" t="n">
        <v>99.32181932574233</v>
      </c>
      <c r="C560" s="119" t="n">
        <v>99.65172806926344</v>
      </c>
      <c r="D560" s="119" t="n">
        <v>98.20012240629931</v>
      </c>
      <c r="E560" s="119" t="n">
        <v>98.21897125244141</v>
      </c>
      <c r="F560" s="120" t="n">
        <v>7055600</v>
      </c>
      <c r="G560" s="121" t="n">
        <v>-0.01800013638720666</v>
      </c>
      <c r="H560" s="122" t="n">
        <v>62.81784384440348</v>
      </c>
      <c r="I560" s="119" t="n">
        <v>93.4407341003418</v>
      </c>
      <c r="J560" s="119" t="n">
        <v>104.3741951370239</v>
      </c>
      <c r="K560" s="121" t="n">
        <v>0.3220955383222122</v>
      </c>
      <c r="L560" s="121" t="n">
        <v>-0.04744485986024527</v>
      </c>
      <c r="M560" s="121" t="n">
        <v>-0.1877008110715049</v>
      </c>
      <c r="N560" t="n">
        <v>52.73254839077171</v>
      </c>
      <c r="O560" t="n">
        <v>0.03948057496573965</v>
      </c>
      <c r="P560" t="n">
        <v>101.4322414900448</v>
      </c>
      <c r="Q560" t="n">
        <v>102.0712371126068</v>
      </c>
    </row>
    <row r="561">
      <c r="A561" s="118" t="n">
        <v>45244</v>
      </c>
      <c r="B561" s="119" t="n">
        <v>99.50088868214887</v>
      </c>
      <c r="C561" s="119" t="n">
        <v>100.9524940554934</v>
      </c>
      <c r="D561" s="119" t="n">
        <v>99.33122033483666</v>
      </c>
      <c r="E561" s="119" t="n">
        <v>99.67998504638672</v>
      </c>
      <c r="F561" s="120" t="n">
        <v>9674800</v>
      </c>
      <c r="G561" s="121" t="n">
        <v>0.01487506716182385</v>
      </c>
      <c r="H561" s="122" t="n">
        <v>63.75226349054994</v>
      </c>
      <c r="I561" s="119" t="n">
        <v>93.54310012817383</v>
      </c>
      <c r="J561" s="119" t="n">
        <v>104.2826336669922</v>
      </c>
      <c r="K561" s="121" t="n">
        <v>0.3244775165805189</v>
      </c>
      <c r="L561" s="121" t="n">
        <v>-0.03327553817532591</v>
      </c>
      <c r="M561" s="121" t="n">
        <v>-0.1756178060806985</v>
      </c>
      <c r="N561" t="n">
        <v>56.12792995884404</v>
      </c>
      <c r="O561" t="n">
        <v>-0.05593281113412774</v>
      </c>
      <c r="P561" t="n">
        <v>103.4000979029421</v>
      </c>
      <c r="Q561" t="n">
        <v>104.2684746017544</v>
      </c>
    </row>
    <row r="562">
      <c r="A562" s="118" t="n">
        <v>45245</v>
      </c>
      <c r="B562" s="119" t="n">
        <v>100.6885869221162</v>
      </c>
      <c r="C562" s="119" t="n">
        <v>102.8000100662452</v>
      </c>
      <c r="D562" s="119" t="n">
        <v>100.5943283087256</v>
      </c>
      <c r="E562" s="119" t="n">
        <v>101.6311874389648</v>
      </c>
      <c r="F562" s="120" t="n">
        <v>11140800</v>
      </c>
      <c r="G562" s="121" t="n">
        <v>0.01957466578340794</v>
      </c>
      <c r="H562" s="122" t="n">
        <v>65.00019274131323</v>
      </c>
      <c r="I562" s="119" t="n">
        <v>93.68712951660156</v>
      </c>
      <c r="J562" s="119" t="n">
        <v>104.1963463592529</v>
      </c>
      <c r="K562" s="121" t="n">
        <v>0.3302397043552559</v>
      </c>
      <c r="L562" s="121" t="n">
        <v>-0.01435222993046281</v>
      </c>
      <c r="M562" s="121" t="n">
        <v>-0.1594808001569356</v>
      </c>
      <c r="N562" t="n">
        <v>60.23609697517055</v>
      </c>
      <c r="O562" t="n">
        <v>-0.005585784473124189</v>
      </c>
      <c r="P562" t="n">
        <v>103.6190048085908</v>
      </c>
      <c r="Q562" t="n">
        <v>104.3469458710174</v>
      </c>
    </row>
    <row r="563">
      <c r="A563" s="118" t="n">
        <v>45246</v>
      </c>
      <c r="B563" s="119" t="n">
        <v>100.9524993313099</v>
      </c>
      <c r="C563" s="119" t="n">
        <v>101.8008411122056</v>
      </c>
      <c r="D563" s="119" t="n">
        <v>100.8582407315371</v>
      </c>
      <c r="E563" s="119" t="n">
        <v>101.4332275390625</v>
      </c>
      <c r="F563" s="120" t="n">
        <v>5386800</v>
      </c>
      <c r="G563" s="121" t="n">
        <v>-0.001947826301067601</v>
      </c>
      <c r="H563" s="122" t="n">
        <v>64.87358365631724</v>
      </c>
      <c r="I563" s="119" t="n">
        <v>93.86961685180664</v>
      </c>
      <c r="J563" s="119" t="n">
        <v>104.0989386367798</v>
      </c>
      <c r="K563" s="121" t="n">
        <v>0.3288964204279889</v>
      </c>
      <c r="L563" s="121" t="n">
        <v>-0.01627210058059292</v>
      </c>
      <c r="M563" s="121" t="n">
        <v>-0.1611179855609421</v>
      </c>
      <c r="N563" t="n">
        <v>59.62606068437665</v>
      </c>
      <c r="O563" t="n">
        <v>-0.003660014812576939</v>
      </c>
      <c r="P563" t="n">
        <v>103.7457476591666</v>
      </c>
      <c r="Q563" t="n">
        <v>104.4362569649235</v>
      </c>
    </row>
    <row r="564">
      <c r="A564" s="118" t="n">
        <v>45247</v>
      </c>
      <c r="B564" s="119" t="n">
        <v>101.8573967145549</v>
      </c>
      <c r="C564" s="119" t="n">
        <v>101.99878821256</v>
      </c>
      <c r="D564" s="119" t="n">
        <v>99.46319084047168</v>
      </c>
      <c r="E564" s="119" t="n">
        <v>99.87793731689453</v>
      </c>
      <c r="F564" s="120" t="n">
        <v>6352600</v>
      </c>
      <c r="G564" s="121" t="n">
        <v>-0.01533314338803837</v>
      </c>
      <c r="H564" s="122" t="n">
        <v>63.87886769601901</v>
      </c>
      <c r="I564" s="119" t="n">
        <v>94.02589981079102</v>
      </c>
      <c r="J564" s="119" t="n">
        <v>103.9958086013794</v>
      </c>
      <c r="K564" s="121" t="n">
        <v>0.3342947394162916</v>
      </c>
      <c r="L564" s="121" t="n">
        <v>-0.03135574151720455</v>
      </c>
      <c r="M564" s="121" t="n">
        <v>-0.1739806837739827</v>
      </c>
      <c r="N564" t="n">
        <v>54.92009229247744</v>
      </c>
      <c r="O564" t="n">
        <v>-0.1187980112738241</v>
      </c>
      <c r="P564" t="n">
        <v>103.8747817004415</v>
      </c>
      <c r="Q564" t="n">
        <v>104.460613010542</v>
      </c>
    </row>
    <row r="565">
      <c r="A565" s="118" t="n">
        <v>45250</v>
      </c>
      <c r="B565" s="119" t="n">
        <v>99.9156456766226</v>
      </c>
      <c r="C565" s="119" t="n">
        <v>100.4340787902122</v>
      </c>
      <c r="D565" s="119" t="n">
        <v>99.06730385050811</v>
      </c>
      <c r="E565" s="119" t="n">
        <v>100.2172775268555</v>
      </c>
      <c r="F565" s="120" t="n">
        <v>6197400</v>
      </c>
      <c r="G565" s="121" t="n">
        <v>0.003397549239370745</v>
      </c>
      <c r="H565" s="122" t="n">
        <v>64.09589929437148</v>
      </c>
      <c r="I565" s="119" t="n">
        <v>94.20555923461914</v>
      </c>
      <c r="J565" s="119" t="n">
        <v>103.9011445999145</v>
      </c>
      <c r="K565" s="121" t="n">
        <v>0.3343384582447161</v>
      </c>
      <c r="L565" s="121" t="n">
        <v>-0.0280647249535757</v>
      </c>
      <c r="M565" s="121" t="n">
        <v>-0.1711742424744335</v>
      </c>
      <c r="N565" t="n">
        <v>55.74086772587304</v>
      </c>
      <c r="O565" t="n">
        <v>-0.1800919317328065</v>
      </c>
      <c r="P565" t="n">
        <v>104.6743708863124</v>
      </c>
      <c r="Q565" t="n">
        <v>105.7324130557136</v>
      </c>
    </row>
    <row r="566">
      <c r="A566" s="118" t="n">
        <v>45251</v>
      </c>
      <c r="B566" s="119" t="n">
        <v>100.0758892534035</v>
      </c>
      <c r="C566" s="119" t="n">
        <v>100.5754663472728</v>
      </c>
      <c r="D566" s="119" t="n">
        <v>99.30295716277209</v>
      </c>
      <c r="E566" s="119" t="n">
        <v>100.43408203125</v>
      </c>
      <c r="F566" s="120" t="n">
        <v>5803500</v>
      </c>
      <c r="G566" s="121" t="n">
        <v>0.002163344582339466</v>
      </c>
      <c r="H566" s="122" t="n">
        <v>64.23456081086015</v>
      </c>
      <c r="I566" s="119" t="n">
        <v>94.39879257202148</v>
      </c>
      <c r="J566" s="119" t="n">
        <v>103.8163414764404</v>
      </c>
      <c r="K566" s="121" t="n">
        <v>0.3248902860117612</v>
      </c>
      <c r="L566" s="121" t="n">
        <v>-0.02596209404191918</v>
      </c>
      <c r="M566" s="121" t="n">
        <v>-0.1693812067621872</v>
      </c>
      <c r="N566" t="n">
        <v>56.28845724328387</v>
      </c>
      <c r="O566" t="n">
        <v>-0.2118337764150193</v>
      </c>
      <c r="P566" t="n">
        <v>104.4462410288972</v>
      </c>
      <c r="Q566" t="n">
        <v>105.1181507326284</v>
      </c>
    </row>
    <row r="567">
      <c r="A567" s="118" t="n">
        <v>45252</v>
      </c>
      <c r="B567" s="119" t="n">
        <v>101.3295353082192</v>
      </c>
      <c r="C567" s="119" t="n">
        <v>101.8291123316618</v>
      </c>
      <c r="D567" s="119" t="n">
        <v>100.6885667972154</v>
      </c>
      <c r="E567" s="119" t="n">
        <v>101.7254257202148</v>
      </c>
      <c r="F567" s="120" t="n">
        <v>6280300</v>
      </c>
      <c r="G567" s="121" t="n">
        <v>0.01285762425311998</v>
      </c>
      <c r="H567" s="122" t="n">
        <v>65.06046465783037</v>
      </c>
      <c r="I567" s="119" t="n">
        <v>94.62105758666992</v>
      </c>
      <c r="J567" s="119" t="n">
        <v>103.7398624038696</v>
      </c>
      <c r="K567" s="121" t="n">
        <v>0.321476613017537</v>
      </c>
      <c r="L567" s="121" t="n">
        <v>-0.01343828063881447</v>
      </c>
      <c r="M567" s="121" t="n">
        <v>-0.1587014224211554</v>
      </c>
      <c r="N567" t="n">
        <v>59.50241101561877</v>
      </c>
      <c r="O567" t="n">
        <v>-0.154331600104217</v>
      </c>
      <c r="P567" t="n">
        <v>104.8494905919344</v>
      </c>
      <c r="Q567" t="n">
        <v>105.5483877354941</v>
      </c>
    </row>
    <row r="568">
      <c r="A568" s="118" t="n">
        <v>45254</v>
      </c>
      <c r="B568" s="119" t="n">
        <v>101.3295462197144</v>
      </c>
      <c r="C568" s="119" t="n">
        <v>101.8008464346898</v>
      </c>
      <c r="D568" s="119" t="n">
        <v>101.2352876150134</v>
      </c>
      <c r="E568" s="119" t="n">
        <v>101.4615097045898</v>
      </c>
      <c r="F568" s="120" t="n">
        <v>2443600</v>
      </c>
      <c r="G568" s="121" t="n">
        <v>-0.002594395784106807</v>
      </c>
      <c r="H568" s="122" t="n">
        <v>64.89167206261006</v>
      </c>
      <c r="I568" s="119" t="n">
        <v>94.81806091308594</v>
      </c>
      <c r="J568" s="119" t="n">
        <v>103.6733615493774</v>
      </c>
      <c r="K568" s="121" t="n">
        <v>0.2925137820976746</v>
      </c>
      <c r="L568" s="121" t="n">
        <v>-0.01599781220428631</v>
      </c>
      <c r="M568" s="121" t="n">
        <v>-0.160884083904001</v>
      </c>
      <c r="N568" t="n">
        <v>58.55483332971048</v>
      </c>
      <c r="O568" t="n">
        <v>-0.1428086475210102</v>
      </c>
      <c r="P568" t="n">
        <v>104.9140148861931</v>
      </c>
      <c r="Q568" t="n">
        <v>105.3995834554078</v>
      </c>
    </row>
    <row r="569">
      <c r="A569" s="118" t="n">
        <v>45257</v>
      </c>
      <c r="B569" s="119" t="n">
        <v>101.4803544054703</v>
      </c>
      <c r="C569" s="119" t="n">
        <v>102.008208286013</v>
      </c>
      <c r="D569" s="119" t="n">
        <v>100.7639761451124</v>
      </c>
      <c r="E569" s="119" t="n">
        <v>101.7631301879883</v>
      </c>
      <c r="F569" s="120" t="n">
        <v>5785000</v>
      </c>
      <c r="G569" s="121" t="n">
        <v>0.002972757691824368</v>
      </c>
      <c r="H569" s="122" t="n">
        <v>65.08457927986953</v>
      </c>
      <c r="I569" s="119" t="n">
        <v>95.03862899780273</v>
      </c>
      <c r="J569" s="119" t="n">
        <v>103.6117769241333</v>
      </c>
      <c r="K569" s="121" t="n">
        <v>0.2782501970060263</v>
      </c>
      <c r="L569" s="121" t="n">
        <v>-0.01307261213174449</v>
      </c>
      <c r="M569" s="121" t="n">
        <v>-0.1583895956100944</v>
      </c>
      <c r="N569" t="n">
        <v>59.35155020894606</v>
      </c>
      <c r="O569" t="n">
        <v>-0.1242919258536423</v>
      </c>
      <c r="P569" t="n">
        <v>104.7250607529214</v>
      </c>
      <c r="Q569" t="n">
        <v>105.3075875752123</v>
      </c>
    </row>
    <row r="570">
      <c r="A570" s="118" t="n">
        <v>45258</v>
      </c>
      <c r="B570" s="119" t="n">
        <v>102.3381288753598</v>
      </c>
      <c r="C570" s="119" t="n">
        <v>103.5917891790673</v>
      </c>
      <c r="D570" s="119" t="n">
        <v>101.9422384188639</v>
      </c>
      <c r="E570" s="119" t="n">
        <v>102.5077972412109</v>
      </c>
      <c r="F570" s="120" t="n">
        <v>7287400</v>
      </c>
      <c r="G570" s="121" t="n">
        <v>0.007317650821540456</v>
      </c>
      <c r="H570" s="122" t="n">
        <v>65.56084550490647</v>
      </c>
      <c r="I570" s="119" t="n">
        <v>95.28822982788085</v>
      </c>
      <c r="J570" s="119" t="n">
        <v>103.5536822128296</v>
      </c>
      <c r="K570" s="121" t="n">
        <v>0.2480190521709112</v>
      </c>
      <c r="L570" s="121" t="n">
        <v>-0.005850622121109872</v>
      </c>
      <c r="M570" s="121" t="n">
        <v>-0.1522309845429936</v>
      </c>
      <c r="N570" t="n">
        <v>61.32811675638513</v>
      </c>
      <c r="O570" t="n">
        <v>-0.07380483887407263</v>
      </c>
      <c r="P570" t="n">
        <v>104.8287389504599</v>
      </c>
      <c r="Q570" t="n">
        <v>105.5835836057558</v>
      </c>
    </row>
    <row r="571">
      <c r="A571" s="118" t="n">
        <v>45259</v>
      </c>
      <c r="B571" s="119" t="n">
        <v>104.4401160849932</v>
      </c>
      <c r="C571" s="119" t="n">
        <v>105.7126250513143</v>
      </c>
      <c r="D571" s="119" t="n">
        <v>103.8274244518846</v>
      </c>
      <c r="E571" s="119" t="n">
        <v>104.034797668457</v>
      </c>
      <c r="F571" s="120" t="n">
        <v>9601800</v>
      </c>
      <c r="G571" s="121" t="n">
        <v>0.01489643196266233</v>
      </c>
      <c r="H571" s="122" t="n">
        <v>66.53746817938493</v>
      </c>
      <c r="I571" s="119" t="n">
        <v>95.58514862060547</v>
      </c>
      <c r="J571" s="119" t="n">
        <v>103.4895904159546</v>
      </c>
      <c r="K571" s="121" t="n">
        <v>0.2504914322124278</v>
      </c>
      <c r="L571" s="121" t="n">
        <v>0</v>
      </c>
      <c r="M571" s="121" t="n">
        <v>-0.139602251084185</v>
      </c>
      <c r="N571" t="n">
        <v>65.07808201124411</v>
      </c>
      <c r="O571" t="n">
        <v>0.04416894160260276</v>
      </c>
      <c r="P571" t="n">
        <v>104.7550062516773</v>
      </c>
      <c r="Q571" t="n">
        <v>105.4807562908743</v>
      </c>
    </row>
    <row r="572">
      <c r="A572" s="118" t="n">
        <v>45260</v>
      </c>
      <c r="B572" s="119" t="n">
        <v>104.1856298962066</v>
      </c>
      <c r="C572" s="119" t="n">
        <v>104.251611642143</v>
      </c>
      <c r="D572" s="119" t="n">
        <v>102.7057474303728</v>
      </c>
      <c r="E572" s="119" t="n">
        <v>103.9405517578125</v>
      </c>
      <c r="F572" s="120" t="n">
        <v>8690900</v>
      </c>
      <c r="G572" s="121" t="n">
        <v>-0.0009059075689740181</v>
      </c>
      <c r="H572" s="122" t="n">
        <v>66.47719138334087</v>
      </c>
      <c r="I572" s="119" t="n">
        <v>95.89111694335938</v>
      </c>
      <c r="J572" s="119" t="n">
        <v>103.4201253890991</v>
      </c>
      <c r="K572" s="121" t="n">
        <v>0.237395159893832</v>
      </c>
      <c r="L572" s="121" t="n">
        <v>-0.0009059075689739071</v>
      </c>
      <c r="M572" s="121" t="n">
        <v>-0.140381691917256</v>
      </c>
      <c r="N572" t="n">
        <v>64.66132342991573</v>
      </c>
      <c r="O572" t="n">
        <v>0.09469286990423287</v>
      </c>
      <c r="P572" t="n">
        <v>105.1674860401022</v>
      </c>
      <c r="Q572" t="n">
        <v>105.2155581351883</v>
      </c>
    </row>
    <row r="573">
      <c r="A573" s="118" t="n">
        <v>45261</v>
      </c>
      <c r="B573" s="119" t="n">
        <v>104.3472196288918</v>
      </c>
      <c r="C573" s="119" t="n">
        <v>107.3926122601411</v>
      </c>
      <c r="D573" s="119" t="n">
        <v>103.7986691218149</v>
      </c>
      <c r="E573" s="119" t="n">
        <v>107.3264083862305</v>
      </c>
      <c r="F573" s="120" t="n">
        <v>8051800</v>
      </c>
      <c r="G573" s="121" t="n">
        <v>0.03257493414415591</v>
      </c>
      <c r="H573" s="122" t="n">
        <v>68.64268151474164</v>
      </c>
      <c r="I573" s="119" t="n">
        <v>96.31098983764649</v>
      </c>
      <c r="J573" s="119" t="n">
        <v>103.3616138839722</v>
      </c>
      <c r="K573" s="121" t="n">
        <v>0.2201892042821713</v>
      </c>
      <c r="L573" s="121" t="n">
        <v>0</v>
      </c>
      <c r="M573" s="121" t="n">
        <v>-0.1123796821423498</v>
      </c>
      <c r="N573" t="n">
        <v>71.67842729440324</v>
      </c>
      <c r="O573" t="n">
        <v>0.3221681794588991</v>
      </c>
      <c r="P573" t="n">
        <v>105.7896352351669</v>
      </c>
      <c r="Q573" t="n">
        <v>105.5159102113503</v>
      </c>
    </row>
    <row r="574">
      <c r="A574" s="118" t="n">
        <v>45264</v>
      </c>
      <c r="B574" s="119" t="n">
        <v>106.9481093086766</v>
      </c>
      <c r="C574" s="119" t="n">
        <v>109.0666407245457</v>
      </c>
      <c r="D574" s="119" t="n">
        <v>106.8724456684751</v>
      </c>
      <c r="E574" s="119" t="n">
        <v>108.9058609008789</v>
      </c>
      <c r="F574" s="120" t="n">
        <v>10086600</v>
      </c>
      <c r="G574" s="121" t="n">
        <v>0.01471634557046331</v>
      </c>
      <c r="H574" s="122" t="n">
        <v>69.65285093679584</v>
      </c>
      <c r="I574" s="119" t="n">
        <v>96.77640213012695</v>
      </c>
      <c r="J574" s="119" t="n">
        <v>103.3254721450806</v>
      </c>
      <c r="K574" s="121" t="n">
        <v>0.2169916949567728</v>
      </c>
      <c r="L574" s="121" t="n">
        <v>0</v>
      </c>
      <c r="M574" s="121" t="n">
        <v>-0.09931715480939218</v>
      </c>
      <c r="N574" t="n">
        <v>74.24735647863054</v>
      </c>
      <c r="O574" t="n">
        <v>0.5326137781527678</v>
      </c>
      <c r="P574" t="n">
        <v>105.2343087986813</v>
      </c>
      <c r="Q574" t="n">
        <v>104.5363743236441</v>
      </c>
    </row>
    <row r="575">
      <c r="A575" s="118" t="n">
        <v>45265</v>
      </c>
      <c r="B575" s="119" t="n">
        <v>108.4424335257603</v>
      </c>
      <c r="C575" s="119" t="n">
        <v>109.7475988461846</v>
      </c>
      <c r="D575" s="119" t="n">
        <v>108.3856821878762</v>
      </c>
      <c r="E575" s="119" t="n">
        <v>109.1517639160156</v>
      </c>
      <c r="F575" s="120" t="n">
        <v>6960000</v>
      </c>
      <c r="G575" s="121" t="n">
        <v>0.002257941061230229</v>
      </c>
      <c r="H575" s="122" t="n">
        <v>69.81012296895777</v>
      </c>
      <c r="I575" s="119" t="n">
        <v>97.25144577026367</v>
      </c>
      <c r="J575" s="119" t="n">
        <v>103.288412437439</v>
      </c>
      <c r="K575" s="121" t="n">
        <v>0.2169354917882912</v>
      </c>
      <c r="L575" s="121" t="n">
        <v>0</v>
      </c>
      <c r="M575" s="121" t="n">
        <v>-0.09728346603009075</v>
      </c>
      <c r="N575" t="n">
        <v>74.63313979794518</v>
      </c>
      <c r="O575" t="n">
        <v>0.6350356297898676</v>
      </c>
      <c r="P575" t="n">
        <v>105.2135644308281</v>
      </c>
      <c r="Q575" t="n">
        <v>104.7988457432551</v>
      </c>
    </row>
    <row r="576">
      <c r="A576" s="118" t="n">
        <v>45266</v>
      </c>
      <c r="B576" s="119" t="n">
        <v>109.709768923507</v>
      </c>
      <c r="C576" s="119" t="n">
        <v>110.7879505580869</v>
      </c>
      <c r="D576" s="119" t="n">
        <v>109.3030858707667</v>
      </c>
      <c r="E576" s="119" t="n">
        <v>109.8138046264648</v>
      </c>
      <c r="F576" s="120" t="n">
        <v>6317000</v>
      </c>
      <c r="G576" s="121" t="n">
        <v>0.00606532305752383</v>
      </c>
      <c r="H576" s="122" t="n">
        <v>70.23354391744996</v>
      </c>
      <c r="I576" s="119" t="n">
        <v>97.74783599853515</v>
      </c>
      <c r="J576" s="119" t="n">
        <v>103.2721231460571</v>
      </c>
      <c r="K576" s="121" t="n">
        <v>0.2090724662323678</v>
      </c>
      <c r="L576" s="121" t="n">
        <v>0</v>
      </c>
      <c r="M576" s="121" t="n">
        <v>-0.09180819862219491</v>
      </c>
      <c r="N576" t="n">
        <v>75.68905489083778</v>
      </c>
      <c r="O576" t="n">
        <v>0.6894907277191344</v>
      </c>
      <c r="P576" t="n">
        <v>104.7895632263164</v>
      </c>
      <c r="Q576" t="n">
        <v>104.1927132886523</v>
      </c>
    </row>
    <row r="577">
      <c r="A577" s="118" t="n">
        <v>45267</v>
      </c>
      <c r="B577" s="119" t="n">
        <v>107.9317105241352</v>
      </c>
      <c r="C577" s="119" t="n">
        <v>109.7097627013041</v>
      </c>
      <c r="D577" s="119" t="n">
        <v>107.9317105241352</v>
      </c>
      <c r="E577" s="119" t="n">
        <v>108.5842895507812</v>
      </c>
      <c r="F577" s="120" t="n">
        <v>7294500</v>
      </c>
      <c r="G577" s="121" t="n">
        <v>-0.01119636169483273</v>
      </c>
      <c r="H577" s="122" t="n">
        <v>69.44718375664029</v>
      </c>
      <c r="I577" s="119" t="n">
        <v>98.23377517700196</v>
      </c>
      <c r="J577" s="119" t="n">
        <v>103.2552884292602</v>
      </c>
      <c r="K577" s="121" t="n">
        <v>0.2151151634071229</v>
      </c>
      <c r="L577" s="121" t="n">
        <v>-0.01119636169483262</v>
      </c>
      <c r="M577" s="121" t="n">
        <v>-0.1019766425187025</v>
      </c>
      <c r="N577" t="n">
        <v>69.87204772468856</v>
      </c>
      <c r="O577" t="n">
        <v>0.5887404073886744</v>
      </c>
      <c r="P577" t="n">
        <v>105.5891669594297</v>
      </c>
      <c r="Q577" t="n">
        <v>105.648521874129</v>
      </c>
    </row>
    <row r="578">
      <c r="A578" s="118" t="n">
        <v>45268</v>
      </c>
      <c r="B578" s="119" t="n">
        <v>108.2911044724798</v>
      </c>
      <c r="C578" s="119" t="n">
        <v>109.9840405087174</v>
      </c>
      <c r="D578" s="119" t="n">
        <v>108.2627324118433</v>
      </c>
      <c r="E578" s="119" t="n">
        <v>109.6246490478516</v>
      </c>
      <c r="F578" s="120" t="n">
        <v>6122200</v>
      </c>
      <c r="G578" s="121" t="n">
        <v>0.009581123580347795</v>
      </c>
      <c r="H578" s="122" t="n">
        <v>70.11256580651978</v>
      </c>
      <c r="I578" s="119" t="n">
        <v>98.73656265258789</v>
      </c>
      <c r="J578" s="119" t="n">
        <v>103.2433755111694</v>
      </c>
      <c r="K578" s="121" t="n">
        <v>0.1956387401264724</v>
      </c>
      <c r="L578" s="121" t="n">
        <v>-0.001722511839533203</v>
      </c>
      <c r="M578" s="121" t="n">
        <v>-0.0933725697526353</v>
      </c>
      <c r="N578" t="n">
        <v>71.84389533570702</v>
      </c>
      <c r="O578" t="n">
        <v>0.5395080699092465</v>
      </c>
      <c r="P578" t="n">
        <v>106.0431136626973</v>
      </c>
      <c r="Q578" t="n">
        <v>106.1193578796637</v>
      </c>
    </row>
    <row r="579">
      <c r="A579" s="118" t="n">
        <v>45271</v>
      </c>
      <c r="B579" s="119" t="n">
        <v>111.402703639827</v>
      </c>
      <c r="C579" s="119" t="n">
        <v>112.9443124312768</v>
      </c>
      <c r="D579" s="119" t="n">
        <v>111.0622244735698</v>
      </c>
      <c r="E579" s="119" t="n">
        <v>112.1782379150391</v>
      </c>
      <c r="F579" s="120" t="n">
        <v>7972800</v>
      </c>
      <c r="G579" s="121" t="n">
        <v>0.02329392968978028</v>
      </c>
      <c r="H579" s="122" t="n">
        <v>71.74576298478695</v>
      </c>
      <c r="I579" s="119" t="n">
        <v>99.17749847412109</v>
      </c>
      <c r="J579" s="119" t="n">
        <v>103.2531941223145</v>
      </c>
      <c r="K579" s="121" t="n">
        <v>0.2008207548252427</v>
      </c>
      <c r="L579" s="121" t="n">
        <v>0</v>
      </c>
      <c r="M579" s="121" t="n">
        <v>-0.07225365413762697</v>
      </c>
      <c r="N579" t="n">
        <v>75.99658104122929</v>
      </c>
      <c r="O579" t="n">
        <v>0.6204881616934701</v>
      </c>
      <c r="P579" t="n">
        <v>106.4555789038796</v>
      </c>
      <c r="Q579" t="n">
        <v>107.0258424104285</v>
      </c>
    </row>
    <row r="580">
      <c r="A580" s="118" t="n">
        <v>45272</v>
      </c>
      <c r="B580" s="119" t="n">
        <v>113.1902137165403</v>
      </c>
      <c r="C580" s="119" t="n">
        <v>113.483401298587</v>
      </c>
      <c r="D580" s="119" t="n">
        <v>112.1498639333171</v>
      </c>
      <c r="E580" s="119" t="n">
        <v>113.1523818969727</v>
      </c>
      <c r="F580" s="120" t="n">
        <v>7378400</v>
      </c>
      <c r="G580" s="121" t="n">
        <v>0.008683894488264121</v>
      </c>
      <c r="H580" s="122" t="n">
        <v>72.36879562052684</v>
      </c>
      <c r="I580" s="119" t="n">
        <v>99.657900390625</v>
      </c>
      <c r="J580" s="119" t="n">
        <v>103.2655958557129</v>
      </c>
      <c r="K580" s="121" t="n">
        <v>0.180094854567882</v>
      </c>
      <c r="L580" s="121" t="n">
        <v>0</v>
      </c>
      <c r="M580" s="121" t="n">
        <v>-0.06419720275828544</v>
      </c>
      <c r="N580" t="n">
        <v>77.36789917857524</v>
      </c>
      <c r="O580" t="n">
        <v>0.6766270705436206</v>
      </c>
      <c r="P580" t="n">
        <v>106.9417841174659</v>
      </c>
      <c r="Q580" t="n">
        <v>107.878211717549</v>
      </c>
    </row>
    <row r="581">
      <c r="A581" s="118" t="n">
        <v>45273</v>
      </c>
      <c r="B581" s="119" t="n">
        <v>112.8781029623936</v>
      </c>
      <c r="C581" s="119" t="n">
        <v>114.8547739806356</v>
      </c>
      <c r="D581" s="119" t="n">
        <v>112.7362354475285</v>
      </c>
      <c r="E581" s="119" t="n">
        <v>114.5994110107422</v>
      </c>
      <c r="F581" s="120" t="n">
        <v>8182900</v>
      </c>
      <c r="G581" s="121" t="n">
        <v>0.01278832216795123</v>
      </c>
      <c r="H581" s="122" t="n">
        <v>73.29427109382875</v>
      </c>
      <c r="I581" s="119" t="n">
        <v>100.1572509765625</v>
      </c>
      <c r="J581" s="119" t="n">
        <v>103.2840188217163</v>
      </c>
      <c r="K581" s="121" t="n">
        <v>0.1790589490380257</v>
      </c>
      <c r="L581" s="121" t="n">
        <v>0</v>
      </c>
      <c r="M581" s="121" t="n">
        <v>-0.05222985510148848</v>
      </c>
      <c r="N581" t="n">
        <v>79.26307006262638</v>
      </c>
      <c r="O581" t="n">
        <v>0.7428893672238162</v>
      </c>
      <c r="P581" t="n">
        <v>108.4165253765733</v>
      </c>
      <c r="Q581" t="n">
        <v>109.2501291214412</v>
      </c>
    </row>
    <row r="582">
      <c r="A582" s="118" t="n">
        <v>45274</v>
      </c>
      <c r="B582" s="119" t="n">
        <v>114.8547882122017</v>
      </c>
      <c r="C582" s="119" t="n">
        <v>115.9424224576783</v>
      </c>
      <c r="D582" s="119" t="n">
        <v>113.3226318500373</v>
      </c>
      <c r="E582" s="119" t="n">
        <v>114.4575576782227</v>
      </c>
      <c r="F582" s="120" t="n">
        <v>9590500</v>
      </c>
      <c r="G582" s="121" t="n">
        <v>-0.001237819036489118</v>
      </c>
      <c r="H582" s="122" t="n">
        <v>73.20354604980322</v>
      </c>
      <c r="I582" s="119" t="n">
        <v>100.638683013916</v>
      </c>
      <c r="J582" s="119" t="n">
        <v>103.3027129745483</v>
      </c>
      <c r="K582" s="121" t="n">
        <v>0.1749567107509102</v>
      </c>
      <c r="L582" s="121" t="n">
        <v>-0.001237819036489118</v>
      </c>
      <c r="M582" s="121" t="n">
        <v>-0.05340302302905986</v>
      </c>
      <c r="N582" t="n">
        <v>78.56849545782831</v>
      </c>
      <c r="O582" t="n">
        <v>0.7089312672460144</v>
      </c>
      <c r="P582" t="n">
        <v>108.764466323497</v>
      </c>
      <c r="Q582" t="n">
        <v>109.1554316750421</v>
      </c>
    </row>
    <row r="583">
      <c r="A583" s="118" t="n">
        <v>45275</v>
      </c>
      <c r="B583" s="119" t="n">
        <v>114.3724341325829</v>
      </c>
      <c r="C583" s="119" t="n">
        <v>115.4411560056533</v>
      </c>
      <c r="D583" s="119" t="n">
        <v>114.0603270244155</v>
      </c>
      <c r="E583" s="119" t="n">
        <v>114.9588165283203</v>
      </c>
      <c r="F583" s="120" t="n">
        <v>13633300</v>
      </c>
      <c r="G583" s="121" t="n">
        <v>0.004379429897559461</v>
      </c>
      <c r="H583" s="122" t="n">
        <v>73.52413584798111</v>
      </c>
      <c r="I583" s="119" t="n">
        <v>101.1320251464844</v>
      </c>
      <c r="J583" s="119" t="n">
        <v>103.3192448806763</v>
      </c>
      <c r="K583" s="121" t="n">
        <v>0.1725612238986298</v>
      </c>
      <c r="L583" s="121" t="n">
        <v>0</v>
      </c>
      <c r="M583" s="121" t="n">
        <v>-0.04925746792717389</v>
      </c>
      <c r="N583" t="n">
        <v>79.26010620421521</v>
      </c>
      <c r="O583" t="n">
        <v>0.6533632232558366</v>
      </c>
      <c r="P583" t="n">
        <v>108.5854043151483</v>
      </c>
      <c r="Q583" t="n">
        <v>109.6830844704248</v>
      </c>
    </row>
    <row r="584">
      <c r="A584" s="118" t="n">
        <v>45278</v>
      </c>
      <c r="B584" s="119" t="n">
        <v>114.8264079050769</v>
      </c>
      <c r="C584" s="119" t="n">
        <v>115.2330837381727</v>
      </c>
      <c r="D584" s="119" t="n">
        <v>114.3062293953559</v>
      </c>
      <c r="E584" s="119" t="n">
        <v>114.571044921875</v>
      </c>
      <c r="F584" s="120" t="n">
        <v>6874800</v>
      </c>
      <c r="G584" s="121" t="n">
        <v>-0.003373134990040438</v>
      </c>
      <c r="H584" s="122" t="n">
        <v>73.2761290127398</v>
      </c>
      <c r="I584" s="119" t="n">
        <v>101.5927276611328</v>
      </c>
      <c r="J584" s="119" t="n">
        <v>103.3258787918091</v>
      </c>
      <c r="K584" s="121" t="n">
        <v>0.1571805021227359</v>
      </c>
      <c r="L584" s="121" t="n">
        <v>-0.003373134990040438</v>
      </c>
      <c r="M584" s="121" t="n">
        <v>-0.05246445082862827</v>
      </c>
      <c r="N584" t="n">
        <v>77.18499866203604</v>
      </c>
      <c r="O584" t="n">
        <v>0.5289384599537801</v>
      </c>
      <c r="P584" t="n">
        <v>109.1961921137941</v>
      </c>
      <c r="Q584" t="n">
        <v>110.3739554922846</v>
      </c>
    </row>
    <row r="585">
      <c r="A585" s="118" t="n">
        <v>45279</v>
      </c>
      <c r="B585" s="119" t="n">
        <v>115.1385100125155</v>
      </c>
      <c r="C585" s="119" t="n">
        <v>116.6517467758243</v>
      </c>
      <c r="D585" s="119" t="n">
        <v>115.043934067749</v>
      </c>
      <c r="E585" s="119" t="n">
        <v>115.9897079467773</v>
      </c>
      <c r="F585" s="120" t="n">
        <v>7697300</v>
      </c>
      <c r="G585" s="121" t="n">
        <v>0.01238238706707895</v>
      </c>
      <c r="H585" s="122" t="n">
        <v>74.18346240495276</v>
      </c>
      <c r="I585" s="119" t="n">
        <v>102.0861395263672</v>
      </c>
      <c r="J585" s="119" t="n">
        <v>103.3432110977173</v>
      </c>
      <c r="K585" s="121" t="n">
        <v>0.1577355521499202</v>
      </c>
      <c r="L585" s="121" t="n">
        <v>0</v>
      </c>
      <c r="M585" s="121" t="n">
        <v>-0.04073169889897121</v>
      </c>
      <c r="N585" t="n">
        <v>79.31833524248626</v>
      </c>
      <c r="O585" t="n">
        <v>0.4819550709262796</v>
      </c>
      <c r="P585" t="n">
        <v>109.8602009992498</v>
      </c>
      <c r="Q585" t="n">
        <v>110.9379116322734</v>
      </c>
    </row>
    <row r="586">
      <c r="A586" s="118" t="n">
        <v>45280</v>
      </c>
      <c r="B586" s="119" t="n">
        <v>114.5615789966336</v>
      </c>
      <c r="C586" s="119" t="n">
        <v>116.6990298274188</v>
      </c>
      <c r="D586" s="119" t="n">
        <v>114.4386309989908</v>
      </c>
      <c r="E586" s="119" t="n">
        <v>114.8453140258789</v>
      </c>
      <c r="F586" s="120" t="n">
        <v>9176600</v>
      </c>
      <c r="G586" s="121" t="n">
        <v>-0.00986634022238897</v>
      </c>
      <c r="H586" s="122" t="n">
        <v>73.4515431259907</v>
      </c>
      <c r="I586" s="119" t="n">
        <v>102.5427127075195</v>
      </c>
      <c r="J586" s="119" t="n">
        <v>103.3575368499756</v>
      </c>
      <c r="K586" s="121" t="n">
        <v>0.1684307685611043</v>
      </c>
      <c r="L586" s="121" t="n">
        <v>-0.00986634022238897</v>
      </c>
      <c r="M586" s="121" t="n">
        <v>-0.05019616632218704</v>
      </c>
      <c r="N586" t="n">
        <v>73.3593116469787</v>
      </c>
      <c r="O586" t="n">
        <v>0.3213066022857705</v>
      </c>
      <c r="P586" t="n">
        <v>108.3378393417079</v>
      </c>
      <c r="Q586" t="n">
        <v>109.2894109008369</v>
      </c>
    </row>
    <row r="587">
      <c r="A587" s="118" t="n">
        <v>45281</v>
      </c>
      <c r="B587" s="119" t="n">
        <v>115.6681419540781</v>
      </c>
      <c r="C587" s="119" t="n">
        <v>116.6139157812883</v>
      </c>
      <c r="D587" s="119" t="n">
        <v>114.7223681268679</v>
      </c>
      <c r="E587" s="119" t="n">
        <v>115.8856658935547</v>
      </c>
      <c r="F587" s="120" t="n">
        <v>16533300</v>
      </c>
      <c r="G587" s="121" t="n">
        <v>0.009058722826438936</v>
      </c>
      <c r="H587" s="122" t="n">
        <v>74.11692029634327</v>
      </c>
      <c r="I587" s="119" t="n">
        <v>103.0006753540039</v>
      </c>
      <c r="J587" s="119" t="n">
        <v>103.3758003234863</v>
      </c>
      <c r="K587" s="121" t="n">
        <v>0.1671474966986996</v>
      </c>
      <c r="L587" s="121" t="n">
        <v>-0.0008969938373361019</v>
      </c>
      <c r="M587" s="121" t="n">
        <v>-0.04159215665341054</v>
      </c>
      <c r="N587" t="n">
        <v>75.18452446040678</v>
      </c>
      <c r="O587" t="n">
        <v>0.2365295715095135</v>
      </c>
      <c r="P587" t="n">
        <v>109.3650855996116</v>
      </c>
      <c r="Q587" t="n">
        <v>110.5610263669511</v>
      </c>
    </row>
    <row r="588">
      <c r="A588" s="118" t="n">
        <v>45282</v>
      </c>
      <c r="B588" s="119" t="n">
        <v>102.3894755081391</v>
      </c>
      <c r="C588" s="119" t="n">
        <v>104.7917418705929</v>
      </c>
      <c r="D588" s="119" t="n">
        <v>101.6233938092618</v>
      </c>
      <c r="E588" s="119" t="n">
        <v>102.1814041137695</v>
      </c>
      <c r="F588" s="120" t="n">
        <v>46666200</v>
      </c>
      <c r="G588" s="121" t="n">
        <v>-0.1182567461999401</v>
      </c>
      <c r="H588" s="122" t="n">
        <v>65.35209446373742</v>
      </c>
      <c r="I588" s="119" t="n">
        <v>103.1732415771484</v>
      </c>
      <c r="J588" s="119" t="n">
        <v>103.3348593521118</v>
      </c>
      <c r="K588" s="121" t="n">
        <v>0.4740001921164692</v>
      </c>
      <c r="L588" s="121" t="n">
        <v>-0.1190476644647114</v>
      </c>
      <c r="M588" s="121" t="n">
        <v>-0.1549303497400801</v>
      </c>
      <c r="N588" t="n">
        <v>38.12767608749015</v>
      </c>
      <c r="O588" t="n">
        <v>-0.7377544554602151</v>
      </c>
      <c r="P588" t="n">
        <v>109.5848871606762</v>
      </c>
      <c r="Q588" t="n">
        <v>110.7264175923312</v>
      </c>
    </row>
    <row r="589">
      <c r="A589" s="118" t="n">
        <v>45286</v>
      </c>
      <c r="B589" s="119" t="n">
        <v>102.4273212401799</v>
      </c>
      <c r="C589" s="119" t="n">
        <v>102.7961725018729</v>
      </c>
      <c r="D589" s="119" t="n">
        <v>101.6517868930713</v>
      </c>
      <c r="E589" s="119" t="n">
        <v>102.1624984741211</v>
      </c>
      <c r="F589" s="120" t="n">
        <v>12846700</v>
      </c>
      <c r="G589" s="121" t="n">
        <v>-0.0001850203548523499</v>
      </c>
      <c r="H589" s="122" t="n">
        <v>65.3400029960294</v>
      </c>
      <c r="I589" s="119" t="n">
        <v>103.3329873657227</v>
      </c>
      <c r="J589" s="119" t="n">
        <v>103.2956029129028</v>
      </c>
      <c r="K589" s="121" t="n">
        <v>0.4739413265472656</v>
      </c>
      <c r="L589" s="121" t="n">
        <v>-0.11921065857844</v>
      </c>
      <c r="M589" s="121" t="n">
        <v>-0.1550867048266462</v>
      </c>
      <c r="N589" t="n">
        <v>38.09977745760268</v>
      </c>
      <c r="O589" t="n">
        <v>-1.343441707395444</v>
      </c>
      <c r="P589" t="n">
        <v>110.0475985775704</v>
      </c>
      <c r="Q589" t="n">
        <v>111.4042674006878</v>
      </c>
    </row>
    <row r="590">
      <c r="A590" s="118" t="n">
        <v>45287</v>
      </c>
      <c r="B590" s="119" t="n">
        <v>102.4651482701282</v>
      </c>
      <c r="C590" s="119" t="n">
        <v>102.7015917622217</v>
      </c>
      <c r="D590" s="119" t="n">
        <v>101.0559470776418</v>
      </c>
      <c r="E590" s="119" t="n">
        <v>101.3207626342773</v>
      </c>
      <c r="F590" s="120" t="n">
        <v>10157900</v>
      </c>
      <c r="G590" s="121" t="n">
        <v>-0.008239186124221254</v>
      </c>
      <c r="H590" s="122" t="n">
        <v>64.80165454998794</v>
      </c>
      <c r="I590" s="119" t="n">
        <v>103.4357437133789</v>
      </c>
      <c r="J590" s="119" t="n">
        <v>103.2550873947144</v>
      </c>
      <c r="K590" s="121" t="n">
        <v>0.4742549405763203</v>
      </c>
      <c r="L590" s="121" t="n">
        <v>-0.1264676458986425</v>
      </c>
      <c r="M590" s="121" t="n">
        <v>-0.1620481027244085</v>
      </c>
      <c r="N590" t="n">
        <v>36.80838447147235</v>
      </c>
      <c r="O590" t="n">
        <v>-1.735797640741693</v>
      </c>
      <c r="P590" t="n">
        <v>110.2465757609478</v>
      </c>
      <c r="Q590" t="n">
        <v>111.6310479425649</v>
      </c>
    </row>
    <row r="591">
      <c r="A591" s="118" t="n">
        <v>45288</v>
      </c>
      <c r="B591" s="119" t="n">
        <v>101.3964166376964</v>
      </c>
      <c r="C591" s="119" t="n">
        <v>103.4676637404171</v>
      </c>
      <c r="D591" s="119" t="n">
        <v>101.0181056431988</v>
      </c>
      <c r="E591" s="119" t="n">
        <v>102.9191131591797</v>
      </c>
      <c r="F591" s="120" t="n">
        <v>9352900</v>
      </c>
      <c r="G591" s="121" t="n">
        <v>0.0157751529237069</v>
      </c>
      <c r="H591" s="122" t="n">
        <v>65.82391056022323</v>
      </c>
      <c r="I591" s="119" t="n">
        <v>103.5521806335449</v>
      </c>
      <c r="J591" s="119" t="n">
        <v>103.2125444412231</v>
      </c>
      <c r="K591" s="121" t="n">
        <v>0.4746342918708519</v>
      </c>
      <c r="L591" s="121" t="n">
        <v>-0.1126875394288879</v>
      </c>
      <c r="M591" s="121" t="n">
        <v>-0.1488292834021756</v>
      </c>
      <c r="N591" t="n">
        <v>40.90449198167894</v>
      </c>
      <c r="O591" t="n">
        <v>-1.8141968448969</v>
      </c>
      <c r="P591" t="n">
        <v>110.2882390635647</v>
      </c>
      <c r="Q591" t="n">
        <v>111.576798479606</v>
      </c>
    </row>
    <row r="592">
      <c r="A592" s="118" t="n">
        <v>45289</v>
      </c>
      <c r="B592" s="119" t="n">
        <v>103.0515065182296</v>
      </c>
      <c r="C592" s="119" t="n">
        <v>103.9972802644127</v>
      </c>
      <c r="D592" s="119" t="n">
        <v>102.2286807614051</v>
      </c>
      <c r="E592" s="119" t="n">
        <v>102.6826553344727</v>
      </c>
      <c r="F592" s="120" t="n">
        <v>7667500</v>
      </c>
      <c r="G592" s="121" t="n">
        <v>-0.00229751129259459</v>
      </c>
      <c r="H592" s="122" t="n">
        <v>65.67267938238838</v>
      </c>
      <c r="I592" s="119" t="n">
        <v>103.6495610046387</v>
      </c>
      <c r="J592" s="119" t="n">
        <v>103.172705078125</v>
      </c>
      <c r="K592" s="121" t="n">
        <v>0.4746919097822258</v>
      </c>
      <c r="L592" s="121" t="n">
        <v>-0.1147261498271098</v>
      </c>
      <c r="M592" s="121" t="n">
        <v>-0.1507848577354849</v>
      </c>
      <c r="N592" t="n">
        <v>40.48638517634564</v>
      </c>
      <c r="O592" t="n">
        <v>-1.804662498558789</v>
      </c>
      <c r="P592" t="n">
        <v>109.9689270899475</v>
      </c>
      <c r="Q592" t="n">
        <v>111.093914495598</v>
      </c>
    </row>
    <row r="593">
      <c r="A593" s="118" t="n">
        <v>45293</v>
      </c>
      <c r="B593" s="119" t="n">
        <v>101.7747348702614</v>
      </c>
      <c r="C593" s="119" t="n">
        <v>102.0017185968299</v>
      </c>
      <c r="D593" s="119" t="n">
        <v>100.6776336297625</v>
      </c>
      <c r="E593" s="119" t="n">
        <v>100.772216796875</v>
      </c>
      <c r="F593" s="120" t="n">
        <v>9326600</v>
      </c>
      <c r="G593" s="121" t="n">
        <v>-0.01860527010501145</v>
      </c>
      <c r="H593" s="122" t="n">
        <v>64.45082144395923</v>
      </c>
      <c r="I593" s="119" t="n">
        <v>103.7223057556152</v>
      </c>
      <c r="J593" s="119" t="n">
        <v>103.1117026138306</v>
      </c>
      <c r="K593" s="121" t="n">
        <v>0.4624959409132083</v>
      </c>
      <c r="L593" s="121" t="n">
        <v>-0.1311969089264799</v>
      </c>
      <c r="M593" s="121" t="n">
        <v>-0.1665847348345819</v>
      </c>
      <c r="N593" t="n">
        <v>37.17974664077299</v>
      </c>
      <c r="O593" t="n">
        <v>-1.843229260009836</v>
      </c>
      <c r="P593" t="n">
        <v>109.3535059945547</v>
      </c>
      <c r="Q593" t="n">
        <v>109.2139600161495</v>
      </c>
    </row>
    <row r="594">
      <c r="A594" s="118" t="n">
        <v>45294</v>
      </c>
      <c r="B594" s="119" t="n">
        <v>99.98722359073679</v>
      </c>
      <c r="C594" s="119" t="n">
        <v>101.65178777049</v>
      </c>
      <c r="D594" s="119" t="n">
        <v>98.3604912350328</v>
      </c>
      <c r="E594" s="119" t="n">
        <v>98.39832305908203</v>
      </c>
      <c r="F594" s="120" t="n">
        <v>10573700</v>
      </c>
      <c r="G594" s="121" t="n">
        <v>-0.02355702606580534</v>
      </c>
      <c r="H594" s="122" t="n">
        <v>62.93255176324132</v>
      </c>
      <c r="I594" s="119" t="n">
        <v>103.7547366333008</v>
      </c>
      <c r="J594" s="119" t="n">
        <v>103.0400480270386</v>
      </c>
      <c r="K594" s="121" t="n">
        <v>0.4633181363892527</v>
      </c>
      <c r="L594" s="121" t="n">
        <v>-0.151663325988951</v>
      </c>
      <c r="M594" s="121" t="n">
        <v>-0.1862175199597237</v>
      </c>
      <c r="N594" t="n">
        <v>33.51662843680084</v>
      </c>
      <c r="O594" t="n">
        <v>-1.9352986664161</v>
      </c>
      <c r="P594" t="n">
        <v>108.4604507754042</v>
      </c>
      <c r="Q594" t="n">
        <v>108.0583105378202</v>
      </c>
    </row>
    <row r="595">
      <c r="A595" s="118" t="n">
        <v>45295</v>
      </c>
      <c r="B595" s="119" t="n">
        <v>96.90400563856821</v>
      </c>
      <c r="C595" s="119" t="n">
        <v>98.00110696999737</v>
      </c>
      <c r="D595" s="119" t="n">
        <v>96.752685546875</v>
      </c>
      <c r="E595" s="119" t="n">
        <v>96.752685546875</v>
      </c>
      <c r="F595" s="120" t="n">
        <v>10420600</v>
      </c>
      <c r="G595" s="121" t="n">
        <v>-0.01672424347332557</v>
      </c>
      <c r="H595" s="122" t="n">
        <v>61.88005244515521</v>
      </c>
      <c r="I595" s="119" t="n">
        <v>103.7516156005859</v>
      </c>
      <c r="J595" s="119" t="n">
        <v>102.9563729095459</v>
      </c>
      <c r="K595" s="121" t="n">
        <v>0.464474764293324</v>
      </c>
      <c r="L595" s="121" t="n">
        <v>-0.165851115072463</v>
      </c>
      <c r="M595" s="121" t="n">
        <v>-0.199827416290244</v>
      </c>
      <c r="N595" t="n">
        <v>31.22027457545612</v>
      </c>
      <c r="O595" t="n">
        <v>-2.005189515631535</v>
      </c>
      <c r="P595" t="n">
        <v>108.1110987459547</v>
      </c>
      <c r="Q595" t="n">
        <v>107.5021906178135</v>
      </c>
    </row>
    <row r="596">
      <c r="A596" s="118" t="n">
        <v>45296</v>
      </c>
      <c r="B596" s="119" t="n">
        <v>96.90398526697639</v>
      </c>
      <c r="C596" s="119" t="n">
        <v>98.05783048826358</v>
      </c>
      <c r="D596" s="119" t="n">
        <v>96.37435423386685</v>
      </c>
      <c r="E596" s="119" t="n">
        <v>96.54459381103516</v>
      </c>
      <c r="F596" s="120" t="n">
        <v>8044500</v>
      </c>
      <c r="G596" s="121" t="n">
        <v>-0.002150759275193703</v>
      </c>
      <c r="H596" s="122" t="n">
        <v>61.74696334840932</v>
      </c>
      <c r="I596" s="119" t="n">
        <v>103.6996530151367</v>
      </c>
      <c r="J596" s="119" t="n">
        <v>102.8510104751587</v>
      </c>
      <c r="K596" s="121" t="n">
        <v>0.4626554941960907</v>
      </c>
      <c r="L596" s="121" t="n">
        <v>-0.1676451685236133</v>
      </c>
      <c r="M596" s="121" t="n">
        <v>-0.2015483948964135</v>
      </c>
      <c r="N596" t="n">
        <v>30.93168054625367</v>
      </c>
      <c r="O596" t="n">
        <v>-1.961204435471819</v>
      </c>
      <c r="P596" t="n">
        <v>108.2591678540851</v>
      </c>
      <c r="Q596" t="n">
        <v>107.6296927966853</v>
      </c>
    </row>
    <row r="597">
      <c r="A597" s="118" t="n">
        <v>45299</v>
      </c>
      <c r="B597" s="119" t="n">
        <v>96.54459837779004</v>
      </c>
      <c r="C597" s="119" t="n">
        <v>98.06729488568824</v>
      </c>
      <c r="D597" s="119" t="n">
        <v>96.21357896643869</v>
      </c>
      <c r="E597" s="119" t="n">
        <v>98.00109100341797</v>
      </c>
      <c r="F597" s="120" t="n">
        <v>9414200</v>
      </c>
      <c r="G597" s="121" t="n">
        <v>0.01508626361030196</v>
      </c>
      <c r="H597" s="122" t="n">
        <v>62.67849431461908</v>
      </c>
      <c r="I597" s="119" t="n">
        <v>103.7077377319336</v>
      </c>
      <c r="J597" s="119" t="n">
        <v>102.7815365600586</v>
      </c>
      <c r="K597" s="121" t="n">
        <v>0.4681049506071851</v>
      </c>
      <c r="L597" s="121" t="n">
        <v>-0.1550880441186521</v>
      </c>
      <c r="M597" s="121" t="n">
        <v>-0.189502743501752</v>
      </c>
      <c r="N597" t="n">
        <v>35.43068385297126</v>
      </c>
      <c r="O597" t="n">
        <v>-1.73744974127175</v>
      </c>
      <c r="P597" t="n">
        <v>109.8046741744983</v>
      </c>
      <c r="Q597" t="n">
        <v>109.8541808666697</v>
      </c>
    </row>
    <row r="598">
      <c r="A598" s="118" t="n">
        <v>45300</v>
      </c>
      <c r="B598" s="119" t="n">
        <v>97.57548338568148</v>
      </c>
      <c r="C598" s="119" t="n">
        <v>97.79301453942226</v>
      </c>
      <c r="D598" s="119" t="n">
        <v>96.94181665734341</v>
      </c>
      <c r="E598" s="119" t="n">
        <v>97.16880035400391</v>
      </c>
      <c r="F598" s="120" t="n">
        <v>7759500</v>
      </c>
      <c r="G598" s="121" t="n">
        <v>-0.008492667182501412</v>
      </c>
      <c r="H598" s="122" t="n">
        <v>62.14618672290472</v>
      </c>
      <c r="I598" s="119" t="n">
        <v>103.7655361938477</v>
      </c>
      <c r="J598" s="119" t="n">
        <v>102.7010189056396</v>
      </c>
      <c r="K598" s="121" t="n">
        <v>0.4651926731663544</v>
      </c>
      <c r="L598" s="121" t="n">
        <v>-0.1622636001584686</v>
      </c>
      <c r="M598" s="121" t="n">
        <v>-0.1963860269535221</v>
      </c>
      <c r="N598" t="n">
        <v>34.06516419391679</v>
      </c>
      <c r="O598" t="n">
        <v>-1.554853620141891</v>
      </c>
      <c r="P598" t="n">
        <v>109.638100973865</v>
      </c>
      <c r="Q598" t="n">
        <v>110.0712038883765</v>
      </c>
    </row>
    <row r="599">
      <c r="A599" s="118" t="n">
        <v>45301</v>
      </c>
      <c r="B599" s="119" t="n">
        <v>97.12152166288196</v>
      </c>
      <c r="C599" s="119" t="n">
        <v>98.19970330457184</v>
      </c>
      <c r="D599" s="119" t="n">
        <v>96.81887431110378</v>
      </c>
      <c r="E599" s="119" t="n">
        <v>98.14295196533203</v>
      </c>
      <c r="F599" s="120" t="n">
        <v>6784700</v>
      </c>
      <c r="G599" s="121" t="n">
        <v>0.01002535389733228</v>
      </c>
      <c r="H599" s="122" t="n">
        <v>62.76922423817153</v>
      </c>
      <c r="I599" s="119" t="n">
        <v>103.8812753295898</v>
      </c>
      <c r="J599" s="119" t="n">
        <v>102.6265892028809</v>
      </c>
      <c r="K599" s="121" t="n">
        <v>0.4565752525368648</v>
      </c>
      <c r="L599" s="121" t="n">
        <v>-0.1538649962773803</v>
      </c>
      <c r="M599" s="121" t="n">
        <v>-0.1883295124768898</v>
      </c>
      <c r="N599" t="n">
        <v>37.11986117123001</v>
      </c>
      <c r="O599" t="n">
        <v>-1.288800134816841</v>
      </c>
      <c r="P599" t="n">
        <v>110.2581480923835</v>
      </c>
      <c r="Q599" t="n">
        <v>110.8172220986107</v>
      </c>
    </row>
    <row r="600">
      <c r="A600" s="118" t="n">
        <v>45302</v>
      </c>
      <c r="B600" s="119" t="n">
        <v>98.56855503557631</v>
      </c>
      <c r="C600" s="119" t="n">
        <v>100.2614911485039</v>
      </c>
      <c r="D600" s="119" t="n">
        <v>98.10512785426202</v>
      </c>
      <c r="E600" s="119" t="n">
        <v>100.1574554443359</v>
      </c>
      <c r="F600" s="120" t="n">
        <v>9537700</v>
      </c>
      <c r="G600" s="121" t="n">
        <v>0.02052621648995756</v>
      </c>
      <c r="H600" s="122" t="n">
        <v>64.05763892379093</v>
      </c>
      <c r="I600" s="119" t="n">
        <v>103.9652897644043</v>
      </c>
      <c r="J600" s="119" t="n">
        <v>102.5758094406128</v>
      </c>
      <c r="K600" s="121" t="n">
        <v>0.4635905308995679</v>
      </c>
      <c r="L600" s="121" t="n">
        <v>-0.1364970460112387</v>
      </c>
      <c r="M600" s="121" t="n">
        <v>-0.1716689883314811</v>
      </c>
      <c r="N600" t="n">
        <v>43.00081787515083</v>
      </c>
      <c r="O600" t="n">
        <v>-0.9150538918372506</v>
      </c>
      <c r="P600" t="n">
        <v>110.2095675759418</v>
      </c>
      <c r="Q600" t="n">
        <v>111.0478116810358</v>
      </c>
    </row>
    <row r="601">
      <c r="A601" s="118" t="n">
        <v>45303</v>
      </c>
      <c r="B601" s="119" t="n">
        <v>100.2520286957032</v>
      </c>
      <c r="C601" s="119" t="n">
        <v>100.5546760408743</v>
      </c>
      <c r="D601" s="119" t="n">
        <v>99.04143931501891</v>
      </c>
      <c r="E601" s="119" t="n">
        <v>99.36299896240234</v>
      </c>
      <c r="F601" s="120" t="n">
        <v>6680900</v>
      </c>
      <c r="G601" s="121" t="n">
        <v>-0.00793207533487239</v>
      </c>
      <c r="H601" s="122" t="n">
        <v>63.54952890607336</v>
      </c>
      <c r="I601" s="119" t="n">
        <v>104.0151289367676</v>
      </c>
      <c r="J601" s="119" t="n">
        <v>102.5207764434815</v>
      </c>
      <c r="K601" s="121" t="n">
        <v>0.4584674802102061</v>
      </c>
      <c r="L601" s="121" t="n">
        <v>-0.1433464164941625</v>
      </c>
      <c r="M601" s="121" t="n">
        <v>-0.1782393723182468</v>
      </c>
      <c r="N601" t="n">
        <v>41.35803138352815</v>
      </c>
      <c r="O601" t="n">
        <v>-0.6705759799070883</v>
      </c>
      <c r="P601" t="n">
        <v>110.2859187783805</v>
      </c>
      <c r="Q601" t="n">
        <v>111.1047794901126</v>
      </c>
    </row>
    <row r="602">
      <c r="A602" s="118" t="n">
        <v>45307</v>
      </c>
      <c r="B602" s="119" t="n">
        <v>98.30374371094884</v>
      </c>
      <c r="C602" s="119" t="n">
        <v>98.56855925446294</v>
      </c>
      <c r="D602" s="119" t="n">
        <v>95.86364526168477</v>
      </c>
      <c r="E602" s="119" t="n">
        <v>96.20412445068359</v>
      </c>
      <c r="F602" s="120" t="n">
        <v>10547900</v>
      </c>
      <c r="G602" s="121" t="n">
        <v>-0.03179125574615582</v>
      </c>
      <c r="H602" s="122" t="n">
        <v>61.52920958007266</v>
      </c>
      <c r="I602" s="119" t="n">
        <v>104.0374206542969</v>
      </c>
      <c r="J602" s="119" t="n">
        <v>102.4376826477051</v>
      </c>
      <c r="K602" s="121" t="n">
        <v>0.4664124224351138</v>
      </c>
      <c r="L602" s="121" t="n">
        <v>-0.1705805096532574</v>
      </c>
      <c r="M602" s="121" t="n">
        <v>-0.204364174594999</v>
      </c>
      <c r="N602" t="n">
        <v>35.54353655101494</v>
      </c>
      <c r="O602" t="n">
        <v>-0.6693001463064234</v>
      </c>
      <c r="P602" t="n">
        <v>109.8810181033158</v>
      </c>
      <c r="Q602" t="n">
        <v>111.093914495598</v>
      </c>
    </row>
    <row r="603">
      <c r="A603" s="118" t="n">
        <v>45308</v>
      </c>
      <c r="B603" s="119" t="n">
        <v>95.57045169550983</v>
      </c>
      <c r="C603" s="119" t="n">
        <v>95.81634770447813</v>
      </c>
      <c r="D603" s="119" t="n">
        <v>94.80436996019216</v>
      </c>
      <c r="E603" s="119" t="n">
        <v>95.35292053222656</v>
      </c>
      <c r="F603" s="120" t="n">
        <v>8226200</v>
      </c>
      <c r="G603" s="121" t="n">
        <v>-0.008847894238602771</v>
      </c>
      <c r="H603" s="122" t="n">
        <v>60.98480564112335</v>
      </c>
      <c r="I603" s="119" t="n">
        <v>103.9635101318359</v>
      </c>
      <c r="J603" s="119" t="n">
        <v>102.3521588134766</v>
      </c>
      <c r="K603" s="121" t="n">
        <v>0.4640335419663736</v>
      </c>
      <c r="L603" s="121" t="n">
        <v>-0.1779191255832813</v>
      </c>
      <c r="M603" s="121" t="n">
        <v>-0.211403876230626</v>
      </c>
      <c r="N603" t="n">
        <v>34.15027621033605</v>
      </c>
      <c r="O603" t="n">
        <v>-0.6717299285594183</v>
      </c>
      <c r="P603" t="n">
        <v>109.2702230310487</v>
      </c>
      <c r="Q603" t="n">
        <v>110.4672685957532</v>
      </c>
    </row>
    <row r="604">
      <c r="A604" s="118" t="n">
        <v>45309</v>
      </c>
      <c r="B604" s="119" t="n">
        <v>95.52316716158715</v>
      </c>
      <c r="C604" s="119" t="n">
        <v>95.92985024110043</v>
      </c>
      <c r="D604" s="119" t="n">
        <v>94.64359711592742</v>
      </c>
      <c r="E604" s="119" t="n">
        <v>95.46642303466797</v>
      </c>
      <c r="F604" s="120" t="n">
        <v>8852400</v>
      </c>
      <c r="G604" s="121" t="n">
        <v>0.001190341122305094</v>
      </c>
      <c r="H604" s="122" t="n">
        <v>61.05739836311377</v>
      </c>
      <c r="I604" s="119" t="n">
        <v>103.854542388916</v>
      </c>
      <c r="J604" s="119" t="n">
        <v>102.2553105545044</v>
      </c>
      <c r="K604" s="121" t="n">
        <v>0.4650326099343548</v>
      </c>
      <c r="L604" s="121" t="n">
        <v>-0.1769405689126025</v>
      </c>
      <c r="M604" s="121" t="n">
        <v>-0.2104651778356128</v>
      </c>
      <c r="N604" t="n">
        <v>34.51886687322332</v>
      </c>
      <c r="O604" t="n">
        <v>-0.6132586274032317</v>
      </c>
      <c r="P604" t="n">
        <v>110.2419497378221</v>
      </c>
      <c r="Q604" t="n">
        <v>112.0352592983383</v>
      </c>
    </row>
    <row r="605">
      <c r="A605" s="118" t="n">
        <v>45310</v>
      </c>
      <c r="B605" s="119" t="n">
        <v>95.542074089324</v>
      </c>
      <c r="C605" s="119" t="n">
        <v>96.63917525257918</v>
      </c>
      <c r="D605" s="119" t="n">
        <v>94.26528079570826</v>
      </c>
      <c r="E605" s="119" t="n">
        <v>96.2608642578125</v>
      </c>
      <c r="F605" s="120" t="n">
        <v>8517200</v>
      </c>
      <c r="G605" s="121" t="n">
        <v>0.008321682093986427</v>
      </c>
      <c r="H605" s="122" t="n">
        <v>61.56549862177749</v>
      </c>
      <c r="I605" s="119" t="n">
        <v>103.7578819274902</v>
      </c>
      <c r="J605" s="119" t="n">
        <v>102.1669758605957</v>
      </c>
      <c r="K605" s="121" t="n">
        <v>0.4628154156922663</v>
      </c>
      <c r="L605" s="121" t="n">
        <v>-0.1700913299826357</v>
      </c>
      <c r="M605" s="121" t="n">
        <v>-0.2038949200434286</v>
      </c>
      <c r="N605" t="n">
        <v>37.1698062073629</v>
      </c>
      <c r="O605" t="n">
        <v>-0.4748272104224993</v>
      </c>
      <c r="P605" t="n">
        <v>111.6162495608549</v>
      </c>
      <c r="Q605" t="n">
        <v>114.2570290222047</v>
      </c>
    </row>
    <row r="606">
      <c r="A606" s="118" t="n">
        <v>45313</v>
      </c>
      <c r="B606" s="119" t="n">
        <v>96.23249072500494</v>
      </c>
      <c r="C606" s="119" t="n">
        <v>96.28923484786387</v>
      </c>
      <c r="D606" s="119" t="n">
        <v>94.6625026462097</v>
      </c>
      <c r="E606" s="119" t="n">
        <v>95.10701751708984</v>
      </c>
      <c r="F606" s="120" t="n">
        <v>9897400</v>
      </c>
      <c r="G606" s="121" t="n">
        <v>-0.01198666508574397</v>
      </c>
      <c r="H606" s="122" t="n">
        <v>60.82753360896142</v>
      </c>
      <c r="I606" s="119" t="n">
        <v>103.5983666992187</v>
      </c>
      <c r="J606" s="119" t="n">
        <v>102.0634146499634</v>
      </c>
      <c r="K606" s="121" t="n">
        <v>0.462938468241723</v>
      </c>
      <c r="L606" s="121" t="n">
        <v>-0.1800391672618891</v>
      </c>
      <c r="M606" s="121" t="n">
        <v>-0.2134375650099274</v>
      </c>
      <c r="N606" t="n">
        <v>34.95630308526471</v>
      </c>
      <c r="O606" t="n">
        <v>-0.4167881045908608</v>
      </c>
      <c r="P606" t="n">
        <v>111.8522276556171</v>
      </c>
      <c r="Q606" t="n">
        <v>114.4062444101916</v>
      </c>
    </row>
    <row r="607">
      <c r="A607" s="118" t="n">
        <v>45314</v>
      </c>
      <c r="B607" s="119" t="n">
        <v>96.11898092593268</v>
      </c>
      <c r="C607" s="119" t="n">
        <v>96.60132754532977</v>
      </c>
      <c r="D607" s="119" t="n">
        <v>95.74067720906055</v>
      </c>
      <c r="E607" s="119" t="n">
        <v>96.37434387207031</v>
      </c>
      <c r="F607" s="120" t="n">
        <v>8208000</v>
      </c>
      <c r="G607" s="121" t="n">
        <v>0.01332526650573129</v>
      </c>
      <c r="H607" s="122" t="n">
        <v>61.63807670518715</v>
      </c>
      <c r="I607" s="119" t="n">
        <v>103.4636323547363</v>
      </c>
      <c r="J607" s="119" t="n">
        <v>101.9792523956299</v>
      </c>
      <c r="K607" s="121" t="n">
        <v>0.4653815692963813</v>
      </c>
      <c r="L607" s="121" t="n">
        <v>-0.1691129706413924</v>
      </c>
      <c r="M607" s="121" t="n">
        <v>-0.2029564109402878</v>
      </c>
      <c r="N607" t="n">
        <v>39.23644380129588</v>
      </c>
      <c r="O607" t="n">
        <v>-0.256716292698465</v>
      </c>
      <c r="P607" t="n">
        <v>112.1784495694378</v>
      </c>
      <c r="Q607" t="n">
        <v>114.8809733558458</v>
      </c>
    </row>
    <row r="608">
      <c r="A608" s="118" t="n">
        <v>45315</v>
      </c>
      <c r="B608" s="119" t="n">
        <v>96.26086693367107</v>
      </c>
      <c r="C608" s="119" t="n">
        <v>96.27978645256046</v>
      </c>
      <c r="D608" s="119" t="n">
        <v>95.22997684034931</v>
      </c>
      <c r="E608" s="119" t="n">
        <v>95.29618072509766</v>
      </c>
      <c r="F608" s="120" t="n">
        <v>7879300</v>
      </c>
      <c r="G608" s="121" t="n">
        <v>-0.01118724240970026</v>
      </c>
      <c r="H608" s="122" t="n">
        <v>60.94851659941853</v>
      </c>
      <c r="I608" s="119" t="n">
        <v>103.3523910522461</v>
      </c>
      <c r="J608" s="119" t="n">
        <v>101.8928829574585</v>
      </c>
      <c r="K608" s="121" t="n">
        <v>0.2235668368775536</v>
      </c>
      <c r="L608" s="121" t="n">
        <v>-0.1784083052539028</v>
      </c>
      <c r="M608" s="121" t="n">
        <v>-0.2118731307821963</v>
      </c>
      <c r="N608" t="n">
        <v>37.00544585300504</v>
      </c>
      <c r="O608" t="n">
        <v>-0.1901821383988089</v>
      </c>
      <c r="P608" t="n">
        <v>112.3010828239978</v>
      </c>
      <c r="Q608" t="n">
        <v>115.518475860248</v>
      </c>
    </row>
    <row r="609">
      <c r="A609" s="118" t="n">
        <v>45316</v>
      </c>
      <c r="B609" s="119" t="n">
        <v>96.02440836160325</v>
      </c>
      <c r="C609" s="119" t="n">
        <v>96.22301998462513</v>
      </c>
      <c r="D609" s="119" t="n">
        <v>94.66249184296053</v>
      </c>
      <c r="E609" s="119" t="n">
        <v>95.30561828613281</v>
      </c>
      <c r="F609" s="120" t="n">
        <v>10063700</v>
      </c>
      <c r="G609" s="121" t="n">
        <v>9.903399027488824e-05</v>
      </c>
      <c r="H609" s="122" t="n">
        <v>60.9545525742187</v>
      </c>
      <c r="I609" s="119" t="n">
        <v>103.2581167602539</v>
      </c>
      <c r="J609" s="119" t="n">
        <v>101.7986483383179</v>
      </c>
      <c r="K609" s="121" t="n">
        <v>0.2236230674935717</v>
      </c>
      <c r="L609" s="121" t="n">
        <v>-0.1783269397499954</v>
      </c>
      <c r="M609" s="121" t="n">
        <v>-0.2117950794334948</v>
      </c>
      <c r="N609" t="n">
        <v>37.03919321196176</v>
      </c>
      <c r="O609" t="n">
        <v>-0.1159218061487746</v>
      </c>
      <c r="P609" t="n">
        <v>112.9118633490223</v>
      </c>
      <c r="Q609" t="n">
        <v>115.659536209881</v>
      </c>
    </row>
    <row r="610">
      <c r="A610" s="118" t="n">
        <v>45317</v>
      </c>
      <c r="B610" s="119" t="n">
        <v>96.06224739782846</v>
      </c>
      <c r="C610" s="119" t="n">
        <v>97.67006001876238</v>
      </c>
      <c r="D610" s="119" t="n">
        <v>95.73122800124578</v>
      </c>
      <c r="E610" s="119" t="n">
        <v>97.17826080322266</v>
      </c>
      <c r="F610" s="120" t="n">
        <v>9735800</v>
      </c>
      <c r="G610" s="121" t="n">
        <v>0.01964881557630394</v>
      </c>
      <c r="H610" s="122" t="n">
        <v>62.15223733628564</v>
      </c>
      <c r="I610" s="119" t="n">
        <v>103.2373025512695</v>
      </c>
      <c r="J610" s="119" t="n">
        <v>101.7072692489624</v>
      </c>
      <c r="K610" s="121" t="n">
        <v>0.2370802850405166</v>
      </c>
      <c r="L610" s="121" t="n">
        <v>-0.1621820373251258</v>
      </c>
      <c r="M610" s="121" t="n">
        <v>-0.1963077863129483</v>
      </c>
      <c r="N610" t="n">
        <v>43.50638766620798</v>
      </c>
      <c r="O610" t="n">
        <v>0.07845789218737487</v>
      </c>
      <c r="P610" t="n">
        <v>112.7684493585028</v>
      </c>
      <c r="Q610" t="n">
        <v>114.9704858087236</v>
      </c>
    </row>
    <row r="611">
      <c r="A611" s="118" t="n">
        <v>45320</v>
      </c>
      <c r="B611" s="119" t="n">
        <v>97.30122008116346</v>
      </c>
      <c r="C611" s="119" t="n">
        <v>98.36994924845236</v>
      </c>
      <c r="D611" s="119" t="n">
        <v>95.84472735169908</v>
      </c>
      <c r="E611" s="119" t="n">
        <v>98.24699401855469</v>
      </c>
      <c r="F611" s="120" t="n">
        <v>8860800</v>
      </c>
      <c r="G611" s="121" t="n">
        <v>0.01099765736182623</v>
      </c>
      <c r="H611" s="122" t="n">
        <v>62.83576634678102</v>
      </c>
      <c r="I611" s="119" t="n">
        <v>103.2086427307129</v>
      </c>
      <c r="J611" s="119" t="n">
        <v>101.6195483779907</v>
      </c>
      <c r="K611" s="121" t="n">
        <v>0.2329049428107854</v>
      </c>
      <c r="L611" s="121" t="n">
        <v>-0.1529680024400442</v>
      </c>
      <c r="M611" s="121" t="n">
        <v>-0.1874690547224505</v>
      </c>
      <c r="N611" t="n">
        <v>46.86111468097558</v>
      </c>
      <c r="O611" t="n">
        <v>0.2864539421372925</v>
      </c>
      <c r="P611" t="n">
        <v>113.6614827567895</v>
      </c>
      <c r="Q611" t="n">
        <v>116.1478401062107</v>
      </c>
    </row>
    <row r="612">
      <c r="A612" s="118" t="n">
        <v>45321</v>
      </c>
      <c r="B612" s="119" t="n">
        <v>97.7362697566754</v>
      </c>
      <c r="C612" s="119" t="n">
        <v>98.65367157911173</v>
      </c>
      <c r="D612" s="119" t="n">
        <v>97.53765810682043</v>
      </c>
      <c r="E612" s="119" t="n">
        <v>98.53072357177734</v>
      </c>
      <c r="F612" s="120" t="n">
        <v>7542800</v>
      </c>
      <c r="G612" s="121" t="n">
        <v>0.002887920959383949</v>
      </c>
      <c r="H612" s="122" t="n">
        <v>63.01723107341284</v>
      </c>
      <c r="I612" s="119" t="n">
        <v>103.1466334533691</v>
      </c>
      <c r="J612" s="119" t="n">
        <v>101.5202775192261</v>
      </c>
      <c r="K612" s="121" t="n">
        <v>0.2336076157364262</v>
      </c>
      <c r="L612" s="121" t="n">
        <v>-0.1505218409810221</v>
      </c>
      <c r="M612" s="121" t="n">
        <v>-0.1851225295754354</v>
      </c>
      <c r="N612" t="n">
        <v>47.74822742633048</v>
      </c>
      <c r="O612" t="n">
        <v>0.4413309745686718</v>
      </c>
      <c r="P612" t="n">
        <v>113.5735664965364</v>
      </c>
      <c r="Q612" t="n">
        <v>115.374697164497</v>
      </c>
    </row>
    <row r="613">
      <c r="A613" s="118" t="n">
        <v>45322</v>
      </c>
      <c r="B613" s="119" t="n">
        <v>98.44559271433627</v>
      </c>
      <c r="C613" s="119" t="n">
        <v>98.64421156483112</v>
      </c>
      <c r="D613" s="119" t="n">
        <v>95.63665055139258</v>
      </c>
      <c r="E613" s="119" t="n">
        <v>96.0244140625</v>
      </c>
      <c r="F613" s="120" t="n">
        <v>11547600</v>
      </c>
      <c r="G613" s="121" t="n">
        <v>-0.02543683247643624</v>
      </c>
      <c r="H613" s="122" t="n">
        <v>61.41427232346957</v>
      </c>
      <c r="I613" s="119" t="n">
        <v>103.0384571838379</v>
      </c>
      <c r="J613" s="119" t="n">
        <v>101.4107223129272</v>
      </c>
      <c r="K613" s="121" t="n">
        <v>0.2411996239532473</v>
      </c>
      <c r="L613" s="121" t="n">
        <v>-0.1721298746043791</v>
      </c>
      <c r="M613" s="121" t="n">
        <v>-0.2058504312794471</v>
      </c>
      <c r="N613" t="n">
        <v>41.20449171032641</v>
      </c>
      <c r="O613" t="n">
        <v>0.375735468451694</v>
      </c>
      <c r="P613" t="n">
        <v>111.7203569020481</v>
      </c>
      <c r="Q613" t="n">
        <v>113.1149544945509</v>
      </c>
    </row>
    <row r="614">
      <c r="A614" s="118" t="n">
        <v>45323</v>
      </c>
      <c r="B614" s="119" t="n">
        <v>96.37435111336517</v>
      </c>
      <c r="C614" s="119" t="n">
        <v>96.70537049834056</v>
      </c>
      <c r="D614" s="119" t="n">
        <v>95.1543020524432</v>
      </c>
      <c r="E614" s="119" t="n">
        <v>96.241943359375</v>
      </c>
      <c r="F614" s="120" t="n">
        <v>7666700</v>
      </c>
      <c r="G614" s="121" t="n">
        <v>0.002265354066450342</v>
      </c>
      <c r="H614" s="122" t="n">
        <v>61.55339739501563</v>
      </c>
      <c r="I614" s="119" t="n">
        <v>102.9657373046875</v>
      </c>
      <c r="J614" s="119" t="n">
        <v>101.3011310958862</v>
      </c>
      <c r="K614" s="121" t="n">
        <v>0.228075281893303</v>
      </c>
      <c r="L614" s="121" t="n">
        <v>-0.1702544556493214</v>
      </c>
      <c r="M614" s="121" t="n">
        <v>-0.2040514013245762</v>
      </c>
      <c r="N614" t="n">
        <v>41.94811428660626</v>
      </c>
      <c r="O614" t="n">
        <v>0.3483633233460068</v>
      </c>
      <c r="P614" t="n">
        <v>113.1825657117127</v>
      </c>
      <c r="Q614" t="n">
        <v>114.446918922475</v>
      </c>
    </row>
    <row r="615">
      <c r="A615" s="118" t="n">
        <v>45324</v>
      </c>
      <c r="B615" s="119" t="n">
        <v>95.40966593542362</v>
      </c>
      <c r="C615" s="119" t="n">
        <v>95.91093215046773</v>
      </c>
      <c r="D615" s="119" t="n">
        <v>94.03829670261486</v>
      </c>
      <c r="E615" s="119" t="n">
        <v>95.24888610839844</v>
      </c>
      <c r="F615" s="120" t="n">
        <v>8966900</v>
      </c>
      <c r="G615" s="121" t="n">
        <v>-0.01031834163269552</v>
      </c>
      <c r="H615" s="122" t="n">
        <v>60.91826841204079</v>
      </c>
      <c r="I615" s="119" t="n">
        <v>102.8663694763184</v>
      </c>
      <c r="J615" s="119" t="n">
        <v>101.1864810180664</v>
      </c>
      <c r="K615" s="121" t="n">
        <v>0.2233045764400967</v>
      </c>
      <c r="L615" s="121" t="n">
        <v>-0.1788160536441387</v>
      </c>
      <c r="M615" s="121" t="n">
        <v>-0.2095786857015834</v>
      </c>
      <c r="N615" t="n">
        <v>39.49247813861236</v>
      </c>
      <c r="O615" t="n">
        <v>0.2683329376758821</v>
      </c>
      <c r="P615" t="n">
        <v>114.3740794323082</v>
      </c>
      <c r="Q615" t="n">
        <v>116.3811396447966</v>
      </c>
    </row>
    <row r="616">
      <c r="A616" s="118" t="n">
        <v>45327</v>
      </c>
      <c r="B616" s="119" t="n">
        <v>95.05026873945151</v>
      </c>
      <c r="C616" s="119" t="n">
        <v>95.13538491957162</v>
      </c>
      <c r="D616" s="119" t="n">
        <v>93.67889958918479</v>
      </c>
      <c r="E616" s="119" t="n">
        <v>94.27473449707031</v>
      </c>
      <c r="F616" s="120" t="n">
        <v>10097900</v>
      </c>
      <c r="G616" s="121" t="n">
        <v>-0.01022743310845109</v>
      </c>
      <c r="H616" s="122" t="n">
        <v>60.29523089677398</v>
      </c>
      <c r="I616" s="119" t="n">
        <v>102.7431825256348</v>
      </c>
      <c r="J616" s="119" t="n">
        <v>101.0694883728027</v>
      </c>
      <c r="K616" s="121" t="n">
        <v>0.2258321236789186</v>
      </c>
      <c r="L616" s="121" t="n">
        <v>-0.187214657525227</v>
      </c>
      <c r="M616" s="121" t="n">
        <v>-0.2129348020979865</v>
      </c>
      <c r="N616" t="n">
        <v>37.19239930792425</v>
      </c>
      <c r="O616" t="n">
        <v>0.1600876407525813</v>
      </c>
      <c r="P616" t="n">
        <v>113.9576282466716</v>
      </c>
      <c r="Q616" t="n">
        <v>116.2292394705204</v>
      </c>
    </row>
    <row r="617">
      <c r="A617" s="118" t="n">
        <v>45328</v>
      </c>
      <c r="B617" s="119" t="n">
        <v>94.10450288929579</v>
      </c>
      <c r="C617" s="119" t="n">
        <v>97.06477259359487</v>
      </c>
      <c r="D617" s="119" t="n">
        <v>93.75456394924778</v>
      </c>
      <c r="E617" s="119" t="n">
        <v>97.04586029052734</v>
      </c>
      <c r="F617" s="120" t="n">
        <v>11368600</v>
      </c>
      <c r="G617" s="121" t="n">
        <v>0.02939415112904031</v>
      </c>
      <c r="H617" s="122" t="n">
        <v>62.06755802611413</v>
      </c>
      <c r="I617" s="119" t="n">
        <v>102.649591217041</v>
      </c>
      <c r="J617" s="119" t="n">
        <v>100.9720631790161</v>
      </c>
      <c r="K617" s="121" t="n">
        <v>0.2443765836807321</v>
      </c>
      <c r="L617" s="121" t="n">
        <v>-0.1633235223330547</v>
      </c>
      <c r="M617" s="121" t="n">
        <v>-0.1897996887224467</v>
      </c>
      <c r="N617" t="n">
        <v>46.70183902244825</v>
      </c>
      <c r="O617" t="n">
        <v>0.2784821636078412</v>
      </c>
      <c r="P617" t="n">
        <v>114.2884907308606</v>
      </c>
      <c r="Q617" t="n">
        <v>115.9959231520202</v>
      </c>
    </row>
    <row r="618">
      <c r="A618" s="118" t="n">
        <v>45329</v>
      </c>
      <c r="B618" s="119" t="n">
        <v>96.83778797524296</v>
      </c>
      <c r="C618" s="119" t="n">
        <v>98.68204417362065</v>
      </c>
      <c r="D618" s="119" t="n">
        <v>96.79995615377852</v>
      </c>
      <c r="E618" s="119" t="n">
        <v>98.16187286376953</v>
      </c>
      <c r="F618" s="120" t="n">
        <v>9447800</v>
      </c>
      <c r="G618" s="121" t="n">
        <v>0.01149984728767572</v>
      </c>
      <c r="H618" s="122" t="n">
        <v>62.7813254649334</v>
      </c>
      <c r="I618" s="119" t="n">
        <v>102.5835984802246</v>
      </c>
      <c r="J618" s="119" t="n">
        <v>100.8751616668701</v>
      </c>
      <c r="K618" s="121" t="n">
        <v>0.2458701737997908</v>
      </c>
      <c r="L618" s="121" t="n">
        <v>-0.1537018706106944</v>
      </c>
      <c r="M618" s="121" t="n">
        <v>-0.1804825088703275</v>
      </c>
      <c r="N618" t="n">
        <v>49.98605258006679</v>
      </c>
      <c r="O618" t="n">
        <v>0.4264635219817654</v>
      </c>
      <c r="P618" t="n">
        <v>115.2416915242672</v>
      </c>
      <c r="Q618" t="n">
        <v>117.1895455764292</v>
      </c>
    </row>
    <row r="619">
      <c r="A619" s="118" t="n">
        <v>45330</v>
      </c>
      <c r="B619" s="119" t="n">
        <v>98.76716618719566</v>
      </c>
      <c r="C619" s="119" t="n">
        <v>99.26842518710808</v>
      </c>
      <c r="D619" s="119" t="n">
        <v>97.46200083559266</v>
      </c>
      <c r="E619" s="119" t="n">
        <v>98.14295196533203</v>
      </c>
      <c r="F619" s="120" t="n">
        <v>6330400</v>
      </c>
      <c r="G619" s="121" t="n">
        <v>-0.0001927520114022307</v>
      </c>
      <c r="H619" s="122" t="n">
        <v>62.76922423817154</v>
      </c>
      <c r="I619" s="119" t="n">
        <v>102.5111949157715</v>
      </c>
      <c r="J619" s="119" t="n">
        <v>100.7708618927002</v>
      </c>
      <c r="K619" s="121" t="n">
        <v>0.2433498015912513</v>
      </c>
      <c r="L619" s="121" t="n">
        <v>-0.1538649962773802</v>
      </c>
      <c r="M619" s="121" t="n">
        <v>-0.1806404725151219</v>
      </c>
      <c r="N619" t="n">
        <v>49.9298783635513</v>
      </c>
      <c r="O619" t="n">
        <v>0.5118311089505874</v>
      </c>
      <c r="P619" t="n">
        <v>115.292592325893</v>
      </c>
      <c r="Q619" t="n">
        <v>117.4065602081789</v>
      </c>
    </row>
    <row r="620">
      <c r="A620" s="118" t="n">
        <v>45331</v>
      </c>
      <c r="B620" s="119" t="n">
        <v>98.17132001326299</v>
      </c>
      <c r="C620" s="119" t="n">
        <v>99.24950153162284</v>
      </c>
      <c r="D620" s="119" t="n">
        <v>97.72680518775509</v>
      </c>
      <c r="E620" s="119" t="n">
        <v>98.83335876464844</v>
      </c>
      <c r="F620" s="120" t="n">
        <v>5449000</v>
      </c>
      <c r="G620" s="121" t="n">
        <v>0.007034705860083479</v>
      </c>
      <c r="H620" s="122" t="n">
        <v>63.2107872677527</v>
      </c>
      <c r="I620" s="119" t="n">
        <v>102.4377061462402</v>
      </c>
      <c r="J620" s="119" t="n">
        <v>100.6813910293579</v>
      </c>
      <c r="K620" s="121" t="n">
        <v>0.2328232639802159</v>
      </c>
      <c r="L620" s="121" t="n">
        <v>-0.1479126854082708</v>
      </c>
      <c r="M620" s="121" t="n">
        <v>-0.174876519245609</v>
      </c>
      <c r="N620" t="n">
        <v>52.04749560638735</v>
      </c>
      <c r="O620" t="n">
        <v>0.5975795569826228</v>
      </c>
      <c r="P620" t="n">
        <v>115.9589142229116</v>
      </c>
      <c r="Q620" t="n">
        <v>118.5622180764653</v>
      </c>
    </row>
    <row r="621">
      <c r="A621" s="118" t="n">
        <v>45334</v>
      </c>
      <c r="B621" s="119" t="n">
        <v>99.06034402297662</v>
      </c>
      <c r="C621" s="119" t="n">
        <v>101.6044778085715</v>
      </c>
      <c r="D621" s="119" t="n">
        <v>98.97522784602339</v>
      </c>
      <c r="E621" s="119" t="n">
        <v>101.368034362793</v>
      </c>
      <c r="F621" s="120" t="n">
        <v>7501900</v>
      </c>
      <c r="G621" s="121" t="n">
        <v>0.02564595223542221</v>
      </c>
      <c r="H621" s="122" t="n">
        <v>64.83188809878492</v>
      </c>
      <c r="I621" s="119" t="n">
        <v>102.384370880127</v>
      </c>
      <c r="J621" s="119" t="n">
        <v>100.6084326171875</v>
      </c>
      <c r="K621" s="121" t="n">
        <v>0.2486948604403706</v>
      </c>
      <c r="L621" s="121" t="n">
        <v>-0.1260600948378422</v>
      </c>
      <c r="M621" s="121" t="n">
        <v>-0.1537154418698564</v>
      </c>
      <c r="N621" t="n">
        <v>58.91710257882617</v>
      </c>
      <c r="O621" t="n">
        <v>0.7954065675168633</v>
      </c>
      <c r="P621" t="n">
        <v>115.9080134212858</v>
      </c>
      <c r="Q621" t="n">
        <v>118.0983289554542</v>
      </c>
    </row>
    <row r="622">
      <c r="A622" s="118" t="n">
        <v>45335</v>
      </c>
      <c r="B622" s="119" t="n">
        <v>99.29679939591524</v>
      </c>
      <c r="C622" s="119" t="n">
        <v>100.0628811589198</v>
      </c>
      <c r="D622" s="119" t="n">
        <v>98.59692873273576</v>
      </c>
      <c r="E622" s="119" t="n">
        <v>99.30625915527344</v>
      </c>
      <c r="F622" s="120" t="n">
        <v>6180500</v>
      </c>
      <c r="G622" s="121" t="n">
        <v>-0.02033950071617752</v>
      </c>
      <c r="H622" s="122" t="n">
        <v>63.51323986436854</v>
      </c>
      <c r="I622" s="119" t="n">
        <v>102.2916850280762</v>
      </c>
      <c r="J622" s="119" t="n">
        <v>100.5164571380615</v>
      </c>
      <c r="K622" s="121" t="n">
        <v>0.2313118347722346</v>
      </c>
      <c r="L622" s="121" t="n">
        <v>-0.143835596164784</v>
      </c>
      <c r="M622" s="121" t="n">
        <v>-0.1709284472460344</v>
      </c>
      <c r="N622" t="n">
        <v>52.3477545973664</v>
      </c>
      <c r="O622" t="n">
        <v>0.7579641861872004</v>
      </c>
      <c r="P622" t="n">
        <v>114.3116062992468</v>
      </c>
      <c r="Q622" t="n">
        <v>116.2563390321284</v>
      </c>
    </row>
    <row r="623">
      <c r="A623" s="118" t="n">
        <v>45336</v>
      </c>
      <c r="B623" s="119" t="n">
        <v>99.13601971325836</v>
      </c>
      <c r="C623" s="119" t="n">
        <v>100.6492565071284</v>
      </c>
      <c r="D623" s="119" t="n">
        <v>98.79554053267734</v>
      </c>
      <c r="E623" s="119" t="n">
        <v>100.5641403198242</v>
      </c>
      <c r="F623" s="120" t="n">
        <v>5743300</v>
      </c>
      <c r="G623" s="121" t="n">
        <v>0.0126666856173081</v>
      </c>
      <c r="H623" s="122" t="n">
        <v>64.31774210626719</v>
      </c>
      <c r="I623" s="119" t="n">
        <v>102.156439666748</v>
      </c>
      <c r="J623" s="119" t="n">
        <v>100.4259955215454</v>
      </c>
      <c r="K623" s="121" t="n">
        <v>0.2309202329036333</v>
      </c>
      <c r="L623" s="121" t="n">
        <v>-0.1329908308246731</v>
      </c>
      <c r="M623" s="121" t="n">
        <v>-0.1604268585330464</v>
      </c>
      <c r="N623" t="n">
        <v>55.6004433238607</v>
      </c>
      <c r="O623" t="n">
        <v>0.7851474601049221</v>
      </c>
      <c r="P623" t="n">
        <v>115.3504394358287</v>
      </c>
      <c r="Q623" t="n">
        <v>117.5232057824932</v>
      </c>
    </row>
    <row r="624">
      <c r="A624" s="118" t="n">
        <v>45337</v>
      </c>
      <c r="B624" s="119" t="n">
        <v>101.2167263479995</v>
      </c>
      <c r="C624" s="119" t="n">
        <v>101.5193737275401</v>
      </c>
      <c r="D624" s="119" t="n">
        <v>100.0912602386644</v>
      </c>
      <c r="E624" s="119" t="n">
        <v>100.2993316650391</v>
      </c>
      <c r="F624" s="120" t="n">
        <v>7201300</v>
      </c>
      <c r="G624" s="121" t="n">
        <v>-0.002633231427653926</v>
      </c>
      <c r="H624" s="122" t="n">
        <v>64.14837860639722</v>
      </c>
      <c r="I624" s="119" t="n">
        <v>101.9843090820312</v>
      </c>
      <c r="J624" s="119" t="n">
        <v>100.3285917663574</v>
      </c>
      <c r="K624" s="121" t="n">
        <v>0.231663581371005</v>
      </c>
      <c r="L624" s="121" t="n">
        <v>-0.1352738666170099</v>
      </c>
      <c r="M624" s="121" t="n">
        <v>-0.1626376489149713</v>
      </c>
      <c r="N624" t="n">
        <v>54.75312751289457</v>
      </c>
      <c r="O624" t="n">
        <v>0.7524478337181667</v>
      </c>
      <c r="P624" t="n">
        <v>116.1463408957172</v>
      </c>
      <c r="Q624" t="n">
        <v>117.8731592853507</v>
      </c>
    </row>
    <row r="625">
      <c r="A625" s="118" t="n">
        <v>45338</v>
      </c>
      <c r="B625" s="119" t="n">
        <v>98.95631099780864</v>
      </c>
      <c r="C625" s="119" t="n">
        <v>99.02251487578448</v>
      </c>
      <c r="D625" s="119" t="n">
        <v>96.13790908891571</v>
      </c>
      <c r="E625" s="119" t="n">
        <v>97.89704895019531</v>
      </c>
      <c r="F625" s="120" t="n">
        <v>14590100</v>
      </c>
      <c r="G625" s="121" t="n">
        <v>-0.02395113382077607</v>
      </c>
      <c r="H625" s="122" t="n">
        <v>62.61195220600959</v>
      </c>
      <c r="I625" s="119" t="n">
        <v>101.7592147827148</v>
      </c>
      <c r="J625" s="119" t="n">
        <v>100.2222665023804</v>
      </c>
      <c r="K625" s="121" t="n">
        <v>0.2487372975368121</v>
      </c>
      <c r="L625" s="121" t="n">
        <v>-0.1559850379559881</v>
      </c>
      <c r="M625" s="121" t="n">
        <v>-0.1826934266422885</v>
      </c>
      <c r="N625" t="n">
        <v>47.65772570820768</v>
      </c>
      <c r="O625" t="n">
        <v>0.5458053521924981</v>
      </c>
      <c r="P625" t="n">
        <v>115.5679207117091</v>
      </c>
      <c r="Q625" t="n">
        <v>116.8043374736099</v>
      </c>
    </row>
    <row r="626">
      <c r="A626" s="118" t="n">
        <v>45342</v>
      </c>
      <c r="B626" s="119" t="n">
        <v>97.53766113188887</v>
      </c>
      <c r="C626" s="119" t="n">
        <v>98.20915974480044</v>
      </c>
      <c r="D626" s="119" t="n">
        <v>96.62971904052888</v>
      </c>
      <c r="E626" s="119" t="n">
        <v>97.69844818115234</v>
      </c>
      <c r="F626" s="120" t="n">
        <v>8759500</v>
      </c>
      <c r="G626" s="121" t="n">
        <v>-0.002028669619489776</v>
      </c>
      <c r="H626" s="122" t="n">
        <v>62.48493324075232</v>
      </c>
      <c r="I626" s="119" t="n">
        <v>101.5169076538086</v>
      </c>
      <c r="J626" s="119" t="n">
        <v>100.117382850647</v>
      </c>
      <c r="K626" s="121" t="n">
        <v>0.2443357009686721</v>
      </c>
      <c r="L626" s="121" t="n">
        <v>-0.1576972654678815</v>
      </c>
      <c r="M626" s="121" t="n">
        <v>-0.1843514716574686</v>
      </c>
      <c r="N626" t="n">
        <v>47.11414891652498</v>
      </c>
      <c r="O626" t="n">
        <v>0.3803612320163973</v>
      </c>
      <c r="P626" t="n">
        <v>114.9316606913866</v>
      </c>
      <c r="Q626" t="n">
        <v>115.9226704361071</v>
      </c>
    </row>
    <row r="627">
      <c r="A627" s="118" t="n">
        <v>45343</v>
      </c>
      <c r="B627" s="119" t="n">
        <v>97.74573083924842</v>
      </c>
      <c r="C627" s="119" t="n">
        <v>99.79805846455073</v>
      </c>
      <c r="D627" s="119" t="n">
        <v>97.34850753416066</v>
      </c>
      <c r="E627" s="119" t="n">
        <v>99.56161499023438</v>
      </c>
      <c r="F627" s="120" t="n">
        <v>8888100</v>
      </c>
      <c r="G627" s="121" t="n">
        <v>0.01907058754533497</v>
      </c>
      <c r="H627" s="122" t="n">
        <v>63.67655763038449</v>
      </c>
      <c r="I627" s="119" t="n">
        <v>101.3364541625977</v>
      </c>
      <c r="J627" s="119" t="n">
        <v>100.0361882400513</v>
      </c>
      <c r="K627" s="121" t="n">
        <v>0.2488463709976292</v>
      </c>
      <c r="L627" s="121" t="n">
        <v>-0.1416340574293119</v>
      </c>
      <c r="M627" s="121" t="n">
        <v>-0.1687965749914887</v>
      </c>
      <c r="N627" t="n">
        <v>52.57872317873923</v>
      </c>
      <c r="O627" t="n">
        <v>0.3801225707364093</v>
      </c>
      <c r="P627" t="n">
        <v>115.0357898534436</v>
      </c>
      <c r="Q627" t="n">
        <v>115.4587897050532</v>
      </c>
    </row>
    <row r="628">
      <c r="A628" s="118" t="n">
        <v>45344</v>
      </c>
      <c r="B628" s="119" t="n">
        <v>100.0628782008546</v>
      </c>
      <c r="C628" s="119" t="n">
        <v>100.2614898474119</v>
      </c>
      <c r="D628" s="119" t="n">
        <v>98.43614599208199</v>
      </c>
      <c r="E628" s="119" t="n">
        <v>99.38191986083984</v>
      </c>
      <c r="F628" s="120" t="n">
        <v>6705500</v>
      </c>
      <c r="G628" s="121" t="n">
        <v>-0.001804863545174062</v>
      </c>
      <c r="H628" s="122" t="n">
        <v>63.56163013283523</v>
      </c>
      <c r="I628" s="119" t="n">
        <v>101.1315995788574</v>
      </c>
      <c r="J628" s="119" t="n">
        <v>99.94042423248291</v>
      </c>
      <c r="K628" s="121" t="n">
        <v>0.2445713831866909</v>
      </c>
      <c r="L628" s="121" t="n">
        <v>-0.1431832908274766</v>
      </c>
      <c r="M628" s="121" t="n">
        <v>-0.1702967837519105</v>
      </c>
      <c r="N628" t="n">
        <v>52.02043292425386</v>
      </c>
      <c r="O628" t="n">
        <v>0.352206948904363</v>
      </c>
      <c r="P628" t="n">
        <v>117.4164970094504</v>
      </c>
      <c r="Q628" t="n">
        <v>118.8389188634097</v>
      </c>
    </row>
    <row r="629">
      <c r="A629" s="118" t="n">
        <v>45345</v>
      </c>
      <c r="B629" s="119" t="n">
        <v>99.55216026370171</v>
      </c>
      <c r="C629" s="119" t="n">
        <v>100.838413313034</v>
      </c>
      <c r="D629" s="119" t="n">
        <v>99.48595638097204</v>
      </c>
      <c r="E629" s="119" t="n">
        <v>99.90209197998047</v>
      </c>
      <c r="F629" s="120" t="n">
        <v>6947300</v>
      </c>
      <c r="G629" s="121" t="n">
        <v>0.005234071950602326</v>
      </c>
      <c r="H629" s="122" t="n">
        <v>63.89431627824806</v>
      </c>
      <c r="I629" s="119" t="n">
        <v>100.8860766601562</v>
      </c>
      <c r="J629" s="119" t="n">
        <v>99.84590335845947</v>
      </c>
      <c r="K629" s="121" t="n">
        <v>0.2446616699548342</v>
      </c>
      <c r="L629" s="121" t="n">
        <v>-0.1386986505231894</v>
      </c>
      <c r="M629" s="121" t="n">
        <v>-0.1659540574204218</v>
      </c>
      <c r="N629" t="n">
        <v>53.55773376034072</v>
      </c>
      <c r="O629" t="n">
        <v>0.3522684693182407</v>
      </c>
      <c r="P629" t="n">
        <v>117.4974815086361</v>
      </c>
      <c r="Q629" t="n">
        <v>118.4889653605522</v>
      </c>
    </row>
    <row r="630">
      <c r="A630" s="118" t="n">
        <v>45348</v>
      </c>
      <c r="B630" s="119" t="n">
        <v>99.59945094714716</v>
      </c>
      <c r="C630" s="119" t="n">
        <v>100.3466132228892</v>
      </c>
      <c r="D630" s="119" t="n">
        <v>98.13350567493235</v>
      </c>
      <c r="E630" s="119" t="n">
        <v>98.87120819091797</v>
      </c>
      <c r="F630" s="120" t="n">
        <v>5831500</v>
      </c>
      <c r="G630" s="121" t="n">
        <v>-0.01031894096140729</v>
      </c>
      <c r="H630" s="122" t="n">
        <v>63.23499460080334</v>
      </c>
      <c r="I630" s="119" t="n">
        <v>100.6004531860352</v>
      </c>
      <c r="J630" s="119" t="n">
        <v>99.75456169128418</v>
      </c>
      <c r="K630" s="121" t="n">
        <v>0.2398321466885659</v>
      </c>
      <c r="L630" s="121" t="n">
        <v>-0.147586368298421</v>
      </c>
      <c r="M630" s="121" t="n">
        <v>-0.1745605282610018</v>
      </c>
      <c r="N630" t="n">
        <v>50.12970091088331</v>
      </c>
      <c r="O630" t="n">
        <v>0.2700746398725364</v>
      </c>
      <c r="P630" t="n">
        <v>117.0671377063797</v>
      </c>
      <c r="Q630" t="n">
        <v>118.4265608592395</v>
      </c>
    </row>
    <row r="631">
      <c r="A631" s="118" t="n">
        <v>45349</v>
      </c>
      <c r="B631" s="119" t="n">
        <v>99.14548038502289</v>
      </c>
      <c r="C631" s="119" t="n">
        <v>99.54270369412883</v>
      </c>
      <c r="D631" s="119" t="n">
        <v>98.35102655112875</v>
      </c>
      <c r="E631" s="119" t="n">
        <v>99.44812774658203</v>
      </c>
      <c r="F631" s="120" t="n">
        <v>5317400</v>
      </c>
      <c r="G631" s="121" t="n">
        <v>0.005835061250086593</v>
      </c>
      <c r="H631" s="122" t="n">
        <v>63.60397466744793</v>
      </c>
      <c r="I631" s="119" t="n">
        <v>100.297427520752</v>
      </c>
      <c r="J631" s="119" t="n">
        <v>99.67354866027831</v>
      </c>
      <c r="K631" s="121" t="n">
        <v>0.2376601659194092</v>
      </c>
      <c r="L631" s="121" t="n">
        <v>-0.1426124825470334</v>
      </c>
      <c r="M631" s="121" t="n">
        <v>-0.1697440383851657</v>
      </c>
      <c r="N631" t="n">
        <v>51.98202451896973</v>
      </c>
      <c r="O631" t="n">
        <v>0.2426241856481084</v>
      </c>
      <c r="P631" t="n">
        <v>117.2846117086389</v>
      </c>
      <c r="Q631" t="n">
        <v>118.7114166845378</v>
      </c>
    </row>
    <row r="632">
      <c r="A632" s="118" t="n">
        <v>45350</v>
      </c>
      <c r="B632" s="119" t="n">
        <v>98.45505434502985</v>
      </c>
      <c r="C632" s="119" t="n">
        <v>99.7223950304806</v>
      </c>
      <c r="D632" s="119" t="n">
        <v>98.07674336956626</v>
      </c>
      <c r="E632" s="119" t="n">
        <v>98.69149780273438</v>
      </c>
      <c r="F632" s="120" t="n">
        <v>4219800</v>
      </c>
      <c r="G632" s="121" t="n">
        <v>-0.007608287465961427</v>
      </c>
      <c r="H632" s="122" t="n">
        <v>63.12005734420026</v>
      </c>
      <c r="I632" s="119" t="n">
        <v>99.98210632324219</v>
      </c>
      <c r="J632" s="119" t="n">
        <v>99.59479209899902</v>
      </c>
      <c r="K632" s="121" t="n">
        <v>0.2393016142392692</v>
      </c>
      <c r="L632" s="121" t="n">
        <v>-0.1491357332495427</v>
      </c>
      <c r="M632" s="121" t="n">
        <v>-0.1760608644114596</v>
      </c>
      <c r="N632" t="n">
        <v>49.39097657017073</v>
      </c>
      <c r="O632" t="n">
        <v>0.1652678133861605</v>
      </c>
      <c r="P632" t="n">
        <v>117.1296108394412</v>
      </c>
      <c r="Q632" t="n">
        <v>118.0793340924572</v>
      </c>
    </row>
    <row r="633">
      <c r="A633" s="118" t="n">
        <v>45351</v>
      </c>
      <c r="B633" s="119" t="n">
        <v>99.28735418643566</v>
      </c>
      <c r="C633" s="119" t="n">
        <v>99.84535736318998</v>
      </c>
      <c r="D633" s="119" t="n">
        <v>98.05784514360899</v>
      </c>
      <c r="E633" s="119" t="n">
        <v>98.29428863525391</v>
      </c>
      <c r="F633" s="120" t="n">
        <v>10811600</v>
      </c>
      <c r="G633" s="121" t="n">
        <v>-0.00402475569146199</v>
      </c>
      <c r="H633" s="122" t="n">
        <v>62.86601453415878</v>
      </c>
      <c r="I633" s="119" t="n">
        <v>99.64881576538086</v>
      </c>
      <c r="J633" s="119" t="n">
        <v>99.52346004486084</v>
      </c>
      <c r="K633" s="121" t="n">
        <v>0.2201972758302264</v>
      </c>
      <c r="L633" s="121" t="n">
        <v>-0.1525602540498081</v>
      </c>
      <c r="M633" s="121" t="n">
        <v>-0.1793770181368379</v>
      </c>
      <c r="N633" t="n">
        <v>48.03728072088555</v>
      </c>
      <c r="O633" t="n">
        <v>0.08324724289424967</v>
      </c>
      <c r="P633" t="n">
        <v>117.5506807745823</v>
      </c>
      <c r="Q633" t="n">
        <v>119.0911964850783</v>
      </c>
    </row>
    <row r="634">
      <c r="A634" s="118" t="n">
        <v>45352</v>
      </c>
      <c r="B634" s="119" t="n">
        <v>98.58851897571495</v>
      </c>
      <c r="C634" s="119" t="n">
        <v>98.65495939218735</v>
      </c>
      <c r="D634" s="119" t="n">
        <v>96.65224609949649</v>
      </c>
      <c r="E634" s="119" t="n">
        <v>96.69969940185547</v>
      </c>
      <c r="F634" s="120" t="n">
        <v>7349300</v>
      </c>
      <c r="G634" s="121" t="n">
        <v>-0.01622260311904355</v>
      </c>
      <c r="H634" s="122" t="n">
        <v>61.84616413069509</v>
      </c>
      <c r="I634" s="119" t="n">
        <v>99.29138885498047</v>
      </c>
      <c r="J634" s="119" t="n">
        <v>99.44593410491943</v>
      </c>
      <c r="K634" s="121" t="n">
        <v>0.228693021365545</v>
      </c>
      <c r="L634" s="121" t="n">
        <v>-0.1663079327156612</v>
      </c>
      <c r="M634" s="121" t="n">
        <v>-0.1926896590819701</v>
      </c>
      <c r="N634" t="n">
        <v>42.9482695765053</v>
      </c>
      <c r="O634" t="n">
        <v>-0.07400083866438861</v>
      </c>
      <c r="P634" t="n">
        <v>118.6542855085459</v>
      </c>
      <c r="Q634" t="n">
        <v>120.8843568577669</v>
      </c>
    </row>
    <row r="635">
      <c r="A635" s="118" t="n">
        <v>45355</v>
      </c>
      <c r="B635" s="119" t="n">
        <v>96.48140452336621</v>
      </c>
      <c r="C635" s="119" t="n">
        <v>96.59529824956796</v>
      </c>
      <c r="D635" s="119" t="n">
        <v>93.97564116644915</v>
      </c>
      <c r="E635" s="119" t="n">
        <v>94.47869110107422</v>
      </c>
      <c r="F635" s="120" t="n">
        <v>11050900</v>
      </c>
      <c r="G635" s="121" t="n">
        <v>-0.0229680993272936</v>
      </c>
      <c r="H635" s="122" t="n">
        <v>60.42567528992918</v>
      </c>
      <c r="I635" s="119" t="n">
        <v>98.86116851806641</v>
      </c>
      <c r="J635" s="119" t="n">
        <v>99.37298721313476</v>
      </c>
      <c r="K635" s="121" t="n">
        <v>0.240606786469913</v>
      </c>
      <c r="L635" s="121" t="n">
        <v>-0.1854562549254247</v>
      </c>
      <c r="M635" s="121" t="n">
        <v>-0.2112320431801267</v>
      </c>
      <c r="N635" t="n">
        <v>37.05931257015789</v>
      </c>
      <c r="O635" t="n">
        <v>-0.3099648010562072</v>
      </c>
      <c r="P635" t="n">
        <v>118.5270335044814</v>
      </c>
      <c r="Q635" t="n">
        <v>120.4530291604712</v>
      </c>
    </row>
    <row r="636">
      <c r="A636" s="118" t="n">
        <v>45356</v>
      </c>
      <c r="B636" s="119" t="n">
        <v>93.96613607282747</v>
      </c>
      <c r="C636" s="119" t="n">
        <v>94.12749032611278</v>
      </c>
      <c r="D636" s="119" t="n">
        <v>93.01698318320294</v>
      </c>
      <c r="E636" s="119" t="n">
        <v>93.31121826171875</v>
      </c>
      <c r="F636" s="120" t="n">
        <v>8670600</v>
      </c>
      <c r="G636" s="121" t="n">
        <v>-0.01235699633165421</v>
      </c>
      <c r="H636" s="122" t="n">
        <v>59.6789954420338</v>
      </c>
      <c r="I636" s="119" t="n">
        <v>98.4304866027832</v>
      </c>
      <c r="J636" s="119" t="n">
        <v>99.29186210632324</v>
      </c>
      <c r="K636" s="121" t="n">
        <v>0.2418878547993609</v>
      </c>
      <c r="L636" s="121" t="n">
        <v>-0.1955215689952831</v>
      </c>
      <c r="M636" s="121" t="n">
        <v>-0.2209788459290762</v>
      </c>
      <c r="N636" t="n">
        <v>34.38996152962139</v>
      </c>
      <c r="O636" t="n">
        <v>-0.5149560873753871</v>
      </c>
      <c r="P636" t="n">
        <v>117.3424515449533</v>
      </c>
      <c r="Q636" t="n">
        <v>118.2909372018424</v>
      </c>
    </row>
    <row r="637">
      <c r="A637" s="118" t="n">
        <v>45357</v>
      </c>
      <c r="B637" s="119" t="n">
        <v>94.91529715136701</v>
      </c>
      <c r="C637" s="119" t="n">
        <v>95.01021100022588</v>
      </c>
      <c r="D637" s="119" t="n">
        <v>92.12478509784883</v>
      </c>
      <c r="E637" s="119" t="n">
        <v>92.66580200195312</v>
      </c>
      <c r="F637" s="120" t="n">
        <v>10045300</v>
      </c>
      <c r="G637" s="121" t="n">
        <v>-0.006916813131250366</v>
      </c>
      <c r="H637" s="122" t="n">
        <v>59.26620698270051</v>
      </c>
      <c r="I637" s="119" t="n">
        <v>97.96608932495117</v>
      </c>
      <c r="J637" s="119" t="n">
        <v>99.19866123199463</v>
      </c>
      <c r="K637" s="121" t="n">
        <v>0.2154570425122005</v>
      </c>
      <c r="L637" s="121" t="n">
        <v>-0.2010859959706642</v>
      </c>
      <c r="M637" s="121" t="n">
        <v>-0.2263671896770758</v>
      </c>
      <c r="N637" t="n">
        <v>32.97585478587682</v>
      </c>
      <c r="O637" t="n">
        <v>-0.6552981980336927</v>
      </c>
      <c r="P637" t="n">
        <v>117.937077357144</v>
      </c>
      <c r="Q637" t="n">
        <v>119.0342370659587</v>
      </c>
    </row>
    <row r="638">
      <c r="A638" s="118" t="n">
        <v>45358</v>
      </c>
      <c r="B638" s="119" t="n">
        <v>93.00749173305501</v>
      </c>
      <c r="C638" s="119" t="n">
        <v>93.39664790251604</v>
      </c>
      <c r="D638" s="119" t="n">
        <v>92.7132566478756</v>
      </c>
      <c r="E638" s="119" t="n">
        <v>93.19732666015625</v>
      </c>
      <c r="F638" s="120" t="n">
        <v>8133900</v>
      </c>
      <c r="G638" s="121" t="n">
        <v>0.005735931127989646</v>
      </c>
      <c r="H638" s="122" t="n">
        <v>59.60615386417047</v>
      </c>
      <c r="I638" s="119" t="n">
        <v>97.7864077758789</v>
      </c>
      <c r="J638" s="119" t="n">
        <v>99.12736038208008</v>
      </c>
      <c r="K638" s="121" t="n">
        <v>0.2115249302385759</v>
      </c>
      <c r="L638" s="121" t="n">
        <v>-0.1965034802663654</v>
      </c>
      <c r="M638" s="121" t="n">
        <v>-0.2219296851587105</v>
      </c>
      <c r="N638" t="n">
        <v>35.33412654080347</v>
      </c>
      <c r="O638" t="n">
        <v>-0.6711593155226765</v>
      </c>
      <c r="P638" t="n">
        <v>119.1077739736736</v>
      </c>
      <c r="Q638" t="n">
        <v>120.8409556094084</v>
      </c>
    </row>
    <row r="639">
      <c r="A639" s="118" t="n">
        <v>45359</v>
      </c>
      <c r="B639" s="119" t="n">
        <v>93.48205832893193</v>
      </c>
      <c r="C639" s="119" t="n">
        <v>94.26985690002233</v>
      </c>
      <c r="D639" s="119" t="n">
        <v>93.03595534912263</v>
      </c>
      <c r="E639" s="119" t="n">
        <v>94.11799621582031</v>
      </c>
      <c r="F639" s="120" t="n">
        <v>9043500</v>
      </c>
      <c r="G639" s="121" t="n">
        <v>0.009878712068869477</v>
      </c>
      <c r="H639" s="122" t="n">
        <v>60.19498589572733</v>
      </c>
      <c r="I639" s="119" t="n">
        <v>97.62551773071289</v>
      </c>
      <c r="J639" s="119" t="n">
        <v>99.08210563659668</v>
      </c>
      <c r="K639" s="121" t="n">
        <v>0.2159610844302608</v>
      </c>
      <c r="L639" s="121" t="n">
        <v>-0.1885659694995782</v>
      </c>
      <c r="M639" s="121" t="n">
        <v>-0.2142433525490587</v>
      </c>
      <c r="N639" t="n">
        <v>39.31698406785367</v>
      </c>
      <c r="O639" t="n">
        <v>-0.5818026660185216</v>
      </c>
      <c r="P639" t="n">
        <v>118.3928642865921</v>
      </c>
      <c r="Q639" t="n">
        <v>119.0966415672714</v>
      </c>
    </row>
    <row r="640">
      <c r="A640" s="118" t="n">
        <v>45362</v>
      </c>
      <c r="B640" s="119" t="n">
        <v>94.82037557694656</v>
      </c>
      <c r="C640" s="119" t="n">
        <v>96.58580053943965</v>
      </c>
      <c r="D640" s="119" t="n">
        <v>94.38376611459886</v>
      </c>
      <c r="E640" s="119" t="n">
        <v>95.94037628173828</v>
      </c>
      <c r="F640" s="120" t="n">
        <v>8537400</v>
      </c>
      <c r="G640" s="121" t="n">
        <v>0.01936271636870712</v>
      </c>
      <c r="H640" s="122" t="n">
        <v>61.36052433444463</v>
      </c>
      <c r="I640" s="119" t="n">
        <v>97.51791000366211</v>
      </c>
      <c r="J640" s="119" t="n">
        <v>99.0525174331665</v>
      </c>
      <c r="K640" s="121" t="n">
        <v>0.226957740628931</v>
      </c>
      <c r="L640" s="121" t="n">
        <v>-0.1728544025150817</v>
      </c>
      <c r="M640" s="121" t="n">
        <v>-0.19902896944964</v>
      </c>
      <c r="N640" t="n">
        <v>46.35956392670906</v>
      </c>
      <c r="O640" t="n">
        <v>-0.372310677625151</v>
      </c>
      <c r="P640" t="n">
        <v>118.2910481360979</v>
      </c>
      <c r="Q640" t="n">
        <v>118.6544656553753</v>
      </c>
    </row>
    <row r="641">
      <c r="A641" s="118" t="n">
        <v>45363</v>
      </c>
      <c r="B641" s="119" t="n">
        <v>95.66512737656723</v>
      </c>
      <c r="C641" s="119" t="n">
        <v>96.21563782941455</v>
      </c>
      <c r="D641" s="119" t="n">
        <v>94.58309358522587</v>
      </c>
      <c r="E641" s="119" t="n">
        <v>95.08614349365234</v>
      </c>
      <c r="F641" s="120" t="n">
        <v>7040900</v>
      </c>
      <c r="G641" s="121" t="n">
        <v>-0.008903788177538563</v>
      </c>
      <c r="H641" s="122" t="n">
        <v>60.81418322330804</v>
      </c>
      <c r="I641" s="119" t="n">
        <v>97.36125061035156</v>
      </c>
      <c r="J641" s="119" t="n">
        <v>99.02095203399658</v>
      </c>
      <c r="K641" s="121" t="n">
        <v>0.2043892423108807</v>
      </c>
      <c r="L641" s="121" t="n">
        <v>-0.1802191317070709</v>
      </c>
      <c r="M641" s="121" t="n">
        <v>-0.2061606458420051</v>
      </c>
      <c r="N641" t="n">
        <v>43.79389753460279</v>
      </c>
      <c r="O641" t="n">
        <v>-0.2684687103668237</v>
      </c>
      <c r="P641" t="n">
        <v>119.5635754503642</v>
      </c>
      <c r="Q641" t="n">
        <v>120.3553700591967</v>
      </c>
    </row>
    <row r="642">
      <c r="A642" s="118" t="n">
        <v>45364</v>
      </c>
      <c r="B642" s="119" t="n">
        <v>95.49427393519223</v>
      </c>
      <c r="C642" s="119" t="n">
        <v>96.81359588807551</v>
      </c>
      <c r="D642" s="119" t="n">
        <v>95.22851228158437</v>
      </c>
      <c r="E642" s="119" t="n">
        <v>96.20613861083984</v>
      </c>
      <c r="F642" s="120" t="n">
        <v>7326400</v>
      </c>
      <c r="G642" s="121" t="n">
        <v>0.01177874163402448</v>
      </c>
      <c r="H642" s="122" t="n">
        <v>61.5304977751796</v>
      </c>
      <c r="I642" s="119" t="n">
        <v>97.2317202758789</v>
      </c>
      <c r="J642" s="119" t="n">
        <v>98.99877899169923</v>
      </c>
      <c r="K642" s="121" t="n">
        <v>0.2002441594019779</v>
      </c>
      <c r="L642" s="121" t="n">
        <v>-0.1705631446629323</v>
      </c>
      <c r="M642" s="121" t="n">
        <v>-0.1968102171904573</v>
      </c>
      <c r="N642" t="n">
        <v>47.86763333782936</v>
      </c>
      <c r="O642" t="n">
        <v>-0.1096871898345556</v>
      </c>
      <c r="P642" t="n">
        <v>119.3761415039373</v>
      </c>
      <c r="Q642" t="n">
        <v>119.4303017733354</v>
      </c>
    </row>
    <row r="643">
      <c r="A643" s="118" t="n">
        <v>45365</v>
      </c>
      <c r="B643" s="119" t="n">
        <v>97.0034229191216</v>
      </c>
      <c r="C643" s="119" t="n">
        <v>97.27867812749581</v>
      </c>
      <c r="D643" s="119" t="n">
        <v>95.00070973245495</v>
      </c>
      <c r="E643" s="119" t="n">
        <v>95.16207122802734</v>
      </c>
      <c r="F643" s="120" t="n">
        <v>8350900</v>
      </c>
      <c r="G643" s="121" t="n">
        <v>-0.01085239879583799</v>
      </c>
      <c r="H643" s="122" t="n">
        <v>60.86274427521693</v>
      </c>
      <c r="I643" s="119" t="n">
        <v>97.11951736450196</v>
      </c>
      <c r="J643" s="119" t="n">
        <v>98.97124515533447</v>
      </c>
      <c r="K643" s="121" t="n">
        <v>0.1955087302818321</v>
      </c>
      <c r="L643" s="121" t="n">
        <v>-0.1795645241930161</v>
      </c>
      <c r="M643" s="121" t="n">
        <v>-0.205526753022249</v>
      </c>
      <c r="N643" t="n">
        <v>44.62091270431041</v>
      </c>
      <c r="O643" t="n">
        <v>-0.06264962515884576</v>
      </c>
      <c r="P643" t="n">
        <v>119.1401415883113</v>
      </c>
      <c r="Q643" t="n">
        <v>119.1291946010296</v>
      </c>
    </row>
    <row r="644">
      <c r="A644" s="118" t="n">
        <v>45366</v>
      </c>
      <c r="B644" s="119" t="n">
        <v>95.20004520128695</v>
      </c>
      <c r="C644" s="119" t="n">
        <v>96.01631732977687</v>
      </c>
      <c r="D644" s="119" t="n">
        <v>94.28885198321163</v>
      </c>
      <c r="E644" s="119" t="n">
        <v>94.57360076904297</v>
      </c>
      <c r="F644" s="120" t="n">
        <v>15208500</v>
      </c>
      <c r="G644" s="121" t="n">
        <v>-0.006183876111463427</v>
      </c>
      <c r="H644" s="122" t="n">
        <v>60.48637660481531</v>
      </c>
      <c r="I644" s="119" t="n">
        <v>97.04302291870117</v>
      </c>
      <c r="J644" s="119" t="n">
        <v>98.94540393829345</v>
      </c>
      <c r="K644" s="121" t="n">
        <v>0.1959021736075318</v>
      </c>
      <c r="L644" s="121" t="n">
        <v>-0.184637995532856</v>
      </c>
      <c r="M644" s="121" t="n">
        <v>-0.2104396771554314</v>
      </c>
      <c r="N644" t="n">
        <v>42.85649878775163</v>
      </c>
      <c r="O644" t="n">
        <v>-0.05889887155038143</v>
      </c>
      <c r="P644" t="n">
        <v>118.3220774044225</v>
      </c>
      <c r="Q644" t="n">
        <v>117.7131292425921</v>
      </c>
    </row>
    <row r="645">
      <c r="A645" s="118" t="n">
        <v>45369</v>
      </c>
      <c r="B645" s="119" t="n">
        <v>93.94716227364914</v>
      </c>
      <c r="C645" s="119" t="n">
        <v>94.59258656996995</v>
      </c>
      <c r="D645" s="119" t="n">
        <v>93.51054554371426</v>
      </c>
      <c r="E645" s="119" t="n">
        <v>93.7193603515625</v>
      </c>
      <c r="F645" s="120" t="n">
        <v>7207000</v>
      </c>
      <c r="G645" s="121" t="n">
        <v>-0.009032546191897639</v>
      </c>
      <c r="H645" s="122" t="n">
        <v>59.94003061415179</v>
      </c>
      <c r="I645" s="119" t="n">
        <v>96.98235641479492</v>
      </c>
      <c r="J645" s="119" t="n">
        <v>98.92119068145752</v>
      </c>
      <c r="K645" s="121" t="n">
        <v>0.1812080746144885</v>
      </c>
      <c r="L645" s="121" t="n">
        <v>-0.1912773712872541</v>
      </c>
      <c r="M645" s="121" t="n">
        <v>-0.2175714172428146</v>
      </c>
      <c r="N645" t="n">
        <v>40.36150477683827</v>
      </c>
      <c r="O645" t="n">
        <v>-0.09930264863781857</v>
      </c>
      <c r="P645" t="n">
        <v>119.0252692876431</v>
      </c>
      <c r="Q645" t="n">
        <v>118.8357977993483</v>
      </c>
    </row>
    <row r="646">
      <c r="A646" s="118" t="n">
        <v>45370</v>
      </c>
      <c r="B646" s="119" t="n">
        <v>93.4915495066882</v>
      </c>
      <c r="C646" s="119" t="n">
        <v>94.95324566744323</v>
      </c>
      <c r="D646" s="119" t="n">
        <v>93.43460265674355</v>
      </c>
      <c r="E646" s="119" t="n">
        <v>94.87731170654297</v>
      </c>
      <c r="F646" s="120" t="n">
        <v>6168900</v>
      </c>
      <c r="G646" s="121" t="n">
        <v>0.01235551918660915</v>
      </c>
      <c r="H646" s="122" t="n">
        <v>60.68062081245089</v>
      </c>
      <c r="I646" s="119" t="n">
        <v>96.94901077270508</v>
      </c>
      <c r="J646" s="119" t="n">
        <v>98.91039855957031</v>
      </c>
      <c r="K646" s="121" t="n">
        <v>0.1883529125715907</v>
      </c>
      <c r="L646" s="121" t="n">
        <v>-0.1812851833315487</v>
      </c>
      <c r="M646" s="121" t="n">
        <v>-0.2079041058764068</v>
      </c>
      <c r="N646" t="n">
        <v>45.03293881025208</v>
      </c>
      <c r="O646" t="n">
        <v>-0.03662388849634346</v>
      </c>
      <c r="P646" t="n">
        <v>119.6867105847916</v>
      </c>
      <c r="Q646" t="n">
        <v>119.1318709973617</v>
      </c>
    </row>
    <row r="647">
      <c r="A647" s="118" t="n">
        <v>45371</v>
      </c>
      <c r="B647" s="119" t="n">
        <v>94.39326463997102</v>
      </c>
      <c r="C647" s="119" t="n">
        <v>95.33293134061351</v>
      </c>
      <c r="D647" s="119" t="n">
        <v>93.99462211079938</v>
      </c>
      <c r="E647" s="119" t="n">
        <v>95.17156982421875</v>
      </c>
      <c r="F647" s="120" t="n">
        <v>7771700</v>
      </c>
      <c r="G647" s="121" t="n">
        <v>0.00310145926758465</v>
      </c>
      <c r="H647" s="122" t="n">
        <v>60.86881928623246</v>
      </c>
      <c r="I647" s="119" t="n">
        <v>96.8924203491211</v>
      </c>
      <c r="J647" s="119" t="n">
        <v>98.87998706817626</v>
      </c>
      <c r="K647" s="121" t="n">
        <v>0.1732622713484828</v>
      </c>
      <c r="L647" s="121" t="n">
        <v>-0.07527798381801221</v>
      </c>
      <c r="M647" s="121" t="n">
        <v>-0.2054474527247614</v>
      </c>
      <c r="N647" t="n">
        <v>46.18649211312936</v>
      </c>
      <c r="O647" t="n">
        <v>0.03234387335147082</v>
      </c>
      <c r="P647" t="n">
        <v>120.7937484679932</v>
      </c>
      <c r="Q647" t="n">
        <v>120.5443957938801</v>
      </c>
    </row>
    <row r="648">
      <c r="A648" s="118" t="n">
        <v>45372</v>
      </c>
      <c r="B648" s="119" t="n">
        <v>95.33292798878831</v>
      </c>
      <c r="C648" s="119" t="n">
        <v>96.73767034927864</v>
      </c>
      <c r="D648" s="119" t="n">
        <v>94.68750367029035</v>
      </c>
      <c r="E648" s="119" t="n">
        <v>95.693603515625</v>
      </c>
      <c r="F648" s="120" t="n">
        <v>17176000</v>
      </c>
      <c r="G648" s="121" t="n">
        <v>0.005485185254067382</v>
      </c>
      <c r="H648" s="122" t="n">
        <v>61.20269603621379</v>
      </c>
      <c r="I648" s="119" t="n">
        <v>96.86291641235351</v>
      </c>
      <c r="J648" s="119" t="n">
        <v>98.86430469512939</v>
      </c>
      <c r="K648" s="121" t="n">
        <v>0.1753995348509899</v>
      </c>
      <c r="L648" s="121" t="n">
        <v>-0.07020571225073946</v>
      </c>
      <c r="M648" s="121" t="n">
        <v>-0.2010891848088656</v>
      </c>
      <c r="N648" t="n">
        <v>48.26096717594226</v>
      </c>
      <c r="O648" t="n">
        <v>0.1161004423510965</v>
      </c>
      <c r="P648" t="n">
        <v>121.1929248031209</v>
      </c>
      <c r="Q648" t="n">
        <v>121.1148373707491</v>
      </c>
    </row>
    <row r="649">
      <c r="A649" s="118" t="n">
        <v>45373</v>
      </c>
      <c r="B649" s="119" t="n">
        <v>89.07799271106727</v>
      </c>
      <c r="C649" s="119" t="n">
        <v>90.330874171972</v>
      </c>
      <c r="D649" s="119" t="n">
        <v>87.05629976594828</v>
      </c>
      <c r="E649" s="119" t="n">
        <v>89.08748626708984</v>
      </c>
      <c r="F649" s="120" t="n">
        <v>41837400</v>
      </c>
      <c r="G649" s="121" t="n">
        <v>-0.06903405249501859</v>
      </c>
      <c r="H649" s="122" t="n">
        <v>56.97762590521314</v>
      </c>
      <c r="I649" s="119" t="n">
        <v>96.68180709838867</v>
      </c>
      <c r="J649" s="119" t="n">
        <v>98.81094139099122</v>
      </c>
      <c r="K649" s="121" t="n">
        <v>0.2938447196520306</v>
      </c>
      <c r="L649" s="121" t="n">
        <v>-0.1343931799207903</v>
      </c>
      <c r="M649" s="121" t="n">
        <v>-0.2562412359636085</v>
      </c>
      <c r="N649" t="n">
        <v>31.63925914469075</v>
      </c>
      <c r="O649" t="n">
        <v>-0.2504308653010532</v>
      </c>
      <c r="P649" t="n">
        <v>120.9631583809207</v>
      </c>
      <c r="Q649" t="n">
        <v>121.2533639533215</v>
      </c>
    </row>
    <row r="650">
      <c r="A650" s="118" t="n">
        <v>45376</v>
      </c>
      <c r="B650" s="119" t="n">
        <v>89.28681427495741</v>
      </c>
      <c r="C650" s="119" t="n">
        <v>90.6630831028192</v>
      </c>
      <c r="D650" s="119" t="n">
        <v>88.05291259093769</v>
      </c>
      <c r="E650" s="119" t="n">
        <v>88.98308563232422</v>
      </c>
      <c r="F650" s="120" t="n">
        <v>14548800</v>
      </c>
      <c r="G650" s="121" t="n">
        <v>-0.00117188888294173</v>
      </c>
      <c r="H650" s="122" t="n">
        <v>56.9108544588384</v>
      </c>
      <c r="I650" s="119" t="n">
        <v>96.45831970214844</v>
      </c>
      <c r="J650" s="119" t="n">
        <v>98.7528286743164</v>
      </c>
      <c r="K650" s="121" t="n">
        <v>0.293667298562032</v>
      </c>
      <c r="L650" s="121" t="n">
        <v>-0.1354075749302397</v>
      </c>
      <c r="M650" s="121" t="n">
        <v>-0.2571128385907732</v>
      </c>
      <c r="N650" t="n">
        <v>31.45488109314022</v>
      </c>
      <c r="O650" t="n">
        <v>-0.4644845660070682</v>
      </c>
      <c r="P650" t="n">
        <v>120.6289645781915</v>
      </c>
      <c r="Q650" t="n">
        <v>120.8133107005854</v>
      </c>
    </row>
    <row r="651">
      <c r="A651" s="118" t="n">
        <v>45377</v>
      </c>
      <c r="B651" s="119" t="n">
        <v>88.97358740878632</v>
      </c>
      <c r="C651" s="119" t="n">
        <v>89.08748835934776</v>
      </c>
      <c r="D651" s="119" t="n">
        <v>87.71121960367327</v>
      </c>
      <c r="E651" s="119" t="n">
        <v>87.87257385253906</v>
      </c>
      <c r="F651" s="120" t="n">
        <v>10816900</v>
      </c>
      <c r="G651" s="121" t="n">
        <v>-0.01248003226561234</v>
      </c>
      <c r="H651" s="122" t="n">
        <v>56.20060515892853</v>
      </c>
      <c r="I651" s="119" t="n">
        <v>96.22851119995117</v>
      </c>
      <c r="J651" s="119" t="n">
        <v>98.69334388732911</v>
      </c>
      <c r="K651" s="121" t="n">
        <v>0.291823072697496</v>
      </c>
      <c r="L651" s="121" t="n">
        <v>-0.1442315786798856</v>
      </c>
      <c r="M651" s="121" t="n">
        <v>-0.2663840943348695</v>
      </c>
      <c r="N651" t="n">
        <v>29.48649290424632</v>
      </c>
      <c r="O651" t="n">
        <v>-0.634896216497983</v>
      </c>
      <c r="P651" t="n">
        <v>120.4061662851649</v>
      </c>
      <c r="Q651" t="n">
        <v>120.422162508101</v>
      </c>
    </row>
    <row r="652">
      <c r="A652" s="118" t="n">
        <v>45378</v>
      </c>
      <c r="B652" s="119" t="n">
        <v>88.52749313623914</v>
      </c>
      <c r="C652" s="119" t="n">
        <v>89.36275237315294</v>
      </c>
      <c r="D652" s="119" t="n">
        <v>87.62580072343889</v>
      </c>
      <c r="E652" s="119" t="n">
        <v>89.34376525878906</v>
      </c>
      <c r="F652" s="120" t="n">
        <v>11095700</v>
      </c>
      <c r="G652" s="121" t="n">
        <v>0.01674232746065729</v>
      </c>
      <c r="H652" s="122" t="n">
        <v>57.14153409398642</v>
      </c>
      <c r="I652" s="119" t="n">
        <v>96.09130401611328</v>
      </c>
      <c r="J652" s="119" t="n">
        <v>98.64281215667725</v>
      </c>
      <c r="K652" s="121" t="n">
        <v>0.3026465449933041</v>
      </c>
      <c r="L652" s="121" t="n">
        <v>-0.1186199296414234</v>
      </c>
      <c r="M652" s="121" t="n">
        <v>-0.2541016566118772</v>
      </c>
      <c r="N652" t="n">
        <v>35.26593937794968</v>
      </c>
      <c r="O652" t="n">
        <v>-0.6028152921833376</v>
      </c>
      <c r="P652" t="n">
        <v>121.4180433813316</v>
      </c>
      <c r="Q652" t="n">
        <v>120.832339123411</v>
      </c>
    </row>
    <row r="653">
      <c r="A653" s="118" t="n">
        <v>45379</v>
      </c>
      <c r="B653" s="119" t="n">
        <v>89.57155451972596</v>
      </c>
      <c r="C653" s="119" t="n">
        <v>89.98917683768157</v>
      </c>
      <c r="D653" s="119" t="n">
        <v>88.67934854877568</v>
      </c>
      <c r="E653" s="119" t="n">
        <v>89.20138549804688</v>
      </c>
      <c r="F653" s="120" t="n">
        <v>11331700</v>
      </c>
      <c r="G653" s="121" t="n">
        <v>-0.001593617196787855</v>
      </c>
      <c r="H653" s="122" t="n">
        <v>57.0504723626034</v>
      </c>
      <c r="I653" s="119" t="n">
        <v>95.96827331542968</v>
      </c>
      <c r="J653" s="119" t="n">
        <v>98.58701210021972</v>
      </c>
      <c r="K653" s="121" t="n">
        <v>0.3028505466075321</v>
      </c>
      <c r="L653" s="121" t="n">
        <v>-0.1200245120784529</v>
      </c>
      <c r="M653" s="121" t="n">
        <v>-0.2552903330389562</v>
      </c>
      <c r="N653" t="n">
        <v>34.9672367747752</v>
      </c>
      <c r="O653" t="n">
        <v>-0.5470980842705451</v>
      </c>
      <c r="P653" t="n">
        <v>121.3948041613839</v>
      </c>
      <c r="Q653" t="n">
        <v>120.6095773710108</v>
      </c>
    </row>
    <row r="654">
      <c r="A654" s="118" t="n">
        <v>45383</v>
      </c>
      <c r="B654" s="119" t="n">
        <v>89.04003306841881</v>
      </c>
      <c r="C654" s="119" t="n">
        <v>89.14444046888944</v>
      </c>
      <c r="D654" s="119" t="n">
        <v>87.0278335134475</v>
      </c>
      <c r="E654" s="119" t="n">
        <v>87.85359191894531</v>
      </c>
      <c r="F654" s="120" t="n">
        <v>10360000</v>
      </c>
      <c r="G654" s="121" t="n">
        <v>-0.01510955879862508</v>
      </c>
      <c r="H654" s="122" t="n">
        <v>56.18846489595131</v>
      </c>
      <c r="I654" s="119" t="n">
        <v>95.81601669311523</v>
      </c>
      <c r="J654" s="119" t="n">
        <v>98.52470798492432</v>
      </c>
      <c r="K654" s="121" t="n">
        <v>0.3023124050226599</v>
      </c>
      <c r="L654" s="121" t="n">
        <v>-0.1333205534545523</v>
      </c>
      <c r="M654" s="121" t="n">
        <v>-0.2665425675398085</v>
      </c>
      <c r="N654" t="n">
        <v>32.18793046772385</v>
      </c>
      <c r="O654" t="n">
        <v>-0.5551666464370446</v>
      </c>
      <c r="P654" t="n">
        <v>121.1836218415206</v>
      </c>
      <c r="Q654" t="n">
        <v>120.8649257169978</v>
      </c>
    </row>
    <row r="655">
      <c r="A655" s="118" t="n">
        <v>45384</v>
      </c>
      <c r="B655" s="119" t="n">
        <v>87.09426579982022</v>
      </c>
      <c r="C655" s="119" t="n">
        <v>87.22714661684277</v>
      </c>
      <c r="D655" s="119" t="n">
        <v>86.03121202217837</v>
      </c>
      <c r="E655" s="119" t="n">
        <v>86.32544708251953</v>
      </c>
      <c r="F655" s="120" t="n">
        <v>11107300</v>
      </c>
      <c r="G655" s="121" t="n">
        <v>-0.01739422148881131</v>
      </c>
      <c r="H655" s="122" t="n">
        <v>55.21111029243483</v>
      </c>
      <c r="I655" s="119" t="n">
        <v>95.61730834960937</v>
      </c>
      <c r="J655" s="119" t="n">
        <v>98.42620384216309</v>
      </c>
      <c r="K655" s="121" t="n">
        <v>0.2984453868490781</v>
      </c>
      <c r="L655" s="121" t="n">
        <v>-0.1483957677075642</v>
      </c>
      <c r="M655" s="121" t="n">
        <v>-0.279300488572636</v>
      </c>
      <c r="N655" t="n">
        <v>29.34040855854802</v>
      </c>
      <c r="O655" t="n">
        <v>-0.6130361850152328</v>
      </c>
      <c r="P655" t="n">
        <v>120.4131344143386</v>
      </c>
      <c r="Q655" t="n">
        <v>119.8218442938061</v>
      </c>
    </row>
    <row r="656">
      <c r="A656" s="118" t="n">
        <v>45385</v>
      </c>
      <c r="B656" s="119" t="n">
        <v>86.38240852255258</v>
      </c>
      <c r="C656" s="119" t="n">
        <v>86.79054456424738</v>
      </c>
      <c r="D656" s="119" t="n">
        <v>85.68952371075925</v>
      </c>
      <c r="E656" s="119" t="n">
        <v>85.73698425292969</v>
      </c>
      <c r="F656" s="120" t="n">
        <v>8876600</v>
      </c>
      <c r="G656" s="121" t="n">
        <v>-0.006816794461861564</v>
      </c>
      <c r="H656" s="122" t="n">
        <v>54.83474750156013</v>
      </c>
      <c r="I656" s="119" t="n">
        <v>95.42990768432617</v>
      </c>
      <c r="J656" s="119" t="n">
        <v>98.32687114715576</v>
      </c>
      <c r="K656" s="121" t="n">
        <v>0.2971138760320262</v>
      </c>
      <c r="L656" s="121" t="n">
        <v>-0.1542009787219533</v>
      </c>
      <c r="M656" s="121" t="n">
        <v>-0.2842133490108004</v>
      </c>
      <c r="N656" t="n">
        <v>28.30208743608462</v>
      </c>
      <c r="O656" t="n">
        <v>-0.6377208500879874</v>
      </c>
      <c r="P656" t="n">
        <v>120.5453906698347</v>
      </c>
      <c r="Q656" t="n">
        <v>120.0907592005114</v>
      </c>
    </row>
    <row r="657">
      <c r="A657" s="118" t="n">
        <v>45386</v>
      </c>
      <c r="B657" s="119" t="n">
        <v>86.32545872804009</v>
      </c>
      <c r="C657" s="119" t="n">
        <v>86.42037981711394</v>
      </c>
      <c r="D657" s="119" t="n">
        <v>84.37020594968709</v>
      </c>
      <c r="E657" s="119" t="n">
        <v>84.54105377197266</v>
      </c>
      <c r="F657" s="120" t="n">
        <v>12110300</v>
      </c>
      <c r="G657" s="121" t="n">
        <v>-0.01394882840092626</v>
      </c>
      <c r="H657" s="122" t="n">
        <v>54.06986701825275</v>
      </c>
      <c r="I657" s="119" t="n">
        <v>95.19324188232422</v>
      </c>
      <c r="J657" s="119" t="n">
        <v>98.21601615905762</v>
      </c>
      <c r="K657" s="121" t="n">
        <v>0.2990552045003561</v>
      </c>
      <c r="L657" s="121" t="n">
        <v>-0.165998884131432</v>
      </c>
      <c r="M657" s="121" t="n">
        <v>-0.2941977341771225</v>
      </c>
      <c r="N657" t="n">
        <v>26.267589145142</v>
      </c>
      <c r="O657" t="n">
        <v>-0.6776255399528166</v>
      </c>
      <c r="P657" t="n">
        <v>119.0740316446163</v>
      </c>
      <c r="Q657" t="n">
        <v>118.2544912279647</v>
      </c>
    </row>
    <row r="658">
      <c r="A658" s="118" t="n">
        <v>45387</v>
      </c>
      <c r="B658" s="119" t="n">
        <v>84.61698862139389</v>
      </c>
      <c r="C658" s="119" t="n">
        <v>85.66105543883792</v>
      </c>
      <c r="D658" s="119" t="n">
        <v>84.28478653058839</v>
      </c>
      <c r="E658" s="119" t="n">
        <v>84.32274627685547</v>
      </c>
      <c r="F658" s="120" t="n">
        <v>9716700</v>
      </c>
      <c r="G658" s="121" t="n">
        <v>-0.002582266075201956</v>
      </c>
      <c r="H658" s="122" t="n">
        <v>53.93024423496083</v>
      </c>
      <c r="I658" s="119" t="n">
        <v>94.97377319335938</v>
      </c>
      <c r="J658" s="119" t="n">
        <v>98.12309349060058</v>
      </c>
      <c r="K658" s="121" t="n">
        <v>0.2967632747936914</v>
      </c>
      <c r="L658" s="121" t="n">
        <v>-0.1681524969196201</v>
      </c>
      <c r="M658" s="121" t="n">
        <v>-0.2960203034239576</v>
      </c>
      <c r="N658" t="n">
        <v>25.90156290045495</v>
      </c>
      <c r="O658" t="n">
        <v>-0.6610439159884911</v>
      </c>
      <c r="P658" t="n">
        <v>120.3179663536824</v>
      </c>
      <c r="Q658" t="n">
        <v>119.6479876016574</v>
      </c>
    </row>
    <row r="659">
      <c r="A659" s="118" t="n">
        <v>45390</v>
      </c>
      <c r="B659" s="119" t="n">
        <v>84.57902152793895</v>
      </c>
      <c r="C659" s="119" t="n">
        <v>85.67054888904612</v>
      </c>
      <c r="D659" s="119" t="n">
        <v>84.28478642523082</v>
      </c>
      <c r="E659" s="119" t="n">
        <v>85.42376708984375</v>
      </c>
      <c r="F659" s="120" t="n">
        <v>8452500</v>
      </c>
      <c r="G659" s="121" t="n">
        <v>0.013057221943096</v>
      </c>
      <c r="H659" s="122" t="n">
        <v>54.63442340338209</v>
      </c>
      <c r="I659" s="119" t="n">
        <v>94.7761361694336</v>
      </c>
      <c r="J659" s="119" t="n">
        <v>98.03360908508301</v>
      </c>
      <c r="K659" s="121" t="n">
        <v>0.2990569248408295</v>
      </c>
      <c r="L659" s="121" t="n">
        <v>-0.1572908794490893</v>
      </c>
      <c r="M659" s="121" t="n">
        <v>-0.2868282842823308</v>
      </c>
      <c r="N659" t="n">
        <v>31.11504577168986</v>
      </c>
      <c r="O659" t="n">
        <v>-0.5242238977340814</v>
      </c>
      <c r="P659" t="n">
        <v>120.3852764448863</v>
      </c>
      <c r="Q659" t="n">
        <v>119.6833093212764</v>
      </c>
    </row>
    <row r="660">
      <c r="A660" s="118" t="n">
        <v>45391</v>
      </c>
      <c r="B660" s="119" t="n">
        <v>85.42376423930074</v>
      </c>
      <c r="C660" s="119" t="n">
        <v>86.52478512095358</v>
      </c>
      <c r="D660" s="119" t="n">
        <v>85.30037696454815</v>
      </c>
      <c r="E660" s="119" t="n">
        <v>86.37291717529297</v>
      </c>
      <c r="F660" s="120" t="n">
        <v>7191900</v>
      </c>
      <c r="G660" s="121" t="n">
        <v>0.01111107737090267</v>
      </c>
      <c r="H660" s="122" t="n">
        <v>55.24147070893173</v>
      </c>
      <c r="I660" s="119" t="n">
        <v>94.560029296875</v>
      </c>
      <c r="J660" s="119" t="n">
        <v>97.94661575317383</v>
      </c>
      <c r="K660" s="121" t="n">
        <v>0.2916067897013126</v>
      </c>
      <c r="L660" s="121" t="n">
        <v>-0.1479274732094827</v>
      </c>
      <c r="M660" s="121" t="n">
        <v>-0.2789041781702524</v>
      </c>
      <c r="N660" t="n">
        <v>35.33869108608756</v>
      </c>
      <c r="O660" t="n">
        <v>-0.3277103375160033</v>
      </c>
      <c r="P660" t="n">
        <v>120.5245299240413</v>
      </c>
      <c r="Q660" t="n">
        <v>120.1260809201304</v>
      </c>
    </row>
    <row r="661">
      <c r="A661" s="118" t="n">
        <v>45392</v>
      </c>
      <c r="B661" s="119" t="n">
        <v>85.32884844618567</v>
      </c>
      <c r="C661" s="119" t="n">
        <v>85.51867613246601</v>
      </c>
      <c r="D661" s="119" t="n">
        <v>84.25630101846176</v>
      </c>
      <c r="E661" s="119" t="n">
        <v>84.474609375</v>
      </c>
      <c r="F661" s="120" t="n">
        <v>7932900</v>
      </c>
      <c r="G661" s="121" t="n">
        <v>-0.02197804430340555</v>
      </c>
      <c r="H661" s="122" t="n">
        <v>54.02737121830554</v>
      </c>
      <c r="I661" s="119" t="n">
        <v>94.2845816040039</v>
      </c>
      <c r="J661" s="119" t="n">
        <v>97.85454635620117</v>
      </c>
      <c r="K661" s="121" t="n">
        <v>0.2975175026283102</v>
      </c>
      <c r="L661" s="121" t="n">
        <v>-0.1666543609529996</v>
      </c>
      <c r="M661" s="121" t="n">
        <v>-0.2947524540894272</v>
      </c>
      <c r="N661" t="n">
        <v>31.21620167464857</v>
      </c>
      <c r="O661" t="n">
        <v>-0.2850547791401201</v>
      </c>
      <c r="P661" t="n">
        <v>119.3176906834364</v>
      </c>
      <c r="Q661" t="n">
        <v>119.0775460247884</v>
      </c>
    </row>
    <row r="662">
      <c r="A662" s="118" t="n">
        <v>45393</v>
      </c>
      <c r="B662" s="119" t="n">
        <v>86.59121514458916</v>
      </c>
      <c r="C662" s="119" t="n">
        <v>87.71121576430185</v>
      </c>
      <c r="D662" s="119" t="n">
        <v>86.21155256746493</v>
      </c>
      <c r="E662" s="119" t="n">
        <v>87.32205963134766</v>
      </c>
      <c r="F662" s="120" t="n">
        <v>15330200</v>
      </c>
      <c r="G662" s="121" t="n">
        <v>0.03370776470486225</v>
      </c>
      <c r="H662" s="122" t="n">
        <v>55.84851313495444</v>
      </c>
      <c r="I662" s="119" t="n">
        <v>94.06040832519531</v>
      </c>
      <c r="J662" s="119" t="n">
        <v>97.76628623962402</v>
      </c>
      <c r="K662" s="121" t="n">
        <v>0.3236649397607116</v>
      </c>
      <c r="L662" s="121" t="n">
        <v>-0.13856414223418</v>
      </c>
      <c r="M662" s="121" t="n">
        <v>-0.270980135753192</v>
      </c>
      <c r="N662" t="n">
        <v>42.12283126972689</v>
      </c>
      <c r="O662" t="n">
        <v>-0.03755762072816671</v>
      </c>
      <c r="P662" t="n">
        <v>120.2181722699005</v>
      </c>
      <c r="Q662" t="n">
        <v>120.9789955744659</v>
      </c>
    </row>
    <row r="663">
      <c r="A663" s="118" t="n">
        <v>45394</v>
      </c>
      <c r="B663" s="119" t="n">
        <v>87.33155318717763</v>
      </c>
      <c r="C663" s="119" t="n">
        <v>88.14782519348323</v>
      </c>
      <c r="D663" s="119" t="n">
        <v>86.48680775484347</v>
      </c>
      <c r="E663" s="119" t="n">
        <v>87.32205963134766</v>
      </c>
      <c r="F663" s="120" t="n">
        <v>10905900</v>
      </c>
      <c r="G663" s="121" t="n">
        <v>0</v>
      </c>
      <c r="H663" s="122" t="n">
        <v>55.84851313495444</v>
      </c>
      <c r="I663" s="119" t="n">
        <v>93.88636123657227</v>
      </c>
      <c r="J663" s="119" t="n">
        <v>97.66924224853516</v>
      </c>
      <c r="K663" s="121" t="n">
        <v>0.3231902501188341</v>
      </c>
      <c r="L663" s="121" t="n">
        <v>-0.13856414223418</v>
      </c>
      <c r="M663" s="121" t="n">
        <v>-0.270980135753192</v>
      </c>
      <c r="N663" t="n">
        <v>42.12283126972689</v>
      </c>
      <c r="O663" t="n">
        <v>0.1437240523491701</v>
      </c>
      <c r="P663" t="n">
        <v>118.5587974085539</v>
      </c>
      <c r="Q663" t="n">
        <v>119.0503877334804</v>
      </c>
    </row>
    <row r="664">
      <c r="A664" s="118" t="n">
        <v>45397</v>
      </c>
      <c r="B664" s="119" t="n">
        <v>88.83120987319545</v>
      </c>
      <c r="C664" s="119" t="n">
        <v>89.1444320450088</v>
      </c>
      <c r="D664" s="119" t="n">
        <v>87.83460374669124</v>
      </c>
      <c r="E664" s="119" t="n">
        <v>88.36612701416016</v>
      </c>
      <c r="F664" s="120" t="n">
        <v>11597300</v>
      </c>
      <c r="G664" s="121" t="n">
        <v>0.01195651347689575</v>
      </c>
      <c r="H664" s="122" t="n">
        <v>56.51626663491711</v>
      </c>
      <c r="I664" s="119" t="n">
        <v>93.72884490966797</v>
      </c>
      <c r="J664" s="119" t="n">
        <v>97.5801431274414</v>
      </c>
      <c r="K664" s="121" t="n">
        <v>0.3280089335380182</v>
      </c>
      <c r="L664" s="121" t="n">
        <v>-0.1282643727913217</v>
      </c>
      <c r="M664" s="121" t="n">
        <v>-0.2622635999214004</v>
      </c>
      <c r="N664" t="n">
        <v>45.77890103727254</v>
      </c>
      <c r="O664" t="n">
        <v>0.3403024222210429</v>
      </c>
      <c r="P664" t="n">
        <v>117.0734730305031</v>
      </c>
      <c r="Q664" t="n">
        <v>117.0918780851975</v>
      </c>
    </row>
    <row r="665">
      <c r="A665" s="118" t="n">
        <v>45398</v>
      </c>
      <c r="B665" s="119" t="n">
        <v>88.30918587578952</v>
      </c>
      <c r="C665" s="119" t="n">
        <v>89.40071314908013</v>
      </c>
      <c r="D665" s="119" t="n">
        <v>86.98986393619555</v>
      </c>
      <c r="E665" s="119" t="n">
        <v>88.64138793945312</v>
      </c>
      <c r="F665" s="120" t="n">
        <v>10388200</v>
      </c>
      <c r="G665" s="121" t="n">
        <v>0.003115004975253299</v>
      </c>
      <c r="H665" s="122" t="n">
        <v>56.69231508666762</v>
      </c>
      <c r="I665" s="119" t="n">
        <v>93.59669494628906</v>
      </c>
      <c r="J665" s="119" t="n">
        <v>97.490823097229</v>
      </c>
      <c r="K665" s="121" t="n">
        <v>0.3279690364711917</v>
      </c>
      <c r="L665" s="121" t="n">
        <v>-0.1255489119754611</v>
      </c>
      <c r="M665" s="121" t="n">
        <v>-0.2599655473647301</v>
      </c>
      <c r="N665" t="n">
        <v>46.73423687659481</v>
      </c>
      <c r="O665" t="n">
        <v>0.4863244522152623</v>
      </c>
      <c r="P665" t="n">
        <v>116.8599558782131</v>
      </c>
      <c r="Q665" t="n">
        <v>117.1027514696693</v>
      </c>
    </row>
    <row r="666">
      <c r="A666" s="118" t="n">
        <v>45399</v>
      </c>
      <c r="B666" s="119" t="n">
        <v>89.79936092567414</v>
      </c>
      <c r="C666" s="119" t="n">
        <v>90.23597041246786</v>
      </c>
      <c r="D666" s="119" t="n">
        <v>88.89766852230092</v>
      </c>
      <c r="E666" s="119" t="n">
        <v>90.01766204833984</v>
      </c>
      <c r="F666" s="120" t="n">
        <v>10181200</v>
      </c>
      <c r="G666" s="121" t="n">
        <v>0.01552631497407053</v>
      </c>
      <c r="H666" s="122" t="n">
        <v>57.57253782731247</v>
      </c>
      <c r="I666" s="119" t="n">
        <v>93.51155349731445</v>
      </c>
      <c r="J666" s="119" t="n">
        <v>97.42247627258301</v>
      </c>
      <c r="K666" s="121" t="n">
        <v>0.3300697983816785</v>
      </c>
      <c r="L666" s="121" t="n">
        <v>-0.1119719089533735</v>
      </c>
      <c r="M666" s="121" t="n">
        <v>-0.2484755393614511</v>
      </c>
      <c r="N666" t="n">
        <v>51.34972960426667</v>
      </c>
      <c r="O666" t="n">
        <v>0.6621596891204304</v>
      </c>
      <c r="P666" t="n">
        <v>116.168358147292</v>
      </c>
      <c r="Q666" t="n">
        <v>115.6739333763575</v>
      </c>
    </row>
    <row r="667">
      <c r="A667" s="118" t="n">
        <v>45400</v>
      </c>
      <c r="B667" s="119" t="n">
        <v>90.32139166873202</v>
      </c>
      <c r="C667" s="119" t="n">
        <v>91.00477566050307</v>
      </c>
      <c r="D667" s="119" t="n">
        <v>89.72342071892237</v>
      </c>
      <c r="E667" s="119" t="n">
        <v>90.87189483642578</v>
      </c>
      <c r="F667" s="120" t="n">
        <v>10062900</v>
      </c>
      <c r="G667" s="121" t="n">
        <v>0.009489613134222585</v>
      </c>
      <c r="H667" s="122" t="n">
        <v>58.11887893844907</v>
      </c>
      <c r="I667" s="119" t="n">
        <v>93.38807418823242</v>
      </c>
      <c r="J667" s="119" t="n">
        <v>97.36431903839112</v>
      </c>
      <c r="K667" s="121" t="n">
        <v>0.3322575818066117</v>
      </c>
      <c r="L667" s="121" t="n">
        <v>-0.1035448659170187</v>
      </c>
      <c r="M667" s="121" t="n">
        <v>-0.2413438629690859</v>
      </c>
      <c r="N667" t="n">
        <v>54.01326501130097</v>
      </c>
      <c r="O667" t="n">
        <v>0.8126390394846466</v>
      </c>
      <c r="P667" t="n">
        <v>115.9293105843552</v>
      </c>
      <c r="Q667" t="n">
        <v>115.0138534972534</v>
      </c>
    </row>
    <row r="668">
      <c r="A668" s="118" t="n">
        <v>45401</v>
      </c>
      <c r="B668" s="119" t="n">
        <v>90.56817236139631</v>
      </c>
      <c r="C668" s="119" t="n">
        <v>91.32749761471439</v>
      </c>
      <c r="D668" s="119" t="n">
        <v>89.68545983203552</v>
      </c>
      <c r="E668" s="119" t="n">
        <v>89.72342681884766</v>
      </c>
      <c r="F668" s="120" t="n">
        <v>11241900</v>
      </c>
      <c r="G668" s="121" t="n">
        <v>-0.0126383192476115</v>
      </c>
      <c r="H668" s="122" t="n">
        <v>57.38435399211167</v>
      </c>
      <c r="I668" s="119" t="n">
        <v>93.21930526733398</v>
      </c>
      <c r="J668" s="119" t="n">
        <v>97.30986103057862</v>
      </c>
      <c r="K668" s="121" t="n">
        <v>0.3330001539020845</v>
      </c>
      <c r="L668" s="121" t="n">
        <v>-0.1148745520927198</v>
      </c>
      <c r="M668" s="121" t="n">
        <v>-0.2509320014280423</v>
      </c>
      <c r="N668" t="n">
        <v>50.04618004811454</v>
      </c>
      <c r="O668" t="n">
        <v>0.8096775796945133</v>
      </c>
      <c r="P668" t="n">
        <v>114.9174334881885</v>
      </c>
      <c r="Q668" t="n">
        <v>112.6343274090173</v>
      </c>
    </row>
    <row r="669">
      <c r="A669" s="118" t="n">
        <v>45404</v>
      </c>
      <c r="B669" s="119" t="n">
        <v>89.81834106282277</v>
      </c>
      <c r="C669" s="119" t="n">
        <v>90.22647712103237</v>
      </c>
      <c r="D669" s="119" t="n">
        <v>89.07800292036401</v>
      </c>
      <c r="E669" s="119" t="n">
        <v>89.40071868896484</v>
      </c>
      <c r="F669" s="120" t="n">
        <v>8642000</v>
      </c>
      <c r="G669" s="121" t="n">
        <v>-0.003596698669728338</v>
      </c>
      <c r="H669" s="122" t="n">
        <v>57.17795976244502</v>
      </c>
      <c r="I669" s="119" t="n">
        <v>93.04446060180663</v>
      </c>
      <c r="J669" s="119" t="n">
        <v>97.26318393707275</v>
      </c>
      <c r="K669" s="121" t="n">
        <v>0.2241067376249145</v>
      </c>
      <c r="L669" s="121" t="n">
        <v>-0.1180580816137506</v>
      </c>
      <c r="M669" s="121" t="n">
        <v>-0.2536261733020421</v>
      </c>
      <c r="N669" t="n">
        <v>48.95807435291951</v>
      </c>
      <c r="O669" t="n">
        <v>0.7615502852798997</v>
      </c>
      <c r="P669" t="n">
        <v>115.975716288038</v>
      </c>
      <c r="Q669" t="n">
        <v>113.7670555244013</v>
      </c>
    </row>
    <row r="670">
      <c r="A670" s="118" t="n">
        <v>45405</v>
      </c>
      <c r="B670" s="119" t="n">
        <v>89.57157397743197</v>
      </c>
      <c r="C670" s="119" t="n">
        <v>89.90377608937756</v>
      </c>
      <c r="D670" s="119" t="n">
        <v>89.13496445295162</v>
      </c>
      <c r="E670" s="119" t="n">
        <v>89.23936462402344</v>
      </c>
      <c r="F670" s="120" t="n">
        <v>6582700</v>
      </c>
      <c r="G670" s="121" t="n">
        <v>-0.001804840803380725</v>
      </c>
      <c r="H670" s="122" t="n">
        <v>57.0747626476117</v>
      </c>
      <c r="I670" s="119" t="n">
        <v>92.85258071899415</v>
      </c>
      <c r="J670" s="119" t="n">
        <v>97.21870635986328</v>
      </c>
      <c r="K670" s="121" t="n">
        <v>0.224171994655642</v>
      </c>
      <c r="L670" s="121" t="n">
        <v>-0.1196498463742659</v>
      </c>
      <c r="M670" s="121" t="n">
        <v>-0.254973259239042</v>
      </c>
      <c r="N670" t="n">
        <v>48.39154253878655</v>
      </c>
      <c r="O670" t="n">
        <v>0.6961983453561664</v>
      </c>
      <c r="P670" t="n">
        <v>117.3519654415703</v>
      </c>
      <c r="Q670" t="n">
        <v>115.4647801344613</v>
      </c>
    </row>
    <row r="671">
      <c r="A671" s="118" t="n">
        <v>45406</v>
      </c>
      <c r="B671" s="119" t="n">
        <v>89.31528403246351</v>
      </c>
      <c r="C671" s="119" t="n">
        <v>90.34986443111632</v>
      </c>
      <c r="D671" s="119" t="n">
        <v>89.31528403246351</v>
      </c>
      <c r="E671" s="119" t="n">
        <v>89.82782745361328</v>
      </c>
      <c r="F671" s="120" t="n">
        <v>6493200</v>
      </c>
      <c r="G671" s="121" t="n">
        <v>0.006594206851080919</v>
      </c>
      <c r="H671" s="122" t="n">
        <v>57.45112543848639</v>
      </c>
      <c r="I671" s="119" t="n">
        <v>92.62177658081055</v>
      </c>
      <c r="J671" s="119" t="n">
        <v>97.17097068786622</v>
      </c>
      <c r="K671" s="121" t="n">
        <v>0.2200052235135679</v>
      </c>
      <c r="L671" s="121" t="n">
        <v>-0.1138446353598771</v>
      </c>
      <c r="M671" s="121" t="n">
        <v>-0.2500603988008776</v>
      </c>
      <c r="N671" t="n">
        <v>50.63512395751825</v>
      </c>
      <c r="O671" t="n">
        <v>0.6697409736484252</v>
      </c>
      <c r="P671" t="n">
        <v>117.2962640499084</v>
      </c>
      <c r="Q671" t="n">
        <v>115.8559367169029</v>
      </c>
    </row>
    <row r="672">
      <c r="A672" s="118" t="n">
        <v>45407</v>
      </c>
      <c r="B672" s="119" t="n">
        <v>89.22037611923231</v>
      </c>
      <c r="C672" s="119" t="n">
        <v>89.97020780878431</v>
      </c>
      <c r="D672" s="119" t="n">
        <v>87.73969985409595</v>
      </c>
      <c r="E672" s="119" t="n">
        <v>89.16342926025391</v>
      </c>
      <c r="F672" s="120" t="n">
        <v>5317900</v>
      </c>
      <c r="G672" s="121" t="n">
        <v>-0.007396351578273119</v>
      </c>
      <c r="H672" s="122" t="n">
        <v>57.02619671617588</v>
      </c>
      <c r="I672" s="119" t="n">
        <v>92.41891998291015</v>
      </c>
      <c r="J672" s="119" t="n">
        <v>97.11235046386719</v>
      </c>
      <c r="K672" s="121" t="n">
        <v>0.2139786892663908</v>
      </c>
      <c r="L672" s="121" t="n">
        <v>-0.1203989519897282</v>
      </c>
      <c r="M672" s="121" t="n">
        <v>-0.2556072157538162</v>
      </c>
      <c r="N672" t="n">
        <v>48.09299893364045</v>
      </c>
      <c r="O672" t="n">
        <v>0.5875677642026478</v>
      </c>
      <c r="P672" t="n">
        <v>116.850660190234</v>
      </c>
      <c r="Q672" t="n">
        <v>115.2963601345486</v>
      </c>
    </row>
    <row r="673">
      <c r="A673" s="118" t="n">
        <v>45408</v>
      </c>
      <c r="B673" s="119" t="n">
        <v>89.78037007584473</v>
      </c>
      <c r="C673" s="119" t="n">
        <v>90.56816872729546</v>
      </c>
      <c r="D673" s="119" t="n">
        <v>89.13495305032309</v>
      </c>
      <c r="E673" s="119" t="n">
        <v>89.33427429199219</v>
      </c>
      <c r="F673" s="120" t="n">
        <v>6115700</v>
      </c>
      <c r="G673" s="121" t="n">
        <v>0.001916088615654399</v>
      </c>
      <c r="H673" s="122" t="n">
        <v>57.13546396249781</v>
      </c>
      <c r="I673" s="119" t="n">
        <v>92.19432266235351</v>
      </c>
      <c r="J673" s="119" t="n">
        <v>97.05284648895264</v>
      </c>
      <c r="K673" s="121" t="n">
        <v>0.2139979593704192</v>
      </c>
      <c r="L673" s="121" t="n">
        <v>-0.1187135584353181</v>
      </c>
      <c r="M673" s="121" t="n">
        <v>-0.2541808932143468</v>
      </c>
      <c r="N673" t="n">
        <v>48.80475834742111</v>
      </c>
      <c r="O673" t="n">
        <v>0.5267446880396862</v>
      </c>
      <c r="P673" t="n">
        <v>117.9576980734356</v>
      </c>
      <c r="Q673" t="n">
        <v>117.0755763984469</v>
      </c>
    </row>
    <row r="674">
      <c r="A674" s="118" t="n">
        <v>45411</v>
      </c>
      <c r="B674" s="119" t="n">
        <v>89.63800360402863</v>
      </c>
      <c r="C674" s="119" t="n">
        <v>90.06511951916598</v>
      </c>
      <c r="D674" s="119" t="n">
        <v>88.9356252331217</v>
      </c>
      <c r="E674" s="119" t="n">
        <v>89.27732086181641</v>
      </c>
      <c r="F674" s="120" t="n">
        <v>5030700</v>
      </c>
      <c r="G674" s="121" t="n">
        <v>-0.0006375316822928578</v>
      </c>
      <c r="H674" s="122" t="n">
        <v>57.09903829403922</v>
      </c>
      <c r="I674" s="119" t="n">
        <v>91.97388244628907</v>
      </c>
      <c r="J674" s="119" t="n">
        <v>96.99268196105957</v>
      </c>
      <c r="K674" s="121" t="n">
        <v>0.2063300503010208</v>
      </c>
      <c r="L674" s="121" t="n">
        <v>-0.1192754064629906</v>
      </c>
      <c r="M674" s="121" t="n">
        <v>-0.2546563765241819</v>
      </c>
      <c r="N674" t="n">
        <v>48.56568069802373</v>
      </c>
      <c r="O674" t="n">
        <v>0.4667537846012477</v>
      </c>
      <c r="P674" t="n">
        <v>118.375451237279</v>
      </c>
      <c r="Q674" t="n">
        <v>117.550951370802</v>
      </c>
    </row>
    <row r="675">
      <c r="A675" s="118" t="n">
        <v>45412</v>
      </c>
      <c r="B675" s="119" t="n">
        <v>88.18579848302294</v>
      </c>
      <c r="C675" s="119" t="n">
        <v>88.75528876871262</v>
      </c>
      <c r="D675" s="119" t="n">
        <v>87.55935409974097</v>
      </c>
      <c r="E675" s="119" t="n">
        <v>87.56884765625</v>
      </c>
      <c r="F675" s="120" t="n">
        <v>6493300</v>
      </c>
      <c r="G675" s="121" t="n">
        <v>-0.01913669887351099</v>
      </c>
      <c r="H675" s="122" t="n">
        <v>56.00635119223911</v>
      </c>
      <c r="I675" s="119" t="n">
        <v>91.76731842041016</v>
      </c>
      <c r="J675" s="119" t="n">
        <v>96.92345832824707</v>
      </c>
      <c r="K675" s="121" t="n">
        <v>0.2084590914926625</v>
      </c>
      <c r="L675" s="121" t="n">
        <v>-0.1361295678000038</v>
      </c>
      <c r="M675" s="121" t="n">
        <v>-0.2689197930039303</v>
      </c>
      <c r="N675" t="n">
        <v>41.93014296306023</v>
      </c>
      <c r="O675" t="n">
        <v>0.3039693330893862</v>
      </c>
      <c r="P675" t="n">
        <v>116.500231664837</v>
      </c>
      <c r="Q675" t="n">
        <v>115.3343918103284</v>
      </c>
    </row>
    <row r="676">
      <c r="A676" s="118" t="n">
        <v>45413</v>
      </c>
      <c r="B676" s="119" t="n">
        <v>87.14172348072775</v>
      </c>
      <c r="C676" s="119" t="n">
        <v>87.19867757764673</v>
      </c>
      <c r="D676" s="119" t="n">
        <v>85.50917937064465</v>
      </c>
      <c r="E676" s="119" t="n">
        <v>85.74646759033203</v>
      </c>
      <c r="F676" s="120" t="n">
        <v>9783100</v>
      </c>
      <c r="G676" s="121" t="n">
        <v>-0.02081082616356544</v>
      </c>
      <c r="H676" s="122" t="n">
        <v>54.84081275352183</v>
      </c>
      <c r="I676" s="119" t="n">
        <v>91.52827880859375</v>
      </c>
      <c r="J676" s="119" t="n">
        <v>96.84155292510987</v>
      </c>
      <c r="K676" s="121" t="n">
        <v>0.2207916606883182</v>
      </c>
      <c r="L676" s="121" t="n">
        <v>-0.1541074251923621</v>
      </c>
      <c r="M676" s="121" t="n">
        <v>-0.2804216581091459</v>
      </c>
      <c r="N676" t="n">
        <v>36.24195739501197</v>
      </c>
      <c r="O676" t="n">
        <v>0.07732722970665873</v>
      </c>
      <c r="P676" t="n">
        <v>116.1219451699879</v>
      </c>
      <c r="Q676" t="n">
        <v>114.5004636290328</v>
      </c>
    </row>
    <row r="677">
      <c r="A677" s="118" t="n">
        <v>45414</v>
      </c>
      <c r="B677" s="119" t="n">
        <v>86.68613295478016</v>
      </c>
      <c r="C677" s="119" t="n">
        <v>87.74917952973607</v>
      </c>
      <c r="D677" s="119" t="n">
        <v>86.28749048917169</v>
      </c>
      <c r="E677" s="119" t="n">
        <v>87.71121978759766</v>
      </c>
      <c r="F677" s="120" t="n">
        <v>7333300</v>
      </c>
      <c r="G677" s="121" t="n">
        <v>0.02291350597266062</v>
      </c>
      <c r="H677" s="122" t="n">
        <v>56.09740804409521</v>
      </c>
      <c r="I677" s="119" t="n">
        <v>91.29127090454102</v>
      </c>
      <c r="J677" s="119" t="n">
        <v>96.76472702026368</v>
      </c>
      <c r="K677" s="121" t="n">
        <v>0.2283325461313961</v>
      </c>
      <c r="L677" s="121" t="n">
        <v>-0.1347250606272781</v>
      </c>
      <c r="M677" s="121" t="n">
        <v>-0.2617290134486673</v>
      </c>
      <c r="N677" t="n">
        <v>44.91780925875641</v>
      </c>
      <c r="O677" t="n">
        <v>0.06405103003387846</v>
      </c>
      <c r="P677" t="n">
        <v>117.2080713920471</v>
      </c>
      <c r="Q677" t="n">
        <v>115.9618683159314</v>
      </c>
    </row>
    <row r="678">
      <c r="A678" s="118" t="n">
        <v>45415</v>
      </c>
      <c r="B678" s="119" t="n">
        <v>88.35665359006363</v>
      </c>
      <c r="C678" s="119" t="n">
        <v>88.88818422010169</v>
      </c>
      <c r="D678" s="119" t="n">
        <v>87.19869295659142</v>
      </c>
      <c r="E678" s="119" t="n">
        <v>87.46445465087891</v>
      </c>
      <c r="F678" s="120" t="n">
        <v>5736700</v>
      </c>
      <c r="G678" s="121" t="n">
        <v>-0.00281338165534939</v>
      </c>
      <c r="H678" s="122" t="n">
        <v>55.9395846253913</v>
      </c>
      <c r="I678" s="119" t="n">
        <v>91.05292160034179</v>
      </c>
      <c r="J678" s="119" t="n">
        <v>96.68591575622558</v>
      </c>
      <c r="K678" s="121" t="n">
        <v>0.2283947258794705</v>
      </c>
      <c r="L678" s="121" t="n">
        <v>-0.1371594092685429</v>
      </c>
      <c r="M678" s="121" t="n">
        <v>-0.2638060514989075</v>
      </c>
      <c r="N678" t="n">
        <v>44.10603390485039</v>
      </c>
      <c r="O678" t="n">
        <v>0.04392455054598798</v>
      </c>
      <c r="P678" t="n">
        <v>118.66091177752</v>
      </c>
      <c r="Q678" t="n">
        <v>118.2925061238302</v>
      </c>
    </row>
    <row r="679">
      <c r="A679" s="118" t="n">
        <v>45418</v>
      </c>
      <c r="B679" s="119" t="n">
        <v>88.09087046470414</v>
      </c>
      <c r="C679" s="119" t="n">
        <v>88.62240096542949</v>
      </c>
      <c r="D679" s="119" t="n">
        <v>87.77765553918714</v>
      </c>
      <c r="E679" s="119" t="n">
        <v>88.61290740966797</v>
      </c>
      <c r="F679" s="120" t="n">
        <v>6696300</v>
      </c>
      <c r="G679" s="121" t="n">
        <v>0.01313050842623098</v>
      </c>
      <c r="H679" s="122" t="n">
        <v>56.67409981267486</v>
      </c>
      <c r="I679" s="119" t="n">
        <v>90.82713790893554</v>
      </c>
      <c r="J679" s="119" t="n">
        <v>96.62388523101806</v>
      </c>
      <c r="K679" s="121" t="n">
        <v>0.2284422301074304</v>
      </c>
      <c r="L679" s="121" t="n">
        <v>-0.1258298736214494</v>
      </c>
      <c r="M679" s="121" t="n">
        <v>-0.2541394506547736</v>
      </c>
      <c r="N679" t="n">
        <v>48.74839366793574</v>
      </c>
      <c r="O679" t="n">
        <v>0.1094989453663231</v>
      </c>
      <c r="P679" t="n">
        <v>119.8863060259767</v>
      </c>
      <c r="Q679" t="n">
        <v>119.5882259368483</v>
      </c>
    </row>
    <row r="680">
      <c r="A680" s="118" t="n">
        <v>45419</v>
      </c>
      <c r="B680" s="119" t="n">
        <v>89.29629964783179</v>
      </c>
      <c r="C680" s="119" t="n">
        <v>89.52409429856414</v>
      </c>
      <c r="D680" s="119" t="n">
        <v>88.47053408191763</v>
      </c>
      <c r="E680" s="119" t="n">
        <v>89.01155090332031</v>
      </c>
      <c r="F680" s="120" t="n">
        <v>7113500</v>
      </c>
      <c r="G680" s="121" t="n">
        <v>0.004498706851016276</v>
      </c>
      <c r="H680" s="122" t="n">
        <v>56.92905997377732</v>
      </c>
      <c r="I680" s="119" t="n">
        <v>90.62994476318359</v>
      </c>
      <c r="J680" s="119" t="n">
        <v>96.55666122436523</v>
      </c>
      <c r="K680" s="121" t="n">
        <v>0.2261123841513803</v>
      </c>
      <c r="L680" s="121" t="n">
        <v>-0.1218972384849565</v>
      </c>
      <c r="M680" s="121" t="n">
        <v>-0.2507840426915315</v>
      </c>
      <c r="N680" t="n">
        <v>50.29172366859743</v>
      </c>
      <c r="O680" t="n">
        <v>0.1772508239124795</v>
      </c>
      <c r="P680" t="n">
        <v>120.0185986495792</v>
      </c>
      <c r="Q680" t="n">
        <v>119.6072375797596</v>
      </c>
    </row>
    <row r="681">
      <c r="A681" s="118" t="n">
        <v>45420</v>
      </c>
      <c r="B681" s="119" t="n">
        <v>88.3851343144601</v>
      </c>
      <c r="C681" s="119" t="n">
        <v>88.87869071249381</v>
      </c>
      <c r="D681" s="119" t="n">
        <v>88.01496520556904</v>
      </c>
      <c r="E681" s="119" t="n">
        <v>88.83123016357422</v>
      </c>
      <c r="F681" s="120" t="n">
        <v>5372900</v>
      </c>
      <c r="G681" s="121" t="n">
        <v>-0.002025812806496829</v>
      </c>
      <c r="H681" s="122" t="n">
        <v>56.81373235502062</v>
      </c>
      <c r="I681" s="119" t="n">
        <v>90.41760681152344</v>
      </c>
      <c r="J681" s="119" t="n">
        <v>96.48989784240723</v>
      </c>
      <c r="K681" s="121" t="n">
        <v>0.2089567577776476</v>
      </c>
      <c r="L681" s="121" t="n">
        <v>-0.1166709138957067</v>
      </c>
      <c r="M681" s="121" t="n">
        <v>-0.2416631572009222</v>
      </c>
      <c r="N681" t="n">
        <v>49.56466546417969</v>
      </c>
      <c r="O681" t="n">
        <v>0.2054637063537192</v>
      </c>
      <c r="P681" t="n">
        <v>120.0301928018786</v>
      </c>
      <c r="Q681" t="n">
        <v>119.536619310393</v>
      </c>
    </row>
    <row r="682">
      <c r="A682" s="118" t="n">
        <v>45421</v>
      </c>
      <c r="B682" s="119" t="n">
        <v>88.87867616227884</v>
      </c>
      <c r="C682" s="119" t="n">
        <v>89.20139191088197</v>
      </c>
      <c r="D682" s="119" t="n">
        <v>88.28071244768434</v>
      </c>
      <c r="E682" s="119" t="n">
        <v>88.64138793945312</v>
      </c>
      <c r="F682" s="120" t="n">
        <v>6429800</v>
      </c>
      <c r="G682" s="121" t="n">
        <v>-0.002137111281376169</v>
      </c>
      <c r="H682" s="122" t="n">
        <v>56.69231508666762</v>
      </c>
      <c r="I682" s="119" t="n">
        <v>90.21660461425782</v>
      </c>
      <c r="J682" s="119" t="n">
        <v>96.4243928527832</v>
      </c>
      <c r="K682" s="121" t="n">
        <v>0.1739920861301961</v>
      </c>
      <c r="L682" s="121" t="n">
        <v>-0.1185586864507879</v>
      </c>
      <c r="M682" s="121" t="n">
        <v>-0.2357822990628891</v>
      </c>
      <c r="N682" t="n">
        <v>48.76535433585088</v>
      </c>
      <c r="O682" t="n">
        <v>0.2063394138801817</v>
      </c>
      <c r="P682" t="n">
        <v>120.7217759855572</v>
      </c>
      <c r="Q682" t="n">
        <v>119.7973791787445</v>
      </c>
    </row>
    <row r="683">
      <c r="A683" s="118" t="n">
        <v>45422</v>
      </c>
      <c r="B683" s="119" t="n">
        <v>88.33767235412209</v>
      </c>
      <c r="C683" s="119" t="n">
        <v>88.40411277667013</v>
      </c>
      <c r="D683" s="119" t="n">
        <v>86.25902489782011</v>
      </c>
      <c r="E683" s="119" t="n">
        <v>86.31597900390625</v>
      </c>
      <c r="F683" s="120" t="n">
        <v>10548400</v>
      </c>
      <c r="G683" s="121" t="n">
        <v>-0.02623389580875313</v>
      </c>
      <c r="H683" s="122" t="n">
        <v>55.20505479952698</v>
      </c>
      <c r="I683" s="119" t="n">
        <v>89.97703842163087</v>
      </c>
      <c r="J683" s="119" t="n">
        <v>96.34256359100341</v>
      </c>
      <c r="K683" s="121" t="n">
        <v>0.1987623368722946</v>
      </c>
      <c r="L683" s="121" t="n">
        <v>-0.1394162097493508</v>
      </c>
      <c r="M683" s="121" t="n">
        <v>-0.255830706604478</v>
      </c>
      <c r="N683" t="n">
        <v>40.21112140202492</v>
      </c>
      <c r="O683" t="n">
        <v>0.05327763603121005</v>
      </c>
      <c r="P683" t="n">
        <v>120.8773005554862</v>
      </c>
      <c r="Q683" t="n">
        <v>120.0799025959539</v>
      </c>
    </row>
    <row r="684">
      <c r="A684" s="118" t="n">
        <v>45425</v>
      </c>
      <c r="B684" s="119" t="n">
        <v>86.62918652467231</v>
      </c>
      <c r="C684" s="119" t="n">
        <v>88.05291594908749</v>
      </c>
      <c r="D684" s="119" t="n">
        <v>86.51529280525499</v>
      </c>
      <c r="E684" s="119" t="n">
        <v>88.00546264648438</v>
      </c>
      <c r="F684" s="120" t="n">
        <v>8792100</v>
      </c>
      <c r="G684" s="121" t="n">
        <v>0.01957324312456299</v>
      </c>
      <c r="H684" s="122" t="n">
        <v>56.28559675882294</v>
      </c>
      <c r="I684" s="119" t="n">
        <v>89.80315368652344</v>
      </c>
      <c r="J684" s="119" t="n">
        <v>96.2768383026123</v>
      </c>
      <c r="K684" s="121" t="n">
        <v>0.2067731378052925</v>
      </c>
      <c r="L684" s="121" t="n">
        <v>-0.1190828850298756</v>
      </c>
      <c r="M684" s="121" t="n">
        <v>-0.2412649000990134</v>
      </c>
      <c r="N684" t="n">
        <v>47.42674532082692</v>
      </c>
      <c r="O684" t="n">
        <v>0.06785421023638394</v>
      </c>
      <c r="P684" t="n">
        <v>120.8935134572901</v>
      </c>
      <c r="Q684" t="n">
        <v>120.3569557610988</v>
      </c>
    </row>
    <row r="685">
      <c r="A685" s="118" t="n">
        <v>45426</v>
      </c>
      <c r="B685" s="119" t="n">
        <v>88.26174239121156</v>
      </c>
      <c r="C685" s="119" t="n">
        <v>89.54309759379973</v>
      </c>
      <c r="D685" s="119" t="n">
        <v>87.89157327138527</v>
      </c>
      <c r="E685" s="119" t="n">
        <v>88.07191467285156</v>
      </c>
      <c r="F685" s="120" t="n">
        <v>7811000</v>
      </c>
      <c r="G685" s="121" t="n">
        <v>0.0007550897906658527</v>
      </c>
      <c r="H685" s="122" t="n">
        <v>56.32809743829706</v>
      </c>
      <c r="I685" s="119" t="n">
        <v>89.67501815795899</v>
      </c>
      <c r="J685" s="119" t="n">
        <v>96.20698287963867</v>
      </c>
      <c r="K685" s="121" t="n">
        <v>0.2064523167896608</v>
      </c>
      <c r="L685" s="121" t="n">
        <v>-0.1184177135099388</v>
      </c>
      <c r="M685" s="121" t="n">
        <v>-0.2406919869712583</v>
      </c>
      <c r="N685" t="n">
        <v>47.69413386728578</v>
      </c>
      <c r="O685" t="n">
        <v>0.08300638818861372</v>
      </c>
      <c r="P685" t="n">
        <v>121.4482070887255</v>
      </c>
      <c r="Q685" t="n">
        <v>121.1311138876281</v>
      </c>
    </row>
    <row r="686">
      <c r="A686" s="118" t="n">
        <v>45427</v>
      </c>
      <c r="B686" s="119" t="n">
        <v>87.59732753973137</v>
      </c>
      <c r="C686" s="119" t="n">
        <v>87.910549754455</v>
      </c>
      <c r="D686" s="119" t="n">
        <v>86.23054496018267</v>
      </c>
      <c r="E686" s="119" t="n">
        <v>87.00885009765625</v>
      </c>
      <c r="F686" s="120" t="n">
        <v>15614400</v>
      </c>
      <c r="G686" s="121" t="n">
        <v>-0.01207041517314722</v>
      </c>
      <c r="H686" s="122" t="n">
        <v>55.64819391630332</v>
      </c>
      <c r="I686" s="119" t="n">
        <v>89.54897079467773</v>
      </c>
      <c r="J686" s="119" t="n">
        <v>96.12349807739258</v>
      </c>
      <c r="K686" s="121" t="n">
        <v>0.20168203433159</v>
      </c>
      <c r="L686" s="121" t="n">
        <v>-0.1290587777171663</v>
      </c>
      <c r="M686" s="121" t="n">
        <v>-0.2498571499328126</v>
      </c>
      <c r="N686" t="n">
        <v>43.8517482371951</v>
      </c>
      <c r="O686" t="n">
        <v>0.02545274210804604</v>
      </c>
      <c r="P686" t="n">
        <v>122.9521155691133</v>
      </c>
      <c r="Q686" t="n">
        <v>123.024425178866</v>
      </c>
    </row>
    <row r="687">
      <c r="A687" s="118" t="n">
        <v>45428</v>
      </c>
      <c r="B687" s="119" t="n">
        <v>87.02782541324231</v>
      </c>
      <c r="C687" s="119" t="n">
        <v>88.1193453759939</v>
      </c>
      <c r="D687" s="119" t="n">
        <v>86.87595748434316</v>
      </c>
      <c r="E687" s="119" t="n">
        <v>87.10375213623047</v>
      </c>
      <c r="F687" s="120" t="n">
        <v>12711700</v>
      </c>
      <c r="G687" s="121" t="n">
        <v>0.001090717076110082</v>
      </c>
      <c r="H687" s="122" t="n">
        <v>55.70889035166252</v>
      </c>
      <c r="I687" s="119" t="n">
        <v>89.43772979736327</v>
      </c>
      <c r="J687" s="119" t="n">
        <v>96.04513801574707</v>
      </c>
      <c r="K687" s="121" t="n">
        <v>0.1977093586396083</v>
      </c>
      <c r="L687" s="121" t="n">
        <v>-0.1281088272537343</v>
      </c>
      <c r="M687" s="121" t="n">
        <v>-0.2490389563167225</v>
      </c>
      <c r="N687" t="n">
        <v>44.28328920568289</v>
      </c>
      <c r="O687" t="n">
        <v>-0.0008137365781846206</v>
      </c>
      <c r="P687" t="n">
        <v>122.6990953797227</v>
      </c>
      <c r="Q687" t="n">
        <v>122.774521915072</v>
      </c>
    </row>
    <row r="688">
      <c r="A688" s="118" t="n">
        <v>45429</v>
      </c>
      <c r="B688" s="119" t="n">
        <v>87.33156565703278</v>
      </c>
      <c r="C688" s="119" t="n">
        <v>87.59732732652877</v>
      </c>
      <c r="D688" s="119" t="n">
        <v>86.69562767192465</v>
      </c>
      <c r="E688" s="119" t="n">
        <v>87.492919921875</v>
      </c>
      <c r="F688" s="120" t="n">
        <v>12019600</v>
      </c>
      <c r="G688" s="121" t="n">
        <v>0.004467864771610097</v>
      </c>
      <c r="H688" s="122" t="n">
        <v>55.9577901403302</v>
      </c>
      <c r="I688" s="119" t="n">
        <v>89.32364166259765</v>
      </c>
      <c r="J688" s="119" t="n">
        <v>95.97760154724121</v>
      </c>
      <c r="K688" s="121" t="n">
        <v>0.1948526677697782</v>
      </c>
      <c r="L688" s="121" t="n">
        <v>-0.1242133353983436</v>
      </c>
      <c r="M688" s="121" t="n">
        <v>-0.2456837639247983</v>
      </c>
      <c r="N688" t="n">
        <v>46.11232117085213</v>
      </c>
      <c r="O688" t="n">
        <v>0.01268811453107577</v>
      </c>
      <c r="P688" t="n">
        <v>122.8754952426877</v>
      </c>
      <c r="Q688" t="n">
        <v>122.7147602502628</v>
      </c>
    </row>
    <row r="689">
      <c r="A689" s="118" t="n">
        <v>45432</v>
      </c>
      <c r="B689" s="119" t="n">
        <v>87.55934868146649</v>
      </c>
      <c r="C689" s="119" t="n">
        <v>87.98646455893785</v>
      </c>
      <c r="D689" s="119" t="n">
        <v>86.21155339906295</v>
      </c>
      <c r="E689" s="119" t="n">
        <v>87.10375213623047</v>
      </c>
      <c r="F689" s="120" t="n">
        <v>9701500</v>
      </c>
      <c r="G689" s="121" t="n">
        <v>-0.00444799174598387</v>
      </c>
      <c r="H689" s="122" t="n">
        <v>55.70889035166251</v>
      </c>
      <c r="I689" s="119" t="n">
        <v>89.18335678100586</v>
      </c>
      <c r="J689" s="119" t="n">
        <v>95.90281139373779</v>
      </c>
      <c r="K689" s="121" t="n">
        <v>0.1950157092470469</v>
      </c>
      <c r="L689" s="121" t="n">
        <v>-0.1241287884454502</v>
      </c>
      <c r="M689" s="121" t="n">
        <v>-0.2490389563167225</v>
      </c>
      <c r="N689" t="n">
        <v>44.5377973214478</v>
      </c>
      <c r="O689" t="n">
        <v>0.0007077183642669738</v>
      </c>
      <c r="P689" t="n">
        <v>123.0170835542693</v>
      </c>
      <c r="Q689" t="n">
        <v>123.570435200502</v>
      </c>
    </row>
    <row r="690">
      <c r="A690" s="118" t="n">
        <v>45433</v>
      </c>
      <c r="B690" s="119" t="n">
        <v>86.91392365706467</v>
      </c>
      <c r="C690" s="119" t="n">
        <v>88.12883811109663</v>
      </c>
      <c r="D690" s="119" t="n">
        <v>86.80002271145116</v>
      </c>
      <c r="E690" s="119" t="n">
        <v>88.10036468505859</v>
      </c>
      <c r="F690" s="120" t="n">
        <v>7809700</v>
      </c>
      <c r="G690" s="121" t="n">
        <v>0.01144167184978917</v>
      </c>
      <c r="H690" s="122" t="n">
        <v>56.34629319418212</v>
      </c>
      <c r="I690" s="119" t="n">
        <v>89.02655654907227</v>
      </c>
      <c r="J690" s="119" t="n">
        <v>95.8322057723999</v>
      </c>
      <c r="K690" s="121" t="n">
        <v>0.2000990287777338</v>
      </c>
      <c r="L690" s="121" t="n">
        <v>-0.1141073574601659</v>
      </c>
      <c r="M690" s="121" t="n">
        <v>-0.2404467064829231</v>
      </c>
      <c r="N690" t="n">
        <v>49.31110304614819</v>
      </c>
      <c r="O690" t="n">
        <v>0.06181922591891797</v>
      </c>
      <c r="P690" t="n">
        <v>123.3187497226929</v>
      </c>
      <c r="Q690" t="n">
        <v>123.8121834259422</v>
      </c>
    </row>
    <row r="691">
      <c r="A691" s="118" t="n">
        <v>45434</v>
      </c>
      <c r="B691" s="119" t="n">
        <v>87.27460910952524</v>
      </c>
      <c r="C691" s="119" t="n">
        <v>88.04342790783534</v>
      </c>
      <c r="D691" s="119" t="n">
        <v>86.98986757510039</v>
      </c>
      <c r="E691" s="119" t="n">
        <v>87.79664611816406</v>
      </c>
      <c r="F691" s="120" t="n">
        <v>7611900</v>
      </c>
      <c r="G691" s="121" t="n">
        <v>-0.003447415546805832</v>
      </c>
      <c r="H691" s="122" t="n">
        <v>56.15204410701962</v>
      </c>
      <c r="I691" s="119" t="n">
        <v>88.8807666015625</v>
      </c>
      <c r="J691" s="119" t="n">
        <v>95.75223712921142</v>
      </c>
      <c r="K691" s="121" t="n">
        <v>0.1985013233008233</v>
      </c>
      <c r="L691" s="121" t="n">
        <v>-0.1103930118311416</v>
      </c>
      <c r="M691" s="121" t="n">
        <v>-0.2430652023156215</v>
      </c>
      <c r="N691" t="n">
        <v>47.95653869515012</v>
      </c>
      <c r="O691" t="n">
        <v>0.08241476397725545</v>
      </c>
      <c r="P691" t="n">
        <v>122.9636806269277</v>
      </c>
      <c r="Q691" t="n">
        <v>123.7877350907949</v>
      </c>
    </row>
    <row r="692">
      <c r="A692" s="118" t="n">
        <v>45435</v>
      </c>
      <c r="B692" s="119" t="n">
        <v>87.7491772440183</v>
      </c>
      <c r="C692" s="119" t="n">
        <v>87.87257174786981</v>
      </c>
      <c r="D692" s="119" t="n">
        <v>86.51528289573366</v>
      </c>
      <c r="E692" s="119" t="n">
        <v>86.75257110595703</v>
      </c>
      <c r="F692" s="120" t="n">
        <v>7729000</v>
      </c>
      <c r="G692" s="121" t="n">
        <v>-0.01189196920804725</v>
      </c>
      <c r="H692" s="122" t="n">
        <v>55.48428572753002</v>
      </c>
      <c r="I692" s="119" t="n">
        <v>88.69169525146485</v>
      </c>
      <c r="J692" s="119" t="n">
        <v>95.67075893402099</v>
      </c>
      <c r="K692" s="121" t="n">
        <v>0.2010274570059914</v>
      </c>
      <c r="L692" s="121" t="n">
        <v>-0.1174200219518899</v>
      </c>
      <c r="M692" s="121" t="n">
        <v>-0.2520666476221836</v>
      </c>
      <c r="N692" t="n">
        <v>43.52977453274232</v>
      </c>
      <c r="O692" t="n">
        <v>0.02910036649243519</v>
      </c>
      <c r="P692" t="n">
        <v>122.0655484201328</v>
      </c>
      <c r="Q692" t="n">
        <v>123.2308768545586</v>
      </c>
    </row>
    <row r="693">
      <c r="A693" s="118" t="n">
        <v>45436</v>
      </c>
      <c r="B693" s="119" t="n">
        <v>87.10375770362606</v>
      </c>
      <c r="C693" s="119" t="n">
        <v>87.51189373680251</v>
      </c>
      <c r="D693" s="119" t="n">
        <v>86.83799605252733</v>
      </c>
      <c r="E693" s="119" t="n">
        <v>87.08477783203125</v>
      </c>
      <c r="F693" s="120" t="n">
        <v>6936800</v>
      </c>
      <c r="G693" s="121" t="n">
        <v>0.003829358851721754</v>
      </c>
      <c r="H693" s="122" t="n">
        <v>55.6967549682122</v>
      </c>
      <c r="I693" s="119" t="n">
        <v>88.53014938354492</v>
      </c>
      <c r="J693" s="119" t="n">
        <v>95.59094177246094</v>
      </c>
      <c r="K693" s="121" t="n">
        <v>0.2015466301214633</v>
      </c>
      <c r="L693" s="121" t="n">
        <v>-0.09943072862995639</v>
      </c>
      <c r="M693" s="121" t="n">
        <v>-0.2492025424187576</v>
      </c>
      <c r="N693" t="n">
        <v>45.26116687872135</v>
      </c>
      <c r="O693" t="n">
        <v>0.02002024176694528</v>
      </c>
      <c r="P693" t="n">
        <v>122.8731822311248</v>
      </c>
      <c r="Q693" t="n">
        <v>124.3962083434437</v>
      </c>
    </row>
    <row r="694">
      <c r="A694" s="118" t="n">
        <v>45440</v>
      </c>
      <c r="B694" s="119" t="n">
        <v>87.07527786999772</v>
      </c>
      <c r="C694" s="119" t="n">
        <v>87.8156159125862</v>
      </c>
      <c r="D694" s="119" t="n">
        <v>86.70510884870347</v>
      </c>
      <c r="E694" s="119" t="n">
        <v>87.32205963134766</v>
      </c>
      <c r="F694" s="120" t="n">
        <v>10835000</v>
      </c>
      <c r="G694" s="121" t="n">
        <v>0.002724721877043423</v>
      </c>
      <c r="H694" s="122" t="n">
        <v>55.84851313495442</v>
      </c>
      <c r="I694" s="119" t="n">
        <v>88.38511856079101</v>
      </c>
      <c r="J694" s="119" t="n">
        <v>95.51541122436524</v>
      </c>
      <c r="K694" s="121" t="n">
        <v>0.2020233579183882</v>
      </c>
      <c r="L694" s="121" t="n">
        <v>-0.09234420077318484</v>
      </c>
      <c r="M694" s="121" t="n">
        <v>-0.2471568281608574</v>
      </c>
      <c r="N694" t="n">
        <v>46.52238071276096</v>
      </c>
      <c r="O694" t="n">
        <v>0.03303778014466341</v>
      </c>
      <c r="P694" t="n">
        <v>122.9590546038019</v>
      </c>
      <c r="Q694" t="n">
        <v>124.8661298436486</v>
      </c>
    </row>
    <row r="695">
      <c r="A695" s="118" t="n">
        <v>45441</v>
      </c>
      <c r="B695" s="119" t="n">
        <v>87.01834365486489</v>
      </c>
      <c r="C695" s="119" t="n">
        <v>88.00546360215424</v>
      </c>
      <c r="D695" s="119" t="n">
        <v>86.73359487030478</v>
      </c>
      <c r="E695" s="119" t="n">
        <v>87.00885009765625</v>
      </c>
      <c r="F695" s="120" t="n">
        <v>7237300</v>
      </c>
      <c r="G695" s="121" t="n">
        <v>-0.003586831724007644</v>
      </c>
      <c r="H695" s="122" t="n">
        <v>55.6481939163033</v>
      </c>
      <c r="I695" s="119" t="n">
        <v>88.25090835571289</v>
      </c>
      <c r="J695" s="119" t="n">
        <v>95.44273002624512</v>
      </c>
      <c r="K695" s="121" t="n">
        <v>0.1907648537823605</v>
      </c>
      <c r="L695" s="121" t="n">
        <v>-0.09559980938833113</v>
      </c>
      <c r="M695" s="121" t="n">
        <v>-0.2498571499328126</v>
      </c>
      <c r="N695" t="n">
        <v>45.04696647452013</v>
      </c>
      <c r="O695" t="n">
        <v>0.02401693417212675</v>
      </c>
      <c r="P695" t="n">
        <v>122.0980178654683</v>
      </c>
      <c r="Q695" t="n">
        <v>123.9860317281336</v>
      </c>
    </row>
    <row r="696">
      <c r="A696" s="118" t="n">
        <v>45442</v>
      </c>
      <c r="B696" s="119" t="n">
        <v>87.54036577965913</v>
      </c>
      <c r="C696" s="119" t="n">
        <v>89.10646210379623</v>
      </c>
      <c r="D696" s="119" t="n">
        <v>87.2840904688817</v>
      </c>
      <c r="E696" s="119" t="n">
        <v>88.69832611083984</v>
      </c>
      <c r="F696" s="120" t="n">
        <v>9300100</v>
      </c>
      <c r="G696" s="121" t="n">
        <v>0.01941728929054198</v>
      </c>
      <c r="H696" s="122" t="n">
        <v>56.72873099607234</v>
      </c>
      <c r="I696" s="119" t="n">
        <v>88.12732864379883</v>
      </c>
      <c r="J696" s="119" t="n">
        <v>95.38060997009278</v>
      </c>
      <c r="K696" s="121" t="n">
        <v>0.1866639765424301</v>
      </c>
      <c r="L696" s="121" t="n">
        <v>-0.07803880925280304</v>
      </c>
      <c r="M696" s="121" t="n">
        <v>-0.2352914092038264</v>
      </c>
      <c r="N696" t="n">
        <v>53.59586997501899</v>
      </c>
      <c r="O696" t="n">
        <v>0.1294077170072818</v>
      </c>
      <c r="P696" t="n">
        <v>121.2880710429134</v>
      </c>
      <c r="Q696" t="n">
        <v>122.6577253215288</v>
      </c>
    </row>
    <row r="697">
      <c r="A697" s="118" t="n">
        <v>45443</v>
      </c>
      <c r="B697" s="119" t="n">
        <v>88.74579018772403</v>
      </c>
      <c r="C697" s="119" t="n">
        <v>90.23595985095035</v>
      </c>
      <c r="D697" s="119" t="n">
        <v>88.24274034315472</v>
      </c>
      <c r="E697" s="119" t="n">
        <v>90.21697998046875</v>
      </c>
      <c r="F697" s="120" t="n">
        <v>12565600</v>
      </c>
      <c r="G697" s="121" t="n">
        <v>0.01712156177255419</v>
      </c>
      <c r="H697" s="122" t="n">
        <v>57.7000154681002</v>
      </c>
      <c r="I697" s="119" t="n">
        <v>88.02823684692383</v>
      </c>
      <c r="J697" s="119" t="n">
        <v>95.33120315551758</v>
      </c>
      <c r="K697" s="121" t="n">
        <v>0.1789302432619723</v>
      </c>
      <c r="L697" s="121" t="n">
        <v>-0.06225339377352723</v>
      </c>
      <c r="M697" s="121" t="n">
        <v>-0.2221984038285068</v>
      </c>
      <c r="N697" t="n">
        <v>59.66944494739406</v>
      </c>
      <c r="O697" t="n">
        <v>0.2897883167777417</v>
      </c>
      <c r="P697" t="n">
        <v>122.3927449992033</v>
      </c>
      <c r="Q697" t="n">
        <v>122.4295688266784</v>
      </c>
    </row>
    <row r="698">
      <c r="A698" s="118" t="n">
        <v>45446</v>
      </c>
      <c r="B698" s="119" t="n">
        <v>90.06451120934422</v>
      </c>
      <c r="C698" s="119" t="n">
        <v>90.76010365388994</v>
      </c>
      <c r="D698" s="119" t="n">
        <v>89.61667218505201</v>
      </c>
      <c r="E698" s="119" t="n">
        <v>89.95017242431641</v>
      </c>
      <c r="F698" s="120" t="n">
        <v>9668100</v>
      </c>
      <c r="G698" s="121" t="n">
        <v>-0.002957398443287573</v>
      </c>
      <c r="H698" s="122" t="n">
        <v>57.52937353217717</v>
      </c>
      <c r="I698" s="119" t="n">
        <v>87.91336822509766</v>
      </c>
      <c r="J698" s="119" t="n">
        <v>95.28055629730224</v>
      </c>
      <c r="K698" s="121" t="n">
        <v>0.1789766913049729</v>
      </c>
      <c r="L698" s="121" t="n">
        <v>-0.06502668412697965</v>
      </c>
      <c r="M698" s="121" t="n">
        <v>-0.2244986730582109</v>
      </c>
      <c r="N698" t="n">
        <v>58.22752840313339</v>
      </c>
      <c r="O698" t="n">
        <v>0.3616235891951392</v>
      </c>
      <c r="P698" t="n">
        <v>122.4925681774703</v>
      </c>
      <c r="Q698" t="n">
        <v>123.0869219697073</v>
      </c>
    </row>
    <row r="699">
      <c r="A699" s="118" t="n">
        <v>45447</v>
      </c>
      <c r="B699" s="119" t="n">
        <v>89.84536961960362</v>
      </c>
      <c r="C699" s="119" t="n">
        <v>90.62671626245121</v>
      </c>
      <c r="D699" s="119" t="n">
        <v>89.00685357622798</v>
      </c>
      <c r="E699" s="119" t="n">
        <v>90.27415466308594</v>
      </c>
      <c r="F699" s="120" t="n">
        <v>7838400</v>
      </c>
      <c r="G699" s="121" t="n">
        <v>0.003601796750774655</v>
      </c>
      <c r="H699" s="122" t="n">
        <v>57.73658264283947</v>
      </c>
      <c r="I699" s="119" t="n">
        <v>87.93710159301757</v>
      </c>
      <c r="J699" s="119" t="n">
        <v>95.23848125457764</v>
      </c>
      <c r="K699" s="121" t="n">
        <v>0.1738605454085609</v>
      </c>
      <c r="L699" s="121" t="n">
        <v>-0.06165910027580723</v>
      </c>
      <c r="M699" s="121" t="n">
        <v>-0.2217054748986105</v>
      </c>
      <c r="N699" t="n">
        <v>59.50712906686829</v>
      </c>
      <c r="O699" t="n">
        <v>0.4110732533639113</v>
      </c>
      <c r="P699" t="n">
        <v>122.6295159186836</v>
      </c>
      <c r="Q699" t="n">
        <v>123.4237535795757</v>
      </c>
    </row>
    <row r="700">
      <c r="A700" s="118" t="n">
        <v>45448</v>
      </c>
      <c r="B700" s="119" t="n">
        <v>90.82681689194561</v>
      </c>
      <c r="C700" s="119" t="n">
        <v>90.82681689194561</v>
      </c>
      <c r="D700" s="119" t="n">
        <v>89.28317764205748</v>
      </c>
      <c r="E700" s="119" t="n">
        <v>89.87395477294922</v>
      </c>
      <c r="F700" s="120" t="n">
        <v>7463300</v>
      </c>
      <c r="G700" s="121" t="n">
        <v>-0.004433161314335354</v>
      </c>
      <c r="H700" s="122" t="n">
        <v>57.48062705824532</v>
      </c>
      <c r="I700" s="119" t="n">
        <v>87.95491897583008</v>
      </c>
      <c r="J700" s="119" t="n">
        <v>95.19553256988526</v>
      </c>
      <c r="K700" s="121" t="n">
        <v>0.1743573028014798</v>
      </c>
      <c r="L700" s="121" t="n">
        <v>-0.06581891685212304</v>
      </c>
      <c r="M700" s="121" t="n">
        <v>-0.2251557800784489</v>
      </c>
      <c r="N700" t="n">
        <v>57.17717466360936</v>
      </c>
      <c r="O700" t="n">
        <v>0.3967472881150471</v>
      </c>
      <c r="P700" t="n">
        <v>124.0869750536609</v>
      </c>
      <c r="Q700" t="n">
        <v>125.9119296129583</v>
      </c>
    </row>
    <row r="701">
      <c r="A701" s="118" t="n">
        <v>45449</v>
      </c>
      <c r="B701" s="119" t="n">
        <v>90.38849248176552</v>
      </c>
      <c r="C701" s="119" t="n">
        <v>92.23704714085667</v>
      </c>
      <c r="D701" s="119" t="n">
        <v>89.55949990098786</v>
      </c>
      <c r="E701" s="119" t="n">
        <v>91.20795440673828</v>
      </c>
      <c r="F701" s="120" t="n">
        <v>9760100</v>
      </c>
      <c r="G701" s="121" t="n">
        <v>0.01484300582030884</v>
      </c>
      <c r="H701" s="122" t="n">
        <v>58.33381234022585</v>
      </c>
      <c r="I701" s="119" t="n">
        <v>88.02162658691407</v>
      </c>
      <c r="J701" s="119" t="n">
        <v>95.1684135055542</v>
      </c>
      <c r="K701" s="121" t="n">
        <v>0.1812124830726851</v>
      </c>
      <c r="L701" s="121" t="n">
        <v>-0.05195286159773671</v>
      </c>
      <c r="M701" s="121" t="n">
        <v>-0.2136547628123207</v>
      </c>
      <c r="N701" t="n">
        <v>62.45434952984311</v>
      </c>
      <c r="O701" t="n">
        <v>0.4529672795446653</v>
      </c>
      <c r="P701" t="n">
        <v>124.0846329476129</v>
      </c>
      <c r="Q701" t="n">
        <v>125.8684780248569</v>
      </c>
    </row>
    <row r="702">
      <c r="A702" s="118" t="n">
        <v>45450</v>
      </c>
      <c r="B702" s="119" t="n">
        <v>90.89350924876135</v>
      </c>
      <c r="C702" s="119" t="n">
        <v>93.32331035424779</v>
      </c>
      <c r="D702" s="119" t="n">
        <v>90.80775515480228</v>
      </c>
      <c r="E702" s="119" t="n">
        <v>91.99883270263672</v>
      </c>
      <c r="F702" s="120" t="n">
        <v>9397400</v>
      </c>
      <c r="G702" s="121" t="n">
        <v>0.008671154846555895</v>
      </c>
      <c r="H702" s="122" t="n">
        <v>58.83963385981789</v>
      </c>
      <c r="I702" s="119" t="n">
        <v>88.07472793579102</v>
      </c>
      <c r="J702" s="119" t="n">
        <v>95.1518249130249</v>
      </c>
      <c r="K702" s="121" t="n">
        <v>0.1824846529484741</v>
      </c>
      <c r="L702" s="121" t="n">
        <v>-0.03861042616484855</v>
      </c>
      <c r="M702" s="121" t="n">
        <v>-0.2068362414978147</v>
      </c>
      <c r="N702" t="n">
        <v>65.19296950744402</v>
      </c>
      <c r="O702" t="n">
        <v>0.5147638260585263</v>
      </c>
      <c r="P702" t="n">
        <v>123.9337925897799</v>
      </c>
      <c r="Q702" t="n">
        <v>125.7571097335925</v>
      </c>
    </row>
    <row r="703">
      <c r="A703" s="118" t="n">
        <v>45453</v>
      </c>
      <c r="B703" s="119" t="n">
        <v>91.21750000150192</v>
      </c>
      <c r="C703" s="119" t="n">
        <v>92.41810111817236</v>
      </c>
      <c r="D703" s="119" t="n">
        <v>91.09362326503165</v>
      </c>
      <c r="E703" s="119" t="n">
        <v>91.47476959228516</v>
      </c>
      <c r="F703" s="120" t="n">
        <v>7035100</v>
      </c>
      <c r="G703" s="121" t="n">
        <v>-0.005696410432135202</v>
      </c>
      <c r="H703" s="122" t="n">
        <v>58.5044591556758</v>
      </c>
      <c r="I703" s="119" t="n">
        <v>88.12019561767578</v>
      </c>
      <c r="J703" s="119" t="n">
        <v>95.14534557342529</v>
      </c>
      <c r="K703" s="121" t="n">
        <v>0.1525632038099125</v>
      </c>
      <c r="L703" s="121" t="n">
        <v>-0.04408689576258917</v>
      </c>
      <c r="M703" s="121" t="n">
        <v>-0.211354427806138</v>
      </c>
      <c r="N703" t="n">
        <v>61.96748736271999</v>
      </c>
      <c r="O703" t="n">
        <v>0.4917264326915866</v>
      </c>
      <c r="P703" t="n">
        <v>124.3167051077548</v>
      </c>
      <c r="Q703" t="n">
        <v>126.2650712995344</v>
      </c>
    </row>
    <row r="704">
      <c r="A704" s="118" t="n">
        <v>45454</v>
      </c>
      <c r="B704" s="119" t="n">
        <v>91.01737596469511</v>
      </c>
      <c r="C704" s="119" t="n">
        <v>91.47475292802974</v>
      </c>
      <c r="D704" s="119" t="n">
        <v>90.06451395502813</v>
      </c>
      <c r="E704" s="119" t="n">
        <v>91.35088348388672</v>
      </c>
      <c r="F704" s="120" t="n">
        <v>7301500</v>
      </c>
      <c r="G704" s="121" t="n">
        <v>-0.00135431998299218</v>
      </c>
      <c r="H704" s="122" t="n">
        <v>58.42522539754712</v>
      </c>
      <c r="I704" s="119" t="n">
        <v>88.19014144897461</v>
      </c>
      <c r="J704" s="119" t="n">
        <v>95.14350776672363</v>
      </c>
      <c r="K704" s="121" t="n">
        <v>0.1398783289262164</v>
      </c>
      <c r="L704" s="121" t="n">
        <v>-0.04538150798166196</v>
      </c>
      <c r="M704" s="121" t="n">
        <v>-0.2124225062640585</v>
      </c>
      <c r="N704" t="n">
        <v>61.19668071834568</v>
      </c>
      <c r="O704" t="n">
        <v>0.4411420449137332</v>
      </c>
      <c r="P704" t="n">
        <v>124.6161164535857</v>
      </c>
      <c r="Q704" t="n">
        <v>127.1315944643739</v>
      </c>
    </row>
    <row r="705">
      <c r="A705" s="118" t="n">
        <v>45455</v>
      </c>
      <c r="B705" s="119" t="n">
        <v>91.80826207696384</v>
      </c>
      <c r="C705" s="119" t="n">
        <v>91.95119284622103</v>
      </c>
      <c r="D705" s="119" t="n">
        <v>89.0926065401209</v>
      </c>
      <c r="E705" s="119" t="n">
        <v>89.26412200927734</v>
      </c>
      <c r="F705" s="120" t="n">
        <v>9861300</v>
      </c>
      <c r="G705" s="121" t="n">
        <v>-0.02284336390657304</v>
      </c>
      <c r="H705" s="122" t="n">
        <v>57.0905967124674</v>
      </c>
      <c r="I705" s="119" t="n">
        <v>88.24891494750976</v>
      </c>
      <c r="J705" s="119" t="n">
        <v>95.12555240631103</v>
      </c>
      <c r="K705" s="121" t="n">
        <v>0.1652327617618417</v>
      </c>
      <c r="L705" s="121" t="n">
        <v>-0.06718820558678074</v>
      </c>
      <c r="M705" s="121" t="n">
        <v>-0.2304134255580953</v>
      </c>
      <c r="N705" t="n">
        <v>49.93038047118085</v>
      </c>
      <c r="O705" t="n">
        <v>0.2496718797160958</v>
      </c>
      <c r="P705" t="n">
        <v>125.6396022492944</v>
      </c>
      <c r="Q705" t="n">
        <v>128.7967157009328</v>
      </c>
    </row>
    <row r="706">
      <c r="A706" s="118" t="n">
        <v>45456</v>
      </c>
      <c r="B706" s="119" t="n">
        <v>89.6071546942662</v>
      </c>
      <c r="C706" s="119" t="n">
        <v>90.07405509783061</v>
      </c>
      <c r="D706" s="119" t="n">
        <v>89.30223910646237</v>
      </c>
      <c r="E706" s="119" t="n">
        <v>89.74055480957031</v>
      </c>
      <c r="F706" s="120" t="n">
        <v>8348200</v>
      </c>
      <c r="G706" s="121" t="n">
        <v>0.005337338110416256</v>
      </c>
      <c r="H706" s="122" t="n">
        <v>57.39530853004726</v>
      </c>
      <c r="I706" s="119" t="n">
        <v>88.32898635864258</v>
      </c>
      <c r="J706" s="119" t="n">
        <v>95.10626850128173</v>
      </c>
      <c r="K706" s="121" t="n">
        <v>0.1587830292415401</v>
      </c>
      <c r="L706" s="121" t="n">
        <v>-0.06220947364661333</v>
      </c>
      <c r="M706" s="121" t="n">
        <v>-0.2263058818050618</v>
      </c>
      <c r="N706" t="n">
        <v>52.09865700720393</v>
      </c>
      <c r="O706" t="n">
        <v>0.1429424389096703</v>
      </c>
      <c r="P706" t="n">
        <v>125.8925642497148</v>
      </c>
      <c r="Q706" t="n">
        <v>129.4948272558167</v>
      </c>
    </row>
    <row r="707">
      <c r="A707" s="118" t="n">
        <v>45457</v>
      </c>
      <c r="B707" s="119" t="n">
        <v>89.37846226526391</v>
      </c>
      <c r="C707" s="119" t="n">
        <v>90.31226299345407</v>
      </c>
      <c r="D707" s="119" t="n">
        <v>88.90203124523534</v>
      </c>
      <c r="E707" s="119" t="n">
        <v>88.98778533935547</v>
      </c>
      <c r="F707" s="120" t="n">
        <v>7426800</v>
      </c>
      <c r="G707" s="121" t="n">
        <v>-0.008388286341801887</v>
      </c>
      <c r="H707" s="122" t="n">
        <v>56.91386024742117</v>
      </c>
      <c r="I707" s="119" t="n">
        <v>88.41792098999024</v>
      </c>
      <c r="J707" s="119" t="n">
        <v>95.07316852569581</v>
      </c>
      <c r="K707" s="121" t="n">
        <v>0.1626985621299484</v>
      </c>
      <c r="L707" s="121" t="n">
        <v>-0.07007592911029448</v>
      </c>
      <c r="M707" s="121" t="n">
        <v>-0.2327958496094489</v>
      </c>
      <c r="N707" t="n">
        <v>48.52317484932063</v>
      </c>
      <c r="O707" t="n">
        <v>0.01615116410442796</v>
      </c>
      <c r="P707" t="n">
        <v>125.9691554816553</v>
      </c>
      <c r="Q707" t="n">
        <v>130.1657805193926</v>
      </c>
    </row>
    <row r="708">
      <c r="A708" s="118" t="n">
        <v>45460</v>
      </c>
      <c r="B708" s="119" t="n">
        <v>87.67284820686206</v>
      </c>
      <c r="C708" s="119" t="n">
        <v>90.63625006648699</v>
      </c>
      <c r="D708" s="119" t="n">
        <v>87.67284820686206</v>
      </c>
      <c r="E708" s="119" t="n">
        <v>90.52190399169922</v>
      </c>
      <c r="F708" s="120" t="n">
        <v>6365400</v>
      </c>
      <c r="G708" s="121" t="n">
        <v>0.01723965425696772</v>
      </c>
      <c r="H708" s="122" t="n">
        <v>57.89503552051609</v>
      </c>
      <c r="I708" s="119" t="n">
        <v>88.54190414428712</v>
      </c>
      <c r="J708" s="119" t="n">
        <v>95.04618911743164</v>
      </c>
      <c r="K708" s="121" t="n">
        <v>0.1722213365981579</v>
      </c>
      <c r="L708" s="121" t="n">
        <v>-0.01605377663552854</v>
      </c>
      <c r="M708" s="121" t="n">
        <v>-0.2195695153122051</v>
      </c>
      <c r="N708" t="n">
        <v>55.26175862034707</v>
      </c>
      <c r="O708" t="n">
        <v>0.02933917417298015</v>
      </c>
      <c r="P708" t="n">
        <v>126.971765984328</v>
      </c>
      <c r="Q708" t="n">
        <v>131.760291876542</v>
      </c>
    </row>
    <row r="709">
      <c r="A709" s="118" t="n">
        <v>45461</v>
      </c>
      <c r="B709" s="119" t="n">
        <v>90.2074557027475</v>
      </c>
      <c r="C709" s="119" t="n">
        <v>90.76964813723283</v>
      </c>
      <c r="D709" s="119" t="n">
        <v>89.76913999726052</v>
      </c>
      <c r="E709" s="119" t="n">
        <v>90.31227111816406</v>
      </c>
      <c r="F709" s="120" t="n">
        <v>6712000</v>
      </c>
      <c r="G709" s="121" t="n">
        <v>-0.00231582483676418</v>
      </c>
      <c r="H709" s="122" t="n">
        <v>57.76096075933233</v>
      </c>
      <c r="I709" s="119" t="n">
        <v>88.63967422485352</v>
      </c>
      <c r="J709" s="119" t="n">
        <v>95.01999340057372</v>
      </c>
      <c r="K709" s="121" t="n">
        <v>0.1713663053205187</v>
      </c>
      <c r="L709" s="121" t="n">
        <v>-0.01833242373763633</v>
      </c>
      <c r="M709" s="121" t="n">
        <v>-0.2213768556120129</v>
      </c>
      <c r="N709" t="n">
        <v>54.21732678974907</v>
      </c>
      <c r="O709" t="n">
        <v>0.01822313229835532</v>
      </c>
      <c r="P709" t="n">
        <v>127.2943365402727</v>
      </c>
      <c r="Q709" t="n">
        <v>131.8010418984398</v>
      </c>
    </row>
    <row r="710">
      <c r="A710" s="118" t="n">
        <v>45463</v>
      </c>
      <c r="B710" s="119" t="n">
        <v>89.45468614757493</v>
      </c>
      <c r="C710" s="119" t="n">
        <v>91.56051039418494</v>
      </c>
      <c r="D710" s="119" t="n">
        <v>89.11165522987045</v>
      </c>
      <c r="E710" s="119" t="n">
        <v>91.06502532958984</v>
      </c>
      <c r="F710" s="120" t="n">
        <v>9393800</v>
      </c>
      <c r="G710" s="121" t="n">
        <v>0.008335015852285244</v>
      </c>
      <c r="H710" s="122" t="n">
        <v>58.2423992829046</v>
      </c>
      <c r="I710" s="119" t="n">
        <v>88.73351638793946</v>
      </c>
      <c r="J710" s="119" t="n">
        <v>94.99289558410645</v>
      </c>
      <c r="K710" s="121" t="n">
        <v>0.1694074178678876</v>
      </c>
      <c r="L710" s="121" t="n">
        <v>-0.01015020892781493</v>
      </c>
      <c r="M710" s="121" t="n">
        <v>-0.2148870193605829</v>
      </c>
      <c r="N710" t="n">
        <v>57.33550208609764</v>
      </c>
      <c r="O710" t="n">
        <v>0.05383226404275876</v>
      </c>
      <c r="P710" t="n">
        <v>126.9485340380016</v>
      </c>
      <c r="Q710" t="n">
        <v>130.7851103765988</v>
      </c>
    </row>
    <row r="711">
      <c r="A711" s="118" t="n">
        <v>45464</v>
      </c>
      <c r="B711" s="119" t="n">
        <v>91.43664346273265</v>
      </c>
      <c r="C711" s="119" t="n">
        <v>92.62772105150796</v>
      </c>
      <c r="D711" s="119" t="n">
        <v>90.92209707201043</v>
      </c>
      <c r="E711" s="119" t="n">
        <v>92.59913635253906</v>
      </c>
      <c r="F711" s="120" t="n">
        <v>15124400</v>
      </c>
      <c r="G711" s="121" t="n">
        <v>0.01684632511106043</v>
      </c>
      <c r="H711" s="122" t="n">
        <v>59.22356967647261</v>
      </c>
      <c r="I711" s="119" t="n">
        <v>88.89600692749023</v>
      </c>
      <c r="J711" s="119" t="n">
        <v>94.98308284759521</v>
      </c>
      <c r="K711" s="121" t="n">
        <v>0.1763845683477694</v>
      </c>
      <c r="L711" s="121" t="n">
        <v>0</v>
      </c>
      <c r="M711" s="121" t="n">
        <v>-0.2016607508398176</v>
      </c>
      <c r="N711" t="n">
        <v>62.88370434430713</v>
      </c>
      <c r="O711" t="n">
        <v>0.1666028115677403</v>
      </c>
      <c r="P711" t="n">
        <v>126.778331300356</v>
      </c>
      <c r="Q711" t="n">
        <v>130.4346954260979</v>
      </c>
    </row>
    <row r="712">
      <c r="A712" s="118" t="n">
        <v>45467</v>
      </c>
      <c r="B712" s="119" t="n">
        <v>92.71348396271269</v>
      </c>
      <c r="C712" s="119" t="n">
        <v>93.4185998714814</v>
      </c>
      <c r="D712" s="119" t="n">
        <v>92.12270685172439</v>
      </c>
      <c r="E712" s="119" t="n">
        <v>92.58960723876953</v>
      </c>
      <c r="F712" s="120" t="n">
        <v>9466900</v>
      </c>
      <c r="G712" s="121" t="n">
        <v>-0.0001029071559939254</v>
      </c>
      <c r="H712" s="122" t="n">
        <v>59.2174751473494</v>
      </c>
      <c r="I712" s="119" t="n">
        <v>89.00135787963868</v>
      </c>
      <c r="J712" s="119" t="n">
        <v>94.97388229370117</v>
      </c>
      <c r="K712" s="121" t="n">
        <v>0.1682012785827629</v>
      </c>
      <c r="L712" s="121" t="n">
        <v>-0.0001029071559938144</v>
      </c>
      <c r="M712" s="121" t="n">
        <v>-0.201742905661467</v>
      </c>
      <c r="N712" t="n">
        <v>62.82904976671662</v>
      </c>
      <c r="O712" t="n">
        <v>0.2229337923847751</v>
      </c>
      <c r="P712" t="n">
        <v>126.3662079193732</v>
      </c>
      <c r="Q712" t="n">
        <v>128.9497485194248</v>
      </c>
    </row>
    <row r="713">
      <c r="A713" s="118" t="n">
        <v>45468</v>
      </c>
      <c r="B713" s="119" t="n">
        <v>92.72300842117842</v>
      </c>
      <c r="C713" s="119" t="n">
        <v>93.03745465823093</v>
      </c>
      <c r="D713" s="119" t="n">
        <v>90.04546825237829</v>
      </c>
      <c r="E713" s="119" t="n">
        <v>90.28368377685547</v>
      </c>
      <c r="F713" s="120" t="n">
        <v>9006500</v>
      </c>
      <c r="G713" s="121" t="n">
        <v>-0.02490477636402066</v>
      </c>
      <c r="H713" s="122" t="n">
        <v>57.74267717196271</v>
      </c>
      <c r="I713" s="119" t="n">
        <v>89.06059036254882</v>
      </c>
      <c r="J713" s="119" t="n">
        <v>94.96375640869141</v>
      </c>
      <c r="K713" s="121" t="n">
        <v>0.1957099562128783</v>
      </c>
      <c r="L713" s="121" t="n">
        <v>-0.02500512064030824</v>
      </c>
      <c r="M713" s="121" t="n">
        <v>-0.2216233200769611</v>
      </c>
      <c r="N713" t="n">
        <v>51.22635343473315</v>
      </c>
      <c r="O713" t="n">
        <v>0.09387794939803706</v>
      </c>
      <c r="P713" t="n">
        <v>126.8528422766142</v>
      </c>
      <c r="Q713" t="n">
        <v>130.4243673888411</v>
      </c>
    </row>
    <row r="714">
      <c r="A714" s="118" t="n">
        <v>45469</v>
      </c>
      <c r="B714" s="119" t="n">
        <v>89.65479014374193</v>
      </c>
      <c r="C714" s="119" t="n">
        <v>90.02641304530222</v>
      </c>
      <c r="D714" s="119" t="n">
        <v>88.75910472672403</v>
      </c>
      <c r="E714" s="119" t="n">
        <v>89.62620544433594</v>
      </c>
      <c r="F714" s="120" t="n">
        <v>10160400</v>
      </c>
      <c r="G714" s="121" t="n">
        <v>-0.007282360499872298</v>
      </c>
      <c r="H714" s="122" t="n">
        <v>57.32217418056873</v>
      </c>
      <c r="I714" s="119" t="n">
        <v>89.08579193115234</v>
      </c>
      <c r="J714" s="119" t="n">
        <v>94.9515684890747</v>
      </c>
      <c r="K714" s="121" t="n">
        <v>0.1983414663272568</v>
      </c>
      <c r="L714" s="121" t="n">
        <v>-0.03210538483733505</v>
      </c>
      <c r="M714" s="121" t="n">
        <v>-0.2272917396648544</v>
      </c>
      <c r="N714" t="n">
        <v>48.47745025182708</v>
      </c>
      <c r="O714" t="n">
        <v>-0.03962349241194085</v>
      </c>
      <c r="P714" t="n">
        <v>127.0111890115947</v>
      </c>
      <c r="Q714" t="n">
        <v>130.6937017934042</v>
      </c>
    </row>
    <row r="715">
      <c r="A715" s="118" t="n">
        <v>45470</v>
      </c>
      <c r="B715" s="119" t="n">
        <v>89.34987631454675</v>
      </c>
      <c r="C715" s="119" t="n">
        <v>90.27415371880741</v>
      </c>
      <c r="D715" s="119" t="n">
        <v>88.98779133205493</v>
      </c>
      <c r="E715" s="119" t="n">
        <v>89.75008392333984</v>
      </c>
      <c r="F715" s="120" t="n">
        <v>25772700</v>
      </c>
      <c r="G715" s="121" t="n">
        <v>0.001382168065575895</v>
      </c>
      <c r="H715" s="122" t="n">
        <v>57.40140305917048</v>
      </c>
      <c r="I715" s="119" t="n">
        <v>89.10796585083008</v>
      </c>
      <c r="J715" s="119" t="n">
        <v>94.94414737701416</v>
      </c>
      <c r="K715" s="121" t="n">
        <v>0.1974743399508281</v>
      </c>
      <c r="L715" s="121" t="n">
        <v>-0.03076759180941446</v>
      </c>
      <c r="M715" s="121" t="n">
        <v>-0.2262237269834124</v>
      </c>
      <c r="N715" t="n">
        <v>49.03240711709897</v>
      </c>
      <c r="O715" t="n">
        <v>-0.1189583069847513</v>
      </c>
      <c r="P715" t="n">
        <v>127.211388163345</v>
      </c>
      <c r="Q715" t="n">
        <v>131.0310703605304</v>
      </c>
    </row>
    <row r="716">
      <c r="A716" s="118" t="n">
        <v>45471</v>
      </c>
      <c r="B716" s="119" t="n">
        <v>73.49425473874258</v>
      </c>
      <c r="C716" s="119" t="n">
        <v>75.32375558494931</v>
      </c>
      <c r="D716" s="119" t="n">
        <v>71.03587592591451</v>
      </c>
      <c r="E716" s="119" t="n">
        <v>71.81722259521484</v>
      </c>
      <c r="F716" s="120" t="n">
        <v>129967000</v>
      </c>
      <c r="G716" s="121" t="n">
        <v>-0.1998088530306265</v>
      </c>
      <c r="H716" s="122" t="n">
        <v>45.93209455156894</v>
      </c>
      <c r="I716" s="119" t="n">
        <v>88.74395706176757</v>
      </c>
      <c r="J716" s="119" t="n">
        <v>94.84937141418457</v>
      </c>
      <c r="K716" s="121" t="n">
        <v>0.7355891309938689</v>
      </c>
      <c r="L716" s="121" t="n">
        <v>-0.2244288076100873</v>
      </c>
      <c r="M716" s="121" t="n">
        <v>-0.3808310765971696</v>
      </c>
      <c r="N716" t="n">
        <v>18.30119372066534</v>
      </c>
      <c r="O716" t="n">
        <v>-1.312251487522758</v>
      </c>
      <c r="P716" t="n">
        <v>126.7108175477566</v>
      </c>
      <c r="Q716" t="n">
        <v>130.3508965340421</v>
      </c>
    </row>
    <row r="717">
      <c r="A717" s="118" t="n">
        <v>45474</v>
      </c>
      <c r="B717" s="119" t="n">
        <v>71.94108107614281</v>
      </c>
      <c r="C717" s="119" t="n">
        <v>73.42754347139284</v>
      </c>
      <c r="D717" s="119" t="n">
        <v>70.78811892729371</v>
      </c>
      <c r="E717" s="119" t="n">
        <v>73.20838928222656</v>
      </c>
      <c r="F717" s="120" t="n">
        <v>44369000</v>
      </c>
      <c r="G717" s="121" t="n">
        <v>0.0193709341121806</v>
      </c>
      <c r="H717" s="122" t="n">
        <v>46.82184212876182</v>
      </c>
      <c r="I717" s="119" t="n">
        <v>88.39068695068359</v>
      </c>
      <c r="J717" s="119" t="n">
        <v>94.76235248565673</v>
      </c>
      <c r="K717" s="121" t="n">
        <v>0.7367046550901458</v>
      </c>
      <c r="L717" s="121" t="n">
        <v>-0.2094052691429971</v>
      </c>
      <c r="M717" s="121" t="n">
        <v>-0.3688371961776236</v>
      </c>
      <c r="N717" t="n">
        <v>22.36620338279633</v>
      </c>
      <c r="O717" t="n">
        <v>-1.904992580486282</v>
      </c>
      <c r="P717" t="n">
        <v>126.9716059646602</v>
      </c>
      <c r="Q717" t="n">
        <v>131.1154145998012</v>
      </c>
    </row>
    <row r="718">
      <c r="A718" s="118" t="n">
        <v>45475</v>
      </c>
      <c r="B718" s="119" t="n">
        <v>73.19887405446772</v>
      </c>
      <c r="C718" s="119" t="n">
        <v>73.31322013580258</v>
      </c>
      <c r="D718" s="119" t="n">
        <v>71.83628081504774</v>
      </c>
      <c r="E718" s="119" t="n">
        <v>72.45564270019531</v>
      </c>
      <c r="F718" s="120" t="n">
        <v>26183400</v>
      </c>
      <c r="G718" s="121" t="n">
        <v>-0.01028224482756102</v>
      </c>
      <c r="H718" s="122" t="n">
        <v>46.34040848471649</v>
      </c>
      <c r="I718" s="119" t="n">
        <v>88.04533126831055</v>
      </c>
      <c r="J718" s="119" t="n">
        <v>94.66657398223877</v>
      </c>
      <c r="K718" s="121" t="n">
        <v>0.7363371272086728</v>
      </c>
      <c r="L718" s="121" t="n">
        <v>-0.2175343577250484</v>
      </c>
      <c r="M718" s="121" t="n">
        <v>-0.3753269666525751</v>
      </c>
      <c r="N718" t="n">
        <v>21.73600130771337</v>
      </c>
      <c r="O718" t="n">
        <v>-2.222724464860814</v>
      </c>
      <c r="P718" t="n">
        <v>127.8260818966111</v>
      </c>
      <c r="Q718" t="n">
        <v>132.492097499357</v>
      </c>
    </row>
    <row r="719">
      <c r="A719" s="118" t="n">
        <v>45476</v>
      </c>
      <c r="B719" s="119" t="n">
        <v>71.9410826480246</v>
      </c>
      <c r="C719" s="119" t="n">
        <v>72.34128295244996</v>
      </c>
      <c r="D719" s="119" t="n">
        <v>71.48370567885257</v>
      </c>
      <c r="E719" s="119" t="n">
        <v>71.69333648681641</v>
      </c>
      <c r="F719" s="120" t="n">
        <v>15952000</v>
      </c>
      <c r="G719" s="121" t="n">
        <v>-0.01052100547272972</v>
      </c>
      <c r="H719" s="122" t="n">
        <v>45.85286079344026</v>
      </c>
      <c r="I719" s="119" t="n">
        <v>87.69118362426758</v>
      </c>
      <c r="J719" s="119" t="n">
        <v>94.57136703491211</v>
      </c>
      <c r="K719" s="121" t="n">
        <v>0.7346861707291371</v>
      </c>
      <c r="L719" s="121" t="n">
        <v>-0.2257666830296461</v>
      </c>
      <c r="M719" s="121" t="n">
        <v>-0.3818991550550901</v>
      </c>
      <c r="N719" t="n">
        <v>21.08798201991252</v>
      </c>
      <c r="O719" t="n">
        <v>-2.34697390937275</v>
      </c>
      <c r="P719" t="n">
        <v>128.3965083708468</v>
      </c>
      <c r="Q719" t="n">
        <v>133.5966940884031</v>
      </c>
    </row>
    <row r="720">
      <c r="A720" s="118" t="n">
        <v>45478</v>
      </c>
      <c r="B720" s="119" t="n">
        <v>71.80768959115642</v>
      </c>
      <c r="C720" s="119" t="n">
        <v>72.50327486426474</v>
      </c>
      <c r="D720" s="119" t="n">
        <v>71.2550278195354</v>
      </c>
      <c r="E720" s="119" t="n">
        <v>71.8743896484375</v>
      </c>
      <c r="F720" s="120" t="n">
        <v>19603700</v>
      </c>
      <c r="G720" s="121" t="n">
        <v>0.002525383396745573</v>
      </c>
      <c r="H720" s="122" t="n">
        <v>45.9686568467813</v>
      </c>
      <c r="I720" s="119" t="n">
        <v>87.34388412475586</v>
      </c>
      <c r="J720" s="119" t="n">
        <v>94.48060020446778</v>
      </c>
      <c r="K720" s="121" t="n">
        <v>0.7358369088053599</v>
      </c>
      <c r="L720" s="121" t="n">
        <v>-0.2238114470657618</v>
      </c>
      <c r="M720" s="121" t="n">
        <v>-0.3803382134437518</v>
      </c>
      <c r="N720" t="n">
        <v>21.68517350642836</v>
      </c>
      <c r="O720" t="n">
        <v>-2.277886728026317</v>
      </c>
      <c r="P720" t="n">
        <v>129.1369048268476</v>
      </c>
      <c r="Q720" t="n">
        <v>134.9896702847523</v>
      </c>
    </row>
    <row r="721">
      <c r="A721" s="118" t="n">
        <v>45481</v>
      </c>
      <c r="B721" s="119" t="n">
        <v>71.8553300108468</v>
      </c>
      <c r="C721" s="119" t="n">
        <v>71.93155344911899</v>
      </c>
      <c r="D721" s="119" t="n">
        <v>69.55892900224651</v>
      </c>
      <c r="E721" s="119" t="n">
        <v>69.60657501220703</v>
      </c>
      <c r="F721" s="120" t="n">
        <v>29905000</v>
      </c>
      <c r="G721" s="121" t="n">
        <v>-0.03155247157329799</v>
      </c>
      <c r="H721" s="122" t="n">
        <v>44.51823210836054</v>
      </c>
      <c r="I721" s="119" t="n">
        <v>86.93945907592773</v>
      </c>
      <c r="J721" s="119" t="n">
        <v>94.38268878936768</v>
      </c>
      <c r="K721" s="121" t="n">
        <v>0.733531390323927</v>
      </c>
      <c r="L721" s="121" t="n">
        <v>-0.2483021143177389</v>
      </c>
      <c r="M721" s="121" t="n">
        <v>-0.3998900743491269</v>
      </c>
      <c r="N721" t="n">
        <v>19.67652064373817</v>
      </c>
      <c r="O721" t="n">
        <v>-2.242330816586968</v>
      </c>
      <c r="P721" t="n">
        <v>129.285926779364</v>
      </c>
      <c r="Q721" t="n">
        <v>135.3107119952565</v>
      </c>
    </row>
    <row r="722">
      <c r="A722" s="118" t="n">
        <v>45482</v>
      </c>
      <c r="B722" s="119" t="n">
        <v>69.84478805452775</v>
      </c>
      <c r="C722" s="119" t="n">
        <v>70.64518865130704</v>
      </c>
      <c r="D722" s="119" t="n">
        <v>68.96814948264925</v>
      </c>
      <c r="E722" s="119" t="n">
        <v>69.04438018798828</v>
      </c>
      <c r="F722" s="120" t="n">
        <v>23445500</v>
      </c>
      <c r="G722" s="121" t="n">
        <v>-0.008076748843340642</v>
      </c>
      <c r="H722" s="122" t="n">
        <v>44.15866952867177</v>
      </c>
      <c r="I722" s="119" t="n">
        <v>86.53707809448242</v>
      </c>
      <c r="J722" s="119" t="n">
        <v>94.28470001220703</v>
      </c>
      <c r="K722" s="121" t="n">
        <v>0.7295892043202381</v>
      </c>
      <c r="L722" s="121" t="n">
        <v>-0.2543733893464646</v>
      </c>
      <c r="M722" s="121" t="n">
        <v>-0.4047370114970049</v>
      </c>
      <c r="N722" t="n">
        <v>19.20168287876064</v>
      </c>
      <c r="O722" t="n">
        <v>-2.115696157876139</v>
      </c>
      <c r="P722" t="n">
        <v>129.4116440493412</v>
      </c>
      <c r="Q722" t="n">
        <v>135.4277015578142</v>
      </c>
    </row>
    <row r="723">
      <c r="A723" s="118" t="n">
        <v>45483</v>
      </c>
      <c r="B723" s="119" t="n">
        <v>68.85382049065333</v>
      </c>
      <c r="C723" s="119" t="n">
        <v>69.2159054878895</v>
      </c>
      <c r="D723" s="119" t="n">
        <v>68.29162804599166</v>
      </c>
      <c r="E723" s="119" t="n">
        <v>69.12062072753906</v>
      </c>
      <c r="F723" s="120" t="n">
        <v>21378200</v>
      </c>
      <c r="G723" s="121" t="n">
        <v>0.001104225128000236</v>
      </c>
      <c r="H723" s="122" t="n">
        <v>44.20743064118439</v>
      </c>
      <c r="I723" s="119" t="n">
        <v>86.13280502319336</v>
      </c>
      <c r="J723" s="119" t="n">
        <v>94.19863929748536</v>
      </c>
      <c r="K723" s="121" t="n">
        <v>0.73090324469853</v>
      </c>
      <c r="L723" s="121" t="n">
        <v>-0.2535500497068752</v>
      </c>
      <c r="M723" s="121" t="n">
        <v>-0.4040797071473313</v>
      </c>
      <c r="N723" t="n">
        <v>19.48544547075325</v>
      </c>
      <c r="O723" t="n">
        <v>-1.893047950008072</v>
      </c>
      <c r="P723" t="n">
        <v>130.6922087151073</v>
      </c>
      <c r="Q723" t="n">
        <v>136.8397397368176</v>
      </c>
    </row>
    <row r="724">
      <c r="A724" s="118" t="n">
        <v>45484</v>
      </c>
      <c r="B724" s="119" t="n">
        <v>69.27307243982614</v>
      </c>
      <c r="C724" s="119" t="n">
        <v>70.27358056251893</v>
      </c>
      <c r="D724" s="119" t="n">
        <v>68.88240275527971</v>
      </c>
      <c r="E724" s="119" t="n">
        <v>69.93054962158203</v>
      </c>
      <c r="F724" s="120" t="n">
        <v>15876700</v>
      </c>
      <c r="G724" s="121" t="n">
        <v>0.01171761603871535</v>
      </c>
      <c r="H724" s="122" t="n">
        <v>44.72543633949593</v>
      </c>
      <c r="I724" s="119" t="n">
        <v>85.74586959838867</v>
      </c>
      <c r="J724" s="119" t="n">
        <v>94.12011581420899</v>
      </c>
      <c r="K724" s="121" t="n">
        <v>0.7350708160889213</v>
      </c>
      <c r="L724" s="121" t="n">
        <v>-0.2448034357972222</v>
      </c>
      <c r="M724" s="121" t="n">
        <v>-0.397096941966005</v>
      </c>
      <c r="N724" t="n">
        <v>22.59547692292674</v>
      </c>
      <c r="O724" t="n">
        <v>-1.570754980628763</v>
      </c>
      <c r="P724" t="n">
        <v>129.5653065722258</v>
      </c>
      <c r="Q724" t="n">
        <v>133.8388282518724</v>
      </c>
    </row>
    <row r="725">
      <c r="A725" s="118" t="n">
        <v>45485</v>
      </c>
      <c r="B725" s="119" t="n">
        <v>70.10205244867358</v>
      </c>
      <c r="C725" s="119" t="n">
        <v>70.5594293773521</v>
      </c>
      <c r="D725" s="119" t="n">
        <v>69.72090621973476</v>
      </c>
      <c r="E725" s="119" t="n">
        <v>69.95912170410156</v>
      </c>
      <c r="F725" s="120" t="n">
        <v>14527500</v>
      </c>
      <c r="G725" s="121" t="n">
        <v>0.0004085779773523868</v>
      </c>
      <c r="H725" s="122" t="n">
        <v>44.74371016781172</v>
      </c>
      <c r="I725" s="119" t="n">
        <v>85.3936750793457</v>
      </c>
      <c r="J725" s="119" t="n">
        <v>94.04291351318359</v>
      </c>
      <c r="K725" s="121" t="n">
        <v>0.7352018352402581</v>
      </c>
      <c r="L725" s="121" t="n">
        <v>-0.2444948791125168</v>
      </c>
      <c r="M725" s="121" t="n">
        <v>-0.3968506090540138</v>
      </c>
      <c r="N725" t="n">
        <v>22.70889951396745</v>
      </c>
      <c r="O725" t="n">
        <v>-1.249186033180308</v>
      </c>
      <c r="P725" t="n">
        <v>130.3825706577752</v>
      </c>
      <c r="Q725" t="n">
        <v>134.6251014765323</v>
      </c>
    </row>
    <row r="726">
      <c r="A726" s="118" t="n">
        <v>45488</v>
      </c>
      <c r="B726" s="119" t="n">
        <v>69.55893239399731</v>
      </c>
      <c r="C726" s="119" t="n">
        <v>69.56846305040622</v>
      </c>
      <c r="D726" s="119" t="n">
        <v>67.88189308430763</v>
      </c>
      <c r="E726" s="119" t="n">
        <v>67.94859313964844</v>
      </c>
      <c r="F726" s="120" t="n">
        <v>20775800</v>
      </c>
      <c r="G726" s="121" t="n">
        <v>-0.02873861928908772</v>
      </c>
      <c r="H726" s="122" t="n">
        <v>43.4578377157177</v>
      </c>
      <c r="I726" s="119" t="n">
        <v>85.03771759033204</v>
      </c>
      <c r="J726" s="119" t="n">
        <v>93.95768501281738</v>
      </c>
      <c r="K726" s="121" t="n">
        <v>0.7351405617412005</v>
      </c>
      <c r="L726" s="121" t="n">
        <v>-0.2662070531526582</v>
      </c>
      <c r="M726" s="121" t="n">
        <v>-0.4141842897748557</v>
      </c>
      <c r="N726" t="n">
        <v>20.43928566004473</v>
      </c>
      <c r="O726" t="n">
        <v>-1.072211556169123</v>
      </c>
      <c r="P726" t="n">
        <v>130.741116544506</v>
      </c>
      <c r="Q726" t="n">
        <v>134.9869435486772</v>
      </c>
    </row>
    <row r="727">
      <c r="A727" s="118" t="n">
        <v>45489</v>
      </c>
      <c r="B727" s="119" t="n">
        <v>68.13916760125871</v>
      </c>
      <c r="C727" s="119" t="n">
        <v>69.52081467336151</v>
      </c>
      <c r="D727" s="119" t="n">
        <v>68.13916760125871</v>
      </c>
      <c r="E727" s="119" t="n">
        <v>69.37788391113281</v>
      </c>
      <c r="F727" s="120" t="n">
        <v>20980700</v>
      </c>
      <c r="G727" s="121" t="n">
        <v>0.02103488395332764</v>
      </c>
      <c r="H727" s="122" t="n">
        <v>44.37196828893037</v>
      </c>
      <c r="I727" s="119" t="n">
        <v>84.67105087280274</v>
      </c>
      <c r="J727" s="119" t="n">
        <v>93.88313777923584</v>
      </c>
      <c r="K727" s="121" t="n">
        <v>0.7447601608434838</v>
      </c>
      <c r="L727" s="121" t="n">
        <v>-0.2507718036699541</v>
      </c>
      <c r="M727" s="121" t="n">
        <v>-0.4018617242922335</v>
      </c>
      <c r="N727" t="n">
        <v>26.09424115158043</v>
      </c>
      <c r="O727" t="n">
        <v>-0.7731783654920257</v>
      </c>
      <c r="P727" t="n">
        <v>131.5164118353454</v>
      </c>
      <c r="Q727" t="n">
        <v>135.0386424646612</v>
      </c>
    </row>
    <row r="728">
      <c r="A728" s="118" t="n">
        <v>45490</v>
      </c>
      <c r="B728" s="119" t="n">
        <v>69.11107926122359</v>
      </c>
      <c r="C728" s="119" t="n">
        <v>69.88289515003551</v>
      </c>
      <c r="D728" s="119" t="n">
        <v>69.08249456456538</v>
      </c>
      <c r="E728" s="119" t="n">
        <v>69.62562561035156</v>
      </c>
      <c r="F728" s="120" t="n">
        <v>11161600</v>
      </c>
      <c r="G728" s="121" t="n">
        <v>0.003570903078221388</v>
      </c>
      <c r="H728" s="122" t="n">
        <v>44.53041628708006</v>
      </c>
      <c r="I728" s="119" t="n">
        <v>84.31427429199219</v>
      </c>
      <c r="J728" s="119" t="n">
        <v>93.80883953094482</v>
      </c>
      <c r="K728" s="121" t="n">
        <v>0.7394031308560624</v>
      </c>
      <c r="L728" s="121" t="n">
        <v>-0.2480963823973888</v>
      </c>
      <c r="M728" s="121" t="n">
        <v>-0.3997258304823067</v>
      </c>
      <c r="N728" t="n">
        <v>27.06195694728011</v>
      </c>
      <c r="O728" t="n">
        <v>-0.4869584233286641</v>
      </c>
      <c r="P728" t="n">
        <v>129.6724324662448</v>
      </c>
      <c r="Q728" t="n">
        <v>131.0745974582462</v>
      </c>
    </row>
    <row r="729">
      <c r="A729" s="118" t="n">
        <v>45491</v>
      </c>
      <c r="B729" s="119" t="n">
        <v>69.53033962453465</v>
      </c>
      <c r="C729" s="119" t="n">
        <v>70.44508625007929</v>
      </c>
      <c r="D729" s="119" t="n">
        <v>68.93956258168376</v>
      </c>
      <c r="E729" s="119" t="n">
        <v>68.96814727783203</v>
      </c>
      <c r="F729" s="120" t="n">
        <v>14440100</v>
      </c>
      <c r="G729" s="121" t="n">
        <v>-0.0094430509852651</v>
      </c>
      <c r="H729" s="122" t="n">
        <v>44.10991329568608</v>
      </c>
      <c r="I729" s="119" t="n">
        <v>83.92137908935547</v>
      </c>
      <c r="J729" s="119" t="n">
        <v>93.70302303314209</v>
      </c>
      <c r="K729" s="121" t="n">
        <v>0.738614767778129</v>
      </c>
      <c r="L729" s="121" t="n">
        <v>-0.2551966465944157</v>
      </c>
      <c r="M729" s="121" t="n">
        <v>-0.4053942500701999</v>
      </c>
      <c r="N729" t="n">
        <v>26.08575433452671</v>
      </c>
      <c r="O729" t="n">
        <v>-0.2804328503422235</v>
      </c>
      <c r="P729" t="n">
        <v>128.6759172581937</v>
      </c>
      <c r="Q729" t="n">
        <v>130.4542775860957</v>
      </c>
    </row>
    <row r="730">
      <c r="A730" s="118" t="n">
        <v>45492</v>
      </c>
      <c r="B730" s="119" t="n">
        <v>68.89193226747383</v>
      </c>
      <c r="C730" s="119" t="n">
        <v>69.38741735739561</v>
      </c>
      <c r="D730" s="119" t="n">
        <v>68.46313996354532</v>
      </c>
      <c r="E730" s="119" t="n">
        <v>69.2730712890625</v>
      </c>
      <c r="F730" s="120" t="n">
        <v>11913300</v>
      </c>
      <c r="G730" s="121" t="n">
        <v>0.004421229556915707</v>
      </c>
      <c r="H730" s="122" t="n">
        <v>44.30493334810195</v>
      </c>
      <c r="I730" s="119" t="n">
        <v>83.52660949707031</v>
      </c>
      <c r="J730" s="119" t="n">
        <v>93.60372695922851</v>
      </c>
      <c r="K730" s="121" t="n">
        <v>0.737299601773216</v>
      </c>
      <c r="L730" s="121" t="n">
        <v>-0.2519036999942489</v>
      </c>
      <c r="M730" s="121" t="n">
        <v>-0.4027653615538983</v>
      </c>
      <c r="N730" t="n">
        <v>27.39387820087843</v>
      </c>
      <c r="O730" t="n">
        <v>-0.07262714340022391</v>
      </c>
      <c r="P730" t="n">
        <v>127.8214122317577</v>
      </c>
      <c r="Q730" t="n">
        <v>129.2979904710227</v>
      </c>
    </row>
    <row r="731">
      <c r="A731" s="118" t="n">
        <v>45495</v>
      </c>
      <c r="B731" s="119" t="n">
        <v>69.67328258613173</v>
      </c>
      <c r="C731" s="119" t="n">
        <v>71.78863043920433</v>
      </c>
      <c r="D731" s="119" t="n">
        <v>69.62563657102741</v>
      </c>
      <c r="E731" s="119" t="n">
        <v>71.33126068115234</v>
      </c>
      <c r="F731" s="120" t="n">
        <v>19385500</v>
      </c>
      <c r="G731" s="121" t="n">
        <v>0.02971124787439305</v>
      </c>
      <c r="H731" s="122" t="n">
        <v>45.62128820486587</v>
      </c>
      <c r="I731" s="119" t="n">
        <v>83.17661010742188</v>
      </c>
      <c r="J731" s="119" t="n">
        <v>93.51222385406494</v>
      </c>
      <c r="K731" s="121" t="n">
        <v>0.7454410086814752</v>
      </c>
      <c r="L731" s="121" t="n">
        <v>-0.2296768253908618</v>
      </c>
      <c r="M731" s="121" t="n">
        <v>-0.3850207751718525</v>
      </c>
      <c r="N731" t="n">
        <v>35.66976012467536</v>
      </c>
      <c r="O731" t="n">
        <v>0.2371422407738484</v>
      </c>
      <c r="P731" t="n">
        <v>129.1392614801381</v>
      </c>
      <c r="Q731" t="n">
        <v>131.2242323440907</v>
      </c>
    </row>
    <row r="732">
      <c r="A732" s="118" t="n">
        <v>45496</v>
      </c>
      <c r="B732" s="119" t="n">
        <v>71.11209503289751</v>
      </c>
      <c r="C732" s="119" t="n">
        <v>71.50277197858671</v>
      </c>
      <c r="D732" s="119" t="n">
        <v>69.78761731173798</v>
      </c>
      <c r="E732" s="119" t="n">
        <v>69.94007873535156</v>
      </c>
      <c r="F732" s="120" t="n">
        <v>11041800</v>
      </c>
      <c r="G732" s="121" t="n">
        <v>-0.01950311732214161</v>
      </c>
      <c r="H732" s="122" t="n">
        <v>44.73153086861914</v>
      </c>
      <c r="I732" s="119" t="n">
        <v>82.80258392333984</v>
      </c>
      <c r="J732" s="119" t="n">
        <v>93.40999446868896</v>
      </c>
      <c r="K732" s="121" t="n">
        <v>0.744593021374452</v>
      </c>
      <c r="L732" s="121" t="n">
        <v>-0.2447005286412284</v>
      </c>
      <c r="M732" s="121" t="n">
        <v>-0.3970147871443557</v>
      </c>
      <c r="N732" t="n">
        <v>32.93696017307457</v>
      </c>
      <c r="O732" t="n">
        <v>0.3739105439248078</v>
      </c>
      <c r="P732" t="n">
        <v>128.9367056750973</v>
      </c>
      <c r="Q732" t="n">
        <v>130.7617275660101</v>
      </c>
    </row>
    <row r="733">
      <c r="A733" s="118" t="n">
        <v>45497</v>
      </c>
      <c r="B733" s="119" t="n">
        <v>69.79714580246983</v>
      </c>
      <c r="C733" s="119" t="n">
        <v>69.93054590911213</v>
      </c>
      <c r="D733" s="119" t="n">
        <v>67.72943687975354</v>
      </c>
      <c r="E733" s="119" t="n">
        <v>67.73896026611328</v>
      </c>
      <c r="F733" s="120" t="n">
        <v>18563300</v>
      </c>
      <c r="G733" s="121" t="n">
        <v>-0.03147148972432767</v>
      </c>
      <c r="H733" s="122" t="n">
        <v>43.32376295453395</v>
      </c>
      <c r="I733" s="119" t="n">
        <v>82.43104354858399</v>
      </c>
      <c r="J733" s="119" t="n">
        <v>93.29723072052002</v>
      </c>
      <c r="K733" s="121" t="n">
        <v>0.7463782665301443</v>
      </c>
      <c r="L733" s="121" t="n">
        <v>-0.268470928192886</v>
      </c>
      <c r="M733" s="121" t="n">
        <v>-0.4159916300746636</v>
      </c>
      <c r="N733" t="n">
        <v>29.13376639048403</v>
      </c>
      <c r="O733" t="n">
        <v>0.3425350260979823</v>
      </c>
      <c r="P733" t="n">
        <v>126.0146592563011</v>
      </c>
      <c r="Q733" t="n">
        <v>126.0712548993159</v>
      </c>
    </row>
    <row r="734">
      <c r="A734" s="118" t="n">
        <v>45498</v>
      </c>
      <c r="B734" s="119" t="n">
        <v>68.15821543150253</v>
      </c>
      <c r="C734" s="119" t="n">
        <v>69.01579265695175</v>
      </c>
      <c r="D734" s="119" t="n">
        <v>67.56744566378408</v>
      </c>
      <c r="E734" s="119" t="n">
        <v>68.04387664794922</v>
      </c>
      <c r="F734" s="120" t="n">
        <v>13855400</v>
      </c>
      <c r="G734" s="121" t="n">
        <v>0.004501344287513032</v>
      </c>
      <c r="H734" s="122" t="n">
        <v>43.51877812742291</v>
      </c>
      <c r="I734" s="119" t="n">
        <v>82.03181182861329</v>
      </c>
      <c r="J734" s="119" t="n">
        <v>93.17977050781251</v>
      </c>
      <c r="K734" s="121" t="n">
        <v>0.7487587738563071</v>
      </c>
      <c r="L734" s="121" t="n">
        <v>-0.2651780639843574</v>
      </c>
      <c r="M734" s="121" t="n">
        <v>-0.4133628073348403</v>
      </c>
      <c r="N734" t="n">
        <v>30.33384258184452</v>
      </c>
      <c r="O734" t="n">
        <v>0.3665635582884805</v>
      </c>
      <c r="P734" t="n">
        <v>125.3580694645376</v>
      </c>
      <c r="Q734" t="n">
        <v>124.6809886591276</v>
      </c>
    </row>
    <row r="735">
      <c r="A735" s="118" t="n">
        <v>45499</v>
      </c>
      <c r="B735" s="119" t="n">
        <v>68.60607844902059</v>
      </c>
      <c r="C735" s="119" t="n">
        <v>69.34930980238978</v>
      </c>
      <c r="D735" s="119" t="n">
        <v>68.48220898004628</v>
      </c>
      <c r="E735" s="119" t="n">
        <v>69.13967895507812</v>
      </c>
      <c r="F735" s="120" t="n">
        <v>8892000</v>
      </c>
      <c r="G735" s="121" t="n">
        <v>0.01610434856318443</v>
      </c>
      <c r="H735" s="122" t="n">
        <v>44.21961969943082</v>
      </c>
      <c r="I735" s="119" t="n">
        <v>81.65316711425781</v>
      </c>
      <c r="J735" s="119" t="n">
        <v>93.0688733291626</v>
      </c>
      <c r="K735" s="121" t="n">
        <v>0.7541784555046086</v>
      </c>
      <c r="L735" s="121" t="n">
        <v>-0.2533442353948874</v>
      </c>
      <c r="M735" s="121" t="n">
        <v>-0.4039153975040326</v>
      </c>
      <c r="N735" t="n">
        <v>34.61891094216232</v>
      </c>
      <c r="O735" t="n">
        <v>0.4736956799132983</v>
      </c>
      <c r="P735" t="n">
        <v>126.7620383887181</v>
      </c>
      <c r="Q735" t="n">
        <v>125.9597104189513</v>
      </c>
    </row>
    <row r="736">
      <c r="A736" s="118" t="n">
        <v>45502</v>
      </c>
      <c r="B736" s="119" t="n">
        <v>69.08250725648229</v>
      </c>
      <c r="C736" s="119" t="n">
        <v>70.38793104520165</v>
      </c>
      <c r="D736" s="119" t="n">
        <v>68.79664569786124</v>
      </c>
      <c r="E736" s="119" t="n">
        <v>70.08301544189453</v>
      </c>
      <c r="F736" s="120" t="n">
        <v>10471800</v>
      </c>
      <c r="G736" s="121" t="n">
        <v>0.01364392344704579</v>
      </c>
      <c r="H736" s="122" t="n">
        <v>44.82294880546732</v>
      </c>
      <c r="I736" s="119" t="n">
        <v>81.31465042114257</v>
      </c>
      <c r="J736" s="119" t="n">
        <v>92.95920513153077</v>
      </c>
      <c r="K736" s="121" t="n">
        <v>0.2793488163914588</v>
      </c>
      <c r="L736" s="121" t="n">
        <v>-0.2431569213013199</v>
      </c>
      <c r="M736" s="121" t="n">
        <v>-0.3957824648196149</v>
      </c>
      <c r="N736" t="n">
        <v>38.14604892616103</v>
      </c>
      <c r="O736" t="n">
        <v>0.6164898178307512</v>
      </c>
      <c r="P736" t="n">
        <v>126.8365493649763</v>
      </c>
      <c r="Q736" t="n">
        <v>126.2127347468066</v>
      </c>
    </row>
    <row r="737">
      <c r="A737" s="118" t="n">
        <v>45503</v>
      </c>
      <c r="B737" s="119" t="n">
        <v>70.21641091612662</v>
      </c>
      <c r="C737" s="119" t="n">
        <v>70.97869623905554</v>
      </c>
      <c r="D737" s="119" t="n">
        <v>69.99724943305598</v>
      </c>
      <c r="E737" s="119" t="n">
        <v>70.81671142578125</v>
      </c>
      <c r="F737" s="120" t="n">
        <v>8515700</v>
      </c>
      <c r="G737" s="121" t="n">
        <v>0.0104689556986175</v>
      </c>
      <c r="H737" s="122" t="n">
        <v>45.29219827079316</v>
      </c>
      <c r="I737" s="119" t="n">
        <v>80.98890960693359</v>
      </c>
      <c r="J737" s="119" t="n">
        <v>92.84835102081298</v>
      </c>
      <c r="K737" s="121" t="n">
        <v>0.2724087392251253</v>
      </c>
      <c r="L737" s="121" t="n">
        <v>-0.2352335646396182</v>
      </c>
      <c r="M737" s="121" t="n">
        <v>-0.3894569382114836</v>
      </c>
      <c r="N737" t="n">
        <v>40.82015314437916</v>
      </c>
      <c r="O737" t="n">
        <v>0.7593668398701858</v>
      </c>
      <c r="P737" t="n">
        <v>126.1939394732878</v>
      </c>
      <c r="Q737" t="n">
        <v>124.4796464673419</v>
      </c>
    </row>
    <row r="738">
      <c r="A738" s="118" t="n">
        <v>45504</v>
      </c>
      <c r="B738" s="119" t="n">
        <v>70.98822972773273</v>
      </c>
      <c r="C738" s="119" t="n">
        <v>71.87439181243985</v>
      </c>
      <c r="D738" s="119" t="n">
        <v>70.43556793947212</v>
      </c>
      <c r="E738" s="119" t="n">
        <v>71.33126068115234</v>
      </c>
      <c r="F738" s="120" t="n">
        <v>14632900</v>
      </c>
      <c r="G738" s="121" t="n">
        <v>0.007265929820962747</v>
      </c>
      <c r="H738" s="122" t="n">
        <v>45.62128820486587</v>
      </c>
      <c r="I738" s="119" t="n">
        <v>80.66567642211913</v>
      </c>
      <c r="J738" s="119" t="n">
        <v>92.73724185943604</v>
      </c>
      <c r="K738" s="121" t="n">
        <v>0.2720427648362387</v>
      </c>
      <c r="L738" s="121" t="n">
        <v>-0.2296768253908618</v>
      </c>
      <c r="M738" s="121" t="n">
        <v>-0.3850207751718525</v>
      </c>
      <c r="N738" t="n">
        <v>42.6913795289119</v>
      </c>
      <c r="O738" t="n">
        <v>0.8790897796037971</v>
      </c>
      <c r="P738" t="n">
        <v>128.2451588595251</v>
      </c>
      <c r="Q738" t="n">
        <v>128.1634752947648</v>
      </c>
    </row>
    <row r="739">
      <c r="A739" s="118" t="n">
        <v>45505</v>
      </c>
      <c r="B739" s="119" t="n">
        <v>71.17878959601158</v>
      </c>
      <c r="C739" s="119" t="n">
        <v>71.26455095761693</v>
      </c>
      <c r="D739" s="119" t="n">
        <v>69.80667323816824</v>
      </c>
      <c r="E739" s="119" t="n">
        <v>70.36885833740234</v>
      </c>
      <c r="F739" s="120" t="n">
        <v>9563500</v>
      </c>
      <c r="G739" s="121" t="n">
        <v>-0.01349201366357311</v>
      </c>
      <c r="H739" s="122" t="n">
        <v>45.00576516105602</v>
      </c>
      <c r="I739" s="119" t="n">
        <v>80.33097854614257</v>
      </c>
      <c r="J739" s="119" t="n">
        <v>92.618210105896</v>
      </c>
      <c r="K739" s="121" t="n">
        <v>0.2736733375799107</v>
      </c>
      <c r="L739" s="121" t="n">
        <v>-0.2400700361880552</v>
      </c>
      <c r="M739" s="121" t="n">
        <v>-0.3933180832760474</v>
      </c>
      <c r="N739" t="n">
        <v>40.13519460067585</v>
      </c>
      <c r="O739" t="n">
        <v>0.8817648907266702</v>
      </c>
      <c r="P739" t="n">
        <v>126.4290811016043</v>
      </c>
      <c r="Q739" t="n">
        <v>125.0591659778516</v>
      </c>
    </row>
    <row r="740">
      <c r="A740" s="118" t="n">
        <v>45506</v>
      </c>
      <c r="B740" s="119" t="n">
        <v>69.39693911144575</v>
      </c>
      <c r="C740" s="119" t="n">
        <v>70.6356553122249</v>
      </c>
      <c r="D740" s="119" t="n">
        <v>68.52983122811642</v>
      </c>
      <c r="E740" s="119" t="n">
        <v>70.52131652832031</v>
      </c>
      <c r="F740" s="120" t="n">
        <v>11526600</v>
      </c>
      <c r="G740" s="121" t="n">
        <v>0.002166557686455128</v>
      </c>
      <c r="H740" s="122" t="n">
        <v>45.1032727475005</v>
      </c>
      <c r="I740" s="119" t="n">
        <v>79.97939758300781</v>
      </c>
      <c r="J740" s="119" t="n">
        <v>92.48990196228027</v>
      </c>
      <c r="K740" s="121" t="n">
        <v>0.2736186427052964</v>
      </c>
      <c r="L740" s="121" t="n">
        <v>-0.2384236040837909</v>
      </c>
      <c r="M740" s="121" t="n">
        <v>-0.3920036719061359</v>
      </c>
      <c r="N740" t="n">
        <v>40.74051971514498</v>
      </c>
      <c r="O740" t="n">
        <v>0.8800745309804818</v>
      </c>
      <c r="P740" t="n">
        <v>124.075177239966</v>
      </c>
      <c r="Q740" t="n">
        <v>122.0908914262361</v>
      </c>
    </row>
    <row r="741">
      <c r="A741" s="118" t="n">
        <v>45509</v>
      </c>
      <c r="B741" s="119" t="n">
        <v>67.71037484266485</v>
      </c>
      <c r="C741" s="119" t="n">
        <v>69.19684458181858</v>
      </c>
      <c r="D741" s="119" t="n">
        <v>67.41498993394195</v>
      </c>
      <c r="E741" s="119" t="n">
        <v>68.05340576171875</v>
      </c>
      <c r="F741" s="120" t="n">
        <v>13191500</v>
      </c>
      <c r="G741" s="121" t="n">
        <v>-0.03499524524064279</v>
      </c>
      <c r="H741" s="122" t="n">
        <v>43.52487265654612</v>
      </c>
      <c r="I741" s="119" t="n">
        <v>79.58453277587891</v>
      </c>
      <c r="J741" s="119" t="n">
        <v>92.34468265533447</v>
      </c>
      <c r="K741" s="121" t="n">
        <v>0.2789699391855865</v>
      </c>
      <c r="L741" s="121" t="n">
        <v>-0.2650751568283636</v>
      </c>
      <c r="M741" s="121" t="n">
        <v>-0.413280652513191</v>
      </c>
      <c r="N741" t="n">
        <v>34.63532214069997</v>
      </c>
      <c r="O741" t="n">
        <v>0.7065048970317682</v>
      </c>
      <c r="P741" t="n">
        <v>120.4616640154316</v>
      </c>
      <c r="Q741" t="n">
        <v>118.4506148664004</v>
      </c>
    </row>
    <row r="742">
      <c r="A742" s="118" t="n">
        <v>45510</v>
      </c>
      <c r="B742" s="119" t="n">
        <v>68.28208849251527</v>
      </c>
      <c r="C742" s="119" t="n">
        <v>69.78760479703737</v>
      </c>
      <c r="D742" s="119" t="n">
        <v>68.13915775094887</v>
      </c>
      <c r="E742" s="119" t="n">
        <v>69.08248901367188</v>
      </c>
      <c r="F742" s="120" t="n">
        <v>13469700</v>
      </c>
      <c r="G742" s="121" t="n">
        <v>0.01512170097050469</v>
      </c>
      <c r="H742" s="122" t="n">
        <v>44.1830427656377</v>
      </c>
      <c r="I742" s="119" t="n">
        <v>79.23113113403321</v>
      </c>
      <c r="J742" s="119" t="n">
        <v>92.20102691650391</v>
      </c>
      <c r="K742" s="121" t="n">
        <v>0.2832631978505638</v>
      </c>
      <c r="L742" s="121" t="n">
        <v>-0.2539618431141271</v>
      </c>
      <c r="M742" s="121" t="n">
        <v>-0.4044084579868858</v>
      </c>
      <c r="N742" t="n">
        <v>38.75665598174079</v>
      </c>
      <c r="O742" t="n">
        <v>0.6558631919665157</v>
      </c>
      <c r="P742" t="n">
        <v>121.5722441521902</v>
      </c>
      <c r="Q742" t="n">
        <v>119.5824284764547</v>
      </c>
    </row>
    <row r="743">
      <c r="A743" s="118" t="n">
        <v>45511</v>
      </c>
      <c r="B743" s="119" t="n">
        <v>69.44458491179975</v>
      </c>
      <c r="C743" s="119" t="n">
        <v>70.7118932072209</v>
      </c>
      <c r="D743" s="119" t="n">
        <v>69.11108464188909</v>
      </c>
      <c r="E743" s="119" t="n">
        <v>69.19684600830078</v>
      </c>
      <c r="F743" s="120" t="n">
        <v>9571200</v>
      </c>
      <c r="G743" s="121" t="n">
        <v>0.001655368766551923</v>
      </c>
      <c r="H743" s="122" t="n">
        <v>44.25618199464317</v>
      </c>
      <c r="I743" s="119" t="n">
        <v>78.87337249755859</v>
      </c>
      <c r="J743" s="119" t="n">
        <v>92.06133625030517</v>
      </c>
      <c r="K743" s="121" t="n">
        <v>0.2832938053490224</v>
      </c>
      <c r="L743" s="121" t="n">
        <v>-0.2527268748505621</v>
      </c>
      <c r="M743" s="121" t="n">
        <v>-0.4034225343506148</v>
      </c>
      <c r="N743" t="n">
        <v>39.21531060784704</v>
      </c>
      <c r="O743" t="n">
        <v>0.6250545154195821</v>
      </c>
      <c r="P743" t="n">
        <v>120.7596933732217</v>
      </c>
      <c r="Q743" t="n">
        <v>118.2873714700518</v>
      </c>
    </row>
    <row r="744">
      <c r="A744" s="118" t="n">
        <v>45512</v>
      </c>
      <c r="B744" s="119" t="n">
        <v>69.77809384482495</v>
      </c>
      <c r="C744" s="119" t="n">
        <v>70.71189461922125</v>
      </c>
      <c r="D744" s="119" t="n">
        <v>69.60657837833736</v>
      </c>
      <c r="E744" s="119" t="n">
        <v>70.69284057617188</v>
      </c>
      <c r="F744" s="120" t="n">
        <v>8828000</v>
      </c>
      <c r="G744" s="121" t="n">
        <v>0.02161940397820494</v>
      </c>
      <c r="H744" s="122" t="n">
        <v>45.21297427171832</v>
      </c>
      <c r="I744" s="119" t="n">
        <v>78.54078811645508</v>
      </c>
      <c r="J744" s="119" t="n">
        <v>91.93091655731202</v>
      </c>
      <c r="K744" s="121" t="n">
        <v>0.2907128965620245</v>
      </c>
      <c r="L744" s="121" t="n">
        <v>-0.2365712752759006</v>
      </c>
      <c r="M744" s="121" t="n">
        <v>-0.390524885116447</v>
      </c>
      <c r="N744" t="n">
        <v>45.01642975329671</v>
      </c>
      <c r="O744" t="n">
        <v>0.6950400951427049</v>
      </c>
      <c r="P744" t="n">
        <v>123.5513310363235</v>
      </c>
      <c r="Q744" t="n">
        <v>121.9058928709867</v>
      </c>
    </row>
    <row r="745">
      <c r="A745" s="118" t="n">
        <v>45513</v>
      </c>
      <c r="B745" s="119" t="n">
        <v>70.62613847740455</v>
      </c>
      <c r="C745" s="119" t="n">
        <v>71.06445415246627</v>
      </c>
      <c r="D745" s="119" t="n">
        <v>69.91149193267684</v>
      </c>
      <c r="E745" s="119" t="n">
        <v>70.83576202392578</v>
      </c>
      <c r="F745" s="120" t="n">
        <v>7186600</v>
      </c>
      <c r="G745" s="121" t="n">
        <v>0.002021724499808641</v>
      </c>
      <c r="H745" s="122" t="n">
        <v>45.30438244951267</v>
      </c>
      <c r="I745" s="119" t="n">
        <v>78.21732635498047</v>
      </c>
      <c r="J745" s="119" t="n">
        <v>91.80055168151856</v>
      </c>
      <c r="K745" s="121" t="n">
        <v>0.2907476526275562</v>
      </c>
      <c r="L745" s="121" t="n">
        <v>-0.2350278327192683</v>
      </c>
      <c r="M745" s="121" t="n">
        <v>-0.3892926943446634</v>
      </c>
      <c r="N745" t="n">
        <v>45.55106677948084</v>
      </c>
      <c r="O745" t="n">
        <v>0.7365986997825105</v>
      </c>
      <c r="P745" t="n">
        <v>124.0961252692147</v>
      </c>
      <c r="Q745" t="n">
        <v>122.5425228198449</v>
      </c>
    </row>
    <row r="746">
      <c r="A746" s="118" t="n">
        <v>45516</v>
      </c>
      <c r="B746" s="119" t="n">
        <v>71.18832022844492</v>
      </c>
      <c r="C746" s="119" t="n">
        <v>71.46465108501152</v>
      </c>
      <c r="D746" s="119" t="n">
        <v>70.55943507917215</v>
      </c>
      <c r="E746" s="119" t="n">
        <v>71.12162017822266</v>
      </c>
      <c r="F746" s="120" t="n">
        <v>7067300</v>
      </c>
      <c r="G746" s="121" t="n">
        <v>0.004035506164249636</v>
      </c>
      <c r="H746" s="122" t="n">
        <v>45.4872085641552</v>
      </c>
      <c r="I746" s="119" t="n">
        <v>77.86579223632812</v>
      </c>
      <c r="J746" s="119" t="n">
        <v>91.66044616699219</v>
      </c>
      <c r="K746" s="121" t="n">
        <v>0.2690777189980863</v>
      </c>
      <c r="L746" s="121" t="n">
        <v>-0.2319407828227276</v>
      </c>
      <c r="M746" s="121" t="n">
        <v>-0.3868281812481389</v>
      </c>
      <c r="N746" t="n">
        <v>46.66806202147833</v>
      </c>
      <c r="O746" t="n">
        <v>0.7656042856845424</v>
      </c>
      <c r="P746" t="n">
        <v>124.1613405574938</v>
      </c>
      <c r="Q746" t="n">
        <v>122.8064457020435</v>
      </c>
    </row>
    <row r="747">
      <c r="A747" s="118" t="n">
        <v>45517</v>
      </c>
      <c r="B747" s="119" t="n">
        <v>71.70286584356029</v>
      </c>
      <c r="C747" s="119" t="n">
        <v>75.32374436881358</v>
      </c>
      <c r="D747" s="119" t="n">
        <v>71.53135039194808</v>
      </c>
      <c r="E747" s="119" t="n">
        <v>74.79966735839844</v>
      </c>
      <c r="F747" s="120" t="n">
        <v>22114800</v>
      </c>
      <c r="G747" s="121" t="n">
        <v>0.05171489584965894</v>
      </c>
      <c r="H747" s="122" t="n">
        <v>47.8395748175422</v>
      </c>
      <c r="I747" s="119" t="n">
        <v>77.55744598388672</v>
      </c>
      <c r="J747" s="119" t="n">
        <v>91.54646022796631</v>
      </c>
      <c r="K747" s="121" t="n">
        <v>0.3152942933008641</v>
      </c>
      <c r="L747" s="121" t="n">
        <v>-0.1922206804000344</v>
      </c>
      <c r="M747" s="121" t="n">
        <v>-0.3551180645034405</v>
      </c>
      <c r="N747" t="n">
        <v>58.47258072162885</v>
      </c>
      <c r="O747" t="n">
        <v>0.9999579737182871</v>
      </c>
      <c r="P747" t="n">
        <v>126.2032497085094</v>
      </c>
      <c r="Q747" t="n">
        <v>125.8535942408653</v>
      </c>
    </row>
    <row r="748">
      <c r="A748" s="118" t="n">
        <v>45518</v>
      </c>
      <c r="B748" s="119" t="n">
        <v>74.32324809340432</v>
      </c>
      <c r="C748" s="119" t="n">
        <v>75.36186435291646</v>
      </c>
      <c r="D748" s="119" t="n">
        <v>73.77058629873628</v>
      </c>
      <c r="E748" s="119" t="n">
        <v>74.81873321533203</v>
      </c>
      <c r="F748" s="120" t="n">
        <v>13613000</v>
      </c>
      <c r="G748" s="121" t="n">
        <v>0.000254892269002216</v>
      </c>
      <c r="H748" s="122" t="n">
        <v>47.85176875531555</v>
      </c>
      <c r="I748" s="119" t="n">
        <v>77.25481719970703</v>
      </c>
      <c r="J748" s="119" t="n">
        <v>91.44915950775146</v>
      </c>
      <c r="K748" s="121" t="n">
        <v>0.3155675926726282</v>
      </c>
      <c r="L748" s="121" t="n">
        <v>-0.1920147836964085</v>
      </c>
      <c r="M748" s="121" t="n">
        <v>-0.3549536890836633</v>
      </c>
      <c r="N748" t="n">
        <v>58.52382947290462</v>
      </c>
      <c r="O748" t="n">
        <v>1.114947919841921</v>
      </c>
      <c r="P748" t="n">
        <v>126.6013786421747</v>
      </c>
      <c r="Q748" t="n">
        <v>125.8944113824204</v>
      </c>
    </row>
    <row r="749">
      <c r="A749" s="118" t="n">
        <v>45519</v>
      </c>
      <c r="B749" s="119" t="n">
        <v>78.22997584281927</v>
      </c>
      <c r="C749" s="119" t="n">
        <v>79.14472257343093</v>
      </c>
      <c r="D749" s="119" t="n">
        <v>76.86738276841881</v>
      </c>
      <c r="E749" s="119" t="n">
        <v>78.61112213134766</v>
      </c>
      <c r="F749" s="120" t="n">
        <v>23583600</v>
      </c>
      <c r="G749" s="121" t="n">
        <v>0.05068769214657709</v>
      </c>
      <c r="H749" s="122" t="n">
        <v>50.27726447865418</v>
      </c>
      <c r="I749" s="119" t="n">
        <v>77.02155654907227</v>
      </c>
      <c r="J749" s="119" t="n">
        <v>91.38043514251709</v>
      </c>
      <c r="K749" s="121" t="n">
        <v>0.352183612223789</v>
      </c>
      <c r="L749" s="121" t="n">
        <v>-0.1510598777934264</v>
      </c>
      <c r="M749" s="121" t="n">
        <v>-0.3222577802556508</v>
      </c>
      <c r="N749" t="n">
        <v>67.19581934830362</v>
      </c>
      <c r="O749" t="n">
        <v>1.387358492628434</v>
      </c>
      <c r="P749" t="n">
        <v>128.7713471692155</v>
      </c>
      <c r="Q749" t="n">
        <v>129.0749015102934</v>
      </c>
    </row>
    <row r="750">
      <c r="A750" s="118" t="n">
        <v>45520</v>
      </c>
      <c r="B750" s="119" t="n">
        <v>78.9732017660434</v>
      </c>
      <c r="C750" s="119" t="n">
        <v>79.98324045279782</v>
      </c>
      <c r="D750" s="119" t="n">
        <v>78.55394741980149</v>
      </c>
      <c r="E750" s="119" t="n">
        <v>79.30670928955078</v>
      </c>
      <c r="F750" s="120" t="n">
        <v>13794200</v>
      </c>
      <c r="G750" s="121" t="n">
        <v>0.008848457309143853</v>
      </c>
      <c r="H750" s="122" t="n">
        <v>50.72214070701408</v>
      </c>
      <c r="I750" s="119" t="n">
        <v>76.8102116394043</v>
      </c>
      <c r="J750" s="119" t="n">
        <v>91.29718502044678</v>
      </c>
      <c r="K750" s="121" t="n">
        <v>0.3521381791236351</v>
      </c>
      <c r="L750" s="121" t="n">
        <v>-0.1435480673640622</v>
      </c>
      <c r="M750" s="121" t="n">
        <v>-0.3162608071576385</v>
      </c>
      <c r="N750" t="n">
        <v>68.49687857873087</v>
      </c>
      <c r="O750" t="n">
        <v>1.54336432797181</v>
      </c>
      <c r="P750" t="n">
        <v>129.060066291784</v>
      </c>
      <c r="Q750" t="n">
        <v>129.24086325276</v>
      </c>
    </row>
    <row r="751">
      <c r="A751" s="118" t="n">
        <v>45523</v>
      </c>
      <c r="B751" s="119" t="n">
        <v>79.30671611505473</v>
      </c>
      <c r="C751" s="119" t="n">
        <v>80.03088607987088</v>
      </c>
      <c r="D751" s="119" t="n">
        <v>79.01132391937566</v>
      </c>
      <c r="E751" s="119" t="n">
        <v>79.35435485839844</v>
      </c>
      <c r="F751" s="120" t="n">
        <v>9627300</v>
      </c>
      <c r="G751" s="121" t="n">
        <v>0.0006007760159825182</v>
      </c>
      <c r="H751" s="122" t="n">
        <v>50.75261335263015</v>
      </c>
      <c r="I751" s="119" t="n">
        <v>76.5731396484375</v>
      </c>
      <c r="J751" s="119" t="n">
        <v>91.20960159301758</v>
      </c>
      <c r="K751" s="121" t="n">
        <v>0.3422794281660662</v>
      </c>
      <c r="L751" s="121" t="n">
        <v>-0.1430335315840927</v>
      </c>
      <c r="M751" s="121" t="n">
        <v>-0.3158500330493916</v>
      </c>
      <c r="N751" t="n">
        <v>68.58877706602055</v>
      </c>
      <c r="O751" t="n">
        <v>1.573364087327294</v>
      </c>
      <c r="P751" t="n">
        <v>130.2940652341995</v>
      </c>
      <c r="Q751" t="n">
        <v>130.9385710829057</v>
      </c>
    </row>
    <row r="752">
      <c r="A752" s="118" t="n">
        <v>45524</v>
      </c>
      <c r="B752" s="119" t="n">
        <v>79.55444710591371</v>
      </c>
      <c r="C752" s="119" t="n">
        <v>79.94512401913789</v>
      </c>
      <c r="D752" s="119" t="n">
        <v>78.86838529618552</v>
      </c>
      <c r="E752" s="119" t="n">
        <v>79.62114715576172</v>
      </c>
      <c r="F752" s="120" t="n">
        <v>7863100</v>
      </c>
      <c r="G752" s="121" t="n">
        <v>0.003362037254784012</v>
      </c>
      <c r="H752" s="122" t="n">
        <v>50.92324552949934</v>
      </c>
      <c r="I752" s="119" t="n">
        <v>76.32558593749999</v>
      </c>
      <c r="J752" s="119" t="n">
        <v>91.13225963592529</v>
      </c>
      <c r="K752" s="121" t="n">
        <v>0.3294536156933138</v>
      </c>
      <c r="L752" s="121" t="n">
        <v>-0.1401523783911777</v>
      </c>
      <c r="M752" s="121" t="n">
        <v>-0.3135498953726444</v>
      </c>
      <c r="N752" t="n">
        <v>69.1317795576158</v>
      </c>
      <c r="O752" t="n">
        <v>1.533212459672565</v>
      </c>
      <c r="P752" t="n">
        <v>130.0821991939371</v>
      </c>
      <c r="Q752" t="n">
        <v>130.6637832061924</v>
      </c>
    </row>
    <row r="753">
      <c r="A753" s="118" t="n">
        <v>45525</v>
      </c>
      <c r="B753" s="119" t="n">
        <v>79.72596667882837</v>
      </c>
      <c r="C753" s="119" t="n">
        <v>80.26909776130717</v>
      </c>
      <c r="D753" s="119" t="n">
        <v>79.29718166046743</v>
      </c>
      <c r="E753" s="119" t="n">
        <v>80.04041290283203</v>
      </c>
      <c r="F753" s="120" t="n">
        <v>6915900</v>
      </c>
      <c r="G753" s="121" t="n">
        <v>0.00526575868406054</v>
      </c>
      <c r="H753" s="122" t="n">
        <v>51.19139505186685</v>
      </c>
      <c r="I753" s="119" t="n">
        <v>76.09689880371094</v>
      </c>
      <c r="J753" s="119" t="n">
        <v>91.03721946716308</v>
      </c>
      <c r="K753" s="121" t="n">
        <v>0.2972223231862141</v>
      </c>
      <c r="L753" s="121" t="n">
        <v>-0.1356246283107223</v>
      </c>
      <c r="M753" s="121" t="n">
        <v>-0.3099352147730288</v>
      </c>
      <c r="N753" t="n">
        <v>70.00919619020715</v>
      </c>
      <c r="O753" t="n">
        <v>1.457432114389038</v>
      </c>
      <c r="P753" t="n">
        <v>130.5292214097585</v>
      </c>
      <c r="Q753" t="n">
        <v>131.2732129139567</v>
      </c>
    </row>
    <row r="754">
      <c r="A754" s="118" t="n">
        <v>45526</v>
      </c>
      <c r="B754" s="119" t="n">
        <v>80.46920355003337</v>
      </c>
      <c r="C754" s="119" t="n">
        <v>80.68836503748285</v>
      </c>
      <c r="D754" s="119" t="n">
        <v>79.2876565505417</v>
      </c>
      <c r="E754" s="119" t="n">
        <v>79.47823333740234</v>
      </c>
      <c r="F754" s="120" t="n">
        <v>8485500</v>
      </c>
      <c r="G754" s="121" t="n">
        <v>-0.007023696468334895</v>
      </c>
      <c r="H754" s="122" t="n">
        <v>50.83184223123192</v>
      </c>
      <c r="I754" s="119" t="n">
        <v>75.85944580078124</v>
      </c>
      <c r="J754" s="119" t="n">
        <v>90.93003658294678</v>
      </c>
      <c r="K754" s="121" t="n">
        <v>0.3020764876373865</v>
      </c>
      <c r="L754" s="121" t="n">
        <v>-0.1416957385561719</v>
      </c>
      <c r="M754" s="121" t="n">
        <v>-0.3147820203679497</v>
      </c>
      <c r="N754" t="n">
        <v>67.24893587197826</v>
      </c>
      <c r="O754" t="n">
        <v>1.297337580454156</v>
      </c>
      <c r="P754" t="n">
        <v>129.5047900432851</v>
      </c>
      <c r="Q754" t="n">
        <v>129.1918910728511</v>
      </c>
    </row>
    <row r="755">
      <c r="A755" s="118" t="n">
        <v>45527</v>
      </c>
      <c r="B755" s="119" t="n">
        <v>79.41152001658332</v>
      </c>
      <c r="C755" s="119" t="n">
        <v>80.26909731833315</v>
      </c>
      <c r="D755" s="119" t="n">
        <v>79.29718122285705</v>
      </c>
      <c r="E755" s="119" t="n">
        <v>80.08805847167969</v>
      </c>
      <c r="F755" s="120" t="n">
        <v>9219700</v>
      </c>
      <c r="G755" s="121" t="n">
        <v>0.007672857192088101</v>
      </c>
      <c r="H755" s="122" t="n">
        <v>51.22186769748291</v>
      </c>
      <c r="I755" s="119" t="n">
        <v>75.67592453002929</v>
      </c>
      <c r="J755" s="119" t="n">
        <v>90.82500743865967</v>
      </c>
      <c r="K755" s="121" t="n">
        <v>0.3005425480610793</v>
      </c>
      <c r="L755" s="121" t="n">
        <v>-0.1351100925307527</v>
      </c>
      <c r="M755" s="121" t="n">
        <v>-0.3095244406647818</v>
      </c>
      <c r="N755" t="n">
        <v>68.69098261002665</v>
      </c>
      <c r="O755" t="n">
        <v>1.164626673670786</v>
      </c>
      <c r="P755" t="n">
        <v>130.8808137145581</v>
      </c>
      <c r="Q755" t="n">
        <v>130.5930390874684</v>
      </c>
    </row>
    <row r="756">
      <c r="A756" s="118" t="n">
        <v>45530</v>
      </c>
      <c r="B756" s="119" t="n">
        <v>79.53540444745867</v>
      </c>
      <c r="C756" s="119" t="n">
        <v>80.5263819511427</v>
      </c>
      <c r="D756" s="119" t="n">
        <v>79.44964307408847</v>
      </c>
      <c r="E756" s="119" t="n">
        <v>80.30722045898438</v>
      </c>
      <c r="F756" s="120" t="n">
        <v>7853300</v>
      </c>
      <c r="G756" s="121" t="n">
        <v>0.002736512677257386</v>
      </c>
      <c r="H756" s="122" t="n">
        <v>51.36203698778987</v>
      </c>
      <c r="I756" s="119" t="n">
        <v>75.48725784301757</v>
      </c>
      <c r="J756" s="119" t="n">
        <v>90.71112964630127</v>
      </c>
      <c r="K756" s="121" t="n">
        <v>0.3001002794529189</v>
      </c>
      <c r="L756" s="121" t="n">
        <v>-0.1327433103345312</v>
      </c>
      <c r="M756" s="121" t="n">
        <v>-0.3076349455433246</v>
      </c>
      <c r="N756" t="n">
        <v>69.21558399577799</v>
      </c>
      <c r="O756" t="n">
        <v>1.028450589756418</v>
      </c>
      <c r="P756" t="n">
        <v>130.5688335511781</v>
      </c>
      <c r="Q756" t="n">
        <v>129.3252074920308</v>
      </c>
    </row>
    <row r="757">
      <c r="A757" s="118" t="n">
        <v>45531</v>
      </c>
      <c r="B757" s="119" t="n">
        <v>80.1071221653289</v>
      </c>
      <c r="C757" s="119" t="n">
        <v>81.36489993617847</v>
      </c>
      <c r="D757" s="119" t="n">
        <v>79.66880644046208</v>
      </c>
      <c r="E757" s="119" t="n">
        <v>81.26961517333984</v>
      </c>
      <c r="F757" s="120" t="n">
        <v>14954000</v>
      </c>
      <c r="G757" s="121" t="n">
        <v>0.01198391264017151</v>
      </c>
      <c r="H757" s="122" t="n">
        <v>51.97755515207281</v>
      </c>
      <c r="I757" s="119" t="n">
        <v>75.33289443969727</v>
      </c>
      <c r="J757" s="119" t="n">
        <v>90.60192241668702</v>
      </c>
      <c r="K757" s="121" t="n">
        <v>0.3003806320740776</v>
      </c>
      <c r="L757" s="121" t="n">
        <v>-0.1223501819289757</v>
      </c>
      <c r="M757" s="121" t="n">
        <v>-0.2993377032156082</v>
      </c>
      <c r="N757" t="n">
        <v>71.47578170154756</v>
      </c>
      <c r="O757" t="n">
        <v>0.9423285046720595</v>
      </c>
      <c r="P757" t="n">
        <v>130.7480701264371</v>
      </c>
      <c r="Q757" t="n">
        <v>129.7115482390659</v>
      </c>
    </row>
    <row r="758">
      <c r="A758" s="118" t="n">
        <v>45532</v>
      </c>
      <c r="B758" s="119" t="n">
        <v>81.0409214726197</v>
      </c>
      <c r="C758" s="119" t="n">
        <v>81.40300643992201</v>
      </c>
      <c r="D758" s="119" t="n">
        <v>78.02034320391969</v>
      </c>
      <c r="E758" s="119" t="n">
        <v>78.887451171875</v>
      </c>
      <c r="F758" s="120" t="n">
        <v>11088600</v>
      </c>
      <c r="G758" s="121" t="n">
        <v>-0.02931186515875495</v>
      </c>
      <c r="H758" s="122" t="n">
        <v>50.4539960641735</v>
      </c>
      <c r="I758" s="119" t="n">
        <v>75.10020538330077</v>
      </c>
      <c r="J758" s="119" t="n">
        <v>90.49206844329834</v>
      </c>
      <c r="K758" s="121" t="n">
        <v>0.3269577937011197</v>
      </c>
      <c r="L758" s="121" t="n">
        <v>-0.1480757350528795</v>
      </c>
      <c r="M758" s="121" t="n">
        <v>-0.3198754219807758</v>
      </c>
      <c r="N758" t="n">
        <v>59.77672738968048</v>
      </c>
      <c r="O758" t="n">
        <v>0.676504277337117</v>
      </c>
      <c r="P758" t="n">
        <v>129.9890677472356</v>
      </c>
      <c r="Q758" t="n">
        <v>128.2396393258103</v>
      </c>
    </row>
    <row r="759">
      <c r="A759" s="118" t="n">
        <v>45533</v>
      </c>
      <c r="B759" s="119" t="n">
        <v>79.51634312443933</v>
      </c>
      <c r="C759" s="119" t="n">
        <v>79.93560479473216</v>
      </c>
      <c r="D759" s="119" t="n">
        <v>78.95415794814782</v>
      </c>
      <c r="E759" s="119" t="n">
        <v>79.33530426025391</v>
      </c>
      <c r="F759" s="120" t="n">
        <v>7477200</v>
      </c>
      <c r="G759" s="121" t="n">
        <v>0.005677114442487863</v>
      </c>
      <c r="H759" s="122" t="n">
        <v>50.74042917391065</v>
      </c>
      <c r="I759" s="119" t="n">
        <v>74.88066604614258</v>
      </c>
      <c r="J759" s="119" t="n">
        <v>90.3886483001709</v>
      </c>
      <c r="K759" s="121" t="n">
        <v>0.3193793679353513</v>
      </c>
      <c r="L759" s="121" t="n">
        <v>-0.1432392635044423</v>
      </c>
      <c r="M759" s="121" t="n">
        <v>-0.3160142769162119</v>
      </c>
      <c r="N759" t="n">
        <v>61.06693338495992</v>
      </c>
      <c r="O759" t="n">
        <v>0.4910443630462402</v>
      </c>
      <c r="P759" t="n">
        <v>130.0007055412627</v>
      </c>
      <c r="Q759" t="n">
        <v>128.0519308144002</v>
      </c>
    </row>
    <row r="760">
      <c r="A760" s="118" t="n">
        <v>45534</v>
      </c>
      <c r="B760" s="119" t="n">
        <v>79.65927154312799</v>
      </c>
      <c r="C760" s="119" t="n">
        <v>79.92607177277941</v>
      </c>
      <c r="D760" s="119" t="n">
        <v>78.18233962334017</v>
      </c>
      <c r="E760" s="119" t="n">
        <v>79.39247131347656</v>
      </c>
      <c r="F760" s="120" t="n">
        <v>13755300</v>
      </c>
      <c r="G760" s="121" t="n">
        <v>0.0007205752061543169</v>
      </c>
      <c r="H760" s="122" t="n">
        <v>50.776991469123</v>
      </c>
      <c r="I760" s="119" t="n">
        <v>74.64721496582031</v>
      </c>
      <c r="J760" s="119" t="n">
        <v>90.29451580047608</v>
      </c>
      <c r="K760" s="121" t="n">
        <v>0.3196629719254637</v>
      </c>
      <c r="L760" s="121" t="n">
        <v>-0.142621902960117</v>
      </c>
      <c r="M760" s="121" t="n">
        <v>-0.3155214137627941</v>
      </c>
      <c r="N760" t="n">
        <v>61.23785005649277</v>
      </c>
      <c r="O760" t="n">
        <v>0.3396254989397203</v>
      </c>
      <c r="P760" t="n">
        <v>131.2416871600944</v>
      </c>
      <c r="Q760" t="n">
        <v>129.578223429929</v>
      </c>
    </row>
    <row r="761">
      <c r="A761" s="118" t="n">
        <v>45538</v>
      </c>
      <c r="B761" s="119" t="n">
        <v>79.16276013051359</v>
      </c>
      <c r="C761" s="119" t="n">
        <v>79.38289917991138</v>
      </c>
      <c r="D761" s="119" t="n">
        <v>77.53567208643253</v>
      </c>
      <c r="E761" s="119" t="n">
        <v>77.83237457275391</v>
      </c>
      <c r="F761" s="120" t="n">
        <v>10133700</v>
      </c>
      <c r="G761" s="121" t="n">
        <v>-0.01965043680984191</v>
      </c>
      <c r="H761" s="122" t="n">
        <v>49.77920140686512</v>
      </c>
      <c r="I761" s="119" t="n">
        <v>74.35187973022461</v>
      </c>
      <c r="J761" s="119" t="n">
        <v>90.18527774810791</v>
      </c>
      <c r="K761" s="121" t="n">
        <v>0.2973391936198704</v>
      </c>
      <c r="L761" s="121" t="n">
        <v>-0.1594697570781417</v>
      </c>
      <c r="M761" s="121" t="n">
        <v>-0.3289717169693382</v>
      </c>
      <c r="N761" t="n">
        <v>54.23983917301472</v>
      </c>
      <c r="O761" t="n">
        <v>0.1134964603505484</v>
      </c>
      <c r="P761" t="n">
        <v>128.5408752057523</v>
      </c>
      <c r="Q761" t="n">
        <v>125.644105400683</v>
      </c>
    </row>
    <row r="762">
      <c r="A762" s="118" t="n">
        <v>45539</v>
      </c>
      <c r="B762" s="119" t="n">
        <v>76.66469312411412</v>
      </c>
      <c r="C762" s="119" t="n">
        <v>77.61223224852422</v>
      </c>
      <c r="D762" s="119" t="n">
        <v>76.25313454649158</v>
      </c>
      <c r="E762" s="119" t="n">
        <v>77.54523468017578</v>
      </c>
      <c r="F762" s="120" t="n">
        <v>12837400</v>
      </c>
      <c r="G762" s="121" t="n">
        <v>-0.003689208946204281</v>
      </c>
      <c r="H762" s="122" t="n">
        <v>49.59555553170001</v>
      </c>
      <c r="I762" s="119" t="n">
        <v>74.05099227905274</v>
      </c>
      <c r="J762" s="119" t="n">
        <v>90.06484798431397</v>
      </c>
      <c r="K762" s="121" t="n">
        <v>0.2979369764226434</v>
      </c>
      <c r="L762" s="121" t="n">
        <v>-0.1625706487698844</v>
      </c>
      <c r="M762" s="121" t="n">
        <v>-0.331447280514251</v>
      </c>
      <c r="N762" t="n">
        <v>53.03848117260961</v>
      </c>
      <c r="O762" t="n">
        <v>-0.066626959566223</v>
      </c>
      <c r="P762" t="n">
        <v>128.2777592300433</v>
      </c>
      <c r="Q762" t="n">
        <v>125.3176269979429</v>
      </c>
    </row>
    <row r="763">
      <c r="A763" s="118" t="n">
        <v>45540</v>
      </c>
      <c r="B763" s="119" t="n">
        <v>77.65053268229182</v>
      </c>
      <c r="C763" s="119" t="n">
        <v>77.75581563900751</v>
      </c>
      <c r="D763" s="119" t="n">
        <v>76.76999095538665</v>
      </c>
      <c r="E763" s="119" t="n">
        <v>77.3634033203125</v>
      </c>
      <c r="F763" s="120" t="n">
        <v>7596300</v>
      </c>
      <c r="G763" s="121" t="n">
        <v>-0.002344842473083197</v>
      </c>
      <c r="H763" s="122" t="n">
        <v>49.47926176661312</v>
      </c>
      <c r="I763" s="119" t="n">
        <v>73.79258666992187</v>
      </c>
      <c r="J763" s="119" t="n">
        <v>89.94449886322022</v>
      </c>
      <c r="K763" s="121" t="n">
        <v>0.2990396919097132</v>
      </c>
      <c r="L763" s="121" t="n">
        <v>-0.1645342886808552</v>
      </c>
      <c r="M763" s="121" t="n">
        <v>-0.3330149313263965</v>
      </c>
      <c r="N763" t="n">
        <v>52.24926822670606</v>
      </c>
      <c r="O763" t="n">
        <v>-0.2016001808081469</v>
      </c>
      <c r="P763" t="n">
        <v>127.9657790666633</v>
      </c>
      <c r="Q763" t="n">
        <v>125.4346333404149</v>
      </c>
    </row>
    <row r="764">
      <c r="A764" s="118" t="n">
        <v>45541</v>
      </c>
      <c r="B764" s="119" t="n">
        <v>77.41123698842767</v>
      </c>
      <c r="C764" s="119" t="n">
        <v>78.368349248779</v>
      </c>
      <c r="D764" s="119" t="n">
        <v>76.9039686587914</v>
      </c>
      <c r="E764" s="119" t="n">
        <v>77.17195892333984</v>
      </c>
      <c r="F764" s="120" t="n">
        <v>8512200</v>
      </c>
      <c r="G764" s="121" t="n">
        <v>-0.002474611880503796</v>
      </c>
      <c r="H764" s="122" t="n">
        <v>49.3568197976069</v>
      </c>
      <c r="I764" s="119" t="n">
        <v>73.54350173950195</v>
      </c>
      <c r="J764" s="119" t="n">
        <v>89.83096897125245</v>
      </c>
      <c r="K764" s="121" t="n">
        <v>0.294283175423585</v>
      </c>
      <c r="L764" s="121" t="n">
        <v>-0.1666017420558392</v>
      </c>
      <c r="M764" s="121" t="n">
        <v>-0.3346654605014548</v>
      </c>
      <c r="N764" t="n">
        <v>51.38235489236616</v>
      </c>
      <c r="O764" t="n">
        <v>-0.3013526069141597</v>
      </c>
      <c r="P764" t="n">
        <v>125.8120889040178</v>
      </c>
      <c r="Q764" t="n">
        <v>122.0745645696141</v>
      </c>
    </row>
    <row r="765">
      <c r="A765" s="118" t="n">
        <v>45544</v>
      </c>
      <c r="B765" s="119" t="n">
        <v>77.28682764219262</v>
      </c>
      <c r="C765" s="119" t="n">
        <v>78.08123270051371</v>
      </c>
      <c r="D765" s="119" t="n">
        <v>75.63101994847446</v>
      </c>
      <c r="E765" s="119" t="n">
        <v>76.08086395263672</v>
      </c>
      <c r="F765" s="120" t="n">
        <v>8003300</v>
      </c>
      <c r="G765" s="121" t="n">
        <v>-0.01413849001535628</v>
      </c>
      <c r="H765" s="122" t="n">
        <v>48.6589888937087</v>
      </c>
      <c r="I765" s="119" t="n">
        <v>73.27011734008789</v>
      </c>
      <c r="J765" s="119" t="n">
        <v>89.71028690338134</v>
      </c>
      <c r="K765" s="121" t="n">
        <v>0.3016269131919755</v>
      </c>
      <c r="L765" s="121" t="n">
        <v>-0.1783847350045979</v>
      </c>
      <c r="M765" s="121" t="n">
        <v>-0.3440722862450267</v>
      </c>
      <c r="N765" t="n">
        <v>46.63340909198871</v>
      </c>
      <c r="O765" t="n">
        <v>-0.4305268882787987</v>
      </c>
      <c r="P765" t="n">
        <v>127.2206983985666</v>
      </c>
      <c r="Q765" t="n">
        <v>123.6443926728159</v>
      </c>
    </row>
    <row r="766">
      <c r="A766" s="118" t="n">
        <v>45545</v>
      </c>
      <c r="B766" s="119" t="n">
        <v>76.147862194791</v>
      </c>
      <c r="C766" s="119" t="n">
        <v>76.147862194791</v>
      </c>
      <c r="D766" s="119" t="n">
        <v>74.2240714781547</v>
      </c>
      <c r="E766" s="119" t="n">
        <v>74.74090576171875</v>
      </c>
      <c r="F766" s="120" t="n">
        <v>9748400</v>
      </c>
      <c r="G766" s="121" t="n">
        <v>-0.01761228936296177</v>
      </c>
      <c r="H766" s="122" t="n">
        <v>47.80199270120355</v>
      </c>
      <c r="I766" s="119" t="n">
        <v>73.32859100341797</v>
      </c>
      <c r="J766" s="119" t="n">
        <v>89.58182102203369</v>
      </c>
      <c r="K766" s="121" t="n">
        <v>0.3109943338040417</v>
      </c>
      <c r="L766" s="121" t="n">
        <v>-0.1928552607967235</v>
      </c>
      <c r="M766" s="121" t="n">
        <v>-0.3556246749408652</v>
      </c>
      <c r="N766" t="n">
        <v>41.55403929784315</v>
      </c>
      <c r="O766" t="n">
        <v>-0.5862713007031917</v>
      </c>
      <c r="P766" t="n">
        <v>127.774846508407</v>
      </c>
      <c r="Q766" t="n">
        <v>124.7870964472563</v>
      </c>
    </row>
    <row r="767">
      <c r="A767" s="118" t="n">
        <v>45546</v>
      </c>
      <c r="B767" s="119" t="n">
        <v>74.65475890773153</v>
      </c>
      <c r="C767" s="119" t="n">
        <v>75.21945165595805</v>
      </c>
      <c r="D767" s="119" t="n">
        <v>73.44879537307111</v>
      </c>
      <c r="E767" s="119" t="n">
        <v>75.03760528564453</v>
      </c>
      <c r="F767" s="120" t="n">
        <v>8265500</v>
      </c>
      <c r="G767" s="121" t="n">
        <v>0.003969707363082886</v>
      </c>
      <c r="H767" s="122" t="n">
        <v>47.99175262359956</v>
      </c>
      <c r="I767" s="119" t="n">
        <v>73.36517532348633</v>
      </c>
      <c r="J767" s="119" t="n">
        <v>89.44838191986084</v>
      </c>
      <c r="K767" s="121" t="n">
        <v>0.2516293367567765</v>
      </c>
      <c r="L767" s="121" t="n">
        <v>-0.1896511323824346</v>
      </c>
      <c r="M767" s="121" t="n">
        <v>-0.3530666934683891</v>
      </c>
      <c r="N767" t="n">
        <v>43.03362968284701</v>
      </c>
      <c r="O767" t="n">
        <v>-0.6447210743568715</v>
      </c>
      <c r="P767" t="n">
        <v>129.0856839858861</v>
      </c>
      <c r="Q767" t="n">
        <v>127.4969015888234</v>
      </c>
    </row>
    <row r="768">
      <c r="A768" s="118" t="n">
        <v>45547</v>
      </c>
      <c r="B768" s="119" t="n">
        <v>74.87489794824238</v>
      </c>
      <c r="C768" s="119" t="n">
        <v>75.67886876989112</v>
      </c>
      <c r="D768" s="119" t="n">
        <v>74.2049149613478</v>
      </c>
      <c r="E768" s="119" t="n">
        <v>75.03760528564453</v>
      </c>
      <c r="F768" s="120" t="n">
        <v>7176900</v>
      </c>
      <c r="G768" s="121" t="n">
        <v>0</v>
      </c>
      <c r="H768" s="122" t="n">
        <v>47.99175262359956</v>
      </c>
      <c r="I768" s="119" t="n">
        <v>73.41681457519532</v>
      </c>
      <c r="J768" s="119" t="n">
        <v>89.31626239776611</v>
      </c>
      <c r="K768" s="121" t="n">
        <v>0.2516312569561822</v>
      </c>
      <c r="L768" s="121" t="n">
        <v>-0.1896511323824346</v>
      </c>
      <c r="M768" s="121" t="n">
        <v>-0.3530666934683891</v>
      </c>
      <c r="N768" t="n">
        <v>43.03362968284701</v>
      </c>
      <c r="O768" t="n">
        <v>-0.6565896403514829</v>
      </c>
      <c r="P768" t="n">
        <v>130.1730176290756</v>
      </c>
      <c r="Q768" t="n">
        <v>128.7484147175961</v>
      </c>
    </row>
    <row r="769">
      <c r="A769" s="118" t="n">
        <v>45548</v>
      </c>
      <c r="B769" s="119" t="n">
        <v>74.94190340773314</v>
      </c>
      <c r="C769" s="119" t="n">
        <v>76.08086219166238</v>
      </c>
      <c r="D769" s="119" t="n">
        <v>74.760049716084</v>
      </c>
      <c r="E769" s="119" t="n">
        <v>75.62145233154297</v>
      </c>
      <c r="F769" s="120" t="n">
        <v>5814200</v>
      </c>
      <c r="G769" s="121" t="n">
        <v>0.007780725992999393</v>
      </c>
      <c r="H769" s="122" t="n">
        <v>48.3651633006876</v>
      </c>
      <c r="I769" s="119" t="n">
        <v>73.49537689208984</v>
      </c>
      <c r="J769" s="119" t="n">
        <v>89.18555400848389</v>
      </c>
      <c r="K769" s="121" t="n">
        <v>0.1706592131938112</v>
      </c>
      <c r="L769" s="121" t="n">
        <v>-0.183346029884765</v>
      </c>
      <c r="M769" s="121" t="n">
        <v>-0.3480330826745216</v>
      </c>
      <c r="N769" t="n">
        <v>46.14508756925767</v>
      </c>
      <c r="O769" t="n">
        <v>-0.5998835828711425</v>
      </c>
      <c r="P769" t="n">
        <v>130.8528539144082</v>
      </c>
      <c r="Q769" t="n">
        <v>129.3252074920308</v>
      </c>
    </row>
    <row r="770">
      <c r="A770" s="118" t="n">
        <v>45551</v>
      </c>
      <c r="B770" s="119" t="n">
        <v>75.92771953300986</v>
      </c>
      <c r="C770" s="119" t="n">
        <v>76.55940984573157</v>
      </c>
      <c r="D770" s="119" t="n">
        <v>75.31516825307908</v>
      </c>
      <c r="E770" s="119" t="n">
        <v>76.3775634765625</v>
      </c>
      <c r="F770" s="120" t="n">
        <v>9547700</v>
      </c>
      <c r="G770" s="121" t="n">
        <v>0.009998632950138919</v>
      </c>
      <c r="H770" s="122" t="n">
        <v>48.8487488161047</v>
      </c>
      <c r="I770" s="119" t="n">
        <v>73.58544036865234</v>
      </c>
      <c r="J770" s="119" t="n">
        <v>89.05490283966064</v>
      </c>
      <c r="K770" s="121" t="n">
        <v>0.1716642106992534</v>
      </c>
      <c r="L770" s="121" t="n">
        <v>-0.1751806065903091</v>
      </c>
      <c r="M770" s="121" t="n">
        <v>-0.3415143047725505</v>
      </c>
      <c r="N770" t="n">
        <v>49.95713894860064</v>
      </c>
      <c r="O770" t="n">
        <v>-0.4908081567485049</v>
      </c>
      <c r="P770" t="n">
        <v>131.0461140314698</v>
      </c>
      <c r="Q770" t="n">
        <v>128.7538681897463</v>
      </c>
    </row>
    <row r="771">
      <c r="A771" s="118" t="n">
        <v>45552</v>
      </c>
      <c r="B771" s="119" t="n">
        <v>76.57857084436259</v>
      </c>
      <c r="C771" s="119" t="n">
        <v>77.50697110952264</v>
      </c>
      <c r="D771" s="119" t="n">
        <v>76.43500251328416</v>
      </c>
      <c r="E771" s="119" t="n">
        <v>77.18154907226562</v>
      </c>
      <c r="F771" s="120" t="n">
        <v>7580600</v>
      </c>
      <c r="G771" s="121" t="n">
        <v>0.0105264629965558</v>
      </c>
      <c r="H771" s="122" t="n">
        <v>49.36295336294548</v>
      </c>
      <c r="I771" s="119" t="n">
        <v>73.73693984985351</v>
      </c>
      <c r="J771" s="119" t="n">
        <v>88.92063659667969</v>
      </c>
      <c r="K771" s="121" t="n">
        <v>0.1770545851312782</v>
      </c>
      <c r="L771" s="121" t="n">
        <v>-0.1664123936368979</v>
      </c>
      <c r="M771" s="121" t="n">
        <v>-0.3345827794679774</v>
      </c>
      <c r="N771" t="n">
        <v>53.70924413961365</v>
      </c>
      <c r="O771" t="n">
        <v>-0.350452652331357</v>
      </c>
      <c r="P771" t="n">
        <v>131.0996624312368</v>
      </c>
      <c r="Q771" t="n">
        <v>128.8218687924808</v>
      </c>
    </row>
    <row r="772">
      <c r="A772" s="118" t="n">
        <v>45553</v>
      </c>
      <c r="B772" s="119" t="n">
        <v>77.20067688162257</v>
      </c>
      <c r="C772" s="119" t="n">
        <v>78.25349888652401</v>
      </c>
      <c r="D772" s="119" t="n">
        <v>76.78911832581173</v>
      </c>
      <c r="E772" s="119" t="n">
        <v>77.43038177490234</v>
      </c>
      <c r="F772" s="120" t="n">
        <v>7637000</v>
      </c>
      <c r="G772" s="121" t="n">
        <v>0.003223992076185622</v>
      </c>
      <c r="H772" s="122" t="n">
        <v>49.52209913344473</v>
      </c>
      <c r="I772" s="119" t="n">
        <v>73.9046598815918</v>
      </c>
      <c r="J772" s="119" t="n">
        <v>88.78808574676513</v>
      </c>
      <c r="K772" s="121" t="n">
        <v>0.1770067618198081</v>
      </c>
      <c r="L772" s="121" t="n">
        <v>-0.1423657239520846</v>
      </c>
      <c r="M772" s="121" t="n">
        <v>-0.3324374796216247</v>
      </c>
      <c r="N772" t="n">
        <v>54.83787295530174</v>
      </c>
      <c r="O772" t="n">
        <v>-0.2324788765162235</v>
      </c>
      <c r="P772" t="n">
        <v>130.7108291855506</v>
      </c>
      <c r="Q772" t="n">
        <v>128.2641380007005</v>
      </c>
    </row>
    <row r="773">
      <c r="A773" s="118" t="n">
        <v>45554</v>
      </c>
      <c r="B773" s="119" t="n">
        <v>79.05746749321357</v>
      </c>
      <c r="C773" s="119" t="n">
        <v>79.55516993420444</v>
      </c>
      <c r="D773" s="119" t="n">
        <v>77.01882110418872</v>
      </c>
      <c r="E773" s="119" t="n">
        <v>77.50695037841797</v>
      </c>
      <c r="F773" s="120" t="n">
        <v>15067100</v>
      </c>
      <c r="G773" s="121" t="n">
        <v>0.0009888702827038909</v>
      </c>
      <c r="H773" s="122" t="n">
        <v>49.57107006561491</v>
      </c>
      <c r="I773" s="119" t="n">
        <v>74.07238647460937</v>
      </c>
      <c r="J773" s="119" t="n">
        <v>88.63898845672607</v>
      </c>
      <c r="K773" s="121" t="n">
        <v>0.1755365338931892</v>
      </c>
      <c r="L773" s="121" t="n">
        <v>-0.1364136166756048</v>
      </c>
      <c r="M773" s="121" t="n">
        <v>-0.3317773468833756</v>
      </c>
      <c r="N773" t="n">
        <v>55.19983615408383</v>
      </c>
      <c r="O773" t="n">
        <v>-0.1451815408337083</v>
      </c>
      <c r="P773" t="n">
        <v>132.9413287887746</v>
      </c>
      <c r="Q773" t="n">
        <v>131.5071920390721</v>
      </c>
    </row>
    <row r="774">
      <c r="A774" s="118" t="n">
        <v>45555</v>
      </c>
      <c r="B774" s="119" t="n">
        <v>84.10145644559667</v>
      </c>
      <c r="C774" s="119" t="n">
        <v>84.2258784099149</v>
      </c>
      <c r="D774" s="119" t="n">
        <v>81.17268798085564</v>
      </c>
      <c r="E774" s="119" t="n">
        <v>82.80934906005859</v>
      </c>
      <c r="F774" s="120" t="n">
        <v>52039300</v>
      </c>
      <c r="G774" s="121" t="n">
        <v>0.0684119121672615</v>
      </c>
      <c r="H774" s="122" t="n">
        <v>52.96232175698093</v>
      </c>
      <c r="I774" s="119" t="n">
        <v>74.32996246337891</v>
      </c>
      <c r="J774" s="119" t="n">
        <v>88.50850589752197</v>
      </c>
      <c r="K774" s="121" t="n">
        <v>0.3025844473894683</v>
      </c>
      <c r="L774" s="121" t="n">
        <v>-0.07733402087077323</v>
      </c>
      <c r="M774" s="121" t="n">
        <v>-0.2860629574301866</v>
      </c>
      <c r="N774" t="n">
        <v>71.95990615044664</v>
      </c>
      <c r="O774" t="n">
        <v>0.2521432910793999</v>
      </c>
      <c r="P774" t="n">
        <v>132.7115405457105</v>
      </c>
      <c r="Q774" t="n">
        <v>131.2568944472918</v>
      </c>
    </row>
    <row r="775">
      <c r="A775" s="118" t="n">
        <v>45558</v>
      </c>
      <c r="B775" s="119" t="n">
        <v>81.73739677089108</v>
      </c>
      <c r="C775" s="119" t="n">
        <v>82.81893110581323</v>
      </c>
      <c r="D775" s="119" t="n">
        <v>81.4024089062858</v>
      </c>
      <c r="E775" s="119" t="n">
        <v>82.50308227539062</v>
      </c>
      <c r="F775" s="120" t="n">
        <v>17712400</v>
      </c>
      <c r="G775" s="121" t="n">
        <v>-0.00369845661322421</v>
      </c>
      <c r="H775" s="122" t="n">
        <v>52.76644290782711</v>
      </c>
      <c r="I775" s="119" t="n">
        <v>74.58084167480469</v>
      </c>
      <c r="J775" s="119" t="n">
        <v>88.37526248931884</v>
      </c>
      <c r="K775" s="121" t="n">
        <v>0.3025605181546933</v>
      </c>
      <c r="L775" s="121" t="n">
        <v>-0.003698456613224321</v>
      </c>
      <c r="M775" s="121" t="n">
        <v>-0.2887034226067048</v>
      </c>
      <c r="N775" t="n">
        <v>70.32343444016655</v>
      </c>
      <c r="O775" t="n">
        <v>0.4644523144037812</v>
      </c>
      <c r="P775" t="n">
        <v>133.0431740337538</v>
      </c>
      <c r="Q775" t="n">
        <v>131.6048091905608</v>
      </c>
    </row>
    <row r="776">
      <c r="A776" s="118" t="n">
        <v>45559</v>
      </c>
      <c r="B776" s="119" t="n">
        <v>83.68990637608331</v>
      </c>
      <c r="C776" s="119" t="n">
        <v>84.49387724652591</v>
      </c>
      <c r="D776" s="119" t="n">
        <v>82.94335991004728</v>
      </c>
      <c r="E776" s="119" t="n">
        <v>83.70904541015625</v>
      </c>
      <c r="F776" s="120" t="n">
        <v>21123300</v>
      </c>
      <c r="G776" s="121" t="n">
        <v>0.01461718885532282</v>
      </c>
      <c r="H776" s="122" t="n">
        <v>53.53773996903443</v>
      </c>
      <c r="I776" s="119" t="n">
        <v>74.89605072021484</v>
      </c>
      <c r="J776" s="119" t="n">
        <v>88.24473869323731</v>
      </c>
      <c r="K776" s="121" t="n">
        <v>0.3060428572033007</v>
      </c>
      <c r="L776" s="121" t="n">
        <v>0</v>
      </c>
      <c r="M776" s="121" t="n">
        <v>-0.2783062662028022</v>
      </c>
      <c r="N776" t="n">
        <v>72.93359545443508</v>
      </c>
      <c r="O776" t="n">
        <v>0.6451158232697554</v>
      </c>
      <c r="P776" t="n">
        <v>133.423860823621</v>
      </c>
      <c r="Q776" t="n">
        <v>132.2396017388022</v>
      </c>
    </row>
    <row r="777">
      <c r="A777" s="118" t="n">
        <v>45560</v>
      </c>
      <c r="B777" s="119" t="n">
        <v>84.08232279299145</v>
      </c>
      <c r="C777" s="119" t="n">
        <v>84.32160089274508</v>
      </c>
      <c r="D777" s="119" t="n">
        <v>83.49848364541752</v>
      </c>
      <c r="E777" s="119" t="n">
        <v>84.22589111328125</v>
      </c>
      <c r="F777" s="120" t="n">
        <v>12392800</v>
      </c>
      <c r="G777" s="121" t="n">
        <v>0.006174311277742595</v>
      </c>
      <c r="H777" s="122" t="n">
        <v>53.86829864071009</v>
      </c>
      <c r="I777" s="119" t="n">
        <v>75.19301086425781</v>
      </c>
      <c r="J777" s="119" t="n">
        <v>88.1229467010498</v>
      </c>
      <c r="K777" s="121" t="n">
        <v>0.3042815622358138</v>
      </c>
      <c r="L777" s="121" t="n">
        <v>0</v>
      </c>
      <c r="M777" s="121" t="n">
        <v>-0.273850304443142</v>
      </c>
      <c r="N777" t="n">
        <v>73.9894749121281</v>
      </c>
      <c r="O777" t="n">
        <v>0.7510256430435505</v>
      </c>
      <c r="P777" t="n">
        <v>133.1295701071621</v>
      </c>
      <c r="Q777" t="n">
        <v>132.3622209626104</v>
      </c>
    </row>
    <row r="778">
      <c r="A778" s="118" t="n">
        <v>45561</v>
      </c>
      <c r="B778" s="119" t="n">
        <v>86.06353512862908</v>
      </c>
      <c r="C778" s="119" t="n">
        <v>86.733518111107</v>
      </c>
      <c r="D778" s="119" t="n">
        <v>85.23085211200886</v>
      </c>
      <c r="E778" s="119" t="n">
        <v>85.55626678466797</v>
      </c>
      <c r="F778" s="120" t="n">
        <v>13592800</v>
      </c>
      <c r="G778" s="121" t="n">
        <v>0.01579532912982073</v>
      </c>
      <c r="H778" s="122" t="n">
        <v>54.71916614740358</v>
      </c>
      <c r="I778" s="119" t="n">
        <v>75.51162368774413</v>
      </c>
      <c r="J778" s="119" t="n">
        <v>88.00260478973388</v>
      </c>
      <c r="K778" s="121" t="n">
        <v>0.2842677559612323</v>
      </c>
      <c r="L778" s="121" t="n">
        <v>0</v>
      </c>
      <c r="M778" s="121" t="n">
        <v>-0.2623805310043023</v>
      </c>
      <c r="N778" t="n">
        <v>76.52773878930165</v>
      </c>
      <c r="O778" t="n">
        <v>0.8547351736165321</v>
      </c>
      <c r="P778" t="n">
        <v>133.6574022552588</v>
      </c>
      <c r="Q778" t="n">
        <v>133.3566741941366</v>
      </c>
    </row>
    <row r="779">
      <c r="A779" s="118" t="n">
        <v>45562</v>
      </c>
      <c r="B779" s="119" t="n">
        <v>85.61369184193485</v>
      </c>
      <c r="C779" s="119" t="n">
        <v>86.38895776614638</v>
      </c>
      <c r="D779" s="119" t="n">
        <v>85.38398693581422</v>
      </c>
      <c r="E779" s="119" t="n">
        <v>85.6041259765625</v>
      </c>
      <c r="F779" s="120" t="n">
        <v>9181000</v>
      </c>
      <c r="G779" s="121" t="n">
        <v>0.0005593885017796119</v>
      </c>
      <c r="H779" s="122" t="n">
        <v>54.74977541977341</v>
      </c>
      <c r="I779" s="119" t="n">
        <v>75.84434326171875</v>
      </c>
      <c r="J779" s="119" t="n">
        <v>87.8697342300415</v>
      </c>
      <c r="K779" s="121" t="n">
        <v>0.2844987119198895</v>
      </c>
      <c r="L779" s="121" t="n">
        <v>0</v>
      </c>
      <c r="M779" s="121" t="n">
        <v>-0.2619679151546572</v>
      </c>
      <c r="N779" t="n">
        <v>76.61614433750896</v>
      </c>
      <c r="O779" t="n">
        <v>0.8678336606959642</v>
      </c>
      <c r="P779" t="n">
        <v>133.4635457012533</v>
      </c>
      <c r="Q779" t="n">
        <v>132.6156060586234</v>
      </c>
    </row>
    <row r="780">
      <c r="A780" s="118" t="n">
        <v>45565</v>
      </c>
      <c r="B780" s="119" t="n">
        <v>85.85297581822935</v>
      </c>
      <c r="C780" s="119" t="n">
        <v>85.90083435713073</v>
      </c>
      <c r="D780" s="119" t="n">
        <v>83.9674706018326</v>
      </c>
      <c r="E780" s="119" t="n">
        <v>84.60873413085938</v>
      </c>
      <c r="F780" s="120" t="n">
        <v>12027100</v>
      </c>
      <c r="G780" s="121" t="n">
        <v>-0.0116278489424172</v>
      </c>
      <c r="H780" s="122" t="n">
        <v>54.11315330156101</v>
      </c>
      <c r="I780" s="119" t="n">
        <v>76.15105651855468</v>
      </c>
      <c r="J780" s="119" t="n">
        <v>87.72701599121093</v>
      </c>
      <c r="K780" s="121" t="n">
        <v>0.2896916203739123</v>
      </c>
      <c r="L780" s="121" t="n">
        <v>-0.0116278489424172</v>
      </c>
      <c r="M780" s="121" t="n">
        <v>-0.2705496407518961</v>
      </c>
      <c r="N780" t="n">
        <v>70.65561697672057</v>
      </c>
      <c r="O780" t="n">
        <v>0.7548964443520498</v>
      </c>
      <c r="P780" t="n">
        <v>133.9983605257663</v>
      </c>
      <c r="Q780" t="n">
        <v>132.9752415720367</v>
      </c>
    </row>
    <row r="781">
      <c r="A781" s="118" t="n">
        <v>45566</v>
      </c>
      <c r="B781" s="119" t="n">
        <v>84.22589205840181</v>
      </c>
      <c r="C781" s="119" t="n">
        <v>85.79555582622424</v>
      </c>
      <c r="D781" s="119" t="n">
        <v>83.9483285833104</v>
      </c>
      <c r="E781" s="119" t="n">
        <v>85.30742645263672</v>
      </c>
      <c r="F781" s="120" t="n">
        <v>20623400</v>
      </c>
      <c r="G781" s="121" t="n">
        <v>0.00825792193861119</v>
      </c>
      <c r="H781" s="122" t="n">
        <v>54.5600154973774</v>
      </c>
      <c r="I781" s="119" t="n">
        <v>76.43057983398438</v>
      </c>
      <c r="J781" s="119" t="n">
        <v>87.58055606842041</v>
      </c>
      <c r="K781" s="121" t="n">
        <v>0.2769742572542216</v>
      </c>
      <c r="L781" s="121" t="n">
        <v>-0.003465948872686586</v>
      </c>
      <c r="M781" s="121" t="n">
        <v>-0.2645258966271334</v>
      </c>
      <c r="N781" t="n">
        <v>72.28547015662616</v>
      </c>
      <c r="O781" t="n">
        <v>0.6752747785029505</v>
      </c>
      <c r="P781" t="n">
        <v>132.7979657136039</v>
      </c>
      <c r="Q781" t="n">
        <v>131.1225712332536</v>
      </c>
    </row>
    <row r="782">
      <c r="A782" s="118" t="n">
        <v>45567</v>
      </c>
      <c r="B782" s="119" t="n">
        <v>79.33504091615143</v>
      </c>
      <c r="C782" s="119" t="n">
        <v>81.57468757866194</v>
      </c>
      <c r="D782" s="119" t="n">
        <v>78.26307247145888</v>
      </c>
      <c r="E782" s="119" t="n">
        <v>79.53603363037109</v>
      </c>
      <c r="F782" s="120" t="n">
        <v>33208800</v>
      </c>
      <c r="G782" s="121" t="n">
        <v>-0.0676540491520975</v>
      </c>
      <c r="H782" s="122" t="n">
        <v>50.86880952717863</v>
      </c>
      <c r="I782" s="119" t="n">
        <v>76.62249893188476</v>
      </c>
      <c r="J782" s="119" t="n">
        <v>87.40594844818115</v>
      </c>
      <c r="K782" s="121" t="n">
        <v>0.3775751907882535</v>
      </c>
      <c r="L782" s="121" t="n">
        <v>-0.07088551254939268</v>
      </c>
      <c r="M782" s="121" t="n">
        <v>-0.3142836977668162</v>
      </c>
      <c r="N782" t="n">
        <v>48.38105276153713</v>
      </c>
      <c r="O782" t="n">
        <v>0.206263747158435</v>
      </c>
      <c r="P782" t="n">
        <v>132.8540016918441</v>
      </c>
      <c r="Q782" t="n">
        <v>131.3078466570891</v>
      </c>
    </row>
    <row r="783">
      <c r="A783" s="118" t="n">
        <v>45568</v>
      </c>
      <c r="B783" s="119" t="n">
        <v>78.86606272549905</v>
      </c>
      <c r="C783" s="119" t="n">
        <v>80.18687520042232</v>
      </c>
      <c r="D783" s="119" t="n">
        <v>78.46407727254693</v>
      </c>
      <c r="E783" s="119" t="n">
        <v>78.57892608642578</v>
      </c>
      <c r="F783" s="120" t="n">
        <v>18143800</v>
      </c>
      <c r="G783" s="121" t="n">
        <v>-0.01203363431967563</v>
      </c>
      <c r="H783" s="122" t="n">
        <v>50.25667287505132</v>
      </c>
      <c r="I783" s="119" t="n">
        <v>76.83929824829102</v>
      </c>
      <c r="J783" s="119" t="n">
        <v>87.22404899597169</v>
      </c>
      <c r="K783" s="121" t="n">
        <v>0.3804519194176883</v>
      </c>
      <c r="L783" s="121" t="n">
        <v>-0.08206613653248629</v>
      </c>
      <c r="M783" s="121" t="n">
        <v>-0.3225353569949305</v>
      </c>
      <c r="N783" t="n">
        <v>45.68302276540376</v>
      </c>
      <c r="O783" t="n">
        <v>-0.1754563388743773</v>
      </c>
      <c r="P783" t="n">
        <v>132.6111209304997</v>
      </c>
      <c r="Q783" t="n">
        <v>131.2097512780425</v>
      </c>
    </row>
    <row r="784">
      <c r="A784" s="118" t="n">
        <v>45569</v>
      </c>
      <c r="B784" s="119" t="n">
        <v>79.0861961211603</v>
      </c>
      <c r="C784" s="119" t="n">
        <v>79.9571719227428</v>
      </c>
      <c r="D784" s="119" t="n">
        <v>78.57892771021146</v>
      </c>
      <c r="E784" s="119" t="n">
        <v>78.72249603271484</v>
      </c>
      <c r="F784" s="120" t="n">
        <v>10322600</v>
      </c>
      <c r="G784" s="121" t="n">
        <v>0.001827079516601549</v>
      </c>
      <c r="H784" s="122" t="n">
        <v>50.34849581263388</v>
      </c>
      <c r="I784" s="119" t="n">
        <v>77.05287063598632</v>
      </c>
      <c r="J784" s="119" t="n">
        <v>87.04480625152588</v>
      </c>
      <c r="K784" s="121" t="n">
        <v>0.3802292237505627</v>
      </c>
      <c r="L784" s="121" t="n">
        <v>-0.08038899837294977</v>
      </c>
      <c r="M784" s="121" t="n">
        <v>-0.3212975752224742</v>
      </c>
      <c r="N784" t="n">
        <v>46.16797576751274</v>
      </c>
      <c r="O784" t="n">
        <v>-0.4118111872891812</v>
      </c>
      <c r="P784" t="n">
        <v>133.8162145020004</v>
      </c>
      <c r="Q784" t="n">
        <v>132.7708957755898</v>
      </c>
    </row>
    <row r="785">
      <c r="A785" s="118" t="n">
        <v>45572</v>
      </c>
      <c r="B785" s="119" t="n">
        <v>78.61721832932288</v>
      </c>
      <c r="C785" s="119" t="n">
        <v>78.93306719946996</v>
      </c>
      <c r="D785" s="119" t="n">
        <v>76.65513482928169</v>
      </c>
      <c r="E785" s="119" t="n">
        <v>77.3634033203125</v>
      </c>
      <c r="F785" s="120" t="n">
        <v>12767400</v>
      </c>
      <c r="G785" s="121" t="n">
        <v>-0.0172643498478191</v>
      </c>
      <c r="H785" s="122" t="n">
        <v>49.47926176661311</v>
      </c>
      <c r="I785" s="119" t="n">
        <v>77.21734512329101</v>
      </c>
      <c r="J785" s="119" t="n">
        <v>86.85167472839356</v>
      </c>
      <c r="K785" s="121" t="n">
        <v>0.3820665825789973</v>
      </c>
      <c r="L785" s="121" t="n">
        <v>-0.09626548442894256</v>
      </c>
      <c r="M785" s="121" t="n">
        <v>-0.3330149313263965</v>
      </c>
      <c r="N785" t="n">
        <v>42.31636296390368</v>
      </c>
      <c r="O785" t="n">
        <v>-0.6396216286329433</v>
      </c>
      <c r="P785" t="n">
        <v>132.6064512656463</v>
      </c>
      <c r="Q785" t="n">
        <v>131.348714138387</v>
      </c>
    </row>
    <row r="786">
      <c r="A786" s="118" t="n">
        <v>45573</v>
      </c>
      <c r="B786" s="119" t="n">
        <v>77.28681494726631</v>
      </c>
      <c r="C786" s="119" t="n">
        <v>77.92807840854536</v>
      </c>
      <c r="D786" s="119" t="n">
        <v>76.50198318663851</v>
      </c>
      <c r="E786" s="119" t="n">
        <v>77.30595397949219</v>
      </c>
      <c r="F786" s="120" t="n">
        <v>10569600</v>
      </c>
      <c r="G786" s="121" t="n">
        <v>-0.0007425906611482347</v>
      </c>
      <c r="H786" s="122" t="n">
        <v>49.44251892890471</v>
      </c>
      <c r="I786" s="119" t="n">
        <v>77.36180389404296</v>
      </c>
      <c r="J786" s="119" t="n">
        <v>86.66397792816161</v>
      </c>
      <c r="K786" s="121" t="n">
        <v>0.375741528480993</v>
      </c>
      <c r="L786" s="121" t="n">
        <v>-0.09693658924036297</v>
      </c>
      <c r="M786" s="121" t="n">
        <v>-0.3335102282095189</v>
      </c>
      <c r="N786" t="n">
        <v>42.15626545717461</v>
      </c>
      <c r="O786" t="n">
        <v>-0.7656087352111784</v>
      </c>
      <c r="P786" t="n">
        <v>133.860569044486</v>
      </c>
      <c r="Q786" t="n">
        <v>133.3103448507313</v>
      </c>
    </row>
    <row r="787">
      <c r="A787" s="118" t="n">
        <v>45574</v>
      </c>
      <c r="B787" s="119" t="n">
        <v>77.66009507705432</v>
      </c>
      <c r="C787" s="119" t="n">
        <v>79.37332705060055</v>
      </c>
      <c r="D787" s="119" t="n">
        <v>77.59309750500223</v>
      </c>
      <c r="E787" s="119" t="n">
        <v>78.91390991210938</v>
      </c>
      <c r="F787" s="120" t="n">
        <v>11750600</v>
      </c>
      <c r="G787" s="121" t="n">
        <v>0.02079989767727008</v>
      </c>
      <c r="H787" s="122" t="n">
        <v>50.47091826353242</v>
      </c>
      <c r="I787" s="119" t="n">
        <v>77.52374786376953</v>
      </c>
      <c r="J787" s="119" t="n">
        <v>86.4791191482544</v>
      </c>
      <c r="K787" s="121" t="n">
        <v>0.3816410990651289</v>
      </c>
      <c r="L787" s="121" t="n">
        <v>-0.078152962700476</v>
      </c>
      <c r="M787" s="121" t="n">
        <v>-0.3196473091533297</v>
      </c>
      <c r="N787" t="n">
        <v>48.07741851337348</v>
      </c>
      <c r="O787" t="n">
        <v>-0.7131432448588535</v>
      </c>
      <c r="P787" t="n">
        <v>134.7877520946209</v>
      </c>
      <c r="Q787" t="n">
        <v>134.3592824640167</v>
      </c>
    </row>
    <row r="788">
      <c r="A788" s="118" t="n">
        <v>45575</v>
      </c>
      <c r="B788" s="119" t="n">
        <v>79.82317511949252</v>
      </c>
      <c r="C788" s="119" t="n">
        <v>79.87102635787934</v>
      </c>
      <c r="D788" s="119" t="n">
        <v>78.51192851093377</v>
      </c>
      <c r="E788" s="119" t="n">
        <v>78.57892608642578</v>
      </c>
      <c r="F788" s="120" t="n">
        <v>8370200</v>
      </c>
      <c r="G788" s="121" t="n">
        <v>-0.004244927491955264</v>
      </c>
      <c r="H788" s="122" t="n">
        <v>50.25667287505132</v>
      </c>
      <c r="I788" s="119" t="n">
        <v>77.668701171875</v>
      </c>
      <c r="J788" s="119" t="n">
        <v>86.36110675811767</v>
      </c>
      <c r="K788" s="121" t="n">
        <v>0.3823505277418043</v>
      </c>
      <c r="L788" s="121" t="n">
        <v>-0.08206613653248629</v>
      </c>
      <c r="M788" s="121" t="n">
        <v>-0.3225353569949305</v>
      </c>
      <c r="N788" t="n">
        <v>46.99806351770433</v>
      </c>
      <c r="O788" t="n">
        <v>-0.6739459302552844</v>
      </c>
      <c r="P788" t="n">
        <v>134.5518685569352</v>
      </c>
      <c r="Q788" t="n">
        <v>134.2067110931682</v>
      </c>
    </row>
    <row r="789">
      <c r="A789" s="118" t="n">
        <v>45576</v>
      </c>
      <c r="B789" s="119" t="n">
        <v>78.52149471075525</v>
      </c>
      <c r="C789" s="119" t="n">
        <v>78.74162645261188</v>
      </c>
      <c r="D789" s="119" t="n">
        <v>77.69837754079693</v>
      </c>
      <c r="E789" s="119" t="n">
        <v>78.62677764892578</v>
      </c>
      <c r="F789" s="120" t="n">
        <v>10171100</v>
      </c>
      <c r="G789" s="121" t="n">
        <v>0.0006089617774538425</v>
      </c>
      <c r="H789" s="122" t="n">
        <v>50.28727726789423</v>
      </c>
      <c r="I789" s="119" t="n">
        <v>77.83385955810547</v>
      </c>
      <c r="J789" s="119" t="n">
        <v>86.2434281539917</v>
      </c>
      <c r="K789" s="121" t="n">
        <v>0.3819051193365541</v>
      </c>
      <c r="L789" s="121" t="n">
        <v>-0.08150714989540409</v>
      </c>
      <c r="M789" s="121" t="n">
        <v>-0.3221228069217641</v>
      </c>
      <c r="N789" t="n">
        <v>47.18048439843758</v>
      </c>
      <c r="O789" t="n">
        <v>-0.6191519199648484</v>
      </c>
      <c r="P789" t="n">
        <v>135.3575966791553</v>
      </c>
      <c r="Q789" t="n">
        <v>134.4165019718081</v>
      </c>
    </row>
    <row r="790">
      <c r="A790" s="118" t="n">
        <v>45579</v>
      </c>
      <c r="B790" s="119" t="n">
        <v>78.48321874437555</v>
      </c>
      <c r="C790" s="119" t="n">
        <v>78.52150411758662</v>
      </c>
      <c r="D790" s="119" t="n">
        <v>77.33468675679659</v>
      </c>
      <c r="E790" s="119" t="n">
        <v>78.10037231445312</v>
      </c>
      <c r="F790" s="120" t="n">
        <v>8177700</v>
      </c>
      <c r="G790" s="121" t="n">
        <v>-0.006694988020787163</v>
      </c>
      <c r="H790" s="122" t="n">
        <v>49.95060454898767</v>
      </c>
      <c r="I790" s="119" t="n">
        <v>77.98544067382812</v>
      </c>
      <c r="J790" s="119" t="n">
        <v>86.12732620239258</v>
      </c>
      <c r="K790" s="121" t="n">
        <v>0.3819961536264257</v>
      </c>
      <c r="L790" s="121" t="n">
        <v>-0.08765644852403309</v>
      </c>
      <c r="M790" s="121" t="n">
        <v>-0.3266611866089877</v>
      </c>
      <c r="N790" t="n">
        <v>45.33207874962435</v>
      </c>
      <c r="O790" t="n">
        <v>-0.5926911566671597</v>
      </c>
      <c r="P790" t="n">
        <v>136.4645981942506</v>
      </c>
      <c r="Q790" t="n">
        <v>135.5444478116143</v>
      </c>
    </row>
    <row r="791">
      <c r="A791" s="118" t="n">
        <v>45580</v>
      </c>
      <c r="B791" s="119" t="n">
        <v>77.57395832236452</v>
      </c>
      <c r="C791" s="119" t="n">
        <v>79.17233418267708</v>
      </c>
      <c r="D791" s="119" t="n">
        <v>77.57395832236452</v>
      </c>
      <c r="E791" s="119" t="n">
        <v>78.59806823730469</v>
      </c>
      <c r="F791" s="120" t="n">
        <v>11804400</v>
      </c>
      <c r="G791" s="121" t="n">
        <v>0.006372516648802895</v>
      </c>
      <c r="H791" s="122" t="n">
        <v>50.26891560809387</v>
      </c>
      <c r="I791" s="119" t="n">
        <v>78.19633392333985</v>
      </c>
      <c r="J791" s="119" t="n">
        <v>86.0057209777832</v>
      </c>
      <c r="K791" s="121" t="n">
        <v>0.3809618208297992</v>
      </c>
      <c r="L791" s="121" t="n">
        <v>-0.08184252405282433</v>
      </c>
      <c r="M791" s="121" t="n">
        <v>-0.3223703238103682</v>
      </c>
      <c r="N791" t="n">
        <v>47.42912766044952</v>
      </c>
      <c r="O791" t="n">
        <v>-0.5186696278244101</v>
      </c>
      <c r="P791" t="n">
        <v>135.4043078749313</v>
      </c>
      <c r="Q791" t="n">
        <v>133.7326701240006</v>
      </c>
    </row>
    <row r="792">
      <c r="A792" s="118" t="n">
        <v>45581</v>
      </c>
      <c r="B792" s="119" t="n">
        <v>78.61720647580509</v>
      </c>
      <c r="C792" s="119" t="n">
        <v>80.48357260492958</v>
      </c>
      <c r="D792" s="119" t="n">
        <v>78.53106987085516</v>
      </c>
      <c r="E792" s="119" t="n">
        <v>80.34001159667969</v>
      </c>
      <c r="F792" s="120" t="n">
        <v>11220600</v>
      </c>
      <c r="G792" s="121" t="n">
        <v>0.02216267394913185</v>
      </c>
      <c r="H792" s="122" t="n">
        <v>51.38300919449248</v>
      </c>
      <c r="I792" s="119" t="n">
        <v>78.42148437500001</v>
      </c>
      <c r="J792" s="119" t="n">
        <v>85.89400775909424</v>
      </c>
      <c r="K792" s="121" t="n">
        <v>0.3881702234169255</v>
      </c>
      <c r="L792" s="121" t="n">
        <v>-0.06149369927944925</v>
      </c>
      <c r="M792" s="121" t="n">
        <v>-0.3073522382387216</v>
      </c>
      <c r="N792" t="n">
        <v>54.07002596251601</v>
      </c>
      <c r="O792" t="n">
        <v>-0.3381311457919436</v>
      </c>
      <c r="P792" t="n">
        <v>135.9928311188792</v>
      </c>
      <c r="Q792" t="n">
        <v>133.7489885906655</v>
      </c>
    </row>
    <row r="793">
      <c r="A793" s="118" t="n">
        <v>45582</v>
      </c>
      <c r="B793" s="119" t="n">
        <v>80.50271473848542</v>
      </c>
      <c r="C793" s="119" t="n">
        <v>81.12483918311382</v>
      </c>
      <c r="D793" s="119" t="n">
        <v>79.80401955866243</v>
      </c>
      <c r="E793" s="119" t="n">
        <v>79.82316589355469</v>
      </c>
      <c r="F793" s="120" t="n">
        <v>9204500</v>
      </c>
      <c r="G793" s="121" t="n">
        <v>-0.006433229132697282</v>
      </c>
      <c r="H793" s="122" t="n">
        <v>51.05245052281682</v>
      </c>
      <c r="I793" s="119" t="n">
        <v>78.63401077270508</v>
      </c>
      <c r="J793" s="119" t="n">
        <v>85.78926250457764</v>
      </c>
      <c r="K793" s="121" t="n">
        <v>0.3893520797447049</v>
      </c>
      <c r="L793" s="121" t="n">
        <v>-0.0675313253544646</v>
      </c>
      <c r="M793" s="121" t="n">
        <v>-0.3118081999983819</v>
      </c>
      <c r="N793" t="n">
        <v>51.97222388792924</v>
      </c>
      <c r="O793" t="n">
        <v>-0.2436739983777862</v>
      </c>
      <c r="P793" t="n">
        <v>136.0045271018763</v>
      </c>
      <c r="Q793" t="n">
        <v>133.8416304975618</v>
      </c>
    </row>
    <row r="794">
      <c r="A794" s="118" t="n">
        <v>45583</v>
      </c>
      <c r="B794" s="119" t="n">
        <v>80.18686376872965</v>
      </c>
      <c r="C794" s="119" t="n">
        <v>80.34957109998734</v>
      </c>
      <c r="D794" s="119" t="n">
        <v>79.08618321211605</v>
      </c>
      <c r="E794" s="119" t="n">
        <v>79.36374664306641</v>
      </c>
      <c r="F794" s="120" t="n">
        <v>7214800</v>
      </c>
      <c r="G794" s="121" t="n">
        <v>-0.005755462657305865</v>
      </c>
      <c r="H794" s="122" t="n">
        <v>50.75862005026879</v>
      </c>
      <c r="I794" s="119" t="n">
        <v>78.80742889404297</v>
      </c>
      <c r="J794" s="119" t="n">
        <v>85.69408962249756</v>
      </c>
      <c r="K794" s="121" t="n">
        <v>0.2996236276990105</v>
      </c>
      <c r="L794" s="121" t="n">
        <v>-0.07289811399049451</v>
      </c>
      <c r="M794" s="121" t="n">
        <v>-0.3157690622043553</v>
      </c>
      <c r="N794" t="n">
        <v>50.11110186990199</v>
      </c>
      <c r="O794" t="n">
        <v>-0.2039023591991845</v>
      </c>
      <c r="P794" t="n">
        <v>136.5276604906347</v>
      </c>
      <c r="Q794" t="n">
        <v>134.7189263673872</v>
      </c>
    </row>
    <row r="795">
      <c r="A795" s="118" t="n">
        <v>45586</v>
      </c>
      <c r="B795" s="119" t="n">
        <v>79.29675868753222</v>
      </c>
      <c r="C795" s="119" t="n">
        <v>79.52646361256973</v>
      </c>
      <c r="D795" s="119" t="n">
        <v>77.94723403797545</v>
      </c>
      <c r="E795" s="119" t="n">
        <v>77.98551940917969</v>
      </c>
      <c r="F795" s="120" t="n">
        <v>7550200</v>
      </c>
      <c r="G795" s="121" t="n">
        <v>-0.01736595476124903</v>
      </c>
      <c r="H795" s="122" t="n">
        <v>49.8771481507324</v>
      </c>
      <c r="I795" s="119" t="n">
        <v>78.95042404174805</v>
      </c>
      <c r="J795" s="119" t="n">
        <v>85.60025379180908</v>
      </c>
      <c r="K795" s="121" t="n">
        <v>0.3045691566910653</v>
      </c>
      <c r="L795" s="121" t="n">
        <v>-0.08899812340200419</v>
      </c>
      <c r="M795" s="121" t="n">
        <v>-0.3276513857163614</v>
      </c>
      <c r="N795" t="n">
        <v>44.91485398903548</v>
      </c>
      <c r="O795" t="n">
        <v>-0.2586628764692429</v>
      </c>
      <c r="P795" t="n">
        <v>136.3034438414611</v>
      </c>
      <c r="Q795" t="n">
        <v>134.9777565455933</v>
      </c>
    </row>
    <row r="796">
      <c r="A796" s="118" t="n">
        <v>45587</v>
      </c>
      <c r="B796" s="119" t="n">
        <v>77.86108013229386</v>
      </c>
      <c r="C796" s="119" t="n">
        <v>78.88518994843284</v>
      </c>
      <c r="D796" s="119" t="n">
        <v>77.74623133561205</v>
      </c>
      <c r="E796" s="119" t="n">
        <v>77.92807769775391</v>
      </c>
      <c r="F796" s="120" t="n">
        <v>7308800</v>
      </c>
      <c r="G796" s="121" t="n">
        <v>-0.0007365689407592413</v>
      </c>
      <c r="H796" s="122" t="n">
        <v>49.84041019255091</v>
      </c>
      <c r="I796" s="119" t="n">
        <v>79.08655319213867</v>
      </c>
      <c r="J796" s="119" t="n">
        <v>85.50717121124268</v>
      </c>
      <c r="K796" s="121" t="n">
        <v>0.2978378863587221</v>
      </c>
      <c r="L796" s="121" t="n">
        <v>-0.08966913908927976</v>
      </c>
      <c r="M796" s="121" t="n">
        <v>-0.3281466168230053</v>
      </c>
      <c r="N796" t="n">
        <v>44.70677869680498</v>
      </c>
      <c r="O796" t="n">
        <v>-0.2849246897411019</v>
      </c>
      <c r="P796" t="n">
        <v>136.2310422153703</v>
      </c>
      <c r="Q796" t="n">
        <v>135.1248744442916</v>
      </c>
    </row>
    <row r="797">
      <c r="A797" s="118" t="n">
        <v>45588</v>
      </c>
      <c r="B797" s="119" t="n">
        <v>77.52609796085021</v>
      </c>
      <c r="C797" s="119" t="n">
        <v>77.56438332993288</v>
      </c>
      <c r="D797" s="119" t="n">
        <v>76.36799292930247</v>
      </c>
      <c r="E797" s="119" t="n">
        <v>76.61684417724609</v>
      </c>
      <c r="F797" s="120" t="n">
        <v>7253100</v>
      </c>
      <c r="G797" s="121" t="n">
        <v>-0.01682620127745826</v>
      </c>
      <c r="H797" s="122" t="n">
        <v>49.00178541889997</v>
      </c>
      <c r="I797" s="119" t="n">
        <v>79.12289672851563</v>
      </c>
      <c r="J797" s="119" t="n">
        <v>85.40024997711181</v>
      </c>
      <c r="K797" s="121" t="n">
        <v>0.2992186028884879</v>
      </c>
      <c r="L797" s="121" t="n">
        <v>-0.1049865493840454</v>
      </c>
      <c r="M797" s="121" t="n">
        <v>-0.3394513570772827</v>
      </c>
      <c r="N797" t="n">
        <v>40.13588878843032</v>
      </c>
      <c r="O797" t="n">
        <v>-0.3713120429783076</v>
      </c>
      <c r="P797" t="n">
        <v>134.9862492189947</v>
      </c>
      <c r="Q797" t="n">
        <v>133.0542497985575</v>
      </c>
    </row>
    <row r="798">
      <c r="A798" s="118" t="n">
        <v>45589</v>
      </c>
      <c r="B798" s="119" t="n">
        <v>77.04754491125472</v>
      </c>
      <c r="C798" s="119" t="n">
        <v>77.33468153987364</v>
      </c>
      <c r="D798" s="119" t="n">
        <v>75.64058857496002</v>
      </c>
      <c r="E798" s="119" t="n">
        <v>75.65016174316406</v>
      </c>
      <c r="F798" s="120" t="n">
        <v>7424500</v>
      </c>
      <c r="G798" s="121" t="n">
        <v>-0.01261710064494037</v>
      </c>
      <c r="H798" s="122" t="n">
        <v>48.38352496048794</v>
      </c>
      <c r="I798" s="119" t="n">
        <v>79.13952529907226</v>
      </c>
      <c r="J798" s="119" t="n">
        <v>85.29265678405761</v>
      </c>
      <c r="K798" s="121" t="n">
        <v>0.2904645710511706</v>
      </c>
      <c r="L798" s="121" t="n">
        <v>-0.1162790241690422</v>
      </c>
      <c r="M798" s="121" t="n">
        <v>-0.3477855657859175</v>
      </c>
      <c r="N798" t="n">
        <v>37.12251348973094</v>
      </c>
      <c r="O798" t="n">
        <v>-0.4680216113793257</v>
      </c>
      <c r="P798" t="n">
        <v>135.2781978294058</v>
      </c>
      <c r="Q798" t="n">
        <v>134.1331563387976</v>
      </c>
    </row>
    <row r="799">
      <c r="A799" s="118" t="n">
        <v>45590</v>
      </c>
      <c r="B799" s="119" t="n">
        <v>75.82244935934182</v>
      </c>
      <c r="C799" s="119" t="n">
        <v>76.16701042507152</v>
      </c>
      <c r="D799" s="119" t="n">
        <v>75.15246626389475</v>
      </c>
      <c r="E799" s="119" t="n">
        <v>75.46831512451172</v>
      </c>
      <c r="F799" s="120" t="n">
        <v>9385400</v>
      </c>
      <c r="G799" s="121" t="n">
        <v>-0.002403783606831134</v>
      </c>
      <c r="H799" s="122" t="n">
        <v>48.26722143634721</v>
      </c>
      <c r="I799" s="119" t="n">
        <v>79.07666915893554</v>
      </c>
      <c r="J799" s="119" t="n">
        <v>85.17928359985352</v>
      </c>
      <c r="K799" s="121" t="n">
        <v>0.2897706738349704</v>
      </c>
      <c r="L799" s="121" t="n">
        <v>-0.1184032981637575</v>
      </c>
      <c r="M799" s="121" t="n">
        <v>-0.3493533481510199</v>
      </c>
      <c r="N799" t="n">
        <v>36.56634298381648</v>
      </c>
      <c r="O799" t="n">
        <v>-0.5149781647453762</v>
      </c>
      <c r="P799" t="n">
        <v>135.2314575391446</v>
      </c>
      <c r="Q799" t="n">
        <v>134.9505143547137</v>
      </c>
    </row>
    <row r="800">
      <c r="A800" s="118" t="n">
        <v>45593</v>
      </c>
      <c r="B800" s="119" t="n">
        <v>75.91816152570964</v>
      </c>
      <c r="C800" s="119" t="n">
        <v>76.22443722683559</v>
      </c>
      <c r="D800" s="119" t="n">
        <v>75.43960528631354</v>
      </c>
      <c r="E800" s="119" t="n">
        <v>75.52574920654297</v>
      </c>
      <c r="F800" s="120" t="n">
        <v>6617200</v>
      </c>
      <c r="G800" s="121" t="n">
        <v>0.000761035700035162</v>
      </c>
      <c r="H800" s="122" t="n">
        <v>48.30395451500177</v>
      </c>
      <c r="I800" s="119" t="n">
        <v>79.00104995727538</v>
      </c>
      <c r="J800" s="119" t="n">
        <v>85.05612506866456</v>
      </c>
      <c r="K800" s="121" t="n">
        <v>0.2899834980431505</v>
      </c>
      <c r="L800" s="121" t="n">
        <v>-0.117732371600627</v>
      </c>
      <c r="M800" s="121" t="n">
        <v>-0.3488581828208546</v>
      </c>
      <c r="N800" t="n">
        <v>36.88795478196764</v>
      </c>
      <c r="O800" t="n">
        <v>-0.5118448773230088</v>
      </c>
      <c r="P800" t="n">
        <v>135.6495307423238</v>
      </c>
      <c r="Q800" t="n">
        <v>134.9723114634002</v>
      </c>
    </row>
    <row r="801">
      <c r="A801" s="118" t="n">
        <v>45594</v>
      </c>
      <c r="B801" s="119" t="n">
        <v>75.4970150973903</v>
      </c>
      <c r="C801" s="119" t="n">
        <v>76.06171514780412</v>
      </c>
      <c r="D801" s="119" t="n">
        <v>74.84617844559438</v>
      </c>
      <c r="E801" s="119" t="n">
        <v>75.03760528564453</v>
      </c>
      <c r="F801" s="120" t="n">
        <v>7241100</v>
      </c>
      <c r="G801" s="121" t="n">
        <v>-0.006463278100869885</v>
      </c>
      <c r="H801" s="122" t="n">
        <v>47.99175262359955</v>
      </c>
      <c r="I801" s="119" t="n">
        <v>78.91471496582031</v>
      </c>
      <c r="J801" s="119" t="n">
        <v>84.93449810028076</v>
      </c>
      <c r="K801" s="121" t="n">
        <v>0.2853925390735174</v>
      </c>
      <c r="L801" s="121" t="n">
        <v>-0.1234347126423671</v>
      </c>
      <c r="M801" s="121" t="n">
        <v>-0.3530666934683891</v>
      </c>
      <c r="N801" t="n">
        <v>35.25204473522011</v>
      </c>
      <c r="O801" t="n">
        <v>-0.5111314157664039</v>
      </c>
      <c r="P801" t="n">
        <v>135.8690631794015</v>
      </c>
      <c r="Q801" t="n">
        <v>136.2691723105912</v>
      </c>
    </row>
    <row r="802">
      <c r="A802" s="118" t="n">
        <v>45595</v>
      </c>
      <c r="B802" s="119" t="n">
        <v>74.65476115154064</v>
      </c>
      <c r="C802" s="119" t="n">
        <v>74.76004409118576</v>
      </c>
      <c r="D802" s="119" t="n">
        <v>73.14252192953572</v>
      </c>
      <c r="E802" s="119" t="n">
        <v>73.17123413085938</v>
      </c>
      <c r="F802" s="120" t="n">
        <v>15691300</v>
      </c>
      <c r="G802" s="121" t="n">
        <v>-0.02487247757548328</v>
      </c>
      <c r="H802" s="122" t="n">
        <v>46.79807883266093</v>
      </c>
      <c r="I802" s="119" t="n">
        <v>78.78571670532227</v>
      </c>
      <c r="J802" s="119" t="n">
        <v>84.81933364868163</v>
      </c>
      <c r="K802" s="121" t="n">
        <v>0.1865738432384821</v>
      </c>
      <c r="L802" s="121" t="n">
        <v>-0.1452370630956168</v>
      </c>
      <c r="M802" s="121" t="n">
        <v>-0.3691575276279299</v>
      </c>
      <c r="N802" t="n">
        <v>29.80883935519562</v>
      </c>
      <c r="O802" t="n">
        <v>-0.5987623254051333</v>
      </c>
      <c r="P802" t="n">
        <v>135.4580308416087</v>
      </c>
      <c r="Q802" t="n">
        <v>135.2393134598744</v>
      </c>
    </row>
    <row r="803">
      <c r="A803" s="118" t="n">
        <v>45596</v>
      </c>
      <c r="B803" s="119" t="n">
        <v>72.93196008887509</v>
      </c>
      <c r="C803" s="119" t="n">
        <v>74.02306761271994</v>
      </c>
      <c r="D803" s="119" t="n">
        <v>71.97484771341905</v>
      </c>
      <c r="E803" s="119" t="n">
        <v>73.82207489013672</v>
      </c>
      <c r="F803" s="120" t="n">
        <v>13990100</v>
      </c>
      <c r="G803" s="121" t="n">
        <v>0.008894762634635622</v>
      </c>
      <c r="H803" s="122" t="n">
        <v>47.21433663563441</v>
      </c>
      <c r="I803" s="119" t="n">
        <v>78.66134994506837</v>
      </c>
      <c r="J803" s="119" t="n">
        <v>84.71167942047119</v>
      </c>
      <c r="K803" s="121" t="n">
        <v>0.1895310891121717</v>
      </c>
      <c r="L803" s="121" t="n">
        <v>-0.1376341496629683</v>
      </c>
      <c r="M803" s="121" t="n">
        <v>-0.3635463335763336</v>
      </c>
      <c r="N803" t="n">
        <v>33.65594266543123</v>
      </c>
      <c r="O803" t="n">
        <v>-0.5751647341615129</v>
      </c>
      <c r="P803" t="n">
        <v>132.8026353784572</v>
      </c>
      <c r="Q803" t="n">
        <v>131.8255070135012</v>
      </c>
    </row>
    <row r="804">
      <c r="A804" s="118" t="n">
        <v>45597</v>
      </c>
      <c r="B804" s="119" t="n">
        <v>73.74551802230748</v>
      </c>
      <c r="C804" s="119" t="n">
        <v>74.77919393026319</v>
      </c>
      <c r="D804" s="119" t="n">
        <v>73.65937410370117</v>
      </c>
      <c r="E804" s="119" t="n">
        <v>74.71219635009766</v>
      </c>
      <c r="F804" s="120" t="n">
        <v>9623700</v>
      </c>
      <c r="G804" s="121" t="n">
        <v>0.0120576597350539</v>
      </c>
      <c r="H804" s="122" t="n">
        <v>47.78363104140318</v>
      </c>
      <c r="I804" s="119" t="n">
        <v>78.56602920532227</v>
      </c>
      <c r="J804" s="119" t="n">
        <v>84.60790828704835</v>
      </c>
      <c r="K804" s="121" t="n">
        <v>0.1963778707962621</v>
      </c>
      <c r="L804" s="121" t="n">
        <v>-0.1272360356724739</v>
      </c>
      <c r="M804" s="121" t="n">
        <v>-0.3558721918294695</v>
      </c>
      <c r="N804" t="n">
        <v>38.61155441462388</v>
      </c>
      <c r="O804" t="n">
        <v>-0.4665070460578548</v>
      </c>
      <c r="P804" t="n">
        <v>133.3631115387998</v>
      </c>
      <c r="Q804" t="n">
        <v>132.8008730925017</v>
      </c>
    </row>
    <row r="805">
      <c r="A805" s="118" t="n">
        <v>45600</v>
      </c>
      <c r="B805" s="119" t="n">
        <v>74.64519451582429</v>
      </c>
      <c r="C805" s="119" t="n">
        <v>75.18118242879069</v>
      </c>
      <c r="D805" s="119" t="n">
        <v>73.80293822714589</v>
      </c>
      <c r="E805" s="119" t="n">
        <v>73.87950897216797</v>
      </c>
      <c r="F805" s="120" t="n">
        <v>6593800</v>
      </c>
      <c r="G805" s="121" t="n">
        <v>-0.01114526701942686</v>
      </c>
      <c r="H805" s="122" t="n">
        <v>47.25106971428897</v>
      </c>
      <c r="I805" s="119" t="n">
        <v>78.44185821533203</v>
      </c>
      <c r="J805" s="119" t="n">
        <v>84.49600151062012</v>
      </c>
      <c r="K805" s="121" t="n">
        <v>0.1914307888368646</v>
      </c>
      <c r="L805" s="121" t="n">
        <v>-0.1369632230998377</v>
      </c>
      <c r="M805" s="121" t="n">
        <v>-0.3630511682461682</v>
      </c>
      <c r="N805" t="n">
        <v>35.90933851689533</v>
      </c>
      <c r="O805" t="n">
        <v>-0.4191137240048977</v>
      </c>
      <c r="P805" t="n">
        <v>133.0758616877272</v>
      </c>
      <c r="Q805" t="n">
        <v>132.4139869982516</v>
      </c>
    </row>
    <row r="806">
      <c r="A806" s="118" t="n">
        <v>45601</v>
      </c>
      <c r="B806" s="119" t="n">
        <v>73.93691736959073</v>
      </c>
      <c r="C806" s="119" t="n">
        <v>74.65475151881006</v>
      </c>
      <c r="D806" s="119" t="n">
        <v>73.69763931985095</v>
      </c>
      <c r="E806" s="119" t="n">
        <v>74.63561248779297</v>
      </c>
      <c r="F806" s="120" t="n">
        <v>5629200</v>
      </c>
      <c r="G806" s="121" t="n">
        <v>0.01023427911398067</v>
      </c>
      <c r="H806" s="122" t="n">
        <v>47.73465035017917</v>
      </c>
      <c r="I806" s="119" t="n">
        <v>78.32842605590821</v>
      </c>
      <c r="J806" s="119" t="n">
        <v>84.39364448547363</v>
      </c>
      <c r="K806" s="121" t="n">
        <v>0.196462935442845</v>
      </c>
      <c r="L806" s="121" t="n">
        <v>-0.1281306638394112</v>
      </c>
      <c r="M806" s="121" t="n">
        <v>-0.3565324561206756</v>
      </c>
      <c r="N806" t="n">
        <v>40.01452438189298</v>
      </c>
      <c r="O806" t="n">
        <v>-0.31025598788386</v>
      </c>
      <c r="P806" t="n">
        <v>134.6850049206046</v>
      </c>
      <c r="Q806" t="n">
        <v>134.1031874118429</v>
      </c>
    </row>
    <row r="807">
      <c r="A807" s="118" t="n">
        <v>45602</v>
      </c>
      <c r="B807" s="119" t="n">
        <v>73.57322579070556</v>
      </c>
      <c r="C807" s="119" t="n">
        <v>73.64978922573096</v>
      </c>
      <c r="D807" s="119" t="n">
        <v>71.8982792506593</v>
      </c>
      <c r="E807" s="119" t="n">
        <v>72.08969879150391</v>
      </c>
      <c r="F807" s="120" t="n">
        <v>16193700</v>
      </c>
      <c r="G807" s="121" t="n">
        <v>-0.03411124544205302</v>
      </c>
      <c r="H807" s="122" t="n">
        <v>46.10636197599362</v>
      </c>
      <c r="I807" s="119" t="n">
        <v>78.14482772827148</v>
      </c>
      <c r="J807" s="119" t="n">
        <v>84.27222126007081</v>
      </c>
      <c r="K807" s="121" t="n">
        <v>0.2093817445266881</v>
      </c>
      <c r="L807" s="121" t="n">
        <v>-0.1578712127585848</v>
      </c>
      <c r="M807" s="121" t="n">
        <v>-0.3784819354439383</v>
      </c>
      <c r="N807" t="n">
        <v>32.47231724474433</v>
      </c>
      <c r="O807" t="n">
        <v>-0.3785999383902294</v>
      </c>
      <c r="P807" t="n">
        <v>138.0340129077681</v>
      </c>
      <c r="Q807" t="n">
        <v>137.7458551094675</v>
      </c>
    </row>
    <row r="808">
      <c r="A808" s="118" t="n">
        <v>45603</v>
      </c>
      <c r="B808" s="119" t="n">
        <v>72.45340505296778</v>
      </c>
      <c r="C808" s="119" t="n">
        <v>73.09467590438069</v>
      </c>
      <c r="D808" s="119" t="n">
        <v>71.98442202615134</v>
      </c>
      <c r="E808" s="119" t="n">
        <v>72.66397094726562</v>
      </c>
      <c r="F808" s="120" t="n">
        <v>11831100</v>
      </c>
      <c r="G808" s="121" t="n">
        <v>0.007966077891691681</v>
      </c>
      <c r="H808" s="122" t="n">
        <v>46.47364884679692</v>
      </c>
      <c r="I808" s="119" t="n">
        <v>78.0203581237793</v>
      </c>
      <c r="J808" s="119" t="n">
        <v>84.15906021118164</v>
      </c>
      <c r="K808" s="121" t="n">
        <v>0.2139604745852377</v>
      </c>
      <c r="L808" s="121" t="n">
        <v>-0.1511627492445838</v>
      </c>
      <c r="M808" s="121" t="n">
        <v>-0.3735308741305912</v>
      </c>
      <c r="N808" t="n">
        <v>35.42881997873729</v>
      </c>
      <c r="O808" t="n">
        <v>-0.3544418926916411</v>
      </c>
      <c r="P808" t="n">
        <v>139.1013004507461</v>
      </c>
      <c r="Q808" t="n">
        <v>139.9145583543338</v>
      </c>
    </row>
    <row r="809">
      <c r="A809" s="118" t="n">
        <v>45604</v>
      </c>
      <c r="B809" s="119" t="n">
        <v>72.26197896929369</v>
      </c>
      <c r="C809" s="119" t="n">
        <v>73.27651567507654</v>
      </c>
      <c r="D809" s="119" t="n">
        <v>72.02270089323643</v>
      </c>
      <c r="E809" s="119" t="n">
        <v>72.62567901611328</v>
      </c>
      <c r="F809" s="120" t="n">
        <v>8140800</v>
      </c>
      <c r="G809" s="121" t="n">
        <v>-0.0005269727301324689</v>
      </c>
      <c r="H809" s="122" t="n">
        <v>46.4491585011849</v>
      </c>
      <c r="I809" s="119" t="n">
        <v>77.88616561889648</v>
      </c>
      <c r="J809" s="119" t="n">
        <v>84.04566051483154</v>
      </c>
      <c r="K809" s="121" t="n">
        <v>0.2136865407914525</v>
      </c>
      <c r="L809" s="121" t="n">
        <v>-0.1516100633280526</v>
      </c>
      <c r="M809" s="121" t="n">
        <v>-0.3738610062761942</v>
      </c>
      <c r="N809" t="n">
        <v>35.31778391020815</v>
      </c>
      <c r="O809" t="n">
        <v>-0.311856356703835</v>
      </c>
      <c r="P809" t="n">
        <v>139.7038472364965</v>
      </c>
      <c r="Q809" t="n">
        <v>140.0780366694827</v>
      </c>
    </row>
    <row r="810">
      <c r="A810" s="118" t="n">
        <v>45607</v>
      </c>
      <c r="B810" s="119" t="n">
        <v>72.88411402787342</v>
      </c>
      <c r="C810" s="119" t="n">
        <v>74.08050458216488</v>
      </c>
      <c r="D810" s="119" t="n">
        <v>72.83625548482638</v>
      </c>
      <c r="E810" s="119" t="n">
        <v>73.31481170654297</v>
      </c>
      <c r="F810" s="120" t="n">
        <v>9877200</v>
      </c>
      <c r="G810" s="121" t="n">
        <v>0.009488829567800616</v>
      </c>
      <c r="H810" s="122" t="n">
        <v>46.8899066497704</v>
      </c>
      <c r="I810" s="119" t="n">
        <v>77.76461242675781</v>
      </c>
      <c r="J810" s="119" t="n">
        <v>83.92634326934814</v>
      </c>
      <c r="K810" s="121" t="n">
        <v>0.2185212616639294</v>
      </c>
      <c r="L810" s="121" t="n">
        <v>-0.1435598358119353</v>
      </c>
      <c r="M810" s="121" t="n">
        <v>-0.3679196800789949</v>
      </c>
      <c r="N810" t="n">
        <v>39.02171469645521</v>
      </c>
      <c r="O810" t="n">
        <v>-0.2128199072965173</v>
      </c>
      <c r="P810" t="n">
        <v>139.8369690529234</v>
      </c>
      <c r="Q810" t="n">
        <v>139.9963184868011</v>
      </c>
    </row>
    <row r="811">
      <c r="A811" s="118" t="n">
        <v>45608</v>
      </c>
      <c r="B811" s="119" t="n">
        <v>73.18081130290182</v>
      </c>
      <c r="C811" s="119" t="n">
        <v>74.1092114748327</v>
      </c>
      <c r="D811" s="119" t="n">
        <v>72.87453563504515</v>
      </c>
      <c r="E811" s="119" t="n">
        <v>73.37223815917969</v>
      </c>
      <c r="F811" s="120" t="n">
        <v>9013900</v>
      </c>
      <c r="G811" s="121" t="n">
        <v>0.0007832858231509032</v>
      </c>
      <c r="H811" s="122" t="n">
        <v>46.92663484889803</v>
      </c>
      <c r="I811" s="119" t="n">
        <v>77.67540969848633</v>
      </c>
      <c r="J811" s="119" t="n">
        <v>83.80196949005126</v>
      </c>
      <c r="K811" s="121" t="n">
        <v>0.2162077499708637</v>
      </c>
      <c r="L811" s="121" t="n">
        <v>-0.1428889983729499</v>
      </c>
      <c r="M811" s="121" t="n">
        <v>-0.367424580525308</v>
      </c>
      <c r="N811" t="n">
        <v>39.33347506871725</v>
      </c>
      <c r="O811" t="n">
        <v>-0.1234217300188993</v>
      </c>
      <c r="P811" t="n">
        <v>139.4026029381064</v>
      </c>
      <c r="Q811" t="n">
        <v>139.7429082209167</v>
      </c>
    </row>
    <row r="812">
      <c r="A812" s="118" t="n">
        <v>45609</v>
      </c>
      <c r="B812" s="119" t="n">
        <v>73.61152368490964</v>
      </c>
      <c r="C812" s="119" t="n">
        <v>73.97522379527589</v>
      </c>
      <c r="D812" s="119" t="n">
        <v>73.19039186076762</v>
      </c>
      <c r="E812" s="119" t="n">
        <v>73.23824310302734</v>
      </c>
      <c r="F812" s="120" t="n">
        <v>6835300</v>
      </c>
      <c r="G812" s="121" t="n">
        <v>-0.001826236455560237</v>
      </c>
      <c r="H812" s="122" t="n">
        <v>46.84093571760021</v>
      </c>
      <c r="I812" s="119" t="n">
        <v>77.58926986694335</v>
      </c>
      <c r="J812" s="119" t="n">
        <v>83.67550708770752</v>
      </c>
      <c r="K812" s="121" t="n">
        <v>0.1943319688032557</v>
      </c>
      <c r="L812" s="121" t="n">
        <v>-0.1444542857305829</v>
      </c>
      <c r="M812" s="121" t="n">
        <v>-0.3685798128172441</v>
      </c>
      <c r="N812" t="n">
        <v>38.83456120240422</v>
      </c>
      <c r="O812" t="n">
        <v>-0.05668580557119896</v>
      </c>
      <c r="P812" t="n">
        <v>139.4703203521013</v>
      </c>
      <c r="Q812" t="n">
        <v>139.5631030491458</v>
      </c>
    </row>
    <row r="813">
      <c r="A813" s="118" t="n">
        <v>45610</v>
      </c>
      <c r="B813" s="119" t="n">
        <v>73.39138524594978</v>
      </c>
      <c r="C813" s="119" t="n">
        <v>73.67852191077621</v>
      </c>
      <c r="D813" s="119" t="n">
        <v>72.42469959670208</v>
      </c>
      <c r="E813" s="119" t="n">
        <v>72.43427276611328</v>
      </c>
      <c r="F813" s="120" t="n">
        <v>6991600</v>
      </c>
      <c r="G813" s="121" t="n">
        <v>-0.01097746618229334</v>
      </c>
      <c r="H813" s="122" t="n">
        <v>46.32674092981328</v>
      </c>
      <c r="I813" s="119" t="n">
        <v>77.49068725585937</v>
      </c>
      <c r="J813" s="119" t="n">
        <v>83.55755638122558</v>
      </c>
      <c r="K813" s="121" t="n">
        <v>0.1955830485331967</v>
      </c>
      <c r="L813" s="121" t="n">
        <v>-0.1538460098763814</v>
      </c>
      <c r="M813" s="121" t="n">
        <v>-0.3755112065688602</v>
      </c>
      <c r="N813" t="n">
        <v>35.89280554858365</v>
      </c>
      <c r="O813" t="n">
        <v>-0.05027960840847623</v>
      </c>
      <c r="P813" t="n">
        <v>138.5734973971344</v>
      </c>
      <c r="Q813" t="n">
        <v>138.5931904422954</v>
      </c>
    </row>
    <row r="814">
      <c r="A814" s="118" t="n">
        <v>45611</v>
      </c>
      <c r="B814" s="119" t="n">
        <v>72.74054048674461</v>
      </c>
      <c r="C814" s="119" t="n">
        <v>74.3197773656444</v>
      </c>
      <c r="D814" s="119" t="n">
        <v>72.36726724473766</v>
      </c>
      <c r="E814" s="119" t="n">
        <v>73.37223815917969</v>
      </c>
      <c r="F814" s="120" t="n">
        <v>13584900</v>
      </c>
      <c r="G814" s="121" t="n">
        <v>0.01294919320989174</v>
      </c>
      <c r="H814" s="122" t="n">
        <v>46.92663484889803</v>
      </c>
      <c r="I814" s="119" t="n">
        <v>77.41469284057617</v>
      </c>
      <c r="J814" s="119" t="n">
        <v>83.44320785522461</v>
      </c>
      <c r="K814" s="121" t="n">
        <v>0.2053609226543295</v>
      </c>
      <c r="L814" s="121" t="n">
        <v>-0.1428889983729499</v>
      </c>
      <c r="M814" s="121" t="n">
        <v>-0.367424580525308</v>
      </c>
      <c r="N814" t="n">
        <v>41.46393431867327</v>
      </c>
      <c r="O814" t="n">
        <v>0.02925812723801546</v>
      </c>
      <c r="P814" t="n">
        <v>136.7985592410992</v>
      </c>
      <c r="Q814" t="n">
        <v>135.2910627156013</v>
      </c>
    </row>
    <row r="815">
      <c r="A815" s="118" t="n">
        <v>45614</v>
      </c>
      <c r="B815" s="119" t="n">
        <v>72.89368318783697</v>
      </c>
      <c r="C815" s="119" t="n">
        <v>72.93196125754321</v>
      </c>
      <c r="D815" s="119" t="n">
        <v>71.06559501637228</v>
      </c>
      <c r="E815" s="119" t="n">
        <v>71.67814636230469</v>
      </c>
      <c r="F815" s="120" t="n">
        <v>12595100</v>
      </c>
      <c r="G815" s="121" t="n">
        <v>-0.02308900258977653</v>
      </c>
      <c r="H815" s="122" t="n">
        <v>45.84314565534233</v>
      </c>
      <c r="I815" s="119" t="n">
        <v>77.32663848876953</v>
      </c>
      <c r="J815" s="119" t="n">
        <v>83.32535415649414</v>
      </c>
      <c r="K815" s="121" t="n">
        <v>0.2112810179887356</v>
      </c>
      <c r="L815" s="121" t="n">
        <v>-0.1626788365092428</v>
      </c>
      <c r="M815" s="121" t="n">
        <v>-0.3820301160237882</v>
      </c>
      <c r="N815" t="n">
        <v>35.46857786654819</v>
      </c>
      <c r="O815" t="n">
        <v>-0.01757463120650904</v>
      </c>
      <c r="P815" t="n">
        <v>137.3590790431695</v>
      </c>
      <c r="Q815" t="n">
        <v>136.2310315653684</v>
      </c>
    </row>
    <row r="816">
      <c r="A816" s="118" t="n">
        <v>45615</v>
      </c>
      <c r="B816" s="119" t="n">
        <v>71.30486608973266</v>
      </c>
      <c r="C816" s="119" t="n">
        <v>71.52500513089157</v>
      </c>
      <c r="D816" s="119" t="n">
        <v>70.44346356243936</v>
      </c>
      <c r="E816" s="119" t="n">
        <v>70.74017333984375</v>
      </c>
      <c r="F816" s="120" t="n">
        <v>12028400</v>
      </c>
      <c r="G816" s="121" t="n">
        <v>-0.01308589953930805</v>
      </c>
      <c r="H816" s="122" t="n">
        <v>45.24324685673066</v>
      </c>
      <c r="I816" s="119" t="n">
        <v>77.24662384033203</v>
      </c>
      <c r="J816" s="119" t="n">
        <v>83.20768135070801</v>
      </c>
      <c r="K816" s="121" t="n">
        <v>0.2131945150393783</v>
      </c>
      <c r="L816" s="121" t="n">
        <v>-0.1736359371368194</v>
      </c>
      <c r="M816" s="121" t="n">
        <v>-0.3901168078438187</v>
      </c>
      <c r="N816" t="n">
        <v>32.6533691965837</v>
      </c>
      <c r="O816" t="n">
        <v>-0.09286512666755709</v>
      </c>
      <c r="P816" t="n">
        <v>137.8611771192239</v>
      </c>
      <c r="Q816" t="n">
        <v>137.168256899146</v>
      </c>
    </row>
    <row r="817">
      <c r="A817" s="118" t="n">
        <v>45616</v>
      </c>
      <c r="B817" s="119" t="n">
        <v>70.50089699283767</v>
      </c>
      <c r="C817" s="119" t="n">
        <v>70.67317020032932</v>
      </c>
      <c r="D817" s="119" t="n">
        <v>69.59163590756917</v>
      </c>
      <c r="E817" s="119" t="n">
        <v>70.21376037597656</v>
      </c>
      <c r="F817" s="120" t="n">
        <v>12290300</v>
      </c>
      <c r="G817" s="121" t="n">
        <v>-0.007441499490512093</v>
      </c>
      <c r="H817" s="122" t="n">
        <v>44.90656925829718</v>
      </c>
      <c r="I817" s="119" t="n">
        <v>77.15014694213868</v>
      </c>
      <c r="J817" s="119" t="n">
        <v>83.07352085113526</v>
      </c>
      <c r="K817" s="121" t="n">
        <v>0.2086935087311883</v>
      </c>
      <c r="L817" s="121" t="n">
        <v>-0.1797853248895932</v>
      </c>
      <c r="M817" s="121" t="n">
        <v>-0.3946552533075209</v>
      </c>
      <c r="N817" t="n">
        <v>31.15862783723551</v>
      </c>
      <c r="O817" t="n">
        <v>-0.1555690683203996</v>
      </c>
      <c r="P817" t="n">
        <v>137.9079028622425</v>
      </c>
      <c r="Q817" t="n">
        <v>137.0892570625824</v>
      </c>
    </row>
    <row r="818">
      <c r="A818" s="118" t="n">
        <v>45617</v>
      </c>
      <c r="B818" s="119" t="n">
        <v>70.21376916076063</v>
      </c>
      <c r="C818" s="119" t="n">
        <v>72.31941360723107</v>
      </c>
      <c r="D818" s="119" t="n">
        <v>70.06062766535777</v>
      </c>
      <c r="E818" s="119" t="n">
        <v>71.87914276123047</v>
      </c>
      <c r="F818" s="120" t="n">
        <v>12818600</v>
      </c>
      <c r="G818" s="121" t="n">
        <v>0.0237187465296862</v>
      </c>
      <c r="H818" s="122" t="n">
        <v>45.97169679205253</v>
      </c>
      <c r="I818" s="119" t="n">
        <v>77.08697769165039</v>
      </c>
      <c r="J818" s="119" t="n">
        <v>82.94210720062256</v>
      </c>
      <c r="K818" s="121" t="n">
        <v>0.2283516759448327</v>
      </c>
      <c r="L818" s="121" t="n">
        <v>-0.1603308609107205</v>
      </c>
      <c r="M818" s="121" t="n">
        <v>-0.380297234697645</v>
      </c>
      <c r="N818" t="n">
        <v>40.44652198227295</v>
      </c>
      <c r="O818" t="n">
        <v>-0.06686712553112928</v>
      </c>
      <c r="P818" t="n">
        <v>138.6482556765157</v>
      </c>
      <c r="Q818" t="n">
        <v>137.5823851842757</v>
      </c>
    </row>
    <row r="819">
      <c r="A819" s="118" t="n">
        <v>45618</v>
      </c>
      <c r="B819" s="119" t="n">
        <v>72.86495345734518</v>
      </c>
      <c r="C819" s="119" t="n">
        <v>74.17619987751569</v>
      </c>
      <c r="D819" s="119" t="n">
        <v>72.57782416171217</v>
      </c>
      <c r="E819" s="119" t="n">
        <v>74.08049011230469</v>
      </c>
      <c r="F819" s="120" t="n">
        <v>12248600</v>
      </c>
      <c r="G819" s="121" t="n">
        <v>0.03062567619075107</v>
      </c>
      <c r="H819" s="122" t="n">
        <v>47.37961109194533</v>
      </c>
      <c r="I819" s="119" t="n">
        <v>77.05615844726563</v>
      </c>
      <c r="J819" s="119" t="n">
        <v>82.82179489135743</v>
      </c>
      <c r="K819" s="121" t="n">
        <v>0.256777725454332</v>
      </c>
      <c r="L819" s="121" t="n">
        <v>-0.1346154257496054</v>
      </c>
      <c r="M819" s="121" t="n">
        <v>-0.361318418472982</v>
      </c>
      <c r="N819" t="n">
        <v>50.04135982947287</v>
      </c>
      <c r="O819" t="n">
        <v>0.1464396257047182</v>
      </c>
      <c r="P819" t="n">
        <v>139.0779812209644</v>
      </c>
      <c r="Q819" t="n">
        <v>137.803083007216</v>
      </c>
    </row>
    <row r="820">
      <c r="A820" s="118" t="n">
        <v>45621</v>
      </c>
      <c r="B820" s="119" t="n">
        <v>75.13331798662921</v>
      </c>
      <c r="C820" s="119" t="n">
        <v>76.43499134101843</v>
      </c>
      <c r="D820" s="119" t="n">
        <v>75.04718138188566</v>
      </c>
      <c r="E820" s="119" t="n">
        <v>75.86072540283203</v>
      </c>
      <c r="F820" s="120" t="n">
        <v>18328900</v>
      </c>
      <c r="G820" s="121" t="n">
        <v>0.02403109493239763</v>
      </c>
      <c r="H820" s="122" t="n">
        <v>48.51819502395595</v>
      </c>
      <c r="I820" s="119" t="n">
        <v>77.04582168579101</v>
      </c>
      <c r="J820" s="119" t="n">
        <v>82.70693172454834</v>
      </c>
      <c r="K820" s="121" t="n">
        <v>0.271519925622098</v>
      </c>
      <c r="L820" s="121" t="n">
        <v>-0.1138192868927617</v>
      </c>
      <c r="M820" s="121" t="n">
        <v>-0.3459702007557323</v>
      </c>
      <c r="N820" t="n">
        <v>56.18873621633946</v>
      </c>
      <c r="O820" t="n">
        <v>0.3994562110678905</v>
      </c>
      <c r="P820" t="n">
        <v>139.5497192018508</v>
      </c>
      <c r="Q820" t="n">
        <v>138.0210289242098</v>
      </c>
    </row>
    <row r="821">
      <c r="A821" s="118" t="n">
        <v>45622</v>
      </c>
      <c r="B821" s="119" t="n">
        <v>75.51616225987927</v>
      </c>
      <c r="C821" s="119" t="n">
        <v>75.51616225987927</v>
      </c>
      <c r="D821" s="119" t="n">
        <v>74.24320114280097</v>
      </c>
      <c r="E821" s="119" t="n">
        <v>74.28148651123047</v>
      </c>
      <c r="F821" s="120" t="n">
        <v>9495600</v>
      </c>
      <c r="G821" s="121" t="n">
        <v>-0.02081760862706705</v>
      </c>
      <c r="H821" s="122" t="n">
        <v>47.50816222865552</v>
      </c>
      <c r="I821" s="119" t="n">
        <v>76.98782043457031</v>
      </c>
      <c r="J821" s="119" t="n">
        <v>82.57149898529053</v>
      </c>
      <c r="K821" s="121" t="n">
        <v>0.280922654247029</v>
      </c>
      <c r="L821" s="121" t="n">
        <v>-0.1322674501510833</v>
      </c>
      <c r="M821" s="121" t="n">
        <v>-0.3595855371468387</v>
      </c>
      <c r="N821" t="n">
        <v>50.27835657781267</v>
      </c>
      <c r="O821" t="n">
        <v>0.4487943681939823</v>
      </c>
      <c r="P821" t="n">
        <v>140.2783760331268</v>
      </c>
      <c r="Q821" t="n">
        <v>138.7620970597231</v>
      </c>
    </row>
    <row r="822">
      <c r="A822" s="118" t="n">
        <v>45623</v>
      </c>
      <c r="B822" s="119" t="n">
        <v>74.28148334061281</v>
      </c>
      <c r="C822" s="119" t="n">
        <v>75.65972733649667</v>
      </c>
      <c r="D822" s="119" t="n">
        <v>74.26233700612161</v>
      </c>
      <c r="E822" s="119" t="n">
        <v>74.98017120361328</v>
      </c>
      <c r="F822" s="120" t="n">
        <v>8713500</v>
      </c>
      <c r="G822" s="121" t="n">
        <v>0.009405906171212397</v>
      </c>
      <c r="H822" s="122" t="n">
        <v>47.955019544945</v>
      </c>
      <c r="I822" s="119" t="n">
        <v>76.93881622314453</v>
      </c>
      <c r="J822" s="119" t="n">
        <v>82.44986854553223</v>
      </c>
      <c r="K822" s="121" t="n">
        <v>0.2672665406461601</v>
      </c>
      <c r="L822" s="121" t="n">
        <v>-0.1241056392054974</v>
      </c>
      <c r="M822" s="121" t="n">
        <v>-0.3535618587985545</v>
      </c>
      <c r="N822" t="n">
        <v>52.65132534178612</v>
      </c>
      <c r="O822" t="n">
        <v>0.5122333130221215</v>
      </c>
      <c r="P822" t="n">
        <v>139.8533201535315</v>
      </c>
      <c r="Q822" t="n">
        <v>137.6695652290646</v>
      </c>
    </row>
    <row r="823">
      <c r="A823" s="118" t="n">
        <v>45625</v>
      </c>
      <c r="B823" s="119" t="n">
        <v>74.84617755339511</v>
      </c>
      <c r="C823" s="119" t="n">
        <v>75.78415080299156</v>
      </c>
      <c r="D823" s="119" t="n">
        <v>74.68347021793249</v>
      </c>
      <c r="E823" s="119" t="n">
        <v>75.39173126220703</v>
      </c>
      <c r="F823" s="120" t="n">
        <v>7123500</v>
      </c>
      <c r="G823" s="121" t="n">
        <v>0.005488918629915185</v>
      </c>
      <c r="H823" s="122" t="n">
        <v>48.21824074512319</v>
      </c>
      <c r="I823" s="119" t="n">
        <v>76.89651184082031</v>
      </c>
      <c r="J823" s="119" t="n">
        <v>82.32400650024414</v>
      </c>
      <c r="K823" s="121" t="n">
        <v>0.2662640416190845</v>
      </c>
      <c r="L823" s="121" t="n">
        <v>-0.1192979263306949</v>
      </c>
      <c r="M823" s="121" t="n">
        <v>-0.3500136124422261</v>
      </c>
      <c r="N823" t="n">
        <v>54.04268022006342</v>
      </c>
      <c r="O823" t="n">
        <v>0.561693677401035</v>
      </c>
      <c r="P823" t="n">
        <v>140.7221105721356</v>
      </c>
      <c r="Q823" t="n">
        <v>138.8792544214239</v>
      </c>
    </row>
    <row r="824">
      <c r="A824" s="118" t="n">
        <v>45628</v>
      </c>
      <c r="B824" s="119" t="n">
        <v>74.958838238669</v>
      </c>
      <c r="C824" s="119" t="n">
        <v>76.09399550350199</v>
      </c>
      <c r="D824" s="119" t="n">
        <v>74.26619891240372</v>
      </c>
      <c r="E824" s="119" t="n">
        <v>76.08437347412109</v>
      </c>
      <c r="F824" s="120" t="n">
        <v>11221000</v>
      </c>
      <c r="G824" s="121" t="n">
        <v>0.009187243750977236</v>
      </c>
      <c r="H824" s="122" t="n">
        <v>48.66123347609194</v>
      </c>
      <c r="I824" s="119" t="n">
        <v>76.76201232910157</v>
      </c>
      <c r="J824" s="119" t="n">
        <v>82.20293170928954</v>
      </c>
      <c r="K824" s="121" t="n">
        <v>0.2649011173832006</v>
      </c>
      <c r="L824" s="121" t="n">
        <v>-0.1112067017079039</v>
      </c>
      <c r="M824" s="121" t="n">
        <v>-0.3440420290649157</v>
      </c>
      <c r="N824" t="n">
        <v>56.36654121610493</v>
      </c>
      <c r="O824" t="n">
        <v>0.6164575371903512</v>
      </c>
      <c r="P824" t="n">
        <v>140.9743161159443</v>
      </c>
      <c r="Q824" t="n">
        <v>140.3913512294479</v>
      </c>
    </row>
    <row r="825">
      <c r="A825" s="118" t="n">
        <v>45629</v>
      </c>
      <c r="B825" s="119" t="n">
        <v>75.9978077342285</v>
      </c>
      <c r="C825" s="119" t="n">
        <v>76.38260822862273</v>
      </c>
      <c r="D825" s="119" t="n">
        <v>74.6606317042893</v>
      </c>
      <c r="E825" s="119" t="n">
        <v>75.86312866210938</v>
      </c>
      <c r="F825" s="120" t="n">
        <v>9414500</v>
      </c>
      <c r="G825" s="121" t="n">
        <v>-0.00290788767665906</v>
      </c>
      <c r="H825" s="122" t="n">
        <v>48.51973207493578</v>
      </c>
      <c r="I825" s="119" t="n">
        <v>76.62921325683594</v>
      </c>
      <c r="J825" s="119" t="n">
        <v>82.09276210784913</v>
      </c>
      <c r="K825" s="121" t="n">
        <v>0.261465797562894</v>
      </c>
      <c r="L825" s="121" t="n">
        <v>-0.1137912127871046</v>
      </c>
      <c r="M825" s="121" t="n">
        <v>-0.345949481165004</v>
      </c>
      <c r="N825" t="n">
        <v>55.40285330823809</v>
      </c>
      <c r="O825" t="n">
        <v>0.611947546849963</v>
      </c>
      <c r="P825" t="n">
        <v>141.0397350656188</v>
      </c>
      <c r="Q825" t="n">
        <v>140.8218231511139</v>
      </c>
    </row>
    <row r="826">
      <c r="A826" s="118" t="n">
        <v>45630</v>
      </c>
      <c r="B826" s="119" t="n">
        <v>74.86263738573849</v>
      </c>
      <c r="C826" s="119" t="n">
        <v>75.52641794046531</v>
      </c>
      <c r="D826" s="119" t="n">
        <v>74.16999808332056</v>
      </c>
      <c r="E826" s="119" t="n">
        <v>75.39173889160156</v>
      </c>
      <c r="F826" s="120" t="n">
        <v>15042600</v>
      </c>
      <c r="G826" s="121" t="n">
        <v>-0.00621368745029427</v>
      </c>
      <c r="H826" s="122" t="n">
        <v>48.21824562465011</v>
      </c>
      <c r="I826" s="119" t="n">
        <v>76.46286712646484</v>
      </c>
      <c r="J826" s="119" t="n">
        <v>81.98122856140137</v>
      </c>
      <c r="K826" s="121" t="n">
        <v>0.2606579714443859</v>
      </c>
      <c r="L826" s="121" t="n">
        <v>-0.11929783720655</v>
      </c>
      <c r="M826" s="121" t="n">
        <v>-0.3500135466657476</v>
      </c>
      <c r="N826" t="n">
        <v>53.31149879841531</v>
      </c>
      <c r="O826" t="n">
        <v>0.5531638576091166</v>
      </c>
      <c r="P826" t="n">
        <v>141.9155081606392</v>
      </c>
      <c r="Q826" t="n">
        <v>142.5628063802608</v>
      </c>
    </row>
    <row r="827">
      <c r="A827" s="118" t="n">
        <v>45631</v>
      </c>
      <c r="B827" s="119" t="n">
        <v>75.28591875425643</v>
      </c>
      <c r="C827" s="119" t="n">
        <v>75.90159650453263</v>
      </c>
      <c r="D827" s="119" t="n">
        <v>75.13199564695852</v>
      </c>
      <c r="E827" s="119" t="n">
        <v>75.59375762939453</v>
      </c>
      <c r="F827" s="120" t="n">
        <v>8316500</v>
      </c>
      <c r="G827" s="121" t="n">
        <v>0.002679587190360877</v>
      </c>
      <c r="H827" s="122" t="n">
        <v>48.3474506179676</v>
      </c>
      <c r="I827" s="119" t="n">
        <v>76.29022445678712</v>
      </c>
      <c r="J827" s="119" t="n">
        <v>81.86138927459717</v>
      </c>
      <c r="K827" s="121" t="n">
        <v>0.2260316947762481</v>
      </c>
      <c r="L827" s="121" t="n">
        <v>-0.1169379189726055</v>
      </c>
      <c r="M827" s="121" t="n">
        <v>-0.348271851291485</v>
      </c>
      <c r="N827" t="n">
        <v>54.1109659499669</v>
      </c>
      <c r="O827" t="n">
        <v>0.5051585889488329</v>
      </c>
      <c r="P827" t="n">
        <v>141.6819812762439</v>
      </c>
      <c r="Q827" t="n">
        <v>142.167723297871</v>
      </c>
    </row>
    <row r="828">
      <c r="A828" s="118" t="n">
        <v>45632</v>
      </c>
      <c r="B828" s="119" t="n">
        <v>76.2094439722287</v>
      </c>
      <c r="C828" s="119" t="n">
        <v>78.09495821247215</v>
      </c>
      <c r="D828" s="119" t="n">
        <v>75.84388022090798</v>
      </c>
      <c r="E828" s="119" t="n">
        <v>75.89198303222656</v>
      </c>
      <c r="F828" s="120" t="n">
        <v>13931100</v>
      </c>
      <c r="G828" s="121" t="n">
        <v>0.003945106212263072</v>
      </c>
      <c r="H828" s="122" t="n">
        <v>48.53818644574762</v>
      </c>
      <c r="I828" s="119" t="n">
        <v>76.09693878173829</v>
      </c>
      <c r="J828" s="119" t="n">
        <v>81.7439395904541</v>
      </c>
      <c r="K828" s="121" t="n">
        <v>0.2251844366644015</v>
      </c>
      <c r="L828" s="121" t="n">
        <v>-0.1134541452709305</v>
      </c>
      <c r="M828" s="121" t="n">
        <v>-0.3457007145233083</v>
      </c>
      <c r="N828" t="n">
        <v>55.3270756120864</v>
      </c>
      <c r="O828" t="n">
        <v>0.4714138670030496</v>
      </c>
      <c r="P828" t="n">
        <v>141.9505524679031</v>
      </c>
      <c r="Q828" t="n">
        <v>143.4400770802148</v>
      </c>
    </row>
    <row r="829">
      <c r="A829" s="118" t="n">
        <v>45635</v>
      </c>
      <c r="B829" s="119" t="n">
        <v>76.421074233364</v>
      </c>
      <c r="C829" s="119" t="n">
        <v>76.43068892275677</v>
      </c>
      <c r="D829" s="119" t="n">
        <v>74.57403368535239</v>
      </c>
      <c r="E829" s="119" t="n">
        <v>74.68947601318359</v>
      </c>
      <c r="F829" s="120" t="n">
        <v>12043400</v>
      </c>
      <c r="G829" s="121" t="n">
        <v>-0.01584498086619157</v>
      </c>
      <c r="H829" s="122" t="n">
        <v>47.76909981023511</v>
      </c>
      <c r="I829" s="119" t="n">
        <v>75.8786457824707</v>
      </c>
      <c r="J829" s="119" t="n">
        <v>81.61787651062012</v>
      </c>
      <c r="K829" s="121" t="n">
        <v>0.2340969001933736</v>
      </c>
      <c r="L829" s="121" t="n">
        <v>-0.1275014473761139</v>
      </c>
      <c r="M829" s="121" t="n">
        <v>-0.3560680741824493</v>
      </c>
      <c r="N829" t="n">
        <v>49.6172342207277</v>
      </c>
      <c r="O829" t="n">
        <v>0.351528648810528</v>
      </c>
      <c r="P829" t="n">
        <v>141.2195535305792</v>
      </c>
      <c r="Q829" t="n">
        <v>142.323038184709</v>
      </c>
    </row>
    <row r="830">
      <c r="A830" s="118" t="n">
        <v>45636</v>
      </c>
      <c r="B830" s="119" t="n">
        <v>74.55479712858771</v>
      </c>
      <c r="C830" s="119" t="n">
        <v>75.11275737179406</v>
      </c>
      <c r="D830" s="119" t="n">
        <v>73.70824207436461</v>
      </c>
      <c r="E830" s="119" t="n">
        <v>73.82367706298828</v>
      </c>
      <c r="F830" s="120" t="n">
        <v>12193100</v>
      </c>
      <c r="G830" s="121" t="n">
        <v>-0.01159198050930876</v>
      </c>
      <c r="H830" s="122" t="n">
        <v>47.21536133628764</v>
      </c>
      <c r="I830" s="119" t="n">
        <v>75.66294464111328</v>
      </c>
      <c r="J830" s="119" t="n">
        <v>81.49263885498047</v>
      </c>
      <c r="K830" s="121" t="n">
        <v>0.2365084760975213</v>
      </c>
      <c r="L830" s="121" t="n">
        <v>-0.1376154335925301</v>
      </c>
      <c r="M830" s="121" t="n">
        <v>-0.3635325205158481</v>
      </c>
      <c r="N830" t="n">
        <v>45.94101788547709</v>
      </c>
      <c r="O830" t="n">
        <v>0.2046235350726867</v>
      </c>
      <c r="P830" t="n">
        <v>140.7804886564237</v>
      </c>
      <c r="Q830" t="n">
        <v>141.8380651013695</v>
      </c>
    </row>
    <row r="831">
      <c r="A831" s="118" t="n">
        <v>45637</v>
      </c>
      <c r="B831" s="119" t="n">
        <v>73.87178046195903</v>
      </c>
      <c r="C831" s="119" t="n">
        <v>75.97855709477457</v>
      </c>
      <c r="D831" s="119" t="n">
        <v>73.41001848537815</v>
      </c>
      <c r="E831" s="119" t="n">
        <v>75.85349273681641</v>
      </c>
      <c r="F831" s="120" t="n">
        <v>12033200</v>
      </c>
      <c r="G831" s="121" t="n">
        <v>0.02749545612712079</v>
      </c>
      <c r="H831" s="122" t="n">
        <v>48.51356923243569</v>
      </c>
      <c r="I831" s="119" t="n">
        <v>75.47386596679688</v>
      </c>
      <c r="J831" s="119" t="n">
        <v>81.37466567993164</v>
      </c>
      <c r="K831" s="121" t="n">
        <v>0.2552692033843796</v>
      </c>
      <c r="L831" s="121" t="n">
        <v>-0.1139037765821674</v>
      </c>
      <c r="M831" s="121" t="n">
        <v>-0.3460325568573525</v>
      </c>
      <c r="N831" t="n">
        <v>54.4599679178477</v>
      </c>
      <c r="O831" t="n">
        <v>0.2328088652746731</v>
      </c>
      <c r="P831" t="n">
        <v>141.8688260593482</v>
      </c>
      <c r="Q831" t="n">
        <v>144.377335973821</v>
      </c>
    </row>
    <row r="832">
      <c r="A832" s="118" t="n">
        <v>45638</v>
      </c>
      <c r="B832" s="119" t="n">
        <v>75.71882018696336</v>
      </c>
      <c r="C832" s="119" t="n">
        <v>76.35374204181389</v>
      </c>
      <c r="D832" s="119" t="n">
        <v>74.901123803152</v>
      </c>
      <c r="E832" s="119" t="n">
        <v>74.99732208251953</v>
      </c>
      <c r="F832" s="120" t="n">
        <v>6983200</v>
      </c>
      <c r="G832" s="121" t="n">
        <v>-0.01128716191444834</v>
      </c>
      <c r="H832" s="122" t="n">
        <v>47.96598872146139</v>
      </c>
      <c r="I832" s="119" t="n">
        <v>75.38309173583984</v>
      </c>
      <c r="J832" s="119" t="n">
        <v>81.25619480133057</v>
      </c>
      <c r="K832" s="121" t="n">
        <v>0.2592235608290429</v>
      </c>
      <c r="L832" s="121" t="n">
        <v>-0.1239052881276657</v>
      </c>
      <c r="M832" s="121" t="n">
        <v>-0.3534139932748813</v>
      </c>
      <c r="N832" t="n">
        <v>50.82200380201378</v>
      </c>
      <c r="O832" t="n">
        <v>0.1845524483222984</v>
      </c>
      <c r="P832" t="n">
        <v>141.1378271220242</v>
      </c>
      <c r="Q832" t="n">
        <v>143.4455305523649</v>
      </c>
    </row>
    <row r="833">
      <c r="A833" s="118" t="n">
        <v>45639</v>
      </c>
      <c r="B833" s="119" t="n">
        <v>74.41050645028405</v>
      </c>
      <c r="C833" s="119" t="n">
        <v>74.87226848767069</v>
      </c>
      <c r="D833" s="119" t="n">
        <v>73.85254612911724</v>
      </c>
      <c r="E833" s="119" t="n">
        <v>74.31430816650391</v>
      </c>
      <c r="F833" s="120" t="n">
        <v>8037300</v>
      </c>
      <c r="G833" s="121" t="n">
        <v>-0.009107177390468735</v>
      </c>
      <c r="H833" s="122" t="n">
        <v>47.52915395346582</v>
      </c>
      <c r="I833" s="119" t="n">
        <v>75.29779937744141</v>
      </c>
      <c r="J833" s="119" t="n">
        <v>81.13629489898682</v>
      </c>
      <c r="K833" s="121" t="n">
        <v>0.258130106378353</v>
      </c>
      <c r="L833" s="121" t="n">
        <v>-0.1318840380795386</v>
      </c>
      <c r="M833" s="121" t="n">
        <v>-0.3593025667363218</v>
      </c>
      <c r="N833" t="n">
        <v>48.06363975661697</v>
      </c>
      <c r="O833" t="n">
        <v>0.1015433324434568</v>
      </c>
      <c r="P833" t="n">
        <v>141.1097945856616</v>
      </c>
      <c r="Q833" t="n">
        <v>144.5435242451308</v>
      </c>
    </row>
    <row r="834">
      <c r="A834" s="118" t="n">
        <v>45642</v>
      </c>
      <c r="B834" s="119" t="n">
        <v>73.84292333451747</v>
      </c>
      <c r="C834" s="119" t="n">
        <v>76.01703219929495</v>
      </c>
      <c r="D834" s="119" t="n">
        <v>73.74672506129454</v>
      </c>
      <c r="E834" s="119" t="n">
        <v>74.26619720458984</v>
      </c>
      <c r="F834" s="120" t="n">
        <v>13034000</v>
      </c>
      <c r="G834" s="121" t="n">
        <v>-0.000647398369184371</v>
      </c>
      <c r="H834" s="122" t="n">
        <v>47.49838365670764</v>
      </c>
      <c r="I834" s="119" t="n">
        <v>75.20867340087891</v>
      </c>
      <c r="J834" s="119" t="n">
        <v>81.02412738800049</v>
      </c>
      <c r="K834" s="121" t="n">
        <v>0.2545537012974957</v>
      </c>
      <c r="L834" s="121" t="n">
        <v>-0.1324460549375488</v>
      </c>
      <c r="M834" s="121" t="n">
        <v>-0.3597173532097573</v>
      </c>
      <c r="N834" t="n">
        <v>47.86656489424684</v>
      </c>
      <c r="O834" t="n">
        <v>0.04138995865654466</v>
      </c>
      <c r="P834" t="n">
        <v>141.7123268241695</v>
      </c>
      <c r="Q834" t="n">
        <v>146.6250222753366</v>
      </c>
    </row>
    <row r="835">
      <c r="A835" s="118" t="n">
        <v>45643</v>
      </c>
      <c r="B835" s="119" t="n">
        <v>74.42012693775513</v>
      </c>
      <c r="C835" s="119" t="n">
        <v>75.77653959169103</v>
      </c>
      <c r="D835" s="119" t="n">
        <v>74.31430662595308</v>
      </c>
      <c r="E835" s="119" t="n">
        <v>75.03580474853516</v>
      </c>
      <c r="F835" s="120" t="n">
        <v>12452400</v>
      </c>
      <c r="G835" s="121" t="n">
        <v>0.01036282417726575</v>
      </c>
      <c r="H835" s="122" t="n">
        <v>47.99060105524642</v>
      </c>
      <c r="I835" s="119" t="n">
        <v>75.16212142944336</v>
      </c>
      <c r="J835" s="119" t="n">
        <v>80.9269129562378</v>
      </c>
      <c r="K835" s="121" t="n">
        <v>0.2403412711287175</v>
      </c>
      <c r="L835" s="121" t="n">
        <v>-0.1234557459405733</v>
      </c>
      <c r="M835" s="121" t="n">
        <v>-0.3530822167173157</v>
      </c>
      <c r="N835" t="n">
        <v>51.30609518067295</v>
      </c>
      <c r="O835" t="n">
        <v>0.05080600909250826</v>
      </c>
      <c r="P835" t="n">
        <v>141.128473245075</v>
      </c>
      <c r="Q835" t="n">
        <v>145.9793647325806</v>
      </c>
    </row>
    <row r="836">
      <c r="A836" s="118" t="n">
        <v>45644</v>
      </c>
      <c r="B836" s="119" t="n">
        <v>75.01656676758309</v>
      </c>
      <c r="C836" s="119" t="n">
        <v>75.99780096844695</v>
      </c>
      <c r="D836" s="119" t="n">
        <v>73.91988288738233</v>
      </c>
      <c r="E836" s="119" t="n">
        <v>73.97760772705078</v>
      </c>
      <c r="F836" s="120" t="n">
        <v>14376900</v>
      </c>
      <c r="G836" s="121" t="n">
        <v>-0.01410256110440444</v>
      </c>
      <c r="H836" s="122" t="n">
        <v>47.3138106714277</v>
      </c>
      <c r="I836" s="119" t="n">
        <v>75.09555450439453</v>
      </c>
      <c r="J836" s="119" t="n">
        <v>80.83024490356445</v>
      </c>
      <c r="K836" s="121" t="n">
        <v>0.2412355110125196</v>
      </c>
      <c r="L836" s="121" t="n">
        <v>-0.135817264844161</v>
      </c>
      <c r="M836" s="121" t="n">
        <v>-0.3622054142855855</v>
      </c>
      <c r="N836" t="n">
        <v>46.73991910222157</v>
      </c>
      <c r="O836" t="n">
        <v>-0.01342879252820484</v>
      </c>
      <c r="P836" t="n">
        <v>136.9223417278194</v>
      </c>
      <c r="Q836" t="n">
        <v>140.7128543875956</v>
      </c>
    </row>
    <row r="837">
      <c r="A837" s="118" t="n">
        <v>45645</v>
      </c>
      <c r="B837" s="119" t="n">
        <v>74.01609001482456</v>
      </c>
      <c r="C837" s="119" t="n">
        <v>74.97808751503509</v>
      </c>
      <c r="D837" s="119" t="n">
        <v>73.52546923466882</v>
      </c>
      <c r="E837" s="119" t="n">
        <v>74.17000579833984</v>
      </c>
      <c r="F837" s="120" t="n">
        <v>27067600</v>
      </c>
      <c r="G837" s="121" t="n">
        <v>0.002600760922128575</v>
      </c>
      <c r="H837" s="122" t="n">
        <v>47.43686258129895</v>
      </c>
      <c r="I837" s="119" t="n">
        <v>75.00067642211914</v>
      </c>
      <c r="J837" s="119" t="n">
        <v>80.73776592254639</v>
      </c>
      <c r="K837" s="121" t="n">
        <v>0.2384475377045291</v>
      </c>
      <c r="L837" s="121" t="n">
        <v>-0.1335697321569895</v>
      </c>
      <c r="M837" s="121" t="n">
        <v>-0.3599725623834464</v>
      </c>
      <c r="N837" t="n">
        <v>47.6521430344342</v>
      </c>
      <c r="O837" t="n">
        <v>-0.0406185627828128</v>
      </c>
      <c r="P837" t="n">
        <v>136.8803001968967</v>
      </c>
      <c r="Q837" t="n">
        <v>140.0862000977937</v>
      </c>
    </row>
    <row r="838">
      <c r="A838" s="118" t="n">
        <v>45646</v>
      </c>
      <c r="B838" s="119" t="n">
        <v>73.07332207646351</v>
      </c>
      <c r="C838" s="119" t="n">
        <v>75.03579766536966</v>
      </c>
      <c r="D838" s="119" t="n">
        <v>72.01512639779216</v>
      </c>
      <c r="E838" s="119" t="n">
        <v>74.01608276367188</v>
      </c>
      <c r="F838" s="120" t="n">
        <v>49883400</v>
      </c>
      <c r="G838" s="121" t="n">
        <v>-0.00207527332661217</v>
      </c>
      <c r="H838" s="122" t="n">
        <v>47.33841812568581</v>
      </c>
      <c r="I838" s="119" t="n">
        <v>74.90941955566406</v>
      </c>
      <c r="J838" s="119" t="n">
        <v>80.64185970306397</v>
      </c>
      <c r="K838" s="121" t="n">
        <v>0.2257483078775607</v>
      </c>
      <c r="L838" s="121" t="n">
        <v>-0.1353678117812136</v>
      </c>
      <c r="M838" s="121" t="n">
        <v>-0.3613007942530321</v>
      </c>
      <c r="N838" t="n">
        <v>46.9591836748118</v>
      </c>
      <c r="O838" t="n">
        <v>-0.06517271836500114</v>
      </c>
      <c r="P838" t="n">
        <v>138.5243713590978</v>
      </c>
      <c r="Q838" t="n">
        <v>141.3095145805713</v>
      </c>
    </row>
    <row r="839">
      <c r="A839" s="118" t="n">
        <v>45649</v>
      </c>
      <c r="B839" s="119" t="n">
        <v>73.42926682994613</v>
      </c>
      <c r="C839" s="119" t="n">
        <v>75.43022327951289</v>
      </c>
      <c r="D839" s="119" t="n">
        <v>72.8616845201697</v>
      </c>
      <c r="E839" s="119" t="n">
        <v>73.84292602539062</v>
      </c>
      <c r="F839" s="120" t="n">
        <v>14203800</v>
      </c>
      <c r="G839" s="121" t="n">
        <v>-0.002339447479733914</v>
      </c>
      <c r="H839" s="122" t="n">
        <v>47.22767238270708</v>
      </c>
      <c r="I839" s="119" t="n">
        <v>74.81374252319335</v>
      </c>
      <c r="J839" s="119" t="n">
        <v>80.54048435211182</v>
      </c>
      <c r="K839" s="121" t="n">
        <v>0.1980898778091431</v>
      </c>
      <c r="L839" s="121" t="n">
        <v>-0.1343904148088588</v>
      </c>
      <c r="M839" s="121" t="n">
        <v>-0.2825149405321674</v>
      </c>
      <c r="N839" t="n">
        <v>46.14620016499686</v>
      </c>
      <c r="O839" t="n">
        <v>-0.08786666054433806</v>
      </c>
      <c r="P839" t="n">
        <v>139.3538987701032</v>
      </c>
      <c r="Q839" t="n">
        <v>142.6862394299128</v>
      </c>
    </row>
    <row r="840">
      <c r="A840" s="118" t="n">
        <v>45650</v>
      </c>
      <c r="B840" s="119" t="n">
        <v>73.83330724462616</v>
      </c>
      <c r="C840" s="119" t="n">
        <v>74.17962692765339</v>
      </c>
      <c r="D840" s="119" t="n">
        <v>73.45812881125639</v>
      </c>
      <c r="E840" s="119" t="n">
        <v>73.87178802490234</v>
      </c>
      <c r="F840" s="120" t="n">
        <v>4919100</v>
      </c>
      <c r="G840" s="121" t="n">
        <v>0.0003908566610943964</v>
      </c>
      <c r="H840" s="122" t="n">
        <v>47.24613163304585</v>
      </c>
      <c r="I840" s="119" t="n">
        <v>74.72917083740235</v>
      </c>
      <c r="J840" s="119" t="n">
        <v>80.43014141082763</v>
      </c>
      <c r="K840" s="121" t="n">
        <v>0.1765138033219486</v>
      </c>
      <c r="L840" s="121" t="n">
        <v>-0.1340520855365798</v>
      </c>
      <c r="M840" s="121" t="n">
        <v>-0.2822345067174388</v>
      </c>
      <c r="N840" t="n">
        <v>46.31304075106087</v>
      </c>
      <c r="O840" t="n">
        <v>-0.09511237326577393</v>
      </c>
      <c r="P840" t="n">
        <v>140.9028164188905</v>
      </c>
      <c r="Q840" t="n">
        <v>144.6210642291496</v>
      </c>
    </row>
    <row r="841">
      <c r="A841" s="118" t="n">
        <v>45652</v>
      </c>
      <c r="B841" s="119" t="n">
        <v>73.68899982912531</v>
      </c>
      <c r="C841" s="119" t="n">
        <v>74.51631818541293</v>
      </c>
      <c r="D841" s="119" t="n">
        <v>73.63128233339381</v>
      </c>
      <c r="E841" s="119" t="n">
        <v>74.01608276367188</v>
      </c>
      <c r="F841" s="120" t="n">
        <v>6363500</v>
      </c>
      <c r="G841" s="121" t="n">
        <v>0.00195331320152814</v>
      </c>
      <c r="H841" s="122" t="n">
        <v>47.33841812568581</v>
      </c>
      <c r="I841" s="119" t="n">
        <v>74.63753112792969</v>
      </c>
      <c r="J841" s="119" t="n">
        <v>80.32479110717773</v>
      </c>
      <c r="K841" s="121" t="n">
        <v>0.1608802199481087</v>
      </c>
      <c r="L841" s="121" t="n">
        <v>-0.07871456211327132</v>
      </c>
      <c r="M841" s="121" t="n">
        <v>-0.2808324859038086</v>
      </c>
      <c r="N841" t="n">
        <v>47.19384353323189</v>
      </c>
      <c r="O841" t="n">
        <v>-0.08471217472567485</v>
      </c>
      <c r="P841" t="n">
        <v>140.9121848430823</v>
      </c>
      <c r="Q841" t="n">
        <v>144.52280105096</v>
      </c>
    </row>
    <row r="842">
      <c r="A842" s="118" t="n">
        <v>45653</v>
      </c>
      <c r="B842" s="119" t="n">
        <v>73.61203689394692</v>
      </c>
      <c r="C842" s="119" t="n">
        <v>74.006459345932</v>
      </c>
      <c r="D842" s="119" t="n">
        <v>72.91940493979202</v>
      </c>
      <c r="E842" s="119" t="n">
        <v>73.51583862304688</v>
      </c>
      <c r="F842" s="120" t="n">
        <v>6334400</v>
      </c>
      <c r="G842" s="121" t="n">
        <v>-0.00675858707927357</v>
      </c>
      <c r="H842" s="122" t="n">
        <v>47.0184773045883</v>
      </c>
      <c r="I842" s="119" t="n">
        <v>74.50104766845703</v>
      </c>
      <c r="J842" s="119" t="n">
        <v>80.21133960723877</v>
      </c>
      <c r="K842" s="121" t="n">
        <v>0.1583846548712149</v>
      </c>
      <c r="L842" s="121" t="n">
        <v>-0.08494114997009539</v>
      </c>
      <c r="M842" s="121" t="n">
        <v>-0.2856930421724124</v>
      </c>
      <c r="N842" t="n">
        <v>44.46993474650883</v>
      </c>
      <c r="O842" t="n">
        <v>-0.1047369457988519</v>
      </c>
      <c r="P842" t="n">
        <v>139.4288898053649</v>
      </c>
      <c r="Q842" t="n">
        <v>142.6016686617989</v>
      </c>
    </row>
    <row r="843">
      <c r="A843" s="118" t="n">
        <v>45656</v>
      </c>
      <c r="B843" s="119" t="n">
        <v>72.72700498362239</v>
      </c>
      <c r="C843" s="119" t="n">
        <v>72.8905427869244</v>
      </c>
      <c r="D843" s="119" t="n">
        <v>71.71691207547062</v>
      </c>
      <c r="E843" s="119" t="n">
        <v>71.8131103515625</v>
      </c>
      <c r="F843" s="120" t="n">
        <v>9042900</v>
      </c>
      <c r="G843" s="121" t="n">
        <v>-0.02316137996078815</v>
      </c>
      <c r="H843" s="122" t="n">
        <v>45.92946448655904</v>
      </c>
      <c r="I843" s="119" t="n">
        <v>74.34084655761718</v>
      </c>
      <c r="J843" s="119" t="n">
        <v>80.09459480285645</v>
      </c>
      <c r="K843" s="121" t="n">
        <v>0.1747668313079071</v>
      </c>
      <c r="L843" s="121" t="n">
        <v>-0.1061351756821198</v>
      </c>
      <c r="M843" s="121" t="n">
        <v>-0.3006305678632624</v>
      </c>
      <c r="N843" t="n">
        <v>36.70437057108575</v>
      </c>
      <c r="O843" t="n">
        <v>-0.2192827781306649</v>
      </c>
      <c r="P843" t="n">
        <v>137.8377851532295</v>
      </c>
      <c r="Q843" t="n">
        <v>140.7050601173994</v>
      </c>
    </row>
    <row r="844">
      <c r="A844" s="118" t="n">
        <v>45657</v>
      </c>
      <c r="B844" s="119" t="n">
        <v>72.05360726683648</v>
      </c>
      <c r="C844" s="119" t="n">
        <v>73.48698134850964</v>
      </c>
      <c r="D844" s="119" t="n">
        <v>71.93816493576823</v>
      </c>
      <c r="E844" s="119" t="n">
        <v>72.79434204101562</v>
      </c>
      <c r="F844" s="120" t="n">
        <v>9425600</v>
      </c>
      <c r="G844" s="121" t="n">
        <v>0.01366368459254153</v>
      </c>
      <c r="H844" s="122" t="n">
        <v>46.55703020280772</v>
      </c>
      <c r="I844" s="119" t="n">
        <v>74.20945846557618</v>
      </c>
      <c r="J844" s="119" t="n">
        <v>79.98569850921631</v>
      </c>
      <c r="K844" s="121" t="n">
        <v>0.1793555433631027</v>
      </c>
      <c r="L844" s="121" t="n">
        <v>-0.09392168865427286</v>
      </c>
      <c r="M844" s="121" t="n">
        <v>-0.2818806984015593</v>
      </c>
      <c r="N844" t="n">
        <v>42.89315801802601</v>
      </c>
      <c r="O844" t="n">
        <v>-0.2152840543784147</v>
      </c>
      <c r="P844" t="n">
        <v>137.3363271558466</v>
      </c>
      <c r="Q844" t="n">
        <v>139.5098100413025</v>
      </c>
    </row>
    <row r="845">
      <c r="A845" s="118" t="n">
        <v>45659</v>
      </c>
      <c r="B845" s="119" t="n">
        <v>73.35230110084078</v>
      </c>
      <c r="C845" s="119" t="n">
        <v>73.77558230172124</v>
      </c>
      <c r="D845" s="119" t="n">
        <v>70.45668689741846</v>
      </c>
      <c r="E845" s="119" t="n">
        <v>70.87034606933594</v>
      </c>
      <c r="F845" s="120" t="n">
        <v>10883400</v>
      </c>
      <c r="G845" s="121" t="n">
        <v>-0.02643057025772166</v>
      </c>
      <c r="H845" s="122" t="n">
        <v>45.32650134504154</v>
      </c>
      <c r="I845" s="119" t="n">
        <v>74.0671549987793</v>
      </c>
      <c r="J845" s="119" t="n">
        <v>79.87145343780517</v>
      </c>
      <c r="K845" s="121" t="n">
        <v>0.1990346353616176</v>
      </c>
      <c r="L845" s="121" t="n">
        <v>-0.1178698551212939</v>
      </c>
      <c r="M845" s="121" t="n">
        <v>-0.3008610010558829</v>
      </c>
      <c r="N845" t="n">
        <v>35.55272032132086</v>
      </c>
      <c r="O845" t="n">
        <v>-0.3221076854535564</v>
      </c>
      <c r="P845" t="n">
        <v>136.9988893180323</v>
      </c>
      <c r="Q845" t="n">
        <v>139.236918294906</v>
      </c>
    </row>
    <row r="846">
      <c r="A846" s="118" t="n">
        <v>45660</v>
      </c>
      <c r="B846" s="119" t="n">
        <v>71.11085933296656</v>
      </c>
      <c r="C846" s="119" t="n">
        <v>71.37060278959365</v>
      </c>
      <c r="D846" s="119" t="n">
        <v>70.23544535192119</v>
      </c>
      <c r="E846" s="119" t="n">
        <v>70.52404022216797</v>
      </c>
      <c r="F846" s="120" t="n">
        <v>10083500</v>
      </c>
      <c r="G846" s="121" t="n">
        <v>-0.004886470383948183</v>
      </c>
      <c r="H846" s="122" t="n">
        <v>45.10501473861101</v>
      </c>
      <c r="I846" s="119" t="n">
        <v>73.91907424926758</v>
      </c>
      <c r="J846" s="119" t="n">
        <v>79.7496870803833</v>
      </c>
      <c r="K846" s="121" t="n">
        <v>0.1988346703831024</v>
      </c>
      <c r="L846" s="121" t="n">
        <v>-0.1221803579490315</v>
      </c>
      <c r="M846" s="121" t="n">
        <v>-0.3042773230684865</v>
      </c>
      <c r="N846" t="n">
        <v>34.41122428436042</v>
      </c>
      <c r="O846" t="n">
        <v>-0.3913741037447127</v>
      </c>
      <c r="P846" t="n">
        <v>138.7118271263884</v>
      </c>
      <c r="Q846" t="n">
        <v>141.5155551483634</v>
      </c>
    </row>
    <row r="847">
      <c r="A847" s="118" t="n">
        <v>45663</v>
      </c>
      <c r="B847" s="119" t="n">
        <v>70.94730456670126</v>
      </c>
      <c r="C847" s="119" t="n">
        <v>71.49564276265544</v>
      </c>
      <c r="D847" s="119" t="n">
        <v>69.23495045791303</v>
      </c>
      <c r="E847" s="119" t="n">
        <v>69.26380920410156</v>
      </c>
      <c r="F847" s="120" t="n">
        <v>14947300</v>
      </c>
      <c r="G847" s="121" t="n">
        <v>-0.0178695238403298</v>
      </c>
      <c r="H847" s="122" t="n">
        <v>44.29900960242097</v>
      </c>
      <c r="I847" s="119" t="n">
        <v>73.77201354980468</v>
      </c>
      <c r="J847" s="119" t="n">
        <v>79.62014827728271</v>
      </c>
      <c r="K847" s="121" t="n">
        <v>0.2040091952053975</v>
      </c>
      <c r="L847" s="121" t="n">
        <v>-0.1378665769701711</v>
      </c>
      <c r="M847" s="121" t="n">
        <v>-0.3167095560301723</v>
      </c>
      <c r="N847" t="n">
        <v>30.56526438249099</v>
      </c>
      <c r="O847" t="n">
        <v>-0.4909018771244658</v>
      </c>
      <c r="P847" t="n">
        <v>139.510892611528</v>
      </c>
      <c r="Q847" t="n">
        <v>143.1419819025272</v>
      </c>
    </row>
    <row r="848">
      <c r="A848" s="118" t="n">
        <v>45664</v>
      </c>
      <c r="B848" s="119" t="n">
        <v>69.64861175175284</v>
      </c>
      <c r="C848" s="119" t="n">
        <v>70.64908990728354</v>
      </c>
      <c r="D848" s="119" t="n">
        <v>69.24457461378587</v>
      </c>
      <c r="E848" s="119" t="n">
        <v>69.35038757324219</v>
      </c>
      <c r="F848" s="120" t="n">
        <v>10463500</v>
      </c>
      <c r="G848" s="121" t="n">
        <v>0.001249979897661957</v>
      </c>
      <c r="H848" s="122" t="n">
        <v>44.35438247391033</v>
      </c>
      <c r="I848" s="119" t="n">
        <v>73.64601806640626</v>
      </c>
      <c r="J848" s="119" t="n">
        <v>79.4884321975708</v>
      </c>
      <c r="K848" s="121" t="n">
        <v>0.2027878780112878</v>
      </c>
      <c r="L848" s="121" t="n">
        <v>-0.1367889275222813</v>
      </c>
      <c r="M848" s="121" t="n">
        <v>-0.3158554567109454</v>
      </c>
      <c r="N848" t="n">
        <v>31.1347056733935</v>
      </c>
      <c r="O848" t="n">
        <v>-0.5171103778949893</v>
      </c>
      <c r="P848" t="n">
        <v>137.9338551429228</v>
      </c>
      <c r="Q848" t="n">
        <v>140.5877265665984</v>
      </c>
    </row>
    <row r="849">
      <c r="A849" s="118" t="n">
        <v>45665</v>
      </c>
      <c r="B849" s="119" t="n">
        <v>68.84053135582072</v>
      </c>
      <c r="C849" s="119" t="n">
        <v>69.0906527339985</v>
      </c>
      <c r="D849" s="119" t="n">
        <v>68.31143719133648</v>
      </c>
      <c r="E849" s="119" t="n">
        <v>68.58079528808594</v>
      </c>
      <c r="F849" s="120" t="n">
        <v>11855000</v>
      </c>
      <c r="G849" s="121" t="n">
        <v>-0.01109715910878606</v>
      </c>
      <c r="H849" s="122" t="n">
        <v>43.8621748344254</v>
      </c>
      <c r="I849" s="119" t="n">
        <v>73.50826766967774</v>
      </c>
      <c r="J849" s="119" t="n">
        <v>79.38589874267578</v>
      </c>
      <c r="K849" s="121" t="n">
        <v>0.1999199149691812</v>
      </c>
      <c r="L849" s="121" t="n">
        <v>-0.1463681181380325</v>
      </c>
      <c r="M849" s="121" t="n">
        <v>-0.3234475175612318</v>
      </c>
      <c r="N849" t="n">
        <v>28.868340073241</v>
      </c>
      <c r="O849" t="n">
        <v>-0.5494500979411061</v>
      </c>
      <c r="P849" t="n">
        <v>138.1353780937437</v>
      </c>
      <c r="Q849" t="n">
        <v>140.6122923611458</v>
      </c>
    </row>
    <row r="850">
      <c r="A850" s="118" t="n">
        <v>45667</v>
      </c>
      <c r="B850" s="119" t="n">
        <v>69.11950904320724</v>
      </c>
      <c r="C850" s="119" t="n">
        <v>69.63898849980843</v>
      </c>
      <c r="D850" s="119" t="n">
        <v>68.38838899249549</v>
      </c>
      <c r="E850" s="119" t="n">
        <v>68.49420928955078</v>
      </c>
      <c r="F850" s="120" t="n">
        <v>15677400</v>
      </c>
      <c r="G850" s="121" t="n">
        <v>-0.001262540018257874</v>
      </c>
      <c r="H850" s="122" t="n">
        <v>43.80679708340912</v>
      </c>
      <c r="I850" s="119" t="n">
        <v>73.36763687133789</v>
      </c>
      <c r="J850" s="119" t="n">
        <v>79.28345436096191</v>
      </c>
      <c r="K850" s="121" t="n">
        <v>0.1981968200575933</v>
      </c>
      <c r="L850" s="121" t="n">
        <v>-0.1474458625497439</v>
      </c>
      <c r="M850" s="121" t="n">
        <v>-0.3243016921447625</v>
      </c>
      <c r="N850" t="n">
        <v>28.6159541756446</v>
      </c>
      <c r="O850" t="n">
        <v>-0.5390972723835616</v>
      </c>
      <c r="P850" t="n">
        <v>136.0264061546472</v>
      </c>
      <c r="Q850" t="n">
        <v>138.4073361114163</v>
      </c>
    </row>
    <row r="851">
      <c r="A851" s="118" t="n">
        <v>45670</v>
      </c>
      <c r="B851" s="119" t="n">
        <v>68.46536090996111</v>
      </c>
      <c r="C851" s="119" t="n">
        <v>69.84101764052339</v>
      </c>
      <c r="D851" s="119" t="n">
        <v>68.09018246884945</v>
      </c>
      <c r="E851" s="119" t="n">
        <v>69.34078216552734</v>
      </c>
      <c r="F851" s="120" t="n">
        <v>14584300</v>
      </c>
      <c r="G851" s="121" t="n">
        <v>0.01235977296121171</v>
      </c>
      <c r="H851" s="122" t="n">
        <v>44.34823914951792</v>
      </c>
      <c r="I851" s="119" t="n">
        <v>73.25370040893554</v>
      </c>
      <c r="J851" s="119" t="n">
        <v>79.19079540252686</v>
      </c>
      <c r="K851" s="121" t="n">
        <v>0.1722138152244156</v>
      </c>
      <c r="L851" s="121" t="n">
        <v>-0.136908486973717</v>
      </c>
      <c r="M851" s="121" t="n">
        <v>-0.3159502144693969</v>
      </c>
      <c r="N851" t="n">
        <v>34.63325208977346</v>
      </c>
      <c r="O851" t="n">
        <v>-0.4417475674826539</v>
      </c>
      <c r="P851" t="n">
        <v>136.2373266241449</v>
      </c>
      <c r="Q851" t="n">
        <v>137.9625089730596</v>
      </c>
    </row>
    <row r="852">
      <c r="A852" s="118" t="n">
        <v>45671</v>
      </c>
      <c r="B852" s="119" t="n">
        <v>69.33115406911263</v>
      </c>
      <c r="C852" s="119" t="n">
        <v>69.46583312134516</v>
      </c>
      <c r="D852" s="119" t="n">
        <v>67.84967715509693</v>
      </c>
      <c r="E852" s="119" t="n">
        <v>68.46535491943359</v>
      </c>
      <c r="F852" s="120" t="n">
        <v>16732900</v>
      </c>
      <c r="G852" s="121" t="n">
        <v>-0.01262499814328555</v>
      </c>
      <c r="H852" s="122" t="n">
        <v>43.78834271259728</v>
      </c>
      <c r="I852" s="119" t="n">
        <v>73.15958282470703</v>
      </c>
      <c r="J852" s="119" t="n">
        <v>79.08640335083008</v>
      </c>
      <c r="K852" s="121" t="n">
        <v>0.1729848908279636</v>
      </c>
      <c r="L852" s="121" t="n">
        <v>-0.1422871524447784</v>
      </c>
      <c r="M852" s="121" t="n">
        <v>-0.3245863417416356</v>
      </c>
      <c r="N852" t="n">
        <v>31.66112678881977</v>
      </c>
      <c r="O852" t="n">
        <v>-0.40386032923424</v>
      </c>
      <c r="P852" t="n">
        <v>136.4247823914355</v>
      </c>
      <c r="Q852" t="n">
        <v>137.8315333519259</v>
      </c>
    </row>
    <row r="853">
      <c r="A853" s="118" t="n">
        <v>45672</v>
      </c>
      <c r="B853" s="119" t="n">
        <v>69.25419174273819</v>
      </c>
      <c r="C853" s="119" t="n">
        <v>69.50431312529609</v>
      </c>
      <c r="D853" s="119" t="n">
        <v>68.14789324932288</v>
      </c>
      <c r="E853" s="119" t="n">
        <v>68.36915588378906</v>
      </c>
      <c r="F853" s="120" t="n">
        <v>13468100</v>
      </c>
      <c r="G853" s="121" t="n">
        <v>-0.001405076125841065</v>
      </c>
      <c r="H853" s="122" t="n">
        <v>43.72681675766167</v>
      </c>
      <c r="I853" s="119" t="n">
        <v>73.05052444458008</v>
      </c>
      <c r="J853" s="119" t="n">
        <v>78.98224220275878</v>
      </c>
      <c r="K853" s="121" t="n">
        <v>0.172417288261593</v>
      </c>
      <c r="L853" s="121" t="n">
        <v>-0.1385341698738692</v>
      </c>
      <c r="M853" s="121" t="n">
        <v>-0.3255353493479214</v>
      </c>
      <c r="N853" t="n">
        <v>31.34281902002452</v>
      </c>
      <c r="O853" t="n">
        <v>-0.3545801213843263</v>
      </c>
      <c r="P853" t="n">
        <v>138.906338306308</v>
      </c>
      <c r="Q853" t="n">
        <v>141.0025092683861</v>
      </c>
    </row>
    <row r="854">
      <c r="A854" s="118" t="n">
        <v>45673</v>
      </c>
      <c r="B854" s="119" t="n">
        <v>68.20561996812711</v>
      </c>
      <c r="C854" s="119" t="n">
        <v>68.52308088481674</v>
      </c>
      <c r="D854" s="119" t="n">
        <v>67.64765969142253</v>
      </c>
      <c r="E854" s="119" t="n">
        <v>68.40763854980469</v>
      </c>
      <c r="F854" s="120" t="n">
        <v>13694600</v>
      </c>
      <c r="G854" s="121" t="n">
        <v>0.0005628658935183939</v>
      </c>
      <c r="H854" s="122" t="n">
        <v>43.75142909144668</v>
      </c>
      <c r="I854" s="119" t="n">
        <v>72.92443328857422</v>
      </c>
      <c r="J854" s="119" t="n">
        <v>78.88501243591308</v>
      </c>
      <c r="K854" s="121" t="n">
        <v>0.1727922073037176</v>
      </c>
      <c r="L854" s="121" t="n">
        <v>-0.1228161449963687</v>
      </c>
      <c r="M854" s="121" t="n">
        <v>-0.3251557161996855</v>
      </c>
      <c r="N854" t="n">
        <v>31.63889899592239</v>
      </c>
      <c r="O854" t="n">
        <v>-0.2913391394541087</v>
      </c>
      <c r="P854" t="n">
        <v>138.6391927444171</v>
      </c>
      <c r="Q854" t="n">
        <v>140.0146673230973</v>
      </c>
    </row>
    <row r="855">
      <c r="A855" s="118" t="n">
        <v>45674</v>
      </c>
      <c r="B855" s="119" t="n">
        <v>68.71547043188531</v>
      </c>
      <c r="C855" s="119" t="n">
        <v>68.80204666972487</v>
      </c>
      <c r="D855" s="119" t="n">
        <v>68.14788818359375</v>
      </c>
      <c r="E855" s="119" t="n">
        <v>68.14788818359375</v>
      </c>
      <c r="F855" s="120" t="n">
        <v>9711300</v>
      </c>
      <c r="G855" s="121" t="n">
        <v>-0.003797095934276795</v>
      </c>
      <c r="H855" s="122" t="n">
        <v>43.58530071792475</v>
      </c>
      <c r="I855" s="119" t="n">
        <v>72.80980087280274</v>
      </c>
      <c r="J855" s="119" t="n">
        <v>78.79412464141846</v>
      </c>
      <c r="K855" s="121" t="n">
        <v>0.1642325516038945</v>
      </c>
      <c r="L855" s="121" t="n">
        <v>-0.1255027687464949</v>
      </c>
      <c r="M855" s="121" t="n">
        <v>-0.3277181646859736</v>
      </c>
      <c r="N855" t="n">
        <v>30.67725297892359</v>
      </c>
      <c r="O855" t="n">
        <v>-0.2410315261283353</v>
      </c>
      <c r="P855" t="n">
        <v>140.0311310990221</v>
      </c>
      <c r="Q855" t="n">
        <v>142.377891724583</v>
      </c>
    </row>
    <row r="856">
      <c r="A856" s="118" t="n">
        <v>45678</v>
      </c>
      <c r="B856" s="119" t="n">
        <v>68.59041294197857</v>
      </c>
      <c r="C856" s="119" t="n">
        <v>70.48554152735633</v>
      </c>
      <c r="D856" s="119" t="n">
        <v>68.43648984539267</v>
      </c>
      <c r="E856" s="119" t="n">
        <v>70.38934326171875</v>
      </c>
      <c r="F856" s="120" t="n">
        <v>14199900</v>
      </c>
      <c r="G856" s="121" t="n">
        <v>0.03289104237663842</v>
      </c>
      <c r="H856" s="122" t="n">
        <v>45.01886669083654</v>
      </c>
      <c r="I856" s="119" t="n">
        <v>72.72487548828126</v>
      </c>
      <c r="J856" s="119" t="n">
        <v>78.71738643646241</v>
      </c>
      <c r="K856" s="121" t="n">
        <v>0.2077050682549997</v>
      </c>
      <c r="L856" s="121" t="n">
        <v>-0.08128109402575401</v>
      </c>
      <c r="M856" s="121" t="n">
        <v>-0.3056061143516157</v>
      </c>
      <c r="N856" t="n">
        <v>45.94536584589387</v>
      </c>
      <c r="O856" t="n">
        <v>-0.0412970581135228</v>
      </c>
      <c r="P856" t="n">
        <v>141.3128886386761</v>
      </c>
      <c r="Q856" t="n">
        <v>143.2129273802229</v>
      </c>
    </row>
    <row r="857">
      <c r="A857" s="118" t="n">
        <v>45679</v>
      </c>
      <c r="B857" s="119" t="n">
        <v>70.5913660396257</v>
      </c>
      <c r="C857" s="119" t="n">
        <v>71.86120230451041</v>
      </c>
      <c r="D857" s="119" t="n">
        <v>70.23543170155183</v>
      </c>
      <c r="E857" s="119" t="n">
        <v>71.22628784179688</v>
      </c>
      <c r="F857" s="120" t="n">
        <v>13029300</v>
      </c>
      <c r="G857" s="121" t="n">
        <v>0.01189021720186001</v>
      </c>
      <c r="H857" s="122" t="n">
        <v>45.55415079397216</v>
      </c>
      <c r="I857" s="119" t="n">
        <v>72.70760726928711</v>
      </c>
      <c r="J857" s="119" t="n">
        <v>78.65081260681153</v>
      </c>
      <c r="K857" s="121" t="n">
        <v>0.2132168008134837</v>
      </c>
      <c r="L857" s="121" t="n">
        <v>-0.06385129311706284</v>
      </c>
      <c r="M857" s="121" t="n">
        <v>-0.2973496202276128</v>
      </c>
      <c r="N857" t="n">
        <v>50.34320766931388</v>
      </c>
      <c r="O857" t="n">
        <v>0.1520864022385058</v>
      </c>
      <c r="P857" t="n">
        <v>142.1072990062049</v>
      </c>
      <c r="Q857" t="n">
        <v>145.0440187492055</v>
      </c>
    </row>
    <row r="858">
      <c r="A858" s="118" t="n">
        <v>45680</v>
      </c>
      <c r="B858" s="119" t="n">
        <v>70.55289482433933</v>
      </c>
      <c r="C858" s="119" t="n">
        <v>71.66881547412491</v>
      </c>
      <c r="D858" s="119" t="n">
        <v>69.61976339203626</v>
      </c>
      <c r="E858" s="119" t="n">
        <v>71.466796875</v>
      </c>
      <c r="F858" s="120" t="n">
        <v>10677400</v>
      </c>
      <c r="G858" s="121" t="n">
        <v>0.00337668914793543</v>
      </c>
      <c r="H858" s="122" t="n">
        <v>45.70797300060158</v>
      </c>
      <c r="I858" s="119" t="n">
        <v>72.68366378784179</v>
      </c>
      <c r="J858" s="119" t="n">
        <v>78.58653285980225</v>
      </c>
      <c r="K858" s="121" t="n">
        <v>0.2140466637613926</v>
      </c>
      <c r="L858" s="121" t="n">
        <v>-0.06069020993767738</v>
      </c>
      <c r="M858" s="121" t="n">
        <v>-0.2949769883154426</v>
      </c>
      <c r="N858" t="n">
        <v>51.5627736835746</v>
      </c>
      <c r="O858" t="n">
        <v>0.2929419345902911</v>
      </c>
      <c r="P858" t="n">
        <v>142.882885241895</v>
      </c>
      <c r="Q858" t="n">
        <v>145.3524167942783</v>
      </c>
    </row>
    <row r="859">
      <c r="A859" s="118" t="n">
        <v>45681</v>
      </c>
      <c r="B859" s="119" t="n">
        <v>71.25514572423965</v>
      </c>
      <c r="C859" s="119" t="n">
        <v>71.42830554641533</v>
      </c>
      <c r="D859" s="119" t="n">
        <v>70.46630816531884</v>
      </c>
      <c r="E859" s="119" t="n">
        <v>70.77414703369141</v>
      </c>
      <c r="F859" s="120" t="n">
        <v>8106700</v>
      </c>
      <c r="G859" s="121" t="n">
        <v>-0.009691911091525229</v>
      </c>
      <c r="H859" s="122" t="n">
        <v>45.26497539010592</v>
      </c>
      <c r="I859" s="119" t="n">
        <v>72.64663314819336</v>
      </c>
      <c r="J859" s="119" t="n">
        <v>78.51328475952148</v>
      </c>
      <c r="K859" s="121" t="n">
        <v>0.2159368160869702</v>
      </c>
      <c r="L859" s="121" t="n">
        <v>-0.06979391691036052</v>
      </c>
      <c r="M859" s="121" t="n">
        <v>-0.3018100086621687</v>
      </c>
      <c r="N859" t="n">
        <v>47.91314750941817</v>
      </c>
      <c r="O859" t="n">
        <v>0.333270406280942</v>
      </c>
      <c r="P859" t="n">
        <v>142.4658157984506</v>
      </c>
      <c r="Q859" t="n">
        <v>144.5310064290568</v>
      </c>
    </row>
    <row r="860">
      <c r="A860" s="118" t="n">
        <v>45684</v>
      </c>
      <c r="B860" s="119" t="n">
        <v>70.64908986781346</v>
      </c>
      <c r="C860" s="119" t="n">
        <v>72.96749973486364</v>
      </c>
      <c r="D860" s="119" t="n">
        <v>70.62984581013576</v>
      </c>
      <c r="E860" s="119" t="n">
        <v>72.707763671875</v>
      </c>
      <c r="F860" s="120" t="n">
        <v>11665400</v>
      </c>
      <c r="G860" s="121" t="n">
        <v>0.02732094584288114</v>
      </c>
      <c r="H860" s="122" t="n">
        <v>46.50165733131836</v>
      </c>
      <c r="I860" s="119" t="n">
        <v>72.6344921875</v>
      </c>
      <c r="J860" s="119" t="n">
        <v>78.44495899200439</v>
      </c>
      <c r="K860" s="121" t="n">
        <v>0.23978663685389</v>
      </c>
      <c r="L860" s="121" t="n">
        <v>-0.04437980689154986</v>
      </c>
      <c r="M860" s="121" t="n">
        <v>-0.2827347977207861</v>
      </c>
      <c r="N860" t="n">
        <v>57.0520816747933</v>
      </c>
      <c r="O860" t="n">
        <v>0.4753189793705674</v>
      </c>
      <c r="P860" t="n">
        <v>140.4505571957569</v>
      </c>
      <c r="Q860" t="n">
        <v>140.3230401982987</v>
      </c>
    </row>
    <row r="861">
      <c r="A861" s="118" t="n">
        <v>45685</v>
      </c>
      <c r="B861" s="119" t="n">
        <v>72.46726821471728</v>
      </c>
      <c r="C861" s="119" t="n">
        <v>72.72700429163983</v>
      </c>
      <c r="D861" s="119" t="n">
        <v>71.34173298228967</v>
      </c>
      <c r="E861" s="119" t="n">
        <v>71.56298828125</v>
      </c>
      <c r="F861" s="120" t="n">
        <v>8694400</v>
      </c>
      <c r="G861" s="121" t="n">
        <v>-0.01574488517885508</v>
      </c>
      <c r="H861" s="122" t="n">
        <v>45.76949407601028</v>
      </c>
      <c r="I861" s="119" t="n">
        <v>72.59830718994141</v>
      </c>
      <c r="J861" s="119" t="n">
        <v>78.38040088653564</v>
      </c>
      <c r="K861" s="121" t="n">
        <v>0.2453676500025792</v>
      </c>
      <c r="L861" s="121" t="n">
        <v>-0.05942593710663768</v>
      </c>
      <c r="M861" s="121" t="n">
        <v>-0.2940280559734606</v>
      </c>
      <c r="N861" t="n">
        <v>51.31196554430941</v>
      </c>
      <c r="O861" t="n">
        <v>0.4761381847511281</v>
      </c>
      <c r="P861" t="n">
        <v>141.6573527946342</v>
      </c>
      <c r="Q861" t="n">
        <v>142.3969872670658</v>
      </c>
    </row>
    <row r="862">
      <c r="A862" s="118" t="n">
        <v>45686</v>
      </c>
      <c r="B862" s="119" t="n">
        <v>71.62071736053733</v>
      </c>
      <c r="C862" s="119" t="n">
        <v>74.17963446290301</v>
      </c>
      <c r="D862" s="119" t="n">
        <v>71.49566031653009</v>
      </c>
      <c r="E862" s="119" t="n">
        <v>73.66977691650391</v>
      </c>
      <c r="F862" s="120" t="n">
        <v>11764800</v>
      </c>
      <c r="G862" s="121" t="n">
        <v>0.02943964032041269</v>
      </c>
      <c r="H862" s="122" t="n">
        <v>47.11693151925528</v>
      </c>
      <c r="I862" s="119" t="n">
        <v>72.60693786621094</v>
      </c>
      <c r="J862" s="119" t="n">
        <v>78.31213947296142</v>
      </c>
      <c r="K862" s="121" t="n">
        <v>0.2678317015588002</v>
      </c>
      <c r="L862" s="121" t="n">
        <v>-0.03173577500034797</v>
      </c>
      <c r="M862" s="121" t="n">
        <v>-0.2732444958650168</v>
      </c>
      <c r="N862" t="n">
        <v>59.4064871209577</v>
      </c>
      <c r="O862" t="n">
        <v>0.5948166190687</v>
      </c>
      <c r="P862" t="n">
        <v>141.0223220163058</v>
      </c>
      <c r="Q862" t="n">
        <v>142.1295489928196</v>
      </c>
    </row>
    <row r="863">
      <c r="A863" s="118" t="n">
        <v>45687</v>
      </c>
      <c r="B863" s="119" t="n">
        <v>73.92951185018859</v>
      </c>
      <c r="C863" s="119" t="n">
        <v>75.77654542470691</v>
      </c>
      <c r="D863" s="119" t="n">
        <v>73.92951185018859</v>
      </c>
      <c r="E863" s="119" t="n">
        <v>75.353271484375</v>
      </c>
      <c r="F863" s="120" t="n">
        <v>10902100</v>
      </c>
      <c r="G863" s="121" t="n">
        <v>0.02285190261644399</v>
      </c>
      <c r="H863" s="122" t="n">
        <v>48.19364304991897</v>
      </c>
      <c r="I863" s="119" t="n">
        <v>72.66531784057617</v>
      </c>
      <c r="J863" s="119" t="n">
        <v>78.25229553222657</v>
      </c>
      <c r="K863" s="121" t="n">
        <v>0.2642895910713331</v>
      </c>
      <c r="L863" s="121" t="n">
        <v>-0.009609095223669262</v>
      </c>
      <c r="M863" s="121" t="n">
        <v>-0.2566367498585596</v>
      </c>
      <c r="N863" t="n">
        <v>64.48724750115497</v>
      </c>
      <c r="O863" t="n">
        <v>0.7527762692554162</v>
      </c>
      <c r="P863" t="n">
        <v>141.7792150453399</v>
      </c>
      <c r="Q863" t="n">
        <v>142.7354045788363</v>
      </c>
    </row>
    <row r="864">
      <c r="A864" s="118" t="n">
        <v>45688</v>
      </c>
      <c r="B864" s="119" t="n">
        <v>75.14162379785782</v>
      </c>
      <c r="C864" s="119" t="n">
        <v>75.86312190831777</v>
      </c>
      <c r="D864" s="119" t="n">
        <v>73.84292866692159</v>
      </c>
      <c r="E864" s="119" t="n">
        <v>73.97760772705078</v>
      </c>
      <c r="F864" s="120" t="n">
        <v>13098000</v>
      </c>
      <c r="G864" s="121" t="n">
        <v>-0.01825619153920177</v>
      </c>
      <c r="H864" s="122" t="n">
        <v>47.31381067142772</v>
      </c>
      <c r="I864" s="119" t="n">
        <v>72.6774252319336</v>
      </c>
      <c r="J864" s="119" t="n">
        <v>78.18035293579102</v>
      </c>
      <c r="K864" s="121" t="n">
        <v>0.2706808075267189</v>
      </c>
      <c r="L864" s="121" t="n">
        <v>-0.02768986127994932</v>
      </c>
      <c r="M864" s="121" t="n">
        <v>-0.2702077317363453</v>
      </c>
      <c r="N864" t="n">
        <v>58.0891300349249</v>
      </c>
      <c r="O864" t="n">
        <v>0.730132051715608</v>
      </c>
      <c r="P864" t="n">
        <v>141.0246786695963</v>
      </c>
      <c r="Q864" t="n">
        <v>142.5279712781567</v>
      </c>
    </row>
    <row r="865">
      <c r="A865" s="118" t="n">
        <v>45691</v>
      </c>
      <c r="B865" s="119" t="n">
        <v>72.05360413809005</v>
      </c>
      <c r="C865" s="119" t="n">
        <v>73.7755803029325</v>
      </c>
      <c r="D865" s="119" t="n">
        <v>70.43744827060075</v>
      </c>
      <c r="E865" s="119" t="n">
        <v>73.67937469482422</v>
      </c>
      <c r="F865" s="120" t="n">
        <v>18539200</v>
      </c>
      <c r="G865" s="121" t="n">
        <v>-0.004031396004679277</v>
      </c>
      <c r="H865" s="122" t="n">
        <v>47.12306996412078</v>
      </c>
      <c r="I865" s="119" t="n">
        <v>72.71744979858398</v>
      </c>
      <c r="J865" s="119" t="n">
        <v>78.10554286956787</v>
      </c>
      <c r="K865" s="121" t="n">
        <v>0.2516442480035042</v>
      </c>
      <c r="L865" s="121" t="n">
        <v>-0.03160962848849447</v>
      </c>
      <c r="M865" s="121" t="n">
        <v>-0.2731498133708692</v>
      </c>
      <c r="N865" t="n">
        <v>56.77403759340634</v>
      </c>
      <c r="O865" t="n">
        <v>0.6625708692291319</v>
      </c>
      <c r="P865" t="n">
        <v>140.0756456611756</v>
      </c>
      <c r="Q865" t="n">
        <v>141.3873062633048</v>
      </c>
    </row>
    <row r="866">
      <c r="A866" s="118" t="n">
        <v>45692</v>
      </c>
      <c r="B866" s="119" t="n">
        <v>74.60289526883814</v>
      </c>
      <c r="C866" s="119" t="n">
        <v>75.18971422250874</v>
      </c>
      <c r="D866" s="119" t="n">
        <v>73.15027725733735</v>
      </c>
      <c r="E866" s="119" t="n">
        <v>73.80443572998047</v>
      </c>
      <c r="F866" s="120" t="n">
        <v>11943700</v>
      </c>
      <c r="G866" s="121" t="n">
        <v>0.001697368302516766</v>
      </c>
      <c r="H866" s="122" t="n">
        <v>47.20305516939516</v>
      </c>
      <c r="I866" s="119" t="n">
        <v>72.77873504638671</v>
      </c>
      <c r="J866" s="119" t="n">
        <v>78.02447673797607</v>
      </c>
      <c r="K866" s="121" t="n">
        <v>0.2503141440323566</v>
      </c>
      <c r="L866" s="121" t="n">
        <v>-0.02996591336742849</v>
      </c>
      <c r="M866" s="121" t="n">
        <v>-0.2719160809034065</v>
      </c>
      <c r="N866" t="n">
        <v>57.21149869570061</v>
      </c>
      <c r="O866" t="n">
        <v>0.5959017775787657</v>
      </c>
      <c r="P866" t="n">
        <v>141.0153102454044</v>
      </c>
      <c r="Q866" t="n">
        <v>143.12286958013</v>
      </c>
    </row>
    <row r="867">
      <c r="A867" s="118" t="n">
        <v>45693</v>
      </c>
      <c r="B867" s="119" t="n">
        <v>73.4004037322194</v>
      </c>
      <c r="C867" s="119" t="n">
        <v>73.87178039788233</v>
      </c>
      <c r="D867" s="119" t="n">
        <v>71.57260722483602</v>
      </c>
      <c r="E867" s="119" t="n">
        <v>71.73614501953125</v>
      </c>
      <c r="F867" s="120" t="n">
        <v>9807400</v>
      </c>
      <c r="G867" s="121" t="n">
        <v>-0.02802393501138911</v>
      </c>
      <c r="H867" s="122" t="n">
        <v>45.88023981898902</v>
      </c>
      <c r="I867" s="119" t="n">
        <v>72.80918273925781</v>
      </c>
      <c r="J867" s="119" t="n">
        <v>77.9287979888916</v>
      </c>
      <c r="K867" s="121" t="n">
        <v>0.2634658868397325</v>
      </c>
      <c r="L867" s="121" t="n">
        <v>-0.05715008557005175</v>
      </c>
      <c r="M867" s="121" t="n">
        <v>-0.2923198573350069</v>
      </c>
      <c r="N867" t="n">
        <v>48.47415764699174</v>
      </c>
      <c r="O867" t="n">
        <v>0.3919539701069925</v>
      </c>
      <c r="P867" t="n">
        <v>141.5870750659533</v>
      </c>
      <c r="Q867" t="n">
        <v>143.7723529433484</v>
      </c>
    </row>
    <row r="868">
      <c r="A868" s="118" t="n">
        <v>45694</v>
      </c>
      <c r="B868" s="119" t="n">
        <v>72.38067782463001</v>
      </c>
      <c r="C868" s="119" t="n">
        <v>72.53460092200794</v>
      </c>
      <c r="D868" s="119" t="n">
        <v>68.90786683920605</v>
      </c>
      <c r="E868" s="119" t="n">
        <v>69.01368713378906</v>
      </c>
      <c r="F868" s="120" t="n">
        <v>16059400</v>
      </c>
      <c r="G868" s="121" t="n">
        <v>-0.03795099227873144</v>
      </c>
      <c r="H868" s="122" t="n">
        <v>44.13903919187221</v>
      </c>
      <c r="I868" s="119" t="n">
        <v>72.75187362670898</v>
      </c>
      <c r="J868" s="119" t="n">
        <v>77.8252492904663</v>
      </c>
      <c r="K868" s="121" t="n">
        <v>0.2990610313670747</v>
      </c>
      <c r="L868" s="121" t="n">
        <v>-0.09293217539258536</v>
      </c>
      <c r="M868" s="121" t="n">
        <v>-0.3191770209650976</v>
      </c>
      <c r="N868" t="n">
        <v>39.84768366424185</v>
      </c>
      <c r="O868" t="n">
        <v>0.07001304090906295</v>
      </c>
      <c r="P868" t="n">
        <v>142.0791500919019</v>
      </c>
      <c r="Q868" t="n">
        <v>144.52280105096</v>
      </c>
    </row>
    <row r="869">
      <c r="A869" s="118" t="n">
        <v>45695</v>
      </c>
      <c r="B869" s="119" t="n">
        <v>67.87853698002449</v>
      </c>
      <c r="C869" s="119" t="n">
        <v>68.11903633989074</v>
      </c>
      <c r="D869" s="119" t="n">
        <v>66.01226693829382</v>
      </c>
      <c r="E869" s="119" t="n">
        <v>66.06998443603516</v>
      </c>
      <c r="F869" s="120" t="n">
        <v>27428700</v>
      </c>
      <c r="G869" s="121" t="n">
        <v>-0.04265389692985511</v>
      </c>
      <c r="H869" s="122" t="n">
        <v>42.25633716359926</v>
      </c>
      <c r="I869" s="119" t="n">
        <v>72.59166351318359</v>
      </c>
      <c r="J869" s="119" t="n">
        <v>77.70859561920166</v>
      </c>
      <c r="K869" s="121" t="n">
        <v>0.3334840040504316</v>
      </c>
      <c r="L869" s="121" t="n">
        <v>-0.1316221528917779</v>
      </c>
      <c r="M869" s="121" t="n">
        <v>-0.3482167741403293</v>
      </c>
      <c r="N869" t="n">
        <v>33.00769081825646</v>
      </c>
      <c r="O869" t="n">
        <v>-0.3232859165062544</v>
      </c>
      <c r="P869" t="n">
        <v>140.7786266093793</v>
      </c>
      <c r="Q869" t="n">
        <v>142.6998815002455</v>
      </c>
    </row>
    <row r="870">
      <c r="A870" s="118" t="n">
        <v>45698</v>
      </c>
      <c r="B870" s="119" t="n">
        <v>66.72415218216688</v>
      </c>
      <c r="C870" s="119" t="n">
        <v>68.25372479873154</v>
      </c>
      <c r="D870" s="119" t="n">
        <v>66.49327481993163</v>
      </c>
      <c r="E870" s="119" t="n">
        <v>68.24411010742188</v>
      </c>
      <c r="F870" s="120" t="n">
        <v>16201300</v>
      </c>
      <c r="G870" s="121" t="n">
        <v>0.0329064050785659</v>
      </c>
      <c r="H870" s="122" t="n">
        <v>43.64684131144111</v>
      </c>
      <c r="I870" s="119" t="n">
        <v>72.43933120727539</v>
      </c>
      <c r="J870" s="119" t="n">
        <v>77.60361934661866</v>
      </c>
      <c r="K870" s="121" t="n">
        <v>0.3553531416897999</v>
      </c>
      <c r="L870" s="121" t="n">
        <v>-0.1030469596935819</v>
      </c>
      <c r="M870" s="121" t="n">
        <v>-0.3267689312867765</v>
      </c>
      <c r="N870" t="n">
        <v>41.05539509150963</v>
      </c>
      <c r="O870" t="n">
        <v>-0.4133486379940138</v>
      </c>
      <c r="P870" t="n">
        <v>141.7346859359438</v>
      </c>
      <c r="Q870" t="n">
        <v>144.427289778717</v>
      </c>
    </row>
    <row r="871">
      <c r="A871" s="118" t="n">
        <v>45699</v>
      </c>
      <c r="B871" s="119" t="n">
        <v>67.88817131668809</v>
      </c>
      <c r="C871" s="119" t="n">
        <v>69.25420616690239</v>
      </c>
      <c r="D871" s="119" t="n">
        <v>67.83045380848334</v>
      </c>
      <c r="E871" s="119" t="n">
        <v>68.62890625</v>
      </c>
      <c r="F871" s="120" t="n">
        <v>9636600</v>
      </c>
      <c r="G871" s="121" t="n">
        <v>0.005638525317019027</v>
      </c>
      <c r="H871" s="122" t="n">
        <v>43.89294513118359</v>
      </c>
      <c r="I871" s="119" t="n">
        <v>72.32627960205077</v>
      </c>
      <c r="J871" s="119" t="n">
        <v>77.49762474060059</v>
      </c>
      <c r="K871" s="121" t="n">
        <v>0.353060040336397</v>
      </c>
      <c r="L871" s="121" t="n">
        <v>-0.09798946726763691</v>
      </c>
      <c r="M871" s="121" t="n">
        <v>-0.3229729008616333</v>
      </c>
      <c r="N871" t="n">
        <v>42.37483611778742</v>
      </c>
      <c r="O871" t="n">
        <v>-0.4218762499532159</v>
      </c>
      <c r="P871" t="n">
        <v>141.8424810031193</v>
      </c>
      <c r="Q871" t="n">
        <v>144.0834693345392</v>
      </c>
    </row>
    <row r="872">
      <c r="A872" s="118" t="n">
        <v>45700</v>
      </c>
      <c r="B872" s="119" t="n">
        <v>67.91701958832863</v>
      </c>
      <c r="C872" s="119" t="n">
        <v>69.69671343140027</v>
      </c>
      <c r="D872" s="119" t="n">
        <v>67.65728350203614</v>
      </c>
      <c r="E872" s="119" t="n">
        <v>69.51393890380859</v>
      </c>
      <c r="F872" s="120" t="n">
        <v>10810900</v>
      </c>
      <c r="G872" s="121" t="n">
        <v>0.01289591663583578</v>
      </c>
      <c r="H872" s="122" t="n">
        <v>44.45898489249664</v>
      </c>
      <c r="I872" s="119" t="n">
        <v>72.21695495605469</v>
      </c>
      <c r="J872" s="119" t="n">
        <v>77.39937728881836</v>
      </c>
      <c r="K872" s="121" t="n">
        <v>0.3528468273232646</v>
      </c>
      <c r="L872" s="121" t="n">
        <v>-0.0863572146328746</v>
      </c>
      <c r="M872" s="121" t="n">
        <v>-0.3142420158309431</v>
      </c>
      <c r="N872" t="n">
        <v>45.40199994686356</v>
      </c>
      <c r="O872" t="n">
        <v>-0.3459667365339111</v>
      </c>
      <c r="P872" t="n">
        <v>141.3855230206473</v>
      </c>
      <c r="Q872" t="n">
        <v>144.1680401026532</v>
      </c>
    </row>
    <row r="873">
      <c r="A873" s="118" t="n">
        <v>45701</v>
      </c>
      <c r="B873" s="119" t="n">
        <v>69.69671342841886</v>
      </c>
      <c r="C873" s="119" t="n">
        <v>70.80301198145656</v>
      </c>
      <c r="D873" s="119" t="n">
        <v>68.90787580041477</v>
      </c>
      <c r="E873" s="119" t="n">
        <v>70.42783355712891</v>
      </c>
      <c r="F873" s="120" t="n">
        <v>9739600</v>
      </c>
      <c r="G873" s="121" t="n">
        <v>0.01314692661258832</v>
      </c>
      <c r="H873" s="122" t="n">
        <v>45.04348390414847</v>
      </c>
      <c r="I873" s="119" t="n">
        <v>72.11767700195313</v>
      </c>
      <c r="J873" s="119" t="n">
        <v>77.30484508514404</v>
      </c>
      <c r="K873" s="121" t="n">
        <v>0.3553059274887476</v>
      </c>
      <c r="L873" s="121" t="n">
        <v>-0.07434561998353229</v>
      </c>
      <c r="M873" s="121" t="n">
        <v>-0.2996724942594129</v>
      </c>
      <c r="N873" t="n">
        <v>48.41545607079913</v>
      </c>
      <c r="O873" t="n">
        <v>-0.2184825373178918</v>
      </c>
      <c r="P873" t="n">
        <v>142.878201029799</v>
      </c>
      <c r="Q873" t="n">
        <v>146.2420207312489</v>
      </c>
    </row>
    <row r="874">
      <c r="A874" s="118" t="n">
        <v>45702</v>
      </c>
      <c r="B874" s="119" t="n">
        <v>70.38935451673089</v>
      </c>
      <c r="C874" s="119" t="n">
        <v>70.70681544960729</v>
      </c>
      <c r="D874" s="119" t="n">
        <v>69.59089483929932</v>
      </c>
      <c r="E874" s="119" t="n">
        <v>70.26429748535156</v>
      </c>
      <c r="F874" s="120" t="n">
        <v>9254400</v>
      </c>
      <c r="G874" s="121" t="n">
        <v>-0.002322037517236586</v>
      </c>
      <c r="H874" s="122" t="n">
        <v>44.93889124461599</v>
      </c>
      <c r="I874" s="119" t="n">
        <v>72.00127548217773</v>
      </c>
      <c r="J874" s="119" t="n">
        <v>77.20977996826171</v>
      </c>
      <c r="K874" s="121" t="n">
        <v>0.3555783726996825</v>
      </c>
      <c r="L874" s="121" t="n">
        <v>-0.07649502418192478</v>
      </c>
      <c r="M874" s="121" t="n">
        <v>-0.3012986810020952</v>
      </c>
      <c r="N874" t="n">
        <v>47.90591477889102</v>
      </c>
      <c r="O874" t="n">
        <v>-0.1336164024968258</v>
      </c>
      <c r="P874" t="n">
        <v>142.8712183533827</v>
      </c>
      <c r="Q874" t="n">
        <v>146.8560145757052</v>
      </c>
    </row>
    <row r="875">
      <c r="A875" s="118" t="n">
        <v>45706</v>
      </c>
      <c r="B875" s="119" t="n">
        <v>71.66880431973802</v>
      </c>
      <c r="C875" s="119" t="n">
        <v>74.7279562607897</v>
      </c>
      <c r="D875" s="119" t="n">
        <v>71.66880431973802</v>
      </c>
      <c r="E875" s="119" t="n">
        <v>74.64137268066406</v>
      </c>
      <c r="F875" s="120" t="n">
        <v>28252400</v>
      </c>
      <c r="G875" s="121" t="n">
        <v>0.06229444187106559</v>
      </c>
      <c r="H875" s="122" t="n">
        <v>47.73833439300386</v>
      </c>
      <c r="I875" s="119" t="n">
        <v>71.97684036254883</v>
      </c>
      <c r="J875" s="119" t="n">
        <v>77.1451425933838</v>
      </c>
      <c r="K875" s="121" t="n">
        <v>0.4147872506584036</v>
      </c>
      <c r="L875" s="121" t="n">
        <v>-0.01896579714818603</v>
      </c>
      <c r="M875" s="121" t="n">
        <v>-0.2558138579633078</v>
      </c>
      <c r="N875" t="n">
        <v>60.03076370702347</v>
      </c>
      <c r="O875" t="n">
        <v>0.2101644743675488</v>
      </c>
      <c r="P875" t="n">
        <v>143.2906444501176</v>
      </c>
      <c r="Q875" t="n">
        <v>147.1889448554968</v>
      </c>
    </row>
    <row r="876">
      <c r="A876" s="118" t="n">
        <v>45707</v>
      </c>
      <c r="B876" s="119" t="n">
        <v>73.90064050601563</v>
      </c>
      <c r="C876" s="119" t="n">
        <v>74.72795886312346</v>
      </c>
      <c r="D876" s="119" t="n">
        <v>73.19837916960263</v>
      </c>
      <c r="E876" s="119" t="n">
        <v>73.86215972900391</v>
      </c>
      <c r="F876" s="120" t="n">
        <v>14184100</v>
      </c>
      <c r="G876" s="121" t="n">
        <v>-0.01043942419164556</v>
      </c>
      <c r="H876" s="122" t="n">
        <v>47.23997367007267</v>
      </c>
      <c r="I876" s="119" t="n">
        <v>71.94624877929688</v>
      </c>
      <c r="J876" s="119" t="n">
        <v>77.08572105407715</v>
      </c>
      <c r="K876" s="121" t="n">
        <v>0.4043684016737275</v>
      </c>
      <c r="L876" s="121" t="n">
        <v>-0.02920722933826891</v>
      </c>
      <c r="M876" s="121" t="n">
        <v>-0.2606545241934948</v>
      </c>
      <c r="N876" t="n">
        <v>57.46651797489283</v>
      </c>
      <c r="O876" t="n">
        <v>0.3686652630369198</v>
      </c>
      <c r="P876" t="n">
        <v>143.6280677406893</v>
      </c>
      <c r="Q876" t="n">
        <v>147.2298710664948</v>
      </c>
    </row>
    <row r="877">
      <c r="A877" s="118" t="n">
        <v>45708</v>
      </c>
      <c r="B877" s="119" t="n">
        <v>73.98722794083432</v>
      </c>
      <c r="C877" s="119" t="n">
        <v>74.33354027305295</v>
      </c>
      <c r="D877" s="119" t="n">
        <v>73.43888234446432</v>
      </c>
      <c r="E877" s="119" t="n">
        <v>74.29506683349609</v>
      </c>
      <c r="F877" s="120" t="n">
        <v>10689600</v>
      </c>
      <c r="G877" s="121" t="n">
        <v>0.005861013353529065</v>
      </c>
      <c r="H877" s="122" t="n">
        <v>47.51684778657333</v>
      </c>
      <c r="I877" s="119" t="n">
        <v>71.9202749633789</v>
      </c>
      <c r="J877" s="119" t="n">
        <v>77.01864028930665</v>
      </c>
      <c r="K877" s="121" t="n">
        <v>0.4031188025143885</v>
      </c>
      <c r="L877" s="121" t="n">
        <v>-0.02351739994591096</v>
      </c>
      <c r="M877" s="121" t="n">
        <v>-0.2563212104869216</v>
      </c>
      <c r="N877" t="n">
        <v>58.52645524442018</v>
      </c>
      <c r="O877" t="n">
        <v>0.4792416161876556</v>
      </c>
      <c r="P877" t="n">
        <v>143.0305252063705</v>
      </c>
      <c r="Q877" t="n">
        <v>146.6049534978239</v>
      </c>
    </row>
    <row r="878">
      <c r="A878" s="118" t="n">
        <v>45709</v>
      </c>
      <c r="B878" s="119" t="n">
        <v>74.45859539740661</v>
      </c>
      <c r="C878" s="119" t="n">
        <v>75.02617030364561</v>
      </c>
      <c r="D878" s="119" t="n">
        <v>72.97711861678216</v>
      </c>
      <c r="E878" s="119" t="n">
        <v>73.59279632568359</v>
      </c>
      <c r="F878" s="120" t="n">
        <v>12823400</v>
      </c>
      <c r="G878" s="121" t="n">
        <v>-0.009452451390700944</v>
      </c>
      <c r="H878" s="122" t="n">
        <v>47.06769709263141</v>
      </c>
      <c r="I878" s="119" t="n">
        <v>71.87429122924804</v>
      </c>
      <c r="J878" s="119" t="n">
        <v>76.94928199768066</v>
      </c>
      <c r="K878" s="121" t="n">
        <v>0.4052795923357441</v>
      </c>
      <c r="L878" s="121" t="n">
        <v>-0.03274755425678744</v>
      </c>
      <c r="M878" s="121" t="n">
        <v>-0.2633507980950893</v>
      </c>
      <c r="N878" t="n">
        <v>56.08477597846998</v>
      </c>
      <c r="O878" t="n">
        <v>0.4804465946357069</v>
      </c>
      <c r="P878" t="n">
        <v>140.5841445239448</v>
      </c>
      <c r="Q878" t="n">
        <v>143.5622180764651</v>
      </c>
    </row>
    <row r="879">
      <c r="A879" s="118" t="n">
        <v>45712</v>
      </c>
      <c r="B879" s="119" t="n">
        <v>75.88235105835578</v>
      </c>
      <c r="C879" s="119" t="n">
        <v>78.00836439767968</v>
      </c>
      <c r="D879" s="119" t="n">
        <v>75.75729404055706</v>
      </c>
      <c r="E879" s="119" t="n">
        <v>77.22914886474609</v>
      </c>
      <c r="F879" s="120" t="n">
        <v>24553500</v>
      </c>
      <c r="G879" s="121" t="n">
        <v>0.04941180007578305</v>
      </c>
      <c r="H879" s="122" t="n">
        <v>49.39339673140003</v>
      </c>
      <c r="I879" s="119" t="n">
        <v>71.92508468627929</v>
      </c>
      <c r="J879" s="119" t="n">
        <v>76.89236320495606</v>
      </c>
      <c r="K879" s="121" t="n">
        <v>0.4362220945336707</v>
      </c>
      <c r="L879" s="121" t="n">
        <v>0</v>
      </c>
      <c r="M879" s="121" t="n">
        <v>-0.2269516350045787</v>
      </c>
      <c r="N879" t="n">
        <v>64.37300620375862</v>
      </c>
      <c r="O879" t="n">
        <v>0.6888222993978718</v>
      </c>
      <c r="P879" t="n">
        <v>139.944414986278</v>
      </c>
      <c r="Q879" t="n">
        <v>141.8675809706379</v>
      </c>
    </row>
    <row r="880">
      <c r="A880" s="118" t="n">
        <v>45713</v>
      </c>
      <c r="B880" s="119" t="n">
        <v>77.25802085025911</v>
      </c>
      <c r="C880" s="119" t="n">
        <v>78.84531827479591</v>
      </c>
      <c r="D880" s="119" t="n">
        <v>77.00790677180422</v>
      </c>
      <c r="E880" s="119" t="n">
        <v>78.61444091796875</v>
      </c>
      <c r="F880" s="120" t="n">
        <v>15522500</v>
      </c>
      <c r="G880" s="121" t="n">
        <v>0.01793742484005301</v>
      </c>
      <c r="H880" s="122" t="n">
        <v>50.27938707286444</v>
      </c>
      <c r="I880" s="119" t="n">
        <v>72.02089996337891</v>
      </c>
      <c r="J880" s="119" t="n">
        <v>76.8403776550293</v>
      </c>
      <c r="K880" s="121" t="n">
        <v>0.4310172912617829</v>
      </c>
      <c r="L880" s="121" t="n">
        <v>0</v>
      </c>
      <c r="M880" s="121" t="n">
        <v>-0.2130851380597474</v>
      </c>
      <c r="N880" t="n">
        <v>66.93334268120731</v>
      </c>
      <c r="O880" t="n">
        <v>0.8708978164083205</v>
      </c>
      <c r="P880" t="n">
        <v>139.2484458089755</v>
      </c>
      <c r="Q880" t="n">
        <v>140.0801425487284</v>
      </c>
    </row>
    <row r="881">
      <c r="A881" s="118" t="n">
        <v>45714</v>
      </c>
      <c r="B881" s="119" t="n">
        <v>78.97998502346479</v>
      </c>
      <c r="C881" s="119" t="n">
        <v>79.30706795578135</v>
      </c>
      <c r="D881" s="119" t="n">
        <v>77.76786624516318</v>
      </c>
      <c r="E881" s="119" t="n">
        <v>78.0853271484375</v>
      </c>
      <c r="F881" s="120" t="n">
        <v>16058100</v>
      </c>
      <c r="G881" s="121" t="n">
        <v>-0.006730490776921783</v>
      </c>
      <c r="H881" s="122" t="n">
        <v>49.94098212190124</v>
      </c>
      <c r="I881" s="119" t="n">
        <v>72.06553665161132</v>
      </c>
      <c r="J881" s="119" t="n">
        <v>76.78664813995361</v>
      </c>
      <c r="K881" s="121" t="n">
        <v>0.4266335165578808</v>
      </c>
      <c r="L881" s="121" t="n">
        <v>-0.006730490776921783</v>
      </c>
      <c r="M881" s="121" t="n">
        <v>-0.2148135020961092</v>
      </c>
      <c r="N881" t="n">
        <v>65.01157469139766</v>
      </c>
      <c r="O881" t="n">
        <v>0.9027863262928837</v>
      </c>
      <c r="P881" t="n">
        <v>139.3187526321414</v>
      </c>
      <c r="Q881" t="n">
        <v>140.4185263006702</v>
      </c>
    </row>
    <row r="882">
      <c r="A882" s="118" t="n">
        <v>45715</v>
      </c>
      <c r="B882" s="119" t="n">
        <v>78.3931718809481</v>
      </c>
      <c r="C882" s="119" t="n">
        <v>78.3931718809481</v>
      </c>
      <c r="D882" s="119" t="n">
        <v>76.44031818852841</v>
      </c>
      <c r="E882" s="119" t="n">
        <v>76.97903442382812</v>
      </c>
      <c r="F882" s="120" t="n">
        <v>11651900</v>
      </c>
      <c r="G882" s="121" t="n">
        <v>-0.01416774143119548</v>
      </c>
      <c r="H882" s="122" t="n">
        <v>49.23343120037818</v>
      </c>
      <c r="I882" s="119" t="n">
        <v>72.10517089843751</v>
      </c>
      <c r="J882" s="119" t="n">
        <v>76.72833637237549</v>
      </c>
      <c r="K882" s="121" t="n">
        <v>0.4211552093600264</v>
      </c>
      <c r="L882" s="121" t="n">
        <v>-0.02080287635508493</v>
      </c>
      <c r="M882" s="121" t="n">
        <v>-0.2259378213736775</v>
      </c>
      <c r="N882" t="n">
        <v>61.06383769314278</v>
      </c>
      <c r="O882" t="n">
        <v>0.7999770361650579</v>
      </c>
      <c r="P882" t="n">
        <v>137.0949447604829</v>
      </c>
      <c r="Q882" t="n">
        <v>136.5189329451136</v>
      </c>
    </row>
    <row r="883">
      <c r="A883" s="118" t="n">
        <v>45716</v>
      </c>
      <c r="B883" s="119" t="n">
        <v>76.23830103479486</v>
      </c>
      <c r="C883" s="119" t="n">
        <v>76.97903587226966</v>
      </c>
      <c r="D883" s="119" t="n">
        <v>75.2089640147173</v>
      </c>
      <c r="E883" s="119" t="n">
        <v>76.41146087646484</v>
      </c>
      <c r="F883" s="120" t="n">
        <v>14113800</v>
      </c>
      <c r="G883" s="121" t="n">
        <v>-0.007373092577887652</v>
      </c>
      <c r="H883" s="122" t="n">
        <v>48.87042855421074</v>
      </c>
      <c r="I883" s="119" t="n">
        <v>72.14711395263672</v>
      </c>
      <c r="J883" s="119" t="n">
        <v>76.67881378173828</v>
      </c>
      <c r="K883" s="121" t="n">
        <v>0.4154392003411223</v>
      </c>
      <c r="L883" s="121" t="n">
        <v>-0.02802258739972008</v>
      </c>
      <c r="M883" s="121" t="n">
        <v>-0.2257543701566178</v>
      </c>
      <c r="N883" t="n">
        <v>59.08164055037143</v>
      </c>
      <c r="O883" t="n">
        <v>0.6506876972537705</v>
      </c>
      <c r="P883" t="n">
        <v>139.2343786254452</v>
      </c>
      <c r="Q883" t="n">
        <v>138.6747659957054</v>
      </c>
    </row>
    <row r="884">
      <c r="A884" s="118" t="n">
        <v>45719</v>
      </c>
      <c r="B884" s="119" t="n">
        <v>77.33965530167843</v>
      </c>
      <c r="C884" s="119" t="n">
        <v>78.27751706008419</v>
      </c>
      <c r="D884" s="119" t="n">
        <v>75.30923696863658</v>
      </c>
      <c r="E884" s="119" t="n">
        <v>75.81201171875</v>
      </c>
      <c r="F884" s="120" t="n">
        <v>8628800</v>
      </c>
      <c r="G884" s="121" t="n">
        <v>-0.007845016321360254</v>
      </c>
      <c r="H884" s="122" t="n">
        <v>48.48703924457109</v>
      </c>
      <c r="I884" s="119" t="n">
        <v>72.17803024291992</v>
      </c>
      <c r="J884" s="119" t="n">
        <v>76.61784652709962</v>
      </c>
      <c r="K884" s="121" t="n">
        <v>0.410648427142902</v>
      </c>
      <c r="L884" s="121" t="n">
        <v>-0.03564776606556275</v>
      </c>
      <c r="M884" s="121" t="n">
        <v>-0.2287241428637847</v>
      </c>
      <c r="N884" t="n">
        <v>56.97793782714334</v>
      </c>
      <c r="O884" t="n">
        <v>0.4765742821998271</v>
      </c>
      <c r="P884" t="n">
        <v>136.7950242611634</v>
      </c>
      <c r="Q884" t="n">
        <v>135.6402107825719</v>
      </c>
    </row>
    <row r="885">
      <c r="A885" s="118" t="n">
        <v>45720</v>
      </c>
      <c r="B885" s="119" t="n">
        <v>75.12552429114103</v>
      </c>
      <c r="C885" s="119" t="n">
        <v>76.04405189444948</v>
      </c>
      <c r="D885" s="119" t="n">
        <v>74.23600887925568</v>
      </c>
      <c r="E885" s="119" t="n">
        <v>74.75811767578125</v>
      </c>
      <c r="F885" s="120" t="n">
        <v>10034100</v>
      </c>
      <c r="G885" s="121" t="n">
        <v>-0.0139014124421144</v>
      </c>
      <c r="H885" s="122" t="n">
        <v>47.81300091393532</v>
      </c>
      <c r="I885" s="119" t="n">
        <v>72.17247650146484</v>
      </c>
      <c r="J885" s="119" t="n">
        <v>76.55127754211426</v>
      </c>
      <c r="K885" s="121" t="n">
        <v>0.4139060946781467</v>
      </c>
      <c r="L885" s="121" t="n">
        <v>-0.04905362420895976</v>
      </c>
      <c r="M885" s="121" t="n">
        <v>-0.2269043426380414</v>
      </c>
      <c r="N885" t="n">
        <v>53.37933232913403</v>
      </c>
      <c r="O885" t="n">
        <v>0.2659411099668487</v>
      </c>
      <c r="P885" t="n">
        <v>135.1757852419676</v>
      </c>
      <c r="Q885" t="n">
        <v>135.2308731629773</v>
      </c>
    </row>
    <row r="886">
      <c r="A886" s="118" t="n">
        <v>45721</v>
      </c>
      <c r="B886" s="119" t="n">
        <v>74.76778839775565</v>
      </c>
      <c r="C886" s="119" t="n">
        <v>75.71531343916745</v>
      </c>
      <c r="D886" s="119" t="n">
        <v>73.92661188512572</v>
      </c>
      <c r="E886" s="119" t="n">
        <v>75.23188018798828</v>
      </c>
      <c r="F886" s="120" t="n">
        <v>9853600</v>
      </c>
      <c r="G886" s="121" t="n">
        <v>0.006337271816576395</v>
      </c>
      <c r="H886" s="122" t="n">
        <v>48.11600489709314</v>
      </c>
      <c r="I886" s="119" t="n">
        <v>72.19756195068359</v>
      </c>
      <c r="J886" s="119" t="n">
        <v>76.49239269256591</v>
      </c>
      <c r="K886" s="121" t="n">
        <v>0.4143303387161911</v>
      </c>
      <c r="L886" s="121" t="n">
        <v>-0.04302721854258373</v>
      </c>
      <c r="M886" s="121" t="n">
        <v>-0.2180137226761987</v>
      </c>
      <c r="N886" t="n">
        <v>54.76249908954365</v>
      </c>
      <c r="O886" t="n">
        <v>0.1403451392656754</v>
      </c>
      <c r="P886" t="n">
        <v>136.6286329010616</v>
      </c>
      <c r="Q886" t="n">
        <v>136.9937541802965</v>
      </c>
    </row>
    <row r="887">
      <c r="A887" s="118" t="n">
        <v>45722</v>
      </c>
      <c r="B887" s="119" t="n">
        <v>74.19733874444806</v>
      </c>
      <c r="C887" s="119" t="n">
        <v>75.73466043130949</v>
      </c>
      <c r="D887" s="119" t="n">
        <v>74.19733874444806</v>
      </c>
      <c r="E887" s="119" t="n">
        <v>75.13520050048828</v>
      </c>
      <c r="F887" s="120" t="n">
        <v>9623700</v>
      </c>
      <c r="G887" s="121" t="n">
        <v>-0.001285089343220136</v>
      </c>
      <c r="H887" s="122" t="n">
        <v>48.05417153196156</v>
      </c>
      <c r="I887" s="119" t="n">
        <v>72.21686584472656</v>
      </c>
      <c r="J887" s="119" t="n">
        <v>76.43254993438721</v>
      </c>
      <c r="K887" s="121" t="n">
        <v>0.3998681104616158</v>
      </c>
      <c r="L887" s="121" t="n">
        <v>-0.04425701406578642</v>
      </c>
      <c r="M887" s="121" t="n">
        <v>-0.2190186449077318</v>
      </c>
      <c r="N887" t="n">
        <v>54.40775425261238</v>
      </c>
      <c r="O887" t="n">
        <v>0.0379086238723394</v>
      </c>
      <c r="P887" t="n">
        <v>134.2033166258249</v>
      </c>
      <c r="Q887" t="n">
        <v>133.2251280559164</v>
      </c>
    </row>
    <row r="888">
      <c r="A888" s="118" t="n">
        <v>45723</v>
      </c>
      <c r="B888" s="119" t="n">
        <v>74.91280808658098</v>
      </c>
      <c r="C888" s="119" t="n">
        <v>76.38244169371596</v>
      </c>
      <c r="D888" s="119" t="n">
        <v>74.41970418234941</v>
      </c>
      <c r="E888" s="119" t="n">
        <v>75.98602294921875</v>
      </c>
      <c r="F888" s="120" t="n">
        <v>9294300</v>
      </c>
      <c r="G888" s="121" t="n">
        <v>0.01132388604892243</v>
      </c>
      <c r="H888" s="122" t="n">
        <v>48.59833149456486</v>
      </c>
      <c r="I888" s="119" t="n">
        <v>72.25626464843749</v>
      </c>
      <c r="J888" s="119" t="n">
        <v>76.37501544952393</v>
      </c>
      <c r="K888" s="121" t="n">
        <v>0.3707612606569225</v>
      </c>
      <c r="L888" s="121" t="n">
        <v>-0.03343428940101056</v>
      </c>
      <c r="M888" s="121" t="n">
        <v>-0.210174901036334</v>
      </c>
      <c r="N888" t="n">
        <v>57.04491036454979</v>
      </c>
      <c r="O888" t="n">
        <v>0.01573886917251377</v>
      </c>
      <c r="P888" t="n">
        <v>134.955496348278</v>
      </c>
      <c r="Q888" t="n">
        <v>134.2048149628513</v>
      </c>
    </row>
    <row r="889">
      <c r="A889" s="118" t="n">
        <v>45726</v>
      </c>
      <c r="B889" s="119" t="n">
        <v>74.94182129753507</v>
      </c>
      <c r="C889" s="119" t="n">
        <v>77.53302370254626</v>
      </c>
      <c r="D889" s="119" t="n">
        <v>73.53986050611529</v>
      </c>
      <c r="E889" s="119" t="n">
        <v>73.86859893798828</v>
      </c>
      <c r="F889" s="120" t="n">
        <v>15822600</v>
      </c>
      <c r="G889" s="121" t="n">
        <v>-0.0278659670429855</v>
      </c>
      <c r="H889" s="122" t="n">
        <v>47.24409199079324</v>
      </c>
      <c r="I889" s="119" t="n">
        <v>72.25677810668945</v>
      </c>
      <c r="J889" s="119" t="n">
        <v>76.30883968353271</v>
      </c>
      <c r="K889" s="121" t="n">
        <v>0.3485614846287943</v>
      </c>
      <c r="L889" s="121" t="n">
        <v>-0.06036857763744174</v>
      </c>
      <c r="M889" s="121" t="n">
        <v>-0.2321841412137783</v>
      </c>
      <c r="N889" t="n">
        <v>49.3885142680906</v>
      </c>
      <c r="O889" t="n">
        <v>-0.1444214865512623</v>
      </c>
      <c r="P889" t="n">
        <v>131.3609018126588</v>
      </c>
      <c r="Q889" t="n">
        <v>129.0035281447828</v>
      </c>
    </row>
    <row r="890">
      <c r="A890" s="118" t="n">
        <v>45727</v>
      </c>
      <c r="B890" s="119" t="n">
        <v>73.39483928197011</v>
      </c>
      <c r="C890" s="119" t="n">
        <v>73.5592048159715</v>
      </c>
      <c r="D890" s="119" t="n">
        <v>71.18071412003722</v>
      </c>
      <c r="E890" s="119" t="n">
        <v>71.71248626708984</v>
      </c>
      <c r="F890" s="120" t="n">
        <v>12837000</v>
      </c>
      <c r="G890" s="121" t="n">
        <v>-0.02918848742086566</v>
      </c>
      <c r="H890" s="122" t="n">
        <v>45.86510840600975</v>
      </c>
      <c r="I890" s="119" t="n">
        <v>72.2135920715332</v>
      </c>
      <c r="J890" s="119" t="n">
        <v>76.22690029144287</v>
      </c>
      <c r="K890" s="121" t="n">
        <v>0.3542035387637008</v>
      </c>
      <c r="L890" s="121" t="n">
        <v>-0.08779499758932141</v>
      </c>
      <c r="M890" s="121" t="n">
        <v>-0.254595524749501</v>
      </c>
      <c r="N890" t="n">
        <v>43.05201644252416</v>
      </c>
      <c r="O890" t="n">
        <v>-0.3848156612701328</v>
      </c>
      <c r="P890" t="n">
        <v>130.2689130518584</v>
      </c>
      <c r="Q890" t="n">
        <v>128.6951552695814</v>
      </c>
    </row>
    <row r="891">
      <c r="A891" s="118" t="n">
        <v>45728</v>
      </c>
      <c r="B891" s="119" t="n">
        <v>71.89619881253563</v>
      </c>
      <c r="C891" s="119" t="n">
        <v>72.03155954235247</v>
      </c>
      <c r="D891" s="119" t="n">
        <v>70.80364224284072</v>
      </c>
      <c r="E891" s="119" t="n">
        <v>71.14204406738281</v>
      </c>
      <c r="F891" s="120" t="n">
        <v>12304900</v>
      </c>
      <c r="G891" s="121" t="n">
        <v>-0.007954572897981071</v>
      </c>
      <c r="H891" s="122" t="n">
        <v>45.50027105772034</v>
      </c>
      <c r="I891" s="119" t="n">
        <v>72.15611129760742</v>
      </c>
      <c r="J891" s="119" t="n">
        <v>76.14362728118897</v>
      </c>
      <c r="K891" s="121" t="n">
        <v>0.3559967636519439</v>
      </c>
      <c r="L891" s="121" t="n">
        <v>-0.09505119877890011</v>
      </c>
      <c r="M891" s="121" t="n">
        <v>-0.2605248989863624</v>
      </c>
      <c r="N891" t="n">
        <v>41.53374542232754</v>
      </c>
      <c r="O891" t="n">
        <v>-0.5608261216881213</v>
      </c>
      <c r="P891" t="n">
        <v>130.9601834698225</v>
      </c>
      <c r="Q891" t="n">
        <v>130.1469450655813</v>
      </c>
    </row>
    <row r="892">
      <c r="A892" s="118" t="n">
        <v>45729</v>
      </c>
      <c r="B892" s="119" t="n">
        <v>70.75528594468133</v>
      </c>
      <c r="C892" s="119" t="n">
        <v>71.4901065000695</v>
      </c>
      <c r="D892" s="119" t="n">
        <v>69.29531556369584</v>
      </c>
      <c r="E892" s="119" t="n">
        <v>70.23317718505859</v>
      </c>
      <c r="F892" s="120" t="n">
        <v>10195900</v>
      </c>
      <c r="G892" s="121" t="n">
        <v>-0.01277538330868566</v>
      </c>
      <c r="H892" s="122" t="n">
        <v>44.91898765430886</v>
      </c>
      <c r="I892" s="119" t="n">
        <v>72.09045806884765</v>
      </c>
      <c r="J892" s="119" t="n">
        <v>76.06103031158447</v>
      </c>
      <c r="K892" s="121" t="n">
        <v>0.3572685352972216</v>
      </c>
      <c r="L892" s="121" t="n">
        <v>-0.1066122665892353</v>
      </c>
      <c r="M892" s="121" t="n">
        <v>-0.2699719768490406</v>
      </c>
      <c r="N892" t="n">
        <v>39.16392554691608</v>
      </c>
      <c r="O892" t="n">
        <v>-0.7075745945715979</v>
      </c>
      <c r="P892" t="n">
        <v>129.2144270823101</v>
      </c>
      <c r="Q892" t="n">
        <v>127.8055429426536</v>
      </c>
    </row>
    <row r="893">
      <c r="A893" s="118" t="n">
        <v>45730</v>
      </c>
      <c r="B893" s="119" t="n">
        <v>70.85196325991011</v>
      </c>
      <c r="C893" s="119" t="n">
        <v>71.10335057037092</v>
      </c>
      <c r="D893" s="119" t="n">
        <v>68.95690614424667</v>
      </c>
      <c r="E893" s="119" t="n">
        <v>69.28564453125</v>
      </c>
      <c r="F893" s="120" t="n">
        <v>12183000</v>
      </c>
      <c r="G893" s="121" t="n">
        <v>-0.01349124006325275</v>
      </c>
      <c r="H893" s="122" t="n">
        <v>44.31297480846629</v>
      </c>
      <c r="I893" s="119" t="n">
        <v>72.03990875244141</v>
      </c>
      <c r="J893" s="119" t="n">
        <v>75.97203464508057</v>
      </c>
      <c r="K893" s="121" t="n">
        <v>0.3575223797002916</v>
      </c>
      <c r="L893" s="121" t="n">
        <v>-0.1186651749702452</v>
      </c>
      <c r="M893" s="121" t="n">
        <v>-0.2798209601622721</v>
      </c>
      <c r="N893" t="n">
        <v>36.80609508186173</v>
      </c>
      <c r="O893" t="n">
        <v>-0.8291442767056321</v>
      </c>
      <c r="P893" t="n">
        <v>131.8834678589583</v>
      </c>
      <c r="Q893" t="n">
        <v>130.8946496572035</v>
      </c>
    </row>
    <row r="894">
      <c r="A894" s="118" t="n">
        <v>45733</v>
      </c>
      <c r="B894" s="119" t="n">
        <v>69.7497398241115</v>
      </c>
      <c r="C894" s="119" t="n">
        <v>71.49976560540236</v>
      </c>
      <c r="D894" s="119" t="n">
        <v>69.64338393254747</v>
      </c>
      <c r="E894" s="119" t="n">
        <v>71.25804901123047</v>
      </c>
      <c r="F894" s="120" t="n">
        <v>15996900</v>
      </c>
      <c r="G894" s="121" t="n">
        <v>0.02846772218581073</v>
      </c>
      <c r="H894" s="122" t="n">
        <v>45.57446426454054</v>
      </c>
      <c r="I894" s="119" t="n">
        <v>72.0091828918457</v>
      </c>
      <c r="J894" s="119" t="n">
        <v>75.89171459197998</v>
      </c>
      <c r="K894" s="121" t="n">
        <v>0.3719482012296116</v>
      </c>
      <c r="L894" s="121" t="n">
        <v>-0.09357558001861799</v>
      </c>
      <c r="M894" s="121" t="n">
        <v>-0.2553520152515174</v>
      </c>
      <c r="N894" t="n">
        <v>44.32070687526861</v>
      </c>
      <c r="O894" t="n">
        <v>-0.7403261430722055</v>
      </c>
      <c r="P894" t="n">
        <v>132.9004364900119</v>
      </c>
      <c r="Q894" t="n">
        <v>131.7433357731332</v>
      </c>
    </row>
    <row r="895">
      <c r="A895" s="118" t="n">
        <v>45734</v>
      </c>
      <c r="B895" s="119" t="n">
        <v>71.44177348091901</v>
      </c>
      <c r="C895" s="119" t="n">
        <v>71.70283159746214</v>
      </c>
      <c r="D895" s="119" t="n">
        <v>70.31054131351705</v>
      </c>
      <c r="E895" s="119" t="n">
        <v>70.88098907470703</v>
      </c>
      <c r="F895" s="120" t="n">
        <v>8972300</v>
      </c>
      <c r="G895" s="121" t="n">
        <v>-0.00529147151452336</v>
      </c>
      <c r="H895" s="122" t="n">
        <v>45.33330828509506</v>
      </c>
      <c r="I895" s="119" t="n">
        <v>72.00939575195312</v>
      </c>
      <c r="J895" s="119" t="n">
        <v>75.81107528686523</v>
      </c>
      <c r="K895" s="121" t="n">
        <v>0.2931491688227773</v>
      </c>
      <c r="L895" s="121" t="n">
        <v>-0.09837189901701782</v>
      </c>
      <c r="M895" s="121" t="n">
        <v>-0.2592922988511612</v>
      </c>
      <c r="N895" t="n">
        <v>43.26161608978279</v>
      </c>
      <c r="O895" t="n">
        <v>-0.6725469729864552</v>
      </c>
      <c r="P895" t="n">
        <v>131.4639981204959</v>
      </c>
      <c r="Q895" t="n">
        <v>129.4974449224486</v>
      </c>
    </row>
    <row r="896">
      <c r="A896" s="118" t="n">
        <v>45735</v>
      </c>
      <c r="B896" s="119" t="n">
        <v>70.23317720278246</v>
      </c>
      <c r="C896" s="119" t="n">
        <v>70.99700257113039</v>
      </c>
      <c r="D896" s="119" t="n">
        <v>69.89477542607274</v>
      </c>
      <c r="E896" s="119" t="n">
        <v>70.57157897949219</v>
      </c>
      <c r="F896" s="120" t="n">
        <v>10830500</v>
      </c>
      <c r="G896" s="121" t="n">
        <v>-0.004365205667329675</v>
      </c>
      <c r="H896" s="122" t="n">
        <v>45.13541907085016</v>
      </c>
      <c r="I896" s="119" t="n">
        <v>72.01034652709961</v>
      </c>
      <c r="J896" s="119" t="n">
        <v>75.72044155120849</v>
      </c>
      <c r="K896" s="121" t="n">
        <v>0.2917350966588925</v>
      </c>
      <c r="L896" s="121" t="n">
        <v>-0.1023076911132526</v>
      </c>
      <c r="M896" s="121" t="n">
        <v>-0.2625256403060509</v>
      </c>
      <c r="N896" t="n">
        <v>42.36694695896578</v>
      </c>
      <c r="O896" t="n">
        <v>-0.6156575883319666</v>
      </c>
      <c r="P896" t="n">
        <v>132.895752277916</v>
      </c>
      <c r="Q896" t="n">
        <v>131.2303234529845</v>
      </c>
    </row>
    <row r="897">
      <c r="A897" s="118" t="n">
        <v>45736</v>
      </c>
      <c r="B897" s="119" t="n">
        <v>70.50390291675525</v>
      </c>
      <c r="C897" s="119" t="n">
        <v>71.20971870252787</v>
      </c>
      <c r="D897" s="119" t="n">
        <v>69.15028835089653</v>
      </c>
      <c r="E897" s="119" t="n">
        <v>69.47902679443359</v>
      </c>
      <c r="F897" s="120" t="n">
        <v>25202300</v>
      </c>
      <c r="G897" s="121" t="n">
        <v>-0.0154814756996734</v>
      </c>
      <c r="H897" s="122" t="n">
        <v>44.43665617731023</v>
      </c>
      <c r="I897" s="119" t="n">
        <v>72.01465087890625</v>
      </c>
      <c r="J897" s="119" t="n">
        <v>75.61675178527832</v>
      </c>
      <c r="K897" s="121" t="n">
        <v>0.2938227283720983</v>
      </c>
      <c r="L897" s="121" t="n">
        <v>-0.1162052927790662</v>
      </c>
      <c r="M897" s="121" t="n">
        <v>-0.2739428316847849</v>
      </c>
      <c r="N897" t="n">
        <v>39.27805919634897</v>
      </c>
      <c r="O897" t="n">
        <v>-0.6171510361970005</v>
      </c>
      <c r="P897" t="n">
        <v>132.5114577719004</v>
      </c>
      <c r="Q897" t="n">
        <v>130.7854963146277</v>
      </c>
    </row>
    <row r="898">
      <c r="A898" s="118" t="n">
        <v>45737</v>
      </c>
      <c r="B898" s="119" t="n">
        <v>64.38363578023331</v>
      </c>
      <c r="C898" s="119" t="n">
        <v>66.45273684733766</v>
      </c>
      <c r="D898" s="119" t="n">
        <v>63.01068714010924</v>
      </c>
      <c r="E898" s="119" t="n">
        <v>65.68891143798828</v>
      </c>
      <c r="F898" s="120" t="n">
        <v>77287000</v>
      </c>
      <c r="G898" s="121" t="n">
        <v>-0.05455049575836834</v>
      </c>
      <c r="H898" s="122" t="n">
        <v>42.01261455299379</v>
      </c>
      <c r="I898" s="119" t="n">
        <v>71.94142135620118</v>
      </c>
      <c r="J898" s="119" t="n">
        <v>75.49544548034667</v>
      </c>
      <c r="K898" s="121" t="n">
        <v>0.3456245011109939</v>
      </c>
      <c r="L898" s="121" t="n">
        <v>-0.1644167322065903</v>
      </c>
      <c r="M898" s="121" t="n">
        <v>-0.313549610165297</v>
      </c>
      <c r="N898" t="n">
        <v>30.86983643164776</v>
      </c>
      <c r="O898" t="n">
        <v>-0.8259049909671146</v>
      </c>
      <c r="P898" t="n">
        <v>132.5551576884719</v>
      </c>
      <c r="Q898" t="n">
        <v>131.2166562127804</v>
      </c>
    </row>
    <row r="899">
      <c r="A899" s="118" t="n">
        <v>45740</v>
      </c>
      <c r="B899" s="119" t="n">
        <v>66.28835932011319</v>
      </c>
      <c r="C899" s="119" t="n">
        <v>66.60742700873953</v>
      </c>
      <c r="D899" s="119" t="n">
        <v>64.48032383777463</v>
      </c>
      <c r="E899" s="119" t="n">
        <v>65.15712738037109</v>
      </c>
      <c r="F899" s="120" t="n">
        <v>26552500</v>
      </c>
      <c r="G899" s="121" t="n">
        <v>-0.008095492008863725</v>
      </c>
      <c r="H899" s="122" t="n">
        <v>41.67250176760856</v>
      </c>
      <c r="I899" s="119" t="n">
        <v>71.87294799804687</v>
      </c>
      <c r="J899" s="119" t="n">
        <v>75.36986034393311</v>
      </c>
      <c r="K899" s="121" t="n">
        <v>0.2783027289197968</v>
      </c>
      <c r="L899" s="121" t="n">
        <v>-0.171181189873752</v>
      </c>
      <c r="M899" s="121" t="n">
        <v>-0.3191067638106853</v>
      </c>
      <c r="N899" t="n">
        <v>29.90260417974802</v>
      </c>
      <c r="O899" t="n">
        <v>-0.9438010929304458</v>
      </c>
      <c r="P899" t="n">
        <v>134.9290349141091</v>
      </c>
      <c r="Q899" t="n">
        <v>134.0961314578762</v>
      </c>
    </row>
    <row r="900">
      <c r="A900" s="118" t="n">
        <v>45741</v>
      </c>
      <c r="B900" s="119" t="n">
        <v>65.3214894509585</v>
      </c>
      <c r="C900" s="119" t="n">
        <v>65.79525928235715</v>
      </c>
      <c r="D900" s="119" t="n">
        <v>64.04522614046996</v>
      </c>
      <c r="E900" s="119" t="n">
        <v>64.33528900146484</v>
      </c>
      <c r="F900" s="120" t="n">
        <v>17394100</v>
      </c>
      <c r="G900" s="121" t="n">
        <v>-0.01261317697615127</v>
      </c>
      <c r="H900" s="122" t="n">
        <v>41.14687912777473</v>
      </c>
      <c r="I900" s="119" t="n">
        <v>71.78976959228515</v>
      </c>
      <c r="J900" s="119" t="n">
        <v>75.24216701507568</v>
      </c>
      <c r="K900" s="121" t="n">
        <v>0.2606488077372273</v>
      </c>
      <c r="L900" s="121" t="n">
        <v>-0.1816352282070376</v>
      </c>
      <c r="M900" s="121" t="n">
        <v>-0.3052279801343873</v>
      </c>
      <c r="N900" t="n">
        <v>28.42054796574782</v>
      </c>
      <c r="O900" t="n">
        <v>-1.0149284200474</v>
      </c>
      <c r="P900" t="n">
        <v>135.2533802336429</v>
      </c>
      <c r="Q900" t="n">
        <v>134.8613542800363</v>
      </c>
    </row>
    <row r="901">
      <c r="A901" s="118" t="n">
        <v>45742</v>
      </c>
      <c r="B901" s="119" t="n">
        <v>64.18059203102551</v>
      </c>
      <c r="C901" s="119" t="n">
        <v>64.38363309949639</v>
      </c>
      <c r="D901" s="119" t="n">
        <v>62.79797271815708</v>
      </c>
      <c r="E901" s="119" t="n">
        <v>63.56179809570312</v>
      </c>
      <c r="F901" s="120" t="n">
        <v>18688300</v>
      </c>
      <c r="G901" s="121" t="n">
        <v>-0.01202280921974419</v>
      </c>
      <c r="H901" s="122" t="n">
        <v>40.65217805003362</v>
      </c>
      <c r="I901" s="119" t="n">
        <v>71.67418991088867</v>
      </c>
      <c r="J901" s="119" t="n">
        <v>75.10393623352051</v>
      </c>
      <c r="K901" s="121" t="n">
        <v>0.2604877150369412</v>
      </c>
      <c r="L901" s="121" t="n">
        <v>-0.1914742717304639</v>
      </c>
      <c r="M901" s="121" t="n">
        <v>-0.3135810915804479</v>
      </c>
      <c r="N901" t="n">
        <v>27.06112384901793</v>
      </c>
      <c r="O901" t="n">
        <v>-1.047614723176789</v>
      </c>
      <c r="P901" t="n">
        <v>133.6386799541176</v>
      </c>
      <c r="Q901" t="n">
        <v>132.3798230927198</v>
      </c>
    </row>
    <row r="902">
      <c r="A902" s="118" t="n">
        <v>45743</v>
      </c>
      <c r="B902" s="119" t="n">
        <v>63.32975293865016</v>
      </c>
      <c r="C902" s="119" t="n">
        <v>64.87673779465483</v>
      </c>
      <c r="D902" s="119" t="n">
        <v>63.12671186785633</v>
      </c>
      <c r="E902" s="119" t="n">
        <v>63.61981582641602</v>
      </c>
      <c r="F902" s="120" t="n">
        <v>16435800</v>
      </c>
      <c r="G902" s="121" t="n">
        <v>0.0009127767377747897</v>
      </c>
      <c r="H902" s="122" t="n">
        <v>40.68928441249757</v>
      </c>
      <c r="I902" s="119" t="n">
        <v>71.57727912902833</v>
      </c>
      <c r="J902" s="119" t="n">
        <v>74.96204114913941</v>
      </c>
      <c r="K902" s="121" t="n">
        <v>0.2628591475552903</v>
      </c>
      <c r="L902" s="121" t="n">
        <v>-0.190736268253807</v>
      </c>
      <c r="M902" s="121" t="n">
        <v>-0.3129545443684738</v>
      </c>
      <c r="N902" t="n">
        <v>27.34185914181458</v>
      </c>
      <c r="O902" t="n">
        <v>-0.9990408026867468</v>
      </c>
      <c r="P902" t="n">
        <v>133.2837708780203</v>
      </c>
      <c r="Q902" t="n">
        <v>131.6255239947744</v>
      </c>
    </row>
    <row r="903">
      <c r="A903" s="118" t="n">
        <v>45744</v>
      </c>
      <c r="B903" s="119" t="n">
        <v>63.67782436232815</v>
      </c>
      <c r="C903" s="119" t="n">
        <v>63.67782436232815</v>
      </c>
      <c r="D903" s="119" t="n">
        <v>61.04794646387535</v>
      </c>
      <c r="E903" s="119" t="n">
        <v>61.19297790527344</v>
      </c>
      <c r="F903" s="120" t="n">
        <v>19600300</v>
      </c>
      <c r="G903" s="121" t="n">
        <v>-0.03814594383240755</v>
      </c>
      <c r="H903" s="122" t="n">
        <v>39.13715325471758</v>
      </c>
      <c r="I903" s="119" t="n">
        <v>71.43375556945801</v>
      </c>
      <c r="J903" s="119" t="n">
        <v>74.81063219070434</v>
      </c>
      <c r="K903" s="121" t="n">
        <v>0.2817988739898885</v>
      </c>
      <c r="L903" s="121" t="n">
        <v>-0.2216063971106018</v>
      </c>
      <c r="M903" s="121" t="n">
        <v>-0.3391625417293049</v>
      </c>
      <c r="N903" t="n">
        <v>23.30176502270689</v>
      </c>
      <c r="O903" t="n">
        <v>-1.058381540031914</v>
      </c>
      <c r="P903" t="n">
        <v>130.5996737053496</v>
      </c>
      <c r="Q903" t="n">
        <v>128.1601025319887</v>
      </c>
    </row>
    <row r="904">
      <c r="A904" s="118" t="n">
        <v>45747</v>
      </c>
      <c r="B904" s="119" t="n">
        <v>60.75788833880252</v>
      </c>
      <c r="C904" s="119" t="n">
        <v>61.86978624028472</v>
      </c>
      <c r="D904" s="119" t="n">
        <v>60.57418503966059</v>
      </c>
      <c r="E904" s="119" t="n">
        <v>61.37668228149414</v>
      </c>
      <c r="F904" s="120" t="n">
        <v>17400000</v>
      </c>
      <c r="G904" s="121" t="n">
        <v>0.003002049949343499</v>
      </c>
      <c r="H904" s="122" t="n">
        <v>39.25464494366336</v>
      </c>
      <c r="I904" s="119" t="n">
        <v>71.2931364440918</v>
      </c>
      <c r="J904" s="119" t="n">
        <v>74.66076118469238</v>
      </c>
      <c r="K904" s="121" t="n">
        <v>0.2859540218474847</v>
      </c>
      <c r="L904" s="121" t="n">
        <v>-0.2192696206344783</v>
      </c>
      <c r="M904" s="121" t="n">
        <v>-0.3371786746711791</v>
      </c>
      <c r="N904" t="n">
        <v>24.21464180546992</v>
      </c>
      <c r="O904" t="n">
        <v>-1.013239378413071</v>
      </c>
      <c r="P904" t="n">
        <v>131.4763487294071</v>
      </c>
      <c r="Q904" t="n">
        <v>128.1546406698814</v>
      </c>
    </row>
    <row r="905">
      <c r="A905" s="118" t="n">
        <v>45748</v>
      </c>
      <c r="B905" s="119" t="n">
        <v>61.71509074189338</v>
      </c>
      <c r="C905" s="119" t="n">
        <v>63.00102496304031</v>
      </c>
      <c r="D905" s="119" t="n">
        <v>61.2026489865514</v>
      </c>
      <c r="E905" s="119" t="n">
        <v>62.61427688598633</v>
      </c>
      <c r="F905" s="120" t="n">
        <v>13489500</v>
      </c>
      <c r="G905" s="121" t="n">
        <v>0.02016392151690716</v>
      </c>
      <c r="H905" s="122" t="n">
        <v>40.04617252348145</v>
      </c>
      <c r="I905" s="119" t="n">
        <v>71.18246421813964</v>
      </c>
      <c r="J905" s="119" t="n">
        <v>74.52751195907592</v>
      </c>
      <c r="K905" s="121" t="n">
        <v>0.3052564166873232</v>
      </c>
      <c r="L905" s="121" t="n">
        <v>-0.2035270345390867</v>
      </c>
      <c r="M905" s="121" t="n">
        <v>-0.3238135974875165</v>
      </c>
      <c r="N905" t="n">
        <v>30.2386462049831</v>
      </c>
      <c r="O905" t="n">
        <v>-0.8354095968104347</v>
      </c>
      <c r="P905" t="n">
        <v>131.8476961895677</v>
      </c>
      <c r="Q905" t="n">
        <v>129.1877044842311</v>
      </c>
    </row>
    <row r="906">
      <c r="A906" s="118" t="n">
        <v>45749</v>
      </c>
      <c r="B906" s="119" t="n">
        <v>62.16951964329046</v>
      </c>
      <c r="C906" s="119" t="n">
        <v>63.23307133067395</v>
      </c>
      <c r="D906" s="119" t="n">
        <v>62.03415892180198</v>
      </c>
      <c r="E906" s="119" t="n">
        <v>62.80764770507812</v>
      </c>
      <c r="F906" s="120" t="n">
        <v>11161400</v>
      </c>
      <c r="G906" s="121" t="n">
        <v>0.003088286389442807</v>
      </c>
      <c r="H906" s="122" t="n">
        <v>40.16984657303499</v>
      </c>
      <c r="I906" s="119" t="n">
        <v>71.03083030700684</v>
      </c>
      <c r="J906" s="119" t="n">
        <v>74.39284742355346</v>
      </c>
      <c r="K906" s="121" t="n">
        <v>0.3033532188139069</v>
      </c>
      <c r="L906" s="121" t="n">
        <v>-0.2010672979202948</v>
      </c>
      <c r="M906" s="121" t="n">
        <v>-0.3217253402239109</v>
      </c>
      <c r="N906" t="n">
        <v>31.15939647478385</v>
      </c>
      <c r="O906" t="n">
        <v>-0.6484717716197097</v>
      </c>
      <c r="P906" t="n">
        <v>132.6820823795794</v>
      </c>
      <c r="Q906" t="n">
        <v>130.1305762591735</v>
      </c>
    </row>
    <row r="907">
      <c r="A907" s="118" t="n">
        <v>45750</v>
      </c>
      <c r="B907" s="119" t="n">
        <v>54.50225932495354</v>
      </c>
      <c r="C907" s="119" t="n">
        <v>56.73572209369048</v>
      </c>
      <c r="D907" s="119" t="n">
        <v>53.56440140108617</v>
      </c>
      <c r="E907" s="119" t="n">
        <v>53.73843765258789</v>
      </c>
      <c r="F907" s="120" t="n">
        <v>71499500</v>
      </c>
      <c r="G907" s="121" t="n">
        <v>-0.1443965883752875</v>
      </c>
      <c r="H907" s="122" t="n">
        <v>34.36945777233</v>
      </c>
      <c r="I907" s="119" t="n">
        <v>70.68107330322266</v>
      </c>
      <c r="J907" s="119" t="n">
        <v>74.21660068511963</v>
      </c>
      <c r="K907" s="121" t="n">
        <v>0.5670294079873032</v>
      </c>
      <c r="L907" s="121" t="n">
        <v>-0.3164304544420541</v>
      </c>
      <c r="M907" s="121" t="n">
        <v>-0.4196658870769869</v>
      </c>
      <c r="N907" t="n">
        <v>18.69595779883875</v>
      </c>
      <c r="O907" t="n">
        <v>-1.055263064663369</v>
      </c>
      <c r="P907" t="n">
        <v>126.1434168999677</v>
      </c>
      <c r="Q907" t="n">
        <v>123.1642186449686</v>
      </c>
    </row>
    <row r="908">
      <c r="A908" s="118" t="n">
        <v>45751</v>
      </c>
      <c r="B908" s="119" t="n">
        <v>51.45663661460339</v>
      </c>
      <c r="C908" s="119" t="n">
        <v>57.25783564891528</v>
      </c>
      <c r="D908" s="119" t="n">
        <v>50.760491550229</v>
      </c>
      <c r="E908" s="119" t="n">
        <v>55.35310745239258</v>
      </c>
      <c r="F908" s="120" t="n">
        <v>67775700</v>
      </c>
      <c r="G908" s="121" t="n">
        <v>0.03004683184582557</v>
      </c>
      <c r="H908" s="122" t="n">
        <v>35.40215109064741</v>
      </c>
      <c r="I908" s="119" t="n">
        <v>70.35879951477051</v>
      </c>
      <c r="J908" s="119" t="n">
        <v>74.0407567024231</v>
      </c>
      <c r="K908" s="121" t="n">
        <v>0.5826592525271856</v>
      </c>
      <c r="L908" s="121" t="n">
        <v>-0.295891355251747</v>
      </c>
      <c r="M908" s="121" t="n">
        <v>-0.4022286855715929</v>
      </c>
      <c r="N908" t="n">
        <v>24.48715832187429</v>
      </c>
      <c r="O908" t="n">
        <v>-1.128642184135586</v>
      </c>
      <c r="P908" t="n">
        <v>118.7586037847558</v>
      </c>
      <c r="Q908" t="n">
        <v>115.5146332598712</v>
      </c>
    </row>
    <row r="909">
      <c r="A909" s="118" t="n">
        <v>45754</v>
      </c>
      <c r="B909" s="119" t="n">
        <v>53.56439973821726</v>
      </c>
      <c r="C909" s="119" t="n">
        <v>55.2854207404145</v>
      </c>
      <c r="D909" s="119" t="n">
        <v>51.63066694894303</v>
      </c>
      <c r="E909" s="119" t="n">
        <v>53.76744079589844</v>
      </c>
      <c r="F909" s="120" t="n">
        <v>45374400</v>
      </c>
      <c r="G909" s="121" t="n">
        <v>-0.0286463891455041</v>
      </c>
      <c r="H909" s="122" t="n">
        <v>34.38800729391679</v>
      </c>
      <c r="I909" s="119" t="n">
        <v>70.01866539001465</v>
      </c>
      <c r="J909" s="119" t="n">
        <v>73.85803255081177</v>
      </c>
      <c r="K909" s="121" t="n">
        <v>0.5828938583721073</v>
      </c>
      <c r="L909" s="121" t="n">
        <v>-0.3160615254899191</v>
      </c>
      <c r="M909" s="121" t="n">
        <v>-0.4193526752647284</v>
      </c>
      <c r="N909" t="n">
        <v>22.77175655913402</v>
      </c>
      <c r="O909" t="n">
        <v>-1.190863950017428</v>
      </c>
      <c r="P909" t="n">
        <v>118.5470796046929</v>
      </c>
      <c r="Q909" t="n">
        <v>115.7933979762755</v>
      </c>
    </row>
    <row r="910">
      <c r="A910" s="118" t="n">
        <v>45755</v>
      </c>
      <c r="B910" s="119" t="n">
        <v>56.8227480643901</v>
      </c>
      <c r="C910" s="119" t="n">
        <v>56.8227480643901</v>
      </c>
      <c r="D910" s="119" t="n">
        <v>50.63480061698306</v>
      </c>
      <c r="E910" s="119" t="n">
        <v>51.50498199462891</v>
      </c>
      <c r="F910" s="120" t="n">
        <v>30404300</v>
      </c>
      <c r="G910" s="121" t="n">
        <v>-0.04207860310588041</v>
      </c>
      <c r="H910" s="122" t="n">
        <v>32.94100798339394</v>
      </c>
      <c r="I910" s="119" t="n">
        <v>69.59460975646972</v>
      </c>
      <c r="J910" s="119" t="n">
        <v>73.66023233413696</v>
      </c>
      <c r="K910" s="121" t="n">
        <v>0.5888016429817731</v>
      </c>
      <c r="L910" s="121" t="n">
        <v>-0.34484070110767</v>
      </c>
      <c r="M910" s="121" t="n">
        <v>-0.4437855035867552</v>
      </c>
      <c r="N910" t="n">
        <v>20.55877329571383</v>
      </c>
      <c r="O910" t="n">
        <v>-1.283307808779179</v>
      </c>
      <c r="P910" t="n">
        <v>116.6902986621625</v>
      </c>
      <c r="Q910" t="n">
        <v>113.7081328553075</v>
      </c>
    </row>
    <row r="911">
      <c r="A911" s="118" t="n">
        <v>45756</v>
      </c>
      <c r="B911" s="119" t="n">
        <v>51.51464793382907</v>
      </c>
      <c r="C911" s="119" t="n">
        <v>57.57690156608985</v>
      </c>
      <c r="D911" s="119" t="n">
        <v>50.74115544154846</v>
      </c>
      <c r="E911" s="119" t="n">
        <v>57.35452270507812</v>
      </c>
      <c r="F911" s="120" t="n">
        <v>44732500</v>
      </c>
      <c r="G911" s="121" t="n">
        <v>0.1135723280334169</v>
      </c>
      <c r="H911" s="122" t="n">
        <v>36.68219494783537</v>
      </c>
      <c r="I911" s="119" t="n">
        <v>69.31044044494629</v>
      </c>
      <c r="J911" s="119" t="n">
        <v>73.48400926589966</v>
      </c>
      <c r="K911" s="121" t="n">
        <v>0.7468462762547498</v>
      </c>
      <c r="L911" s="121" t="n">
        <v>-0.2704327342997268</v>
      </c>
      <c r="M911" s="121" t="n">
        <v>-0.3806149283431685</v>
      </c>
      <c r="N911" t="n">
        <v>37.47676505170593</v>
      </c>
      <c r="O911" t="n">
        <v>-0.8692344542156789</v>
      </c>
      <c r="P911" t="n">
        <v>128.9450266978265</v>
      </c>
      <c r="Q911" t="n">
        <v>127.3566047252914</v>
      </c>
    </row>
    <row r="912">
      <c r="A912" s="118" t="n">
        <v>45757</v>
      </c>
      <c r="B912" s="119" t="n">
        <v>55.33376821523471</v>
      </c>
      <c r="C912" s="119" t="n">
        <v>55.35310598743366</v>
      </c>
      <c r="D912" s="119" t="n">
        <v>50.54777840093139</v>
      </c>
      <c r="E912" s="119" t="n">
        <v>52.59753799438477</v>
      </c>
      <c r="F912" s="120" t="n">
        <v>53919800</v>
      </c>
      <c r="G912" s="121" t="n">
        <v>-0.08294001041825738</v>
      </c>
      <c r="H912" s="122" t="n">
        <v>33.63977331669735</v>
      </c>
      <c r="I912" s="119" t="n">
        <v>68.8889956665039</v>
      </c>
      <c r="J912" s="119" t="n">
        <v>73.28404891967773</v>
      </c>
      <c r="K912" s="121" t="n">
        <v>0.7909835526730089</v>
      </c>
      <c r="L912" s="121" t="n">
        <v>-0.3309430509177271</v>
      </c>
      <c r="M912" s="121" t="n">
        <v>-0.4319867326392991</v>
      </c>
      <c r="N912" t="n">
        <v>31.58576600997789</v>
      </c>
      <c r="O912" t="n">
        <v>-0.8342948451297785</v>
      </c>
      <c r="P912" t="n">
        <v>123.2947904142397</v>
      </c>
      <c r="Q912" t="n">
        <v>121.9398470275896</v>
      </c>
    </row>
    <row r="913">
      <c r="A913" s="118" t="n">
        <v>45758</v>
      </c>
      <c r="B913" s="119" t="n">
        <v>52.59753465175549</v>
      </c>
      <c r="C913" s="119" t="n">
        <v>53.20665783994876</v>
      </c>
      <c r="D913" s="119" t="n">
        <v>51.10855948178878</v>
      </c>
      <c r="E913" s="119" t="n">
        <v>52.58786392211914</v>
      </c>
      <c r="F913" s="120" t="n">
        <v>22617100</v>
      </c>
      <c r="G913" s="121" t="n">
        <v>-0.0001839263325720264</v>
      </c>
      <c r="H913" s="122" t="n">
        <v>33.63358607656266</v>
      </c>
      <c r="I913" s="119" t="n">
        <v>68.43368751525878</v>
      </c>
      <c r="J913" s="119" t="n">
        <v>73.09556982040405</v>
      </c>
      <c r="K913" s="121" t="n">
        <v>0.7923152200191994</v>
      </c>
      <c r="L913" s="121" t="n">
        <v>-0.3310661081086537</v>
      </c>
      <c r="M913" s="121" t="n">
        <v>-0.4320912052364171</v>
      </c>
      <c r="N913" t="n">
        <v>31.57489597254953</v>
      </c>
      <c r="O913" t="n">
        <v>-0.7339567136375216</v>
      </c>
      <c r="P913" t="n">
        <v>125.4947262609001</v>
      </c>
      <c r="Q913" t="n">
        <v>124.1863587351036</v>
      </c>
    </row>
    <row r="914">
      <c r="A914" s="118" t="n">
        <v>45761</v>
      </c>
      <c r="B914" s="119" t="n">
        <v>53.79644881824925</v>
      </c>
      <c r="C914" s="119" t="n">
        <v>54.81165785554909</v>
      </c>
      <c r="D914" s="119" t="n">
        <v>52.85858717921941</v>
      </c>
      <c r="E914" s="119" t="n">
        <v>53.57406997680664</v>
      </c>
      <c r="F914" s="120" t="n">
        <v>28346600</v>
      </c>
      <c r="G914" s="121" t="n">
        <v>0.01875349141672755</v>
      </c>
      <c r="H914" s="122" t="n">
        <v>34.26433324436324</v>
      </c>
      <c r="I914" s="119" t="n">
        <v>68.02561676025391</v>
      </c>
      <c r="J914" s="119" t="n">
        <v>72.91530914306641</v>
      </c>
      <c r="K914" s="121" t="n">
        <v>0.7863850498192745</v>
      </c>
      <c r="L914" s="121" t="n">
        <v>-0.3185212621087111</v>
      </c>
      <c r="M914" s="121" t="n">
        <v>-0.421440932528334</v>
      </c>
      <c r="N914" t="n">
        <v>34.06600113987255</v>
      </c>
      <c r="O914" t="n">
        <v>-0.532660366975457</v>
      </c>
      <c r="P914" t="n">
        <v>126.7122140830397</v>
      </c>
      <c r="Q914" t="n">
        <v>125.0281231363811</v>
      </c>
    </row>
    <row r="915">
      <c r="A915" s="118" t="n">
        <v>45762</v>
      </c>
      <c r="B915" s="119" t="n">
        <v>52.86825895922033</v>
      </c>
      <c r="C915" s="119" t="n">
        <v>53.55473326882557</v>
      </c>
      <c r="D915" s="119" t="n">
        <v>52.37515499328206</v>
      </c>
      <c r="E915" s="119" t="n">
        <v>53.01329040527344</v>
      </c>
      <c r="F915" s="120" t="n">
        <v>15977100</v>
      </c>
      <c r="G915" s="121" t="n">
        <v>-0.01046736922873281</v>
      </c>
      <c r="H915" s="122" t="n">
        <v>33.90567581691815</v>
      </c>
      <c r="I915" s="119" t="n">
        <v>67.61229507446289</v>
      </c>
      <c r="J915" s="119" t="n">
        <v>72.73162517547607</v>
      </c>
      <c r="K915" s="121" t="n">
        <v>0.7859297908638083</v>
      </c>
      <c r="L915" s="121" t="n">
        <v>-0.3256545516797501</v>
      </c>
      <c r="M915" s="121" t="n">
        <v>-0.4274969239081913</v>
      </c>
      <c r="N915" t="n">
        <v>33.32309971340005</v>
      </c>
      <c r="O915" t="n">
        <v>-0.3761486219515353</v>
      </c>
      <c r="P915" t="n">
        <v>126.3573050069423</v>
      </c>
      <c r="Q915" t="n">
        <v>125.1674971046261</v>
      </c>
    </row>
    <row r="916">
      <c r="A916" s="118" t="n">
        <v>45763</v>
      </c>
      <c r="B916" s="119" t="n">
        <v>52.90693532262429</v>
      </c>
      <c r="C916" s="119" t="n">
        <v>53.32268820689207</v>
      </c>
      <c r="D916" s="119" t="n">
        <v>51.57265853850205</v>
      </c>
      <c r="E916" s="119" t="n">
        <v>51.77569961547852</v>
      </c>
      <c r="F916" s="120" t="n">
        <v>19094900</v>
      </c>
      <c r="G916" s="121" t="n">
        <v>-0.02334491559255891</v>
      </c>
      <c r="H916" s="122" t="n">
        <v>33.11415067686352</v>
      </c>
      <c r="I916" s="119" t="n">
        <v>67.17172035217285</v>
      </c>
      <c r="J916" s="119" t="n">
        <v>72.63141756057739</v>
      </c>
      <c r="K916" s="121" t="n">
        <v>0.7859804531208484</v>
      </c>
      <c r="L916" s="121" t="n">
        <v>-0.3413970892510126</v>
      </c>
      <c r="M916" s="121" t="n">
        <v>-0.4408619598960349</v>
      </c>
      <c r="N916" t="n">
        <v>31.68107563402506</v>
      </c>
      <c r="O916" t="n">
        <v>-0.2982467939086169</v>
      </c>
      <c r="P916" t="n">
        <v>123.5486252492121</v>
      </c>
      <c r="Q916" t="n">
        <v>121.3932580989099</v>
      </c>
    </row>
    <row r="917">
      <c r="A917" s="118" t="n">
        <v>45764</v>
      </c>
      <c r="B917" s="119" t="n">
        <v>52.03675586306208</v>
      </c>
      <c r="C917" s="119" t="n">
        <v>54.16386294683711</v>
      </c>
      <c r="D917" s="119" t="n">
        <v>51.87239032488417</v>
      </c>
      <c r="E917" s="119" t="n">
        <v>53.9124755859375</v>
      </c>
      <c r="F917" s="120" t="n">
        <v>18935100</v>
      </c>
      <c r="G917" s="121" t="n">
        <v>0.04126986185272496</v>
      </c>
      <c r="H917" s="122" t="n">
        <v>34.480767100668</v>
      </c>
      <c r="I917" s="119" t="n">
        <v>66.81524696350098</v>
      </c>
      <c r="J917" s="119" t="n">
        <v>72.53493799209595</v>
      </c>
      <c r="K917" s="121" t="n">
        <v>0.8101691447332282</v>
      </c>
      <c r="L917" s="121" t="n">
        <v>-0.3142166381085993</v>
      </c>
      <c r="M917" s="121" t="n">
        <v>-0.4177864102243409</v>
      </c>
      <c r="N917" t="n">
        <v>37.41523018161668</v>
      </c>
      <c r="O917" t="n">
        <v>-0.05767591317907517</v>
      </c>
      <c r="P917" t="n">
        <v>123.7248941869943</v>
      </c>
      <c r="Q917" t="n">
        <v>121.3713938705661</v>
      </c>
    </row>
    <row r="918">
      <c r="A918" s="118" t="n">
        <v>45768</v>
      </c>
      <c r="B918" s="119" t="n">
        <v>53.40003703211478</v>
      </c>
      <c r="C918" s="119" t="n">
        <v>54.49259722374645</v>
      </c>
      <c r="D918" s="119" t="n">
        <v>51.72735840842018</v>
      </c>
      <c r="E918" s="119" t="n">
        <v>54.26054763793945</v>
      </c>
      <c r="F918" s="120" t="n">
        <v>17280900</v>
      </c>
      <c r="G918" s="121" t="n">
        <v>0.006456243164851827</v>
      </c>
      <c r="H918" s="122" t="n">
        <v>34.70338331758054</v>
      </c>
      <c r="I918" s="119" t="n">
        <v>66.52018417358398</v>
      </c>
      <c r="J918" s="119" t="n">
        <v>72.44396251678467</v>
      </c>
      <c r="K918" s="121" t="n">
        <v>0.795821668737776</v>
      </c>
      <c r="L918" s="121" t="n">
        <v>-0.3097890539658189</v>
      </c>
      <c r="M918" s="121" t="n">
        <v>-0.4140274977148679</v>
      </c>
      <c r="N918" t="n">
        <v>38.32335173679454</v>
      </c>
      <c r="O918" t="n">
        <v>0.1582222049941606</v>
      </c>
      <c r="P918" t="n">
        <v>120.779899493101</v>
      </c>
      <c r="Q918" t="n">
        <v>118.3678395491173</v>
      </c>
    </row>
    <row r="919">
      <c r="A919" s="118" t="n">
        <v>45769</v>
      </c>
      <c r="B919" s="119" t="n">
        <v>54.77298796403282</v>
      </c>
      <c r="C919" s="119" t="n">
        <v>56.16527437752787</v>
      </c>
      <c r="D919" s="119" t="n">
        <v>54.37657285189377</v>
      </c>
      <c r="E919" s="119" t="n">
        <v>55.16940307617188</v>
      </c>
      <c r="F919" s="120" t="n">
        <v>16852200</v>
      </c>
      <c r="G919" s="121" t="n">
        <v>0.0167498390229468</v>
      </c>
      <c r="H919" s="122" t="n">
        <v>35.28465940170163</v>
      </c>
      <c r="I919" s="119" t="n">
        <v>66.30217254638671</v>
      </c>
      <c r="J919" s="119" t="n">
        <v>72.36134284973144</v>
      </c>
      <c r="K919" s="121" t="n">
        <v>0.8007708020135493</v>
      </c>
      <c r="L919" s="121" t="n">
        <v>-0.2982281317278705</v>
      </c>
      <c r="M919" s="121" t="n">
        <v>-0.4042125526297187</v>
      </c>
      <c r="N919" t="n">
        <v>40.74125068425077</v>
      </c>
      <c r="O919" t="n">
        <v>0.3827654426853311</v>
      </c>
      <c r="P919" t="n">
        <v>123.9223293626631</v>
      </c>
      <c r="Q919" t="n">
        <v>121.4752447602204</v>
      </c>
    </row>
    <row r="920">
      <c r="A920" s="118" t="n">
        <v>45770</v>
      </c>
      <c r="B920" s="119" t="n">
        <v>57.04511991270665</v>
      </c>
      <c r="C920" s="119" t="n">
        <v>57.23849393820689</v>
      </c>
      <c r="D920" s="119" t="n">
        <v>54.82132784021084</v>
      </c>
      <c r="E920" s="119" t="n">
        <v>55.48846435546875</v>
      </c>
      <c r="F920" s="120" t="n">
        <v>21660300</v>
      </c>
      <c r="G920" s="121" t="n">
        <v>0.00578330127763671</v>
      </c>
      <c r="H920" s="122" t="n">
        <v>35.48872121750047</v>
      </c>
      <c r="I920" s="119" t="n">
        <v>66.04705963134765</v>
      </c>
      <c r="J920" s="119" t="n">
        <v>72.2794132232666</v>
      </c>
      <c r="K920" s="121" t="n">
        <v>0.8017350120776759</v>
      </c>
      <c r="L920" s="121" t="n">
        <v>-0.2941695735854828</v>
      </c>
      <c r="M920" s="121" t="n">
        <v>-0.4007669343241422</v>
      </c>
      <c r="N920" t="n">
        <v>41.6067053755955</v>
      </c>
      <c r="O920" t="n">
        <v>0.5624446610207299</v>
      </c>
      <c r="P920" t="n">
        <v>125.842565377126</v>
      </c>
      <c r="Q920" t="n">
        <v>124.2300871917911</v>
      </c>
    </row>
    <row r="921">
      <c r="A921" s="118" t="n">
        <v>45771</v>
      </c>
      <c r="B921" s="119" t="n">
        <v>55.89455200400089</v>
      </c>
      <c r="C921" s="119" t="n">
        <v>56.75506257287309</v>
      </c>
      <c r="D921" s="119" t="n">
        <v>55.23708250880131</v>
      </c>
      <c r="E921" s="119" t="n">
        <v>56.54235076904297</v>
      </c>
      <c r="F921" s="120" t="n">
        <v>14508500</v>
      </c>
      <c r="G921" s="121" t="n">
        <v>0.01899289205091059</v>
      </c>
      <c r="H921" s="122" t="n">
        <v>36.16275466860932</v>
      </c>
      <c r="I921" s="119" t="n">
        <v>65.80532852172851</v>
      </c>
      <c r="J921" s="119" t="n">
        <v>72.21409210205078</v>
      </c>
      <c r="K921" s="121" t="n">
        <v>0.8062534360637151</v>
      </c>
      <c r="L921" s="121" t="n">
        <v>-0.2807638124903437</v>
      </c>
      <c r="M921" s="121" t="n">
        <v>-0.3893857653944244</v>
      </c>
      <c r="N921" t="n">
        <v>44.4904951371691</v>
      </c>
      <c r="O921" t="n">
        <v>0.7501977978842005</v>
      </c>
      <c r="P921" t="n">
        <v>128.4914291283797</v>
      </c>
      <c r="Q921" t="n">
        <v>127.725561481103</v>
      </c>
    </row>
    <row r="922">
      <c r="A922" s="118" t="n">
        <v>45772</v>
      </c>
      <c r="B922" s="119" t="n">
        <v>56.28129732211802</v>
      </c>
      <c r="C922" s="119" t="n">
        <v>56.31997286679007</v>
      </c>
      <c r="D922" s="119" t="n">
        <v>54.73431241826557</v>
      </c>
      <c r="E922" s="119" t="n">
        <v>55.71084594726562</v>
      </c>
      <c r="F922" s="120" t="n">
        <v>17156000</v>
      </c>
      <c r="G922" s="121" t="n">
        <v>-0.01470587640004162</v>
      </c>
      <c r="H922" s="122" t="n">
        <v>35.63094966816772</v>
      </c>
      <c r="I922" s="119" t="n">
        <v>65.52926666259765</v>
      </c>
      <c r="J922" s="119" t="n">
        <v>72.14742443084717</v>
      </c>
      <c r="K922" s="121" t="n">
        <v>0.8067505722877442</v>
      </c>
      <c r="L922" s="121" t="n">
        <v>-0.2913408109662979</v>
      </c>
      <c r="M922" s="121" t="n">
        <v>-0.39836538285664</v>
      </c>
      <c r="N922" t="n">
        <v>42.69876903454256</v>
      </c>
      <c r="O922" t="n">
        <v>0.8111380642283135</v>
      </c>
      <c r="P922" t="n">
        <v>129.4198050524024</v>
      </c>
      <c r="Q922" t="n">
        <v>129.149437889651</v>
      </c>
    </row>
    <row r="923">
      <c r="A923" s="118" t="n">
        <v>45775</v>
      </c>
      <c r="B923" s="119" t="n">
        <v>55.81720353480619</v>
      </c>
      <c r="C923" s="119" t="n">
        <v>56.15560902844091</v>
      </c>
      <c r="D923" s="119" t="n">
        <v>54.91801737972143</v>
      </c>
      <c r="E923" s="119" t="n">
        <v>55.4111213684082</v>
      </c>
      <c r="F923" s="120" t="n">
        <v>13321200</v>
      </c>
      <c r="G923" s="121" t="n">
        <v>-0.005380004086477763</v>
      </c>
      <c r="H923" s="122" t="n">
        <v>35.43925501334789</v>
      </c>
      <c r="I923" s="119" t="n">
        <v>65.22893241882325</v>
      </c>
      <c r="J923" s="119" t="n">
        <v>72.07887693405151</v>
      </c>
      <c r="K923" s="121" t="n">
        <v>0.7974147909828417</v>
      </c>
      <c r="L923" s="121" t="n">
        <v>-0.2951534002992193</v>
      </c>
      <c r="M923" s="121" t="n">
        <v>-0.4016021795554378</v>
      </c>
      <c r="N923" t="n">
        <v>42.04152729490812</v>
      </c>
      <c r="O923" t="n">
        <v>0.8214881156864786</v>
      </c>
      <c r="P923" t="n">
        <v>129.4691492990771</v>
      </c>
      <c r="Q923" t="n">
        <v>129.1084445589957</v>
      </c>
    </row>
    <row r="924">
      <c r="A924" s="118" t="n">
        <v>45776</v>
      </c>
      <c r="B924" s="119" t="n">
        <v>55.11139035171986</v>
      </c>
      <c r="C924" s="119" t="n">
        <v>55.82687318264813</v>
      </c>
      <c r="D924" s="119" t="n">
        <v>54.86000668524954</v>
      </c>
      <c r="E924" s="119" t="n">
        <v>55.63349914550781</v>
      </c>
      <c r="F924" s="120" t="n">
        <v>12968000</v>
      </c>
      <c r="G924" s="121" t="n">
        <v>0.004013233654325488</v>
      </c>
      <c r="H924" s="122" t="n">
        <v>35.58148102425168</v>
      </c>
      <c r="I924" s="119" t="n">
        <v>64.93631645202636</v>
      </c>
      <c r="J924" s="119" t="n">
        <v>72.00739168167114</v>
      </c>
      <c r="K924" s="121" t="n">
        <v>0.7975358024190808</v>
      </c>
      <c r="L924" s="121" t="n">
        <v>-0.2923246862041632</v>
      </c>
      <c r="M924" s="121" t="n">
        <v>-0.3992006692837546</v>
      </c>
      <c r="N924" t="n">
        <v>42.74568784821069</v>
      </c>
      <c r="O924" t="n">
        <v>0.8310336487946537</v>
      </c>
      <c r="P924" t="n">
        <v>130.2847404517351</v>
      </c>
      <c r="Q924" t="n">
        <v>129.961132684488</v>
      </c>
    </row>
    <row r="925">
      <c r="A925" s="118" t="n">
        <v>45777</v>
      </c>
      <c r="B925" s="119" t="n">
        <v>54.00916408520813</v>
      </c>
      <c r="C925" s="119" t="n">
        <v>54.71497619813286</v>
      </c>
      <c r="D925" s="119" t="n">
        <v>52.93594166408182</v>
      </c>
      <c r="E925" s="119" t="n">
        <v>54.53127288818359</v>
      </c>
      <c r="F925" s="120" t="n">
        <v>17205900</v>
      </c>
      <c r="G925" s="121" t="n">
        <v>-0.01981227631289872</v>
      </c>
      <c r="H925" s="122" t="n">
        <v>34.87653089057704</v>
      </c>
      <c r="I925" s="119" t="n">
        <v>64.53411445617675</v>
      </c>
      <c r="J925" s="119" t="n">
        <v>71.93025243759155</v>
      </c>
      <c r="K925" s="121" t="n">
        <v>0.7943130012815944</v>
      </c>
      <c r="L925" s="121" t="n">
        <v>-0.3063453450609036</v>
      </c>
      <c r="M925" s="121" t="n">
        <v>-0.4111038716325096</v>
      </c>
      <c r="N925" t="n">
        <v>40.14240025806718</v>
      </c>
      <c r="O925" t="n">
        <v>0.7531473040215664</v>
      </c>
      <c r="P925" t="n">
        <v>130.3364413517003</v>
      </c>
      <c r="Q925" t="n">
        <v>129.9447387082087</v>
      </c>
    </row>
    <row r="926">
      <c r="A926" s="118" t="n">
        <v>45778</v>
      </c>
      <c r="B926" s="119" t="n">
        <v>54.8019937231122</v>
      </c>
      <c r="C926" s="119" t="n">
        <v>55.31443178980064</v>
      </c>
      <c r="D926" s="119" t="n">
        <v>54.39590787365299</v>
      </c>
      <c r="E926" s="119" t="n">
        <v>54.87934112548828</v>
      </c>
      <c r="F926" s="120" t="n">
        <v>10527000</v>
      </c>
      <c r="G926" s="121" t="n">
        <v>0.006382910555167154</v>
      </c>
      <c r="H926" s="122" t="n">
        <v>35.09914466772612</v>
      </c>
      <c r="I926" s="119" t="n">
        <v>64.15445808410645</v>
      </c>
      <c r="J926" s="119" t="n">
        <v>71.86490617752075</v>
      </c>
      <c r="K926" s="121" t="n">
        <v>0.7948802367195045</v>
      </c>
      <c r="L926" s="121" t="n">
        <v>-0.301917809442252</v>
      </c>
      <c r="M926" s="121" t="n">
        <v>-0.4073450003188557</v>
      </c>
      <c r="N926" t="n">
        <v>41.35697577248371</v>
      </c>
      <c r="O926" t="n">
        <v>0.7153811143664877</v>
      </c>
      <c r="P926" t="n">
        <v>131.260103969142</v>
      </c>
      <c r="Q926" t="n">
        <v>131.6419011911394</v>
      </c>
    </row>
    <row r="927">
      <c r="A927" s="118" t="n">
        <v>45779</v>
      </c>
      <c r="B927" s="119" t="n">
        <v>55.95256328372849</v>
      </c>
      <c r="C927" s="119" t="n">
        <v>56.75506424856107</v>
      </c>
      <c r="D927" s="119" t="n">
        <v>55.41112040461542</v>
      </c>
      <c r="E927" s="119" t="n">
        <v>56.64870834350586</v>
      </c>
      <c r="F927" s="120" t="n">
        <v>14723900</v>
      </c>
      <c r="G927" s="121" t="n">
        <v>0.03224104338227574</v>
      </c>
      <c r="H927" s="122" t="n">
        <v>36.23077771363905</v>
      </c>
      <c r="I927" s="119" t="n">
        <v>63.80153091430664</v>
      </c>
      <c r="J927" s="119" t="n">
        <v>71.80126029968261</v>
      </c>
      <c r="K927" s="121" t="n">
        <v>0.6116729661115579</v>
      </c>
      <c r="L927" s="121" t="n">
        <v>-0.2794109112520856</v>
      </c>
      <c r="M927" s="121" t="n">
        <v>-0.3882371847634133</v>
      </c>
      <c r="N927" t="n">
        <v>47.21989291809911</v>
      </c>
      <c r="O927" t="n">
        <v>0.7938147090193532</v>
      </c>
      <c r="P927" t="n">
        <v>133.2085616341204</v>
      </c>
      <c r="Q927" t="n">
        <v>133.5959809420449</v>
      </c>
    </row>
    <row r="928">
      <c r="A928" s="118" t="n">
        <v>45782</v>
      </c>
      <c r="B928" s="119" t="n">
        <v>56.19427858412659</v>
      </c>
      <c r="C928" s="119" t="n">
        <v>56.40699038922362</v>
      </c>
      <c r="D928" s="119" t="n">
        <v>55.39178132651094</v>
      </c>
      <c r="E928" s="119" t="n">
        <v>55.44979095458984</v>
      </c>
      <c r="F928" s="120" t="n">
        <v>15971000</v>
      </c>
      <c r="G928" s="121" t="n">
        <v>-0.0211640728266218</v>
      </c>
      <c r="H928" s="122" t="n">
        <v>35.46398689554245</v>
      </c>
      <c r="I928" s="119" t="n">
        <v>63.43867080688477</v>
      </c>
      <c r="J928" s="119" t="n">
        <v>71.73038112640381</v>
      </c>
      <c r="K928" s="121" t="n">
        <v>0.6090171416154431</v>
      </c>
      <c r="L928" s="121" t="n">
        <v>-0.2946615112044155</v>
      </c>
      <c r="M928" s="121" t="n">
        <v>-0.4011845775376995</v>
      </c>
      <c r="N928" t="n">
        <v>44.00921331301247</v>
      </c>
      <c r="O928" t="n">
        <v>0.7497302052209611</v>
      </c>
      <c r="P928" t="n">
        <v>132.4447004759126</v>
      </c>
      <c r="Q928" t="n">
        <v>132.8034236394765</v>
      </c>
    </row>
    <row r="929">
      <c r="A929" s="118" t="n">
        <v>45783</v>
      </c>
      <c r="B929" s="119" t="n">
        <v>55.25642228149835</v>
      </c>
      <c r="C929" s="119" t="n">
        <v>55.80753589473718</v>
      </c>
      <c r="D929" s="119" t="n">
        <v>54.90834974928371</v>
      </c>
      <c r="E929" s="119" t="n">
        <v>55.15006637573242</v>
      </c>
      <c r="F929" s="120" t="n">
        <v>11440300</v>
      </c>
      <c r="G929" s="121" t="n">
        <v>-0.005405332891207482</v>
      </c>
      <c r="H929" s="122" t="n">
        <v>35.27229224072263</v>
      </c>
      <c r="I929" s="119" t="n">
        <v>62.99708915710449</v>
      </c>
      <c r="J929" s="119" t="n">
        <v>71.66129072189331</v>
      </c>
      <c r="K929" s="121" t="n">
        <v>0.5996413164557951</v>
      </c>
      <c r="L929" s="121" t="n">
        <v>-0.2984741005373368</v>
      </c>
      <c r="M929" s="121" t="n">
        <v>-0.4044213742364973</v>
      </c>
      <c r="N929" t="n">
        <v>43.21807006939095</v>
      </c>
      <c r="O929" t="n">
        <v>0.686840311085676</v>
      </c>
      <c r="P929" t="n">
        <v>131.3376989608173</v>
      </c>
      <c r="Q929" t="n">
        <v>131.5681199079256</v>
      </c>
    </row>
    <row r="930">
      <c r="A930" s="118" t="n">
        <v>45784</v>
      </c>
      <c r="B930" s="119" t="n">
        <v>55.95255786780947</v>
      </c>
      <c r="C930" s="119" t="n">
        <v>56.86141464972461</v>
      </c>
      <c r="D930" s="119" t="n">
        <v>55.65283164254182</v>
      </c>
      <c r="E930" s="119" t="n">
        <v>56.67770767211914</v>
      </c>
      <c r="F930" s="120" t="n">
        <v>11883500</v>
      </c>
      <c r="G930" s="121" t="n">
        <v>0.02769971818309402</v>
      </c>
      <c r="H930" s="122" t="n">
        <v>36.24932479546237</v>
      </c>
      <c r="I930" s="119" t="n">
        <v>62.5583544921875</v>
      </c>
      <c r="J930" s="119" t="n">
        <v>71.59831390380859</v>
      </c>
      <c r="K930" s="121" t="n">
        <v>0.5826223110352727</v>
      </c>
      <c r="L930" s="121" t="n">
        <v>-0.2790420308240795</v>
      </c>
      <c r="M930" s="121" t="n">
        <v>-0.3879240141469739</v>
      </c>
      <c r="N930" t="n">
        <v>48.3176829445105</v>
      </c>
      <c r="O930" t="n">
        <v>0.7305131278751</v>
      </c>
      <c r="P930" t="n">
        <v>131.8900141180984</v>
      </c>
      <c r="Q930" t="n">
        <v>132.0846476201219</v>
      </c>
    </row>
    <row r="931">
      <c r="A931" s="118" t="n">
        <v>45785</v>
      </c>
      <c r="B931" s="119" t="n">
        <v>57.71225784071058</v>
      </c>
      <c r="C931" s="119" t="n">
        <v>58.38906510237768</v>
      </c>
      <c r="D931" s="119" t="n">
        <v>56.85174727888788</v>
      </c>
      <c r="E931" s="119" t="n">
        <v>56.95810317993164</v>
      </c>
      <c r="F931" s="120" t="n">
        <v>19009000</v>
      </c>
      <c r="G931" s="121" t="n">
        <v>0.004947192103015086</v>
      </c>
      <c r="H931" s="122" t="n">
        <v>36.42865716883011</v>
      </c>
      <c r="I931" s="119" t="n">
        <v>62.13581001281738</v>
      </c>
      <c r="J931" s="119" t="n">
        <v>71.52644811630249</v>
      </c>
      <c r="K931" s="121" t="n">
        <v>0.4201245882384507</v>
      </c>
      <c r="L931" s="121" t="n">
        <v>-0.2754753132523666</v>
      </c>
      <c r="M931" s="121" t="n">
        <v>-0.3848959566633167</v>
      </c>
      <c r="N931" t="n">
        <v>49.2191734761244</v>
      </c>
      <c r="O931" t="n">
        <v>0.7574266865680734</v>
      </c>
      <c r="P931" t="n">
        <v>132.8090216179293</v>
      </c>
      <c r="Q931" t="n">
        <v>133.4484183756174</v>
      </c>
    </row>
    <row r="932">
      <c r="A932" s="118" t="n">
        <v>45786</v>
      </c>
      <c r="B932" s="119" t="n">
        <v>57.18048853389461</v>
      </c>
      <c r="C932" s="119" t="n">
        <v>57.41253813425508</v>
      </c>
      <c r="D932" s="119" t="n">
        <v>56.29097305716991</v>
      </c>
      <c r="E932" s="119" t="n">
        <v>56.36832046508789</v>
      </c>
      <c r="F932" s="120" t="n">
        <v>13954400</v>
      </c>
      <c r="G932" s="121" t="n">
        <v>-0.0103546761903327</v>
      </c>
      <c r="H932" s="122" t="n">
        <v>36.05145021979823</v>
      </c>
      <c r="I932" s="119" t="n">
        <v>61.72359573364258</v>
      </c>
      <c r="J932" s="119" t="n">
        <v>71.45858932495118</v>
      </c>
      <c r="K932" s="121" t="n">
        <v>0.2884543610437349</v>
      </c>
      <c r="L932" s="121" t="n">
        <v>-0.2829775317755406</v>
      </c>
      <c r="M932" s="121" t="n">
        <v>-0.3912651598554323</v>
      </c>
      <c r="N932" t="n">
        <v>47.34836282994889</v>
      </c>
      <c r="O932" t="n">
        <v>0.715165943842464</v>
      </c>
      <c r="P932" t="n">
        <v>132.639778998291</v>
      </c>
      <c r="Q932" t="n">
        <v>133.3609530722852</v>
      </c>
    </row>
    <row r="933">
      <c r="A933" s="118" t="n">
        <v>45789</v>
      </c>
      <c r="B933" s="119" t="n">
        <v>60.31313383417065</v>
      </c>
      <c r="C933" s="119" t="n">
        <v>61.36701847598902</v>
      </c>
      <c r="D933" s="119" t="n">
        <v>59.76202021937878</v>
      </c>
      <c r="E933" s="119" t="n">
        <v>60.50650787353516</v>
      </c>
      <c r="F933" s="120" t="n">
        <v>29776600</v>
      </c>
      <c r="G933" s="121" t="n">
        <v>0.07341335300224672</v>
      </c>
      <c r="H933" s="122" t="n">
        <v>38.69810806102721</v>
      </c>
      <c r="I933" s="119" t="n">
        <v>61.40549667358398</v>
      </c>
      <c r="J933" s="119" t="n">
        <v>71.42242706298828</v>
      </c>
      <c r="K933" s="121" t="n">
        <v>0.3795014359258948</v>
      </c>
      <c r="L933" s="121" t="n">
        <v>-0.2303385082052362</v>
      </c>
      <c r="M933" s="121" t="n">
        <v>-0.346575894151133</v>
      </c>
      <c r="N933" t="n">
        <v>59.09628515468088</v>
      </c>
      <c r="O933" t="n">
        <v>0.9318614671017766</v>
      </c>
      <c r="P933" t="n">
        <v>137.0231832130636</v>
      </c>
      <c r="Q933" t="n">
        <v>138.7941131362234</v>
      </c>
    </row>
    <row r="934">
      <c r="A934" s="118" t="n">
        <v>45790</v>
      </c>
      <c r="B934" s="119" t="n">
        <v>60.53550766239014</v>
      </c>
      <c r="C934" s="119" t="n">
        <v>60.69987318480605</v>
      </c>
      <c r="D934" s="119" t="n">
        <v>59.91671373844338</v>
      </c>
      <c r="E934" s="119" t="n">
        <v>60.32279586791992</v>
      </c>
      <c r="F934" s="120" t="n">
        <v>17003100</v>
      </c>
      <c r="G934" s="121" t="n">
        <v>-0.00303623547402887</v>
      </c>
      <c r="H934" s="122" t="n">
        <v>38.58061149255452</v>
      </c>
      <c r="I934" s="119" t="n">
        <v>61.09571235656738</v>
      </c>
      <c r="J934" s="119" t="n">
        <v>71.38382165908814</v>
      </c>
      <c r="K934" s="121" t="n">
        <v>0.3786628729187937</v>
      </c>
      <c r="L934" s="121" t="n">
        <v>-0.2326753817296173</v>
      </c>
      <c r="M934" s="121" t="n">
        <v>-0.3485598436008969</v>
      </c>
      <c r="N934" t="n">
        <v>58.47253143360999</v>
      </c>
      <c r="O934" t="n">
        <v>1.021568799022141</v>
      </c>
      <c r="P934" t="n">
        <v>137.9280653403941</v>
      </c>
      <c r="Q934" t="n">
        <v>140.9094310837177</v>
      </c>
    </row>
    <row r="935">
      <c r="A935" s="118" t="n">
        <v>45791</v>
      </c>
      <c r="B935" s="119" t="n">
        <v>59.99406648418984</v>
      </c>
      <c r="C935" s="119" t="n">
        <v>60.78689673097761</v>
      </c>
      <c r="D935" s="119" t="n">
        <v>59.48162841178637</v>
      </c>
      <c r="E935" s="119" t="n">
        <v>59.68466949462891</v>
      </c>
      <c r="F935" s="120" t="n">
        <v>13736300</v>
      </c>
      <c r="G935" s="121" t="n">
        <v>-0.01057852780378798</v>
      </c>
      <c r="H935" s="122" t="n">
        <v>38.17248542119339</v>
      </c>
      <c r="I935" s="119" t="n">
        <v>60.79424339294434</v>
      </c>
      <c r="J935" s="119" t="n">
        <v>71.33654661178589</v>
      </c>
      <c r="K935" s="121" t="n">
        <v>0.3787280211265692</v>
      </c>
      <c r="L935" s="121" t="n">
        <v>-0.2407925465385216</v>
      </c>
      <c r="M935" s="121" t="n">
        <v>-0.3554511214078687</v>
      </c>
      <c r="N935" t="n">
        <v>56.25156784570702</v>
      </c>
      <c r="O935" t="n">
        <v>0.9956517609223907</v>
      </c>
      <c r="P935" t="n">
        <v>138.1043633726614</v>
      </c>
      <c r="Q935" t="n">
        <v>141.7539306110276</v>
      </c>
    </row>
    <row r="936">
      <c r="A936" s="118" t="n">
        <v>45792</v>
      </c>
      <c r="B936" s="119" t="n">
        <v>58.63078286675255</v>
      </c>
      <c r="C936" s="119" t="n">
        <v>60.60319137483506</v>
      </c>
      <c r="D936" s="119" t="n">
        <v>58.4180710604977</v>
      </c>
      <c r="E936" s="119" t="n">
        <v>60.33246994018555</v>
      </c>
      <c r="F936" s="120" t="n">
        <v>14371100</v>
      </c>
      <c r="G936" s="121" t="n">
        <v>0.01085371588787876</v>
      </c>
      <c r="H936" s="122" t="n">
        <v>38.58679873268922</v>
      </c>
      <c r="I936" s="119" t="n">
        <v>60.49625518798828</v>
      </c>
      <c r="J936" s="119" t="n">
        <v>71.28779388427735</v>
      </c>
      <c r="K936" s="121" t="n">
        <v>0.3624382960385849</v>
      </c>
      <c r="L936" s="121" t="n">
        <v>-0.2325523245386907</v>
      </c>
      <c r="M936" s="121" t="n">
        <v>-0.348455371003779</v>
      </c>
      <c r="N936" t="n">
        <v>57.99578921646513</v>
      </c>
      <c r="O936" t="n">
        <v>0.9784177753299433</v>
      </c>
      <c r="P936" t="n">
        <v>138.7788899144691</v>
      </c>
      <c r="Q936" t="n">
        <v>141.9097153354662</v>
      </c>
    </row>
    <row r="937">
      <c r="A937" s="118" t="n">
        <v>45793</v>
      </c>
      <c r="B937" s="119" t="n">
        <v>60.42915464713658</v>
      </c>
      <c r="C937" s="119" t="n">
        <v>61.63773774007931</v>
      </c>
      <c r="D937" s="119" t="n">
        <v>60.42915464713658</v>
      </c>
      <c r="E937" s="119" t="n">
        <v>61.01894378662109</v>
      </c>
      <c r="F937" s="120" t="n">
        <v>12950600</v>
      </c>
      <c r="G937" s="121" t="n">
        <v>0.01137818238033561</v>
      </c>
      <c r="H937" s="122" t="n">
        <v>39.02584636614306</v>
      </c>
      <c r="I937" s="119" t="n">
        <v>60.21393005371094</v>
      </c>
      <c r="J937" s="119" t="n">
        <v>71.23880504608154</v>
      </c>
      <c r="K937" s="121" t="n">
        <v>0.340844240980815</v>
      </c>
      <c r="L937" s="121" t="n">
        <v>-0.2238201649199273</v>
      </c>
      <c r="M937" s="121" t="n">
        <v>-0.3410419773861318</v>
      </c>
      <c r="N937" t="n">
        <v>59.8237865160405</v>
      </c>
      <c r="O937" t="n">
        <v>0.9677676269053895</v>
      </c>
      <c r="P937" t="n">
        <v>139.6579361390596</v>
      </c>
      <c r="Q937" t="n">
        <v>142.5273504213273</v>
      </c>
    </row>
    <row r="938">
      <c r="A938" s="118" t="n">
        <v>45796</v>
      </c>
      <c r="B938" s="119" t="n">
        <v>60.09075164583956</v>
      </c>
      <c r="C938" s="119" t="n">
        <v>60.36147307294783</v>
      </c>
      <c r="D938" s="119" t="n">
        <v>59.71367063026371</v>
      </c>
      <c r="E938" s="119" t="n">
        <v>60.0230712890625</v>
      </c>
      <c r="F938" s="120" t="n">
        <v>15105300</v>
      </c>
      <c r="G938" s="121" t="n">
        <v>-0.01632071018864389</v>
      </c>
      <c r="H938" s="122" t="n">
        <v>38.38891683773469</v>
      </c>
      <c r="I938" s="119" t="n">
        <v>59.89467102050781</v>
      </c>
      <c r="J938" s="119" t="n">
        <v>71.1822640991211</v>
      </c>
      <c r="K938" s="121" t="n">
        <v>0.3502740387478719</v>
      </c>
      <c r="L938" s="121" t="n">
        <v>-0.2364879710625387</v>
      </c>
      <c r="M938" s="121" t="n">
        <v>-0.3517966402996946</v>
      </c>
      <c r="N938" t="n">
        <v>56.01528857919413</v>
      </c>
      <c r="O938" t="n">
        <v>0.8522332468596214</v>
      </c>
      <c r="P938" t="n">
        <v>139.8107112801496</v>
      </c>
      <c r="Q938" t="n">
        <v>142.6640228233687</v>
      </c>
    </row>
    <row r="939">
      <c r="A939" s="118" t="n">
        <v>45797</v>
      </c>
      <c r="B939" s="119" t="n">
        <v>60.42915785376697</v>
      </c>
      <c r="C939" s="119" t="n">
        <v>61.09629442868344</v>
      </c>
      <c r="D939" s="119" t="n">
        <v>60.21644603786472</v>
      </c>
      <c r="E939" s="119" t="n">
        <v>60.4871711730957</v>
      </c>
      <c r="F939" s="120" t="n">
        <v>10771800</v>
      </c>
      <c r="G939" s="121" t="n">
        <v>0.007732024937513904</v>
      </c>
      <c r="H939" s="122" t="n">
        <v>38.6857409000482</v>
      </c>
      <c r="I939" s="119" t="n">
        <v>59.62704246520996</v>
      </c>
      <c r="J939" s="119" t="n">
        <v>71.13285566329957</v>
      </c>
      <c r="K939" s="121" t="n">
        <v>0.3478131991395464</v>
      </c>
      <c r="L939" s="121" t="n">
        <v>-0.2305844770147024</v>
      </c>
      <c r="M939" s="121" t="n">
        <v>-0.3467847157579116</v>
      </c>
      <c r="N939" t="n">
        <v>57.37709469501413</v>
      </c>
      <c r="O939" t="n">
        <v>0.7682455801652642</v>
      </c>
      <c r="P939" t="n">
        <v>139.3406316849121</v>
      </c>
      <c r="Q939" t="n">
        <v>142.1884632719562</v>
      </c>
    </row>
    <row r="940">
      <c r="A940" s="118" t="n">
        <v>45798</v>
      </c>
      <c r="B940" s="119" t="n">
        <v>59.14321882310345</v>
      </c>
      <c r="C940" s="119" t="n">
        <v>59.71367017465973</v>
      </c>
      <c r="D940" s="119" t="n">
        <v>57.8959639089404</v>
      </c>
      <c r="E940" s="119" t="n">
        <v>57.99264907836914</v>
      </c>
      <c r="F940" s="120" t="n">
        <v>17354700</v>
      </c>
      <c r="G940" s="121" t="n">
        <v>-0.04124051507695747</v>
      </c>
      <c r="H940" s="122" t="n">
        <v>37.0903210191965</v>
      </c>
      <c r="I940" s="119" t="n">
        <v>59.35264572143555</v>
      </c>
      <c r="J940" s="119" t="n">
        <v>71.0702123260498</v>
      </c>
      <c r="K940" s="121" t="n">
        <v>0.3842544717980438</v>
      </c>
      <c r="L940" s="121" t="n">
        <v>-0.2573169480595613</v>
      </c>
      <c r="M940" s="121" t="n">
        <v>-0.3737236505361965</v>
      </c>
      <c r="N940" t="n">
        <v>48.6570299828543</v>
      </c>
      <c r="O940" t="n">
        <v>0.5178702246279845</v>
      </c>
      <c r="P940" t="n">
        <v>136.9926340037426</v>
      </c>
      <c r="Q940" t="n">
        <v>140.212519292707</v>
      </c>
    </row>
    <row r="941">
      <c r="A941" s="118" t="n">
        <v>45799</v>
      </c>
      <c r="B941" s="119" t="n">
        <v>58.57277086735591</v>
      </c>
      <c r="C941" s="119" t="n">
        <v>59.57830916462297</v>
      </c>
      <c r="D941" s="119" t="n">
        <v>58.16668504351691</v>
      </c>
      <c r="E941" s="119" t="n">
        <v>59.28824996948242</v>
      </c>
      <c r="F941" s="120" t="n">
        <v>16764500</v>
      </c>
      <c r="G941" s="121" t="n">
        <v>0.02234077786932009</v>
      </c>
      <c r="H941" s="122" t="n">
        <v>37.91894764218814</v>
      </c>
      <c r="I941" s="119" t="n">
        <v>59.11556983947754</v>
      </c>
      <c r="J941" s="119" t="n">
        <v>71.02638654708862</v>
      </c>
      <c r="K941" s="121" t="n">
        <v>0.3863404418490715</v>
      </c>
      <c r="L941" s="121" t="n">
        <v>-0.2298130209966583</v>
      </c>
      <c r="M941" s="121" t="n">
        <v>-0.3597321497280169</v>
      </c>
      <c r="N941" t="n">
        <v>52.67955317975285</v>
      </c>
      <c r="O941" t="n">
        <v>0.417027842593706</v>
      </c>
      <c r="P941" t="n">
        <v>137.0466915569982</v>
      </c>
      <c r="Q941" t="n">
        <v>140.4748900328321</v>
      </c>
    </row>
    <row r="942">
      <c r="A942" s="118" t="n">
        <v>45800</v>
      </c>
      <c r="B942" s="119" t="n">
        <v>57.87662780541918</v>
      </c>
      <c r="C942" s="119" t="n">
        <v>58.37939881520482</v>
      </c>
      <c r="D942" s="119" t="n">
        <v>57.5188882422593</v>
      </c>
      <c r="E942" s="119" t="n">
        <v>58.03132629394531</v>
      </c>
      <c r="F942" s="120" t="n">
        <v>14282400</v>
      </c>
      <c r="G942" s="121" t="n">
        <v>-0.02120021549268347</v>
      </c>
      <c r="H942" s="122" t="n">
        <v>37.11505778091797</v>
      </c>
      <c r="I942" s="119" t="n">
        <v>58.87153282165527</v>
      </c>
      <c r="J942" s="119" t="n">
        <v>70.97113073348999</v>
      </c>
      <c r="K942" s="121" t="n">
        <v>0.3908712143767965</v>
      </c>
      <c r="L942" s="121" t="n">
        <v>-0.2405415937830958</v>
      </c>
      <c r="M942" s="121" t="n">
        <v>-0.3733059661268202</v>
      </c>
      <c r="N942" t="n">
        <v>48.69377295420328</v>
      </c>
      <c r="O942" t="n">
        <v>0.2513495102262269</v>
      </c>
      <c r="P942" t="n">
        <v>136.1112456731041</v>
      </c>
      <c r="Q942" t="n">
        <v>139.1739852262927</v>
      </c>
    </row>
    <row r="943">
      <c r="A943" s="118" t="n">
        <v>45804</v>
      </c>
      <c r="B943" s="119" t="n">
        <v>59.10454489560985</v>
      </c>
      <c r="C943" s="119" t="n">
        <v>60.7578855776597</v>
      </c>
      <c r="D943" s="119" t="n">
        <v>58.8241527504755</v>
      </c>
      <c r="E943" s="119" t="n">
        <v>60.74821853637695</v>
      </c>
      <c r="F943" s="120" t="n">
        <v>16642100</v>
      </c>
      <c r="G943" s="121" t="n">
        <v>0.04681768306775891</v>
      </c>
      <c r="H943" s="122" t="n">
        <v>38.85269879314654</v>
      </c>
      <c r="I943" s="119" t="n">
        <v>58.70078430175781</v>
      </c>
      <c r="J943" s="119" t="n">
        <v>70.92888759613037</v>
      </c>
      <c r="K943" s="121" t="n">
        <v>0.4200489740312722</v>
      </c>
      <c r="L943" s="121" t="n">
        <v>-0.2005343064608761</v>
      </c>
      <c r="M943" s="121" t="n">
        <v>-0.3439656034684903</v>
      </c>
      <c r="N943" t="n">
        <v>56.37686940517747</v>
      </c>
      <c r="O943" t="n">
        <v>0.3067451641737875</v>
      </c>
      <c r="P943" t="n">
        <v>138.9410771214785</v>
      </c>
      <c r="Q943" t="n">
        <v>142.4480821061348</v>
      </c>
    </row>
    <row r="944">
      <c r="A944" s="118" t="n">
        <v>45805</v>
      </c>
      <c r="B944" s="119" t="n">
        <v>60.66120007874667</v>
      </c>
      <c r="C944" s="119" t="n">
        <v>61.01893961708792</v>
      </c>
      <c r="D944" s="119" t="n">
        <v>59.52029742190441</v>
      </c>
      <c r="E944" s="119" t="n">
        <v>59.73300552368164</v>
      </c>
      <c r="F944" s="120" t="n">
        <v>10015600</v>
      </c>
      <c r="G944" s="121" t="n">
        <v>-0.01671181537755528</v>
      </c>
      <c r="H944" s="122" t="n">
        <v>38.20339966399571</v>
      </c>
      <c r="I944" s="119" t="n">
        <v>58.47028343200684</v>
      </c>
      <c r="J944" s="119" t="n">
        <v>70.87408842086792</v>
      </c>
      <c r="K944" s="121" t="n">
        <v>0.4270364603937782</v>
      </c>
      <c r="L944" s="121" t="n">
        <v>-0.2138948295319912</v>
      </c>
      <c r="M944" s="121" t="n">
        <v>-0.3549291291846507</v>
      </c>
      <c r="N944" t="n">
        <v>53.17263809552789</v>
      </c>
      <c r="O944" t="n">
        <v>0.2589284053307187</v>
      </c>
      <c r="P944" t="n">
        <v>138.1372546880303</v>
      </c>
      <c r="Q944" t="n">
        <v>141.8167713901124</v>
      </c>
    </row>
    <row r="945">
      <c r="A945" s="118" t="n">
        <v>45806</v>
      </c>
      <c r="B945" s="119" t="n">
        <v>60.41948672066727</v>
      </c>
      <c r="C945" s="119" t="n">
        <v>60.8159018218166</v>
      </c>
      <c r="D945" s="119" t="n">
        <v>59.10454774466864</v>
      </c>
      <c r="E945" s="119" t="n">
        <v>59.40427398681641</v>
      </c>
      <c r="F945" s="120" t="n">
        <v>12218000</v>
      </c>
      <c r="G945" s="121" t="n">
        <v>-0.005503348341226677</v>
      </c>
      <c r="H945" s="122" t="n">
        <v>37.99315304782564</v>
      </c>
      <c r="I945" s="119" t="n">
        <v>58.24074913024902</v>
      </c>
      <c r="J945" s="119" t="n">
        <v>70.81693098068237</v>
      </c>
      <c r="K945" s="121" t="n">
        <v>0.4194519782450298</v>
      </c>
      <c r="L945" s="121" t="n">
        <v>-0.2182210401179161</v>
      </c>
      <c r="M945" s="121" t="n">
        <v>-0.3584791788915259</v>
      </c>
      <c r="N945" t="n">
        <v>52.13926608265231</v>
      </c>
      <c r="O945" t="n">
        <v>0.1921462330491901</v>
      </c>
      <c r="P945" t="n">
        <v>138.6825289799251</v>
      </c>
      <c r="Q945" t="n">
        <v>142.0955361065167</v>
      </c>
    </row>
    <row r="946">
      <c r="A946" s="118" t="n">
        <v>45807</v>
      </c>
      <c r="B946" s="119" t="n">
        <v>58.97885836732343</v>
      </c>
      <c r="C946" s="119" t="n">
        <v>59.09488131827198</v>
      </c>
      <c r="D946" s="119" t="n">
        <v>58.10867701445151</v>
      </c>
      <c r="E946" s="119" t="n">
        <v>58.58244323730469</v>
      </c>
      <c r="F946" s="120" t="n">
        <v>18155100</v>
      </c>
      <c r="G946" s="121" t="n">
        <v>-0.01383453907195475</v>
      </c>
      <c r="H946" s="122" t="n">
        <v>37.46753528751874</v>
      </c>
      <c r="I946" s="119" t="n">
        <v>58.00096641540527</v>
      </c>
      <c r="J946" s="119" t="n">
        <v>70.75423509597778</v>
      </c>
      <c r="K946" s="121" t="n">
        <v>0.4244311423060956</v>
      </c>
      <c r="L946" s="121" t="n">
        <v>-0.2290365916840369</v>
      </c>
      <c r="M946" s="121" t="n">
        <v>-0.3673543237566237</v>
      </c>
      <c r="N946" t="n">
        <v>49.54681863533825</v>
      </c>
      <c r="O946" t="n">
        <v>0.08507135895513629</v>
      </c>
      <c r="P946" t="n">
        <v>138.5274408272721</v>
      </c>
      <c r="Q946" t="n">
        <v>141.8714571308432</v>
      </c>
    </row>
    <row r="947">
      <c r="A947" s="118" t="n">
        <v>45810</v>
      </c>
      <c r="B947" s="119" t="n">
        <v>58.44617500946916</v>
      </c>
      <c r="C947" s="119" t="n">
        <v>59.95477663852422</v>
      </c>
      <c r="D947" s="119" t="n">
        <v>58.00819293321091</v>
      </c>
      <c r="E947" s="119" t="n">
        <v>59.92557907104492</v>
      </c>
      <c r="F947" s="120" t="n">
        <v>14065300</v>
      </c>
      <c r="G947" s="121" t="n">
        <v>0.02292727581025411</v>
      </c>
      <c r="H947" s="122" t="n">
        <v>38.32656380298611</v>
      </c>
      <c r="I947" s="119" t="n">
        <v>57.8098974609375</v>
      </c>
      <c r="J947" s="119" t="n">
        <v>70.67986465454102</v>
      </c>
      <c r="K947" s="121" t="n">
        <v>0.4173243984040306</v>
      </c>
      <c r="L947" s="121" t="n">
        <v>-0.2113605009819632</v>
      </c>
      <c r="M947" s="121" t="n">
        <v>-0.3528494818472271</v>
      </c>
      <c r="N947" t="n">
        <v>53.60677910522382</v>
      </c>
      <c r="O947" t="n">
        <v>0.09632405654840237</v>
      </c>
      <c r="P947" t="n">
        <v>139.3077258223006</v>
      </c>
      <c r="Q947" t="n">
        <v>142.9919694686108</v>
      </c>
    </row>
    <row r="948">
      <c r="A948" s="118" t="n">
        <v>45811</v>
      </c>
      <c r="B948" s="119" t="n">
        <v>59.60439506159408</v>
      </c>
      <c r="C948" s="119" t="n">
        <v>60.78207731956885</v>
      </c>
      <c r="D948" s="119" t="n">
        <v>58.84522488707983</v>
      </c>
      <c r="E948" s="119" t="n">
        <v>60.7042121887207</v>
      </c>
      <c r="F948" s="120" t="n">
        <v>10286100</v>
      </c>
      <c r="G948" s="121" t="n">
        <v>0.01299333489548204</v>
      </c>
      <c r="H948" s="122" t="n">
        <v>38.82455368187136</v>
      </c>
      <c r="I948" s="119" t="n">
        <v>57.71020347595215</v>
      </c>
      <c r="J948" s="119" t="n">
        <v>70.60929204940796</v>
      </c>
      <c r="K948" s="121" t="n">
        <v>0.4084618121769452</v>
      </c>
      <c r="L948" s="121" t="n">
        <v>-0.1782135702928239</v>
      </c>
      <c r="M948" s="121" t="n">
        <v>-0.3444408384370834</v>
      </c>
      <c r="N948" t="n">
        <v>55.82598570544937</v>
      </c>
      <c r="O948" t="n">
        <v>0.1449075121200606</v>
      </c>
      <c r="P948" t="n">
        <v>140.1021652843145</v>
      </c>
      <c r="Q948" t="n">
        <v>144.1097299004318</v>
      </c>
    </row>
    <row r="949">
      <c r="A949" s="118" t="n">
        <v>45812</v>
      </c>
      <c r="B949" s="119" t="n">
        <v>60.71394931807891</v>
      </c>
      <c r="C949" s="119" t="n">
        <v>61.35632181887389</v>
      </c>
      <c r="D949" s="119" t="n">
        <v>60.60688661581076</v>
      </c>
      <c r="E949" s="119" t="n">
        <v>61.09353256225586</v>
      </c>
      <c r="F949" s="120" t="n">
        <v>10242300</v>
      </c>
      <c r="G949" s="121" t="n">
        <v>0.006413399655444296</v>
      </c>
      <c r="H949" s="122" t="n">
        <v>39.07355106107746</v>
      </c>
      <c r="I949" s="119" t="n">
        <v>57.62893157958985</v>
      </c>
      <c r="J949" s="119" t="n">
        <v>70.52170410156251</v>
      </c>
      <c r="K949" s="121" t="n">
        <v>0.4066782799130883</v>
      </c>
      <c r="L949" s="121" t="n">
        <v>-0.1480767751557823</v>
      </c>
      <c r="M949" s="121" t="n">
        <v>-0.3402364755361924</v>
      </c>
      <c r="N949" t="n">
        <v>56.93522273446294</v>
      </c>
      <c r="O949" t="n">
        <v>0.1891670351967979</v>
      </c>
      <c r="P949" t="n">
        <v>140.0645461151221</v>
      </c>
      <c r="Q949" t="n">
        <v>144.5114913887163</v>
      </c>
    </row>
    <row r="950">
      <c r="A950" s="118" t="n">
        <v>45813</v>
      </c>
      <c r="B950" s="119" t="n">
        <v>61.25898981562648</v>
      </c>
      <c r="C950" s="119" t="n">
        <v>61.95976115990126</v>
      </c>
      <c r="D950" s="119" t="n">
        <v>60.56795346936323</v>
      </c>
      <c r="E950" s="119" t="n">
        <v>60.99620056152344</v>
      </c>
      <c r="F950" s="120" t="n">
        <v>12336300</v>
      </c>
      <c r="G950" s="121" t="n">
        <v>-0.00159316373845686</v>
      </c>
      <c r="H950" s="122" t="n">
        <v>39.01130049639421</v>
      </c>
      <c r="I950" s="119" t="n">
        <v>57.56214981079101</v>
      </c>
      <c r="J950" s="119" t="n">
        <v>70.43015155792236</v>
      </c>
      <c r="K950" s="121" t="n">
        <v>0.3986225534152361</v>
      </c>
      <c r="L950" s="121" t="n">
        <v>-0.1440096745855297</v>
      </c>
      <c r="M950" s="121" t="n">
        <v>-0.3412875868593247</v>
      </c>
      <c r="N950" t="n">
        <v>56.55288648931219</v>
      </c>
      <c r="O950" t="n">
        <v>0.196908076264272</v>
      </c>
      <c r="P950" t="n">
        <v>139.3876338255389</v>
      </c>
      <c r="Q950" t="n">
        <v>143.4237670035072</v>
      </c>
    </row>
    <row r="951">
      <c r="A951" s="118" t="n">
        <v>45814</v>
      </c>
      <c r="B951" s="119" t="n">
        <v>60.99620126920625</v>
      </c>
      <c r="C951" s="119" t="n">
        <v>61.40498579571392</v>
      </c>
      <c r="D951" s="119" t="n">
        <v>60.46089146959182</v>
      </c>
      <c r="E951" s="119" t="n">
        <v>61.12273025512695</v>
      </c>
      <c r="F951" s="120" t="n">
        <v>13299600</v>
      </c>
      <c r="G951" s="121" t="n">
        <v>0.002074386477169066</v>
      </c>
      <c r="H951" s="122" t="n">
        <v>39.09222501060071</v>
      </c>
      <c r="I951" s="119" t="n">
        <v>57.5133684539795</v>
      </c>
      <c r="J951" s="119" t="n">
        <v>70.338993434906</v>
      </c>
      <c r="K951" s="121" t="n">
        <v>0.3986597869680456</v>
      </c>
      <c r="L951" s="121" t="n">
        <v>-0.1422340198299024</v>
      </c>
      <c r="M951" s="121" t="n">
        <v>-0.3399211627371622</v>
      </c>
      <c r="N951" t="n">
        <v>56.95753973020985</v>
      </c>
      <c r="O951" t="n">
        <v>0.1951917791392646</v>
      </c>
      <c r="P951" t="n">
        <v>140.8190243018956</v>
      </c>
      <c r="Q951" t="n">
        <v>144.8257791837113</v>
      </c>
    </row>
    <row r="952">
      <c r="A952" s="118" t="n">
        <v>45817</v>
      </c>
      <c r="B952" s="119" t="n">
        <v>61.60937926592181</v>
      </c>
      <c r="C952" s="119" t="n">
        <v>61.79430711134263</v>
      </c>
      <c r="D952" s="119" t="n">
        <v>60.22730648864054</v>
      </c>
      <c r="E952" s="119" t="n">
        <v>60.25650405883789</v>
      </c>
      <c r="F952" s="120" t="n">
        <v>11640000</v>
      </c>
      <c r="G952" s="121" t="n">
        <v>-0.01417191595783474</v>
      </c>
      <c r="H952" s="122" t="n">
        <v>38.53821328314571</v>
      </c>
      <c r="I952" s="119" t="n">
        <v>57.44610221862793</v>
      </c>
      <c r="J952" s="119" t="n">
        <v>70.24217021942138</v>
      </c>
      <c r="K952" s="121" t="n">
        <v>0.4006861322331199</v>
      </c>
      <c r="L952" s="121" t="n">
        <v>-0.1543902072123627</v>
      </c>
      <c r="M952" s="121" t="n">
        <v>-0.3492757445443965</v>
      </c>
      <c r="N952" t="n">
        <v>53.29776280475854</v>
      </c>
      <c r="O952" t="n">
        <v>0.1238375336035631</v>
      </c>
      <c r="P952" t="n">
        <v>140.945919898518</v>
      </c>
      <c r="Q952" t="n">
        <v>145.0389679949987</v>
      </c>
    </row>
    <row r="953">
      <c r="A953" s="118" t="n">
        <v>45818</v>
      </c>
      <c r="B953" s="119" t="n">
        <v>60.7139474416271</v>
      </c>
      <c r="C953" s="119" t="n">
        <v>62.4464094821409</v>
      </c>
      <c r="D953" s="119" t="n">
        <v>60.58741845987403</v>
      </c>
      <c r="E953" s="119" t="n">
        <v>62.16415023803711</v>
      </c>
      <c r="F953" s="120" t="n">
        <v>15287000</v>
      </c>
      <c r="G953" s="121" t="n">
        <v>0.03165875964753084</v>
      </c>
      <c r="H953" s="122" t="n">
        <v>39.75828531472209</v>
      </c>
      <c r="I953" s="119" t="n">
        <v>57.4655256652832</v>
      </c>
      <c r="J953" s="119" t="n">
        <v>70.15278890609741</v>
      </c>
      <c r="K953" s="121" t="n">
        <v>0.3243972078907221</v>
      </c>
      <c r="L953" s="121" t="n">
        <v>-0.1276192500269007</v>
      </c>
      <c r="M953" s="121" t="n">
        <v>-0.328674621744109</v>
      </c>
      <c r="N953" t="n">
        <v>59.47356023676108</v>
      </c>
      <c r="O953" t="n">
        <v>0.1893158825167575</v>
      </c>
      <c r="P953" t="n">
        <v>141.7450726671129</v>
      </c>
      <c r="Q953" t="n">
        <v>145.9982421361776</v>
      </c>
    </row>
    <row r="954">
      <c r="A954" s="118" t="n">
        <v>45819</v>
      </c>
      <c r="B954" s="119" t="n">
        <v>62.68000120465984</v>
      </c>
      <c r="C954" s="119" t="n">
        <v>63.11797959890846</v>
      </c>
      <c r="D954" s="119" t="n">
        <v>60.90861020526334</v>
      </c>
      <c r="E954" s="119" t="n">
        <v>61.42445373535156</v>
      </c>
      <c r="F954" s="120" t="n">
        <v>10238700</v>
      </c>
      <c r="G954" s="121" t="n">
        <v>-0.01189908492037817</v>
      </c>
      <c r="H954" s="122" t="n">
        <v>39.2851981014736</v>
      </c>
      <c r="I954" s="119" t="n">
        <v>57.46648109436035</v>
      </c>
      <c r="J954" s="119" t="n">
        <v>70.06252000808716</v>
      </c>
      <c r="K954" s="121" t="n">
        <v>0.3275690476079649</v>
      </c>
      <c r="L954" s="121" t="n">
        <v>-0.1334142689429529</v>
      </c>
      <c r="M954" s="121" t="n">
        <v>-0.3366627794291809</v>
      </c>
      <c r="N954" t="n">
        <v>56.36129404621477</v>
      </c>
      <c r="O954" t="n">
        <v>0.167747053021178</v>
      </c>
      <c r="P954" t="n">
        <v>141.3407757026132</v>
      </c>
      <c r="Q954" t="n">
        <v>145.5062886084858</v>
      </c>
    </row>
    <row r="955">
      <c r="A955" s="118" t="n">
        <v>45820</v>
      </c>
      <c r="B955" s="119" t="n">
        <v>61.06433511763581</v>
      </c>
      <c r="C955" s="119" t="n">
        <v>61.24925924104765</v>
      </c>
      <c r="D955" s="119" t="n">
        <v>60.11050579338923</v>
      </c>
      <c r="E955" s="119" t="n">
        <v>61.12273025512695</v>
      </c>
      <c r="F955" s="120" t="n">
        <v>9830500</v>
      </c>
      <c r="G955" s="121" t="n">
        <v>-0.004912106854455534</v>
      </c>
      <c r="H955" s="122" t="n">
        <v>39.0922250106007</v>
      </c>
      <c r="I955" s="119" t="n">
        <v>57.43665016174317</v>
      </c>
      <c r="J955" s="119" t="n">
        <v>69.9676933670044</v>
      </c>
      <c r="K955" s="121" t="n">
        <v>0.3254990552572063</v>
      </c>
      <c r="L955" s="121" t="n">
        <v>-0.1338902836099365</v>
      </c>
      <c r="M955" s="121" t="n">
        <v>-0.3399211627371622</v>
      </c>
      <c r="N955" t="n">
        <v>55.09479862462499</v>
      </c>
      <c r="O955" t="n">
        <v>0.1203174978090636</v>
      </c>
      <c r="P955" t="n">
        <v>141.9025320202988</v>
      </c>
      <c r="Q955" t="n">
        <v>145.8479108838892</v>
      </c>
    </row>
    <row r="956">
      <c r="A956" s="118" t="n">
        <v>45821</v>
      </c>
      <c r="B956" s="119" t="n">
        <v>60.10077407223385</v>
      </c>
      <c r="C956" s="119" t="n">
        <v>61.10326352857713</v>
      </c>
      <c r="D956" s="119" t="n">
        <v>58.50457597027656</v>
      </c>
      <c r="E956" s="119" t="n">
        <v>58.91335678100586</v>
      </c>
      <c r="F956" s="120" t="n">
        <v>16509700</v>
      </c>
      <c r="G956" s="121" t="n">
        <v>-0.03614651153342041</v>
      </c>
      <c r="H956" s="122" t="n">
        <v>37.67917744838796</v>
      </c>
      <c r="I956" s="119" t="n">
        <v>57.35876434326172</v>
      </c>
      <c r="J956" s="119" t="n">
        <v>69.8607240486145</v>
      </c>
      <c r="K956" s="121" t="n">
        <v>0.3492629617984478</v>
      </c>
      <c r="L956" s="121" t="n">
        <v>-0.152069919526769</v>
      </c>
      <c r="M956" s="121" t="n">
        <v>-0.3637807100412502</v>
      </c>
      <c r="N956" t="n">
        <v>46.80150247272476</v>
      </c>
      <c r="O956" t="n">
        <v>-0.06285071752630933</v>
      </c>
      <c r="P956" t="n">
        <v>140.3160242968041</v>
      </c>
      <c r="Q956" t="n">
        <v>144.0168362948209</v>
      </c>
    </row>
    <row r="957">
      <c r="A957" s="118" t="n">
        <v>45824</v>
      </c>
      <c r="B957" s="119" t="n">
        <v>59.74065672748625</v>
      </c>
      <c r="C957" s="119" t="n">
        <v>60.51928949014209</v>
      </c>
      <c r="D957" s="119" t="n">
        <v>59.60439645812321</v>
      </c>
      <c r="E957" s="119" t="n">
        <v>60.24676895141602</v>
      </c>
      <c r="F957" s="120" t="n">
        <v>13681600</v>
      </c>
      <c r="G957" s="121" t="n">
        <v>0.02263344415030955</v>
      </c>
      <c r="H957" s="122" t="n">
        <v>38.53198700679565</v>
      </c>
      <c r="I957" s="119" t="n">
        <v>57.48893096923828</v>
      </c>
      <c r="J957" s="119" t="n">
        <v>69.75560981750488</v>
      </c>
      <c r="K957" s="121" t="n">
        <v>0.3567414514582714</v>
      </c>
      <c r="L957" s="121" t="n">
        <v>-0.08284720156627612</v>
      </c>
      <c r="M957" s="121" t="n">
        <v>-0.3493808762746192</v>
      </c>
      <c r="N957" t="n">
        <v>51.54237881170733</v>
      </c>
      <c r="O957" t="n">
        <v>-0.09525976207372067</v>
      </c>
      <c r="P957" t="n">
        <v>141.6510392913743</v>
      </c>
      <c r="Q957" t="n">
        <v>146.020089584607</v>
      </c>
    </row>
    <row r="958">
      <c r="A958" s="118" t="n">
        <v>45825</v>
      </c>
      <c r="B958" s="119" t="n">
        <v>59.66279307813626</v>
      </c>
      <c r="C958" s="119" t="n">
        <v>59.66279307813626</v>
      </c>
      <c r="D958" s="119" t="n">
        <v>58.08606123045611</v>
      </c>
      <c r="E958" s="119" t="n">
        <v>58.39751434326172</v>
      </c>
      <c r="F958" s="120" t="n">
        <v>13649700</v>
      </c>
      <c r="G958" s="121" t="n">
        <v>-0.03069466861609738</v>
      </c>
      <c r="H958" s="122" t="n">
        <v>37.34926043450228</v>
      </c>
      <c r="I958" s="119" t="n">
        <v>57.54981910705566</v>
      </c>
      <c r="J958" s="119" t="n">
        <v>69.65316013336182</v>
      </c>
      <c r="K958" s="121" t="n">
        <v>0.3686993704744667</v>
      </c>
      <c r="L958" s="121" t="n">
        <v>-0.1037432635365959</v>
      </c>
      <c r="M958" s="121" t="n">
        <v>-0.3693514146726654</v>
      </c>
      <c r="N958" t="n">
        <v>45.48795705415986</v>
      </c>
      <c r="O958" t="n">
        <v>-0.2343701856443805</v>
      </c>
      <c r="P958" t="n">
        <v>140.4406068818636</v>
      </c>
      <c r="Q958" t="n">
        <v>144.5962131760591</v>
      </c>
    </row>
    <row r="959">
      <c r="A959" s="118" t="n">
        <v>45826</v>
      </c>
      <c r="B959" s="119" t="n">
        <v>58.39751172245413</v>
      </c>
      <c r="C959" s="119" t="n">
        <v>58.8354938029353</v>
      </c>
      <c r="D959" s="119" t="n">
        <v>57.7843368097805</v>
      </c>
      <c r="E959" s="119" t="n">
        <v>57.92059707641602</v>
      </c>
      <c r="F959" s="120" t="n">
        <v>14194300</v>
      </c>
      <c r="G959" s="121" t="n">
        <v>-0.008166739153354641</v>
      </c>
      <c r="H959" s="122" t="n">
        <v>37.044238766963</v>
      </c>
      <c r="I959" s="119" t="n">
        <v>57.63288223266601</v>
      </c>
      <c r="J959" s="119" t="n">
        <v>69.54608659744262</v>
      </c>
      <c r="K959" s="121" t="n">
        <v>0.3679574386810907</v>
      </c>
      <c r="L959" s="121" t="n">
        <v>-0.09970720617891027</v>
      </c>
      <c r="M959" s="121" t="n">
        <v>-0.3745017571664658</v>
      </c>
      <c r="N959" t="n">
        <v>44.0508358854164</v>
      </c>
      <c r="O959" t="n">
        <v>-0.3449530280115827</v>
      </c>
      <c r="P959" t="n">
        <v>140.419440643977</v>
      </c>
      <c r="Q959" t="n">
        <v>144.5716138216831</v>
      </c>
    </row>
    <row r="960">
      <c r="A960" s="118" t="n">
        <v>45828</v>
      </c>
      <c r="B960" s="119" t="n">
        <v>58.15419029718144</v>
      </c>
      <c r="C960" s="119" t="n">
        <v>58.43644583572426</v>
      </c>
      <c r="D960" s="119" t="n">
        <v>57.60914550338983</v>
      </c>
      <c r="E960" s="119" t="n">
        <v>58.19312286376953</v>
      </c>
      <c r="F960" s="120" t="n">
        <v>19084000</v>
      </c>
      <c r="G960" s="121" t="n">
        <v>0.004705161913195921</v>
      </c>
      <c r="H960" s="122" t="n">
        <v>37.21853790831264</v>
      </c>
      <c r="I960" s="119" t="n">
        <v>57.76664505004883</v>
      </c>
      <c r="J960" s="119" t="n">
        <v>69.44008985519409</v>
      </c>
      <c r="K960" s="121" t="n">
        <v>0.3377239365792397</v>
      </c>
      <c r="L960" s="121" t="n">
        <v>-0.08529878453991446</v>
      </c>
      <c r="M960" s="121" t="n">
        <v>-0.3715586866575146</v>
      </c>
      <c r="N960" t="n">
        <v>45.11786722309523</v>
      </c>
      <c r="O960" t="n">
        <v>-0.3832444772141472</v>
      </c>
      <c r="P960" t="n">
        <v>140.089669202978</v>
      </c>
      <c r="Q960" t="n">
        <v>143.9812964363159</v>
      </c>
    </row>
    <row r="961">
      <c r="A961" s="118" t="n">
        <v>45831</v>
      </c>
      <c r="B961" s="119" t="n">
        <v>57.98873373984988</v>
      </c>
      <c r="C961" s="119" t="n">
        <v>59.66279329917871</v>
      </c>
      <c r="D961" s="119" t="n">
        <v>57.85246975378035</v>
      </c>
      <c r="E961" s="119" t="n">
        <v>59.15668106079102</v>
      </c>
      <c r="F961" s="120" t="n">
        <v>15921300</v>
      </c>
      <c r="G961" s="121" t="n">
        <v>0.01655793931659555</v>
      </c>
      <c r="H961" s="122" t="n">
        <v>37.8348002004509</v>
      </c>
      <c r="I961" s="119" t="n">
        <v>57.80268821716309</v>
      </c>
      <c r="J961" s="119" t="n">
        <v>69.34671138763427</v>
      </c>
      <c r="K961" s="121" t="n">
        <v>0.3333332993126171</v>
      </c>
      <c r="L961" s="121" t="n">
        <v>-0.07015321732151003</v>
      </c>
      <c r="M961" s="121" t="n">
        <v>-0.3611529935271481</v>
      </c>
      <c r="N961" t="n">
        <v>48.83343242286024</v>
      </c>
      <c r="O961" t="n">
        <v>-0.3292442149640568</v>
      </c>
      <c r="P961" t="n">
        <v>141.473402912794</v>
      </c>
      <c r="Q961" t="n">
        <v>145.4617714958259</v>
      </c>
    </row>
    <row r="962">
      <c r="A962" s="118" t="n">
        <v>45832</v>
      </c>
      <c r="B962" s="119" t="n">
        <v>59.69199789428975</v>
      </c>
      <c r="C962" s="119" t="n">
        <v>60.3246354427775</v>
      </c>
      <c r="D962" s="119" t="n">
        <v>58.86469749775535</v>
      </c>
      <c r="E962" s="119" t="n">
        <v>59.77959060668945</v>
      </c>
      <c r="F962" s="120" t="n">
        <v>12564000</v>
      </c>
      <c r="G962" s="121" t="n">
        <v>0.01052982579023176</v>
      </c>
      <c r="H962" s="122" t="n">
        <v>38.23319405536986</v>
      </c>
      <c r="I962" s="119" t="n">
        <v>57.94632926940918</v>
      </c>
      <c r="J962" s="119" t="n">
        <v>69.25788316726684</v>
      </c>
      <c r="K962" s="121" t="n">
        <v>0.3253781524992395</v>
      </c>
      <c r="L962" s="121" t="n">
        <v>-0.04821159857167967</v>
      </c>
      <c r="M962" s="121" t="n">
        <v>-0.3544260458423779</v>
      </c>
      <c r="N962" t="n">
        <v>51.13651780601366</v>
      </c>
      <c r="O962" t="n">
        <v>-0.2412170658735195</v>
      </c>
      <c r="P962" t="n">
        <v>143.0363004616563</v>
      </c>
      <c r="Q962" t="n">
        <v>147.6861840561958</v>
      </c>
    </row>
    <row r="963">
      <c r="A963" s="118" t="n">
        <v>45833</v>
      </c>
      <c r="B963" s="119" t="n">
        <v>59.80878506260851</v>
      </c>
      <c r="C963" s="119" t="n">
        <v>59.88664648012442</v>
      </c>
      <c r="D963" s="119" t="n">
        <v>58.74789679515617</v>
      </c>
      <c r="E963" s="119" t="n">
        <v>59.20534515380859</v>
      </c>
      <c r="F963" s="120" t="n">
        <v>12186200</v>
      </c>
      <c r="G963" s="121" t="n">
        <v>-0.009606045258138685</v>
      </c>
      <c r="H963" s="122" t="n">
        <v>37.86592426291079</v>
      </c>
      <c r="I963" s="119" t="n">
        <v>58.07867889404297</v>
      </c>
      <c r="J963" s="119" t="n">
        <v>69.16709287643432</v>
      </c>
      <c r="K963" s="121" t="n">
        <v>0.2800577979075766</v>
      </c>
      <c r="L963" s="121" t="n">
        <v>-0.05735452103197136</v>
      </c>
      <c r="M963" s="121" t="n">
        <v>-0.3605616556820443</v>
      </c>
      <c r="N963" t="n">
        <v>48.94912899971278</v>
      </c>
      <c r="O963" t="n">
        <v>-0.212326904698431</v>
      </c>
      <c r="P963" t="n">
        <v>143.1164412207751</v>
      </c>
      <c r="Q963" t="n">
        <v>148.0637321281333</v>
      </c>
    </row>
    <row r="964">
      <c r="A964" s="118" t="n">
        <v>45834</v>
      </c>
      <c r="B964" s="119" t="n">
        <v>59.91585284668786</v>
      </c>
      <c r="C964" s="119" t="n">
        <v>61.05460262832507</v>
      </c>
      <c r="D964" s="119" t="n">
        <v>59.19561518125214</v>
      </c>
      <c r="E964" s="119" t="n">
        <v>60.86967849731445</v>
      </c>
      <c r="F964" s="120" t="n">
        <v>39659800</v>
      </c>
      <c r="G964" s="121" t="n">
        <v>0.02811120075699436</v>
      </c>
      <c r="H964" s="122" t="n">
        <v>38.93038086171462</v>
      </c>
      <c r="I964" s="119" t="n">
        <v>58.22459106445312</v>
      </c>
      <c r="J964" s="119" t="n">
        <v>69.08558147430421</v>
      </c>
      <c r="K964" s="121" t="n">
        <v>0.2919403271780109</v>
      </c>
      <c r="L964" s="121" t="n">
        <v>-0.03085562473002801</v>
      </c>
      <c r="M964" s="121" t="n">
        <v>-0.3257953602363022</v>
      </c>
      <c r="N964" t="n">
        <v>54.96223790146632</v>
      </c>
      <c r="O964" t="n">
        <v>-0.07867232684015038</v>
      </c>
      <c r="P964" t="n">
        <v>144.236157025845</v>
      </c>
      <c r="Q964" t="n">
        <v>149.4481589581424</v>
      </c>
    </row>
    <row r="965">
      <c r="A965" s="118" t="n">
        <v>45835</v>
      </c>
      <c r="B965" s="119" t="n">
        <v>67.92604469527953</v>
      </c>
      <c r="C965" s="119" t="n">
        <v>72.20853067300436</v>
      </c>
      <c r="D965" s="119" t="n">
        <v>67.82871698739154</v>
      </c>
      <c r="E965" s="119" t="n">
        <v>70.11595153808594</v>
      </c>
      <c r="F965" s="120" t="n">
        <v>117530300</v>
      </c>
      <c r="G965" s="121" t="n">
        <v>0.1519027744031771</v>
      </c>
      <c r="H965" s="122" t="n">
        <v>44.84401372318142</v>
      </c>
      <c r="I965" s="119" t="n">
        <v>58.56664428710938</v>
      </c>
      <c r="J965" s="119" t="n">
        <v>69.05575691223144</v>
      </c>
      <c r="K965" s="121" t="n">
        <v>0.6081346672462222</v>
      </c>
      <c r="L965" s="121" t="n">
        <v>0</v>
      </c>
      <c r="M965" s="121" t="n">
        <v>-0.2187645016802929</v>
      </c>
      <c r="N965" t="n">
        <v>73.58031015364882</v>
      </c>
      <c r="O965" t="n">
        <v>0.5976811527786183</v>
      </c>
      <c r="P965" t="n">
        <v>144.9527832875455</v>
      </c>
      <c r="Q965" t="n">
        <v>149.9598288851464</v>
      </c>
    </row>
    <row r="966">
      <c r="A966" s="118" t="n">
        <v>45838</v>
      </c>
      <c r="B966" s="119" t="n">
        <v>69.54170789245337</v>
      </c>
      <c r="C966" s="119" t="n">
        <v>69.79476588239633</v>
      </c>
      <c r="D966" s="119" t="n">
        <v>68.1888326558646</v>
      </c>
      <c r="E966" s="119" t="n">
        <v>69.14266204833984</v>
      </c>
      <c r="F966" s="120" t="n">
        <v>31090400</v>
      </c>
      <c r="G966" s="121" t="n">
        <v>-0.01388114214234715</v>
      </c>
      <c r="H966" s="122" t="n">
        <v>44.22152759445657</v>
      </c>
      <c r="I966" s="119" t="n">
        <v>58.9139835357666</v>
      </c>
      <c r="J966" s="119" t="n">
        <v>69.02776569366455</v>
      </c>
      <c r="K966" s="121" t="n">
        <v>0.6081578718832606</v>
      </c>
      <c r="L966" s="121" t="n">
        <v>-0.01388114214234704</v>
      </c>
      <c r="M966" s="121" t="n">
        <v>-0.2296089426791161</v>
      </c>
      <c r="N966" t="n">
        <v>70.28656327871957</v>
      </c>
      <c r="O966" t="n">
        <v>0.9251813809914087</v>
      </c>
      <c r="P966" t="n">
        <v>145.6458284690987</v>
      </c>
      <c r="Q966" t="n">
        <v>150.9311006650557</v>
      </c>
    </row>
    <row r="967">
      <c r="A967" s="118" t="n">
        <v>45839</v>
      </c>
      <c r="B967" s="119" t="n">
        <v>70.06727605105846</v>
      </c>
      <c r="C967" s="119" t="n">
        <v>71.96519955566329</v>
      </c>
      <c r="D967" s="119" t="n">
        <v>69.9115532211659</v>
      </c>
      <c r="E967" s="119" t="n">
        <v>71.44935607910156</v>
      </c>
      <c r="F967" s="120" t="n">
        <v>27512900</v>
      </c>
      <c r="G967" s="121" t="n">
        <v>0.03336137143734841</v>
      </c>
      <c r="H967" s="122" t="n">
        <v>45.69681840206219</v>
      </c>
      <c r="I967" s="119" t="n">
        <v>59.26472114562988</v>
      </c>
      <c r="J967" s="119" t="n">
        <v>69.00982444763184</v>
      </c>
      <c r="K967" s="121" t="n">
        <v>0.6124461871340835</v>
      </c>
      <c r="L967" s="121" t="n">
        <v>0</v>
      </c>
      <c r="M967" s="121" t="n">
        <v>-0.1653514913677918</v>
      </c>
      <c r="N967" t="n">
        <v>73.33327227275863</v>
      </c>
      <c r="O967" t="n">
        <v>1.224071256629149</v>
      </c>
      <c r="P967" t="n">
        <v>145.5986808560467</v>
      </c>
      <c r="Q967" t="n">
        <v>149.6588643421121</v>
      </c>
    </row>
    <row r="968">
      <c r="A968" s="118" t="n">
        <v>45840</v>
      </c>
      <c r="B968" s="119" t="n">
        <v>71.21576840418466</v>
      </c>
      <c r="C968" s="119" t="n">
        <v>74.78774798849355</v>
      </c>
      <c r="D968" s="119" t="n">
        <v>71.05031055900621</v>
      </c>
      <c r="E968" s="119" t="n">
        <v>74.34976959228516</v>
      </c>
      <c r="F968" s="120" t="n">
        <v>36882300</v>
      </c>
      <c r="G968" s="121" t="n">
        <v>0.04059397694182931</v>
      </c>
      <c r="H968" s="122" t="n">
        <v>47.55183399459047</v>
      </c>
      <c r="I968" s="119" t="n">
        <v>59.66650558471679</v>
      </c>
      <c r="J968" s="119" t="n">
        <v>69.00638526916504</v>
      </c>
      <c r="K968" s="121" t="n">
        <v>0.6222952092591953</v>
      </c>
      <c r="L968" s="121" t="n">
        <v>0</v>
      </c>
      <c r="M968" s="121" t="n">
        <v>-0.1314697890538438</v>
      </c>
      <c r="N968" t="n">
        <v>76.58442602095872</v>
      </c>
      <c r="O968" t="n">
        <v>1.524460300707622</v>
      </c>
      <c r="P968" t="n">
        <v>146.2587183442907</v>
      </c>
      <c r="Q968" t="n">
        <v>150.7012829586888</v>
      </c>
    </row>
    <row r="969">
      <c r="A969" s="118" t="n">
        <v>45841</v>
      </c>
      <c r="B969" s="119" t="n">
        <v>74.23297188800315</v>
      </c>
      <c r="C969" s="119" t="n">
        <v>74.97267583053305</v>
      </c>
      <c r="D969" s="119" t="n">
        <v>73.56140550885883</v>
      </c>
      <c r="E969" s="119" t="n">
        <v>74.34976959228516</v>
      </c>
      <c r="F969" s="120" t="n">
        <v>12022600</v>
      </c>
      <c r="G969" s="121" t="n">
        <v>0</v>
      </c>
      <c r="H969" s="122" t="n">
        <v>47.55183399459047</v>
      </c>
      <c r="I969" s="119" t="n">
        <v>60.05011291503907</v>
      </c>
      <c r="J969" s="119" t="n">
        <v>69.00002685546875</v>
      </c>
      <c r="K969" s="121" t="n">
        <v>0.6233204341810141</v>
      </c>
      <c r="L969" s="121" t="n">
        <v>0</v>
      </c>
      <c r="M969" s="121" t="n">
        <v>-0.1314697890538438</v>
      </c>
      <c r="N969" t="n">
        <v>76.58442602095872</v>
      </c>
      <c r="O969" t="n">
        <v>1.621469936552596</v>
      </c>
      <c r="P969" t="n">
        <v>147.4114418426697</v>
      </c>
      <c r="Q969" t="n">
        <v>152.1842246656021</v>
      </c>
    </row>
    <row r="970">
      <c r="A970" s="118" t="n">
        <v>45845</v>
      </c>
      <c r="B970" s="119" t="n">
        <v>74.0091120292139</v>
      </c>
      <c r="C970" s="119" t="n">
        <v>75.43011721732958</v>
      </c>
      <c r="D970" s="119" t="n">
        <v>73.82418420435128</v>
      </c>
      <c r="E970" s="119" t="n">
        <v>74.48602294921875</v>
      </c>
      <c r="F970" s="120" t="n">
        <v>17296900</v>
      </c>
      <c r="G970" s="121" t="n">
        <v>0.001832599585456229</v>
      </c>
      <c r="H970" s="122" t="n">
        <v>47.63897746585663</v>
      </c>
      <c r="I970" s="119" t="n">
        <v>60.43006408691407</v>
      </c>
      <c r="J970" s="119" t="n">
        <v>68.99056915283204</v>
      </c>
      <c r="K970" s="121" t="n">
        <v>0.622553202613541</v>
      </c>
      <c r="L970" s="121" t="n">
        <v>0</v>
      </c>
      <c r="M970" s="121" t="n">
        <v>-0.1298781209493076</v>
      </c>
      <c r="N970" t="n">
        <v>76.73893510996095</v>
      </c>
      <c r="O970" t="n">
        <v>1.590919606970643</v>
      </c>
      <c r="P970" t="n">
        <v>146.3129359172142</v>
      </c>
      <c r="Q970" t="n">
        <v>151.0378209200567</v>
      </c>
    </row>
    <row r="971">
      <c r="A971" s="118" t="n">
        <v>45846</v>
      </c>
      <c r="B971" s="119" t="n">
        <v>74.09670622449374</v>
      </c>
      <c r="C971" s="119" t="n">
        <v>74.26217148326836</v>
      </c>
      <c r="D971" s="119" t="n">
        <v>71.68294658320843</v>
      </c>
      <c r="E971" s="119" t="n">
        <v>71.94573211669922</v>
      </c>
      <c r="F971" s="120" t="n">
        <v>19572400</v>
      </c>
      <c r="G971" s="121" t="n">
        <v>-0.03410426187274607</v>
      </c>
      <c r="H971" s="122" t="n">
        <v>46.01428530301121</v>
      </c>
      <c r="I971" s="119" t="n">
        <v>60.73813171386719</v>
      </c>
      <c r="J971" s="119" t="n">
        <v>68.9643900680542</v>
      </c>
      <c r="K971" s="121" t="n">
        <v>0.6421570150438302</v>
      </c>
      <c r="L971" s="121" t="n">
        <v>-0.03410426187274618</v>
      </c>
      <c r="M971" s="121" t="n">
        <v>-0.1595529853736584</v>
      </c>
      <c r="N971" t="n">
        <v>67.76148405179821</v>
      </c>
      <c r="O971" t="n">
        <v>1.307581836195129</v>
      </c>
      <c r="P971" t="n">
        <v>146.2327951580954</v>
      </c>
      <c r="Q971" t="n">
        <v>151.1226601667996</v>
      </c>
    </row>
    <row r="972">
      <c r="A972" s="118" t="n">
        <v>45847</v>
      </c>
      <c r="B972" s="119" t="n">
        <v>72.15012827730767</v>
      </c>
      <c r="C972" s="119" t="n">
        <v>72.9190297949974</v>
      </c>
      <c r="D972" s="119" t="n">
        <v>71.45909189636257</v>
      </c>
      <c r="E972" s="119" t="n">
        <v>71.59535217285156</v>
      </c>
      <c r="F972" s="120" t="n">
        <v>12076700</v>
      </c>
      <c r="G972" s="121" t="n">
        <v>-0.004870058772622143</v>
      </c>
      <c r="H972" s="122" t="n">
        <v>45.79019302920534</v>
      </c>
      <c r="I972" s="119" t="n">
        <v>61.0558218383789</v>
      </c>
      <c r="J972" s="119" t="n">
        <v>68.93521492004395</v>
      </c>
      <c r="K972" s="121" t="n">
        <v>0.6385602765371202</v>
      </c>
      <c r="L972" s="121" t="n">
        <v>-0.03880823088565111</v>
      </c>
      <c r="M972" s="121" t="n">
        <v>-0.1636460117301635</v>
      </c>
      <c r="N972" t="n">
        <v>66.6040967792899</v>
      </c>
      <c r="O972" t="n">
        <v>1.017429582106173</v>
      </c>
      <c r="P972" t="n">
        <v>147.1097029380335</v>
      </c>
      <c r="Q972" t="n">
        <v>152.1924300436988</v>
      </c>
    </row>
    <row r="973">
      <c r="A973" s="118" t="n">
        <v>45848</v>
      </c>
      <c r="B973" s="119" t="n">
        <v>71.16710681916078</v>
      </c>
      <c r="C973" s="119" t="n">
        <v>73.48353888153817</v>
      </c>
      <c r="D973" s="119" t="n">
        <v>71.00164155171186</v>
      </c>
      <c r="E973" s="119" t="n">
        <v>72.62704467773438</v>
      </c>
      <c r="F973" s="120" t="n">
        <v>13033000</v>
      </c>
      <c r="G973" s="121" t="n">
        <v>0.01441004860751316</v>
      </c>
      <c r="H973" s="122" t="n">
        <v>46.4500319365036</v>
      </c>
      <c r="I973" s="119" t="n">
        <v>61.40014030456543</v>
      </c>
      <c r="J973" s="119" t="n">
        <v>68.91081539154052</v>
      </c>
      <c r="K973" s="121" t="n">
        <v>0.6334939396276572</v>
      </c>
      <c r="L973" s="121" t="n">
        <v>-0.02495741077157176</v>
      </c>
      <c r="M973" s="121" t="n">
        <v>-0.1515941101061077</v>
      </c>
      <c r="N973" t="n">
        <v>68.31993964656208</v>
      </c>
      <c r="O973" t="n">
        <v>0.8240981095903055</v>
      </c>
      <c r="P973" t="n">
        <v>147.5245902950977</v>
      </c>
      <c r="Q973" t="n">
        <v>151.973552841461</v>
      </c>
    </row>
    <row r="974">
      <c r="A974" s="118" t="n">
        <v>45849</v>
      </c>
      <c r="B974" s="119" t="n">
        <v>71.72188771489508</v>
      </c>
      <c r="C974" s="119" t="n">
        <v>71.86787557003358</v>
      </c>
      <c r="D974" s="119" t="n">
        <v>70.46634018130487</v>
      </c>
      <c r="E974" s="119" t="n">
        <v>70.69019317626953</v>
      </c>
      <c r="F974" s="120" t="n">
        <v>12771400</v>
      </c>
      <c r="G974" s="121" t="n">
        <v>-0.02666846090267294</v>
      </c>
      <c r="H974" s="122" t="n">
        <v>45.21128107587704</v>
      </c>
      <c r="I974" s="119" t="n">
        <v>61.70127418518067</v>
      </c>
      <c r="J974" s="119" t="n">
        <v>68.85021961212158</v>
      </c>
      <c r="K974" s="121" t="n">
        <v>0.6419205310624082</v>
      </c>
      <c r="L974" s="121" t="n">
        <v>-0.05096029594085116</v>
      </c>
      <c r="M974" s="121" t="n">
        <v>-0.1742197894103404</v>
      </c>
      <c r="N974" t="n">
        <v>61.89095704018737</v>
      </c>
      <c r="O974" t="n">
        <v>0.5102629527739135</v>
      </c>
      <c r="P974" t="n">
        <v>147.0059810987674</v>
      </c>
      <c r="Q974" t="n">
        <v>151.6315614079428</v>
      </c>
    </row>
    <row r="975">
      <c r="A975" s="118" t="n">
        <v>45852</v>
      </c>
      <c r="B975" s="119" t="n">
        <v>70.40792808941788</v>
      </c>
      <c r="C975" s="119" t="n">
        <v>70.64152347729751</v>
      </c>
      <c r="D975" s="119" t="n">
        <v>69.13291815615817</v>
      </c>
      <c r="E975" s="119" t="n">
        <v>70.32033538818359</v>
      </c>
      <c r="F975" s="120" t="n">
        <v>11385400</v>
      </c>
      <c r="G975" s="121" t="n">
        <v>-0.005232094742812166</v>
      </c>
      <c r="H975" s="122" t="n">
        <v>44.97473136984414</v>
      </c>
      <c r="I975" s="119" t="n">
        <v>62.01705543518067</v>
      </c>
      <c r="J975" s="119" t="n">
        <v>68.78930587768555</v>
      </c>
      <c r="K975" s="121" t="n">
        <v>0.6420054402151625</v>
      </c>
      <c r="L975" s="121" t="n">
        <v>-0.05592576158717899</v>
      </c>
      <c r="M975" s="121" t="n">
        <v>-0.1785403497088849</v>
      </c>
      <c r="N975" t="n">
        <v>60.71600247351884</v>
      </c>
      <c r="O975" t="n">
        <v>0.2361890642104294</v>
      </c>
      <c r="P975" t="n">
        <v>147.2864955765469</v>
      </c>
      <c r="Q975" t="n">
        <v>152.1814895395698</v>
      </c>
    </row>
    <row r="976">
      <c r="A976" s="118" t="n">
        <v>45853</v>
      </c>
      <c r="B976" s="119" t="n">
        <v>70.33007660858082</v>
      </c>
      <c r="C976" s="119" t="n">
        <v>70.93351284992686</v>
      </c>
      <c r="D976" s="119" t="n">
        <v>69.6682378022837</v>
      </c>
      <c r="E976" s="119" t="n">
        <v>70.06728363037109</v>
      </c>
      <c r="F976" s="120" t="n">
        <v>9708300</v>
      </c>
      <c r="G976" s="121" t="n">
        <v>-0.003598557322225471</v>
      </c>
      <c r="H976" s="122" t="n">
        <v>44.81288722095806</v>
      </c>
      <c r="I976" s="119" t="n">
        <v>62.32081428527832</v>
      </c>
      <c r="J976" s="119" t="n">
        <v>68.72109706878662</v>
      </c>
      <c r="K976" s="121" t="n">
        <v>0.6225818836313793</v>
      </c>
      <c r="L976" s="121" t="n">
        <v>-0.059323066850544</v>
      </c>
      <c r="M976" s="121" t="n">
        <v>-0.1814964193483528</v>
      </c>
      <c r="N976" t="n">
        <v>59.87842779813682</v>
      </c>
      <c r="O976" t="n">
        <v>0.008320139726624376</v>
      </c>
      <c r="P976" t="n">
        <v>146.6571091283216</v>
      </c>
      <c r="Q976" t="n">
        <v>152.3210313069579</v>
      </c>
    </row>
    <row r="977">
      <c r="A977" s="118" t="n">
        <v>45854</v>
      </c>
      <c r="B977" s="119" t="n">
        <v>69.9796915073694</v>
      </c>
      <c r="C977" s="119" t="n">
        <v>70.76805559734387</v>
      </c>
      <c r="D977" s="119" t="n">
        <v>69.24972255720691</v>
      </c>
      <c r="E977" s="119" t="n">
        <v>70.17434692382812</v>
      </c>
      <c r="F977" s="120" t="n">
        <v>9008600</v>
      </c>
      <c r="G977" s="121" t="n">
        <v>0.001528006908642743</v>
      </c>
      <c r="H977" s="122" t="n">
        <v>44.88136162222791</v>
      </c>
      <c r="I977" s="119" t="n">
        <v>62.59132705688477</v>
      </c>
      <c r="J977" s="119" t="n">
        <v>68.65083934783935</v>
      </c>
      <c r="K977" s="121" t="n">
        <v>0.621133528692616</v>
      </c>
      <c r="L977" s="121" t="n">
        <v>-0.05788570599789078</v>
      </c>
      <c r="M977" s="121" t="n">
        <v>-0.1802457402223683</v>
      </c>
      <c r="N977" t="n">
        <v>60.12903470820228</v>
      </c>
      <c r="O977" t="n">
        <v>-0.1556804048577964</v>
      </c>
      <c r="P977" t="n">
        <v>147.1474093906811</v>
      </c>
      <c r="Q977" t="n">
        <v>152.4769838305396</v>
      </c>
    </row>
    <row r="978">
      <c r="A978" s="118" t="n">
        <v>45855</v>
      </c>
      <c r="B978" s="119" t="n">
        <v>70.19380648029134</v>
      </c>
      <c r="C978" s="119" t="n">
        <v>71.25469096576437</v>
      </c>
      <c r="D978" s="119" t="n">
        <v>70.11594135503817</v>
      </c>
      <c r="E978" s="119" t="n">
        <v>71.03083801269531</v>
      </c>
      <c r="F978" s="120" t="n">
        <v>9180400</v>
      </c>
      <c r="G978" s="121" t="n">
        <v>0.01220518788435432</v>
      </c>
      <c r="H978" s="122" t="n">
        <v>45.42914707333286</v>
      </c>
      <c r="I978" s="119" t="n">
        <v>62.90294799804688</v>
      </c>
      <c r="J978" s="119" t="n">
        <v>68.57821220397949</v>
      </c>
      <c r="K978" s="121" t="n">
        <v>0.6038049849166367</v>
      </c>
      <c r="L978" s="121" t="n">
        <v>-0.04638702403105921</v>
      </c>
      <c r="M978" s="121" t="n">
        <v>-0.1702404854627825</v>
      </c>
      <c r="N978" t="n">
        <v>62.1650240240894</v>
      </c>
      <c r="O978" t="n">
        <v>-0.2228707484755712</v>
      </c>
      <c r="P978" t="n">
        <v>148.047912798009</v>
      </c>
      <c r="Q978" t="n">
        <v>153.7109451689458</v>
      </c>
    </row>
    <row r="979">
      <c r="A979" s="118" t="n">
        <v>45856</v>
      </c>
      <c r="B979" s="119" t="n">
        <v>71.32283371673154</v>
      </c>
      <c r="C979" s="119" t="n">
        <v>71.32283371673154</v>
      </c>
      <c r="D979" s="119" t="n">
        <v>70.19381890325472</v>
      </c>
      <c r="E979" s="119" t="n">
        <v>70.53446960449219</v>
      </c>
      <c r="F979" s="120" t="n">
        <v>8801000</v>
      </c>
      <c r="G979" s="121" t="n">
        <v>-0.006988069155461907</v>
      </c>
      <c r="H979" s="122" t="n">
        <v>45.11168505191076</v>
      </c>
      <c r="I979" s="119" t="n">
        <v>63.21063606262207</v>
      </c>
      <c r="J979" s="119" t="n">
        <v>68.50286392211915</v>
      </c>
      <c r="K979" s="121" t="n">
        <v>0.6033365089554172</v>
      </c>
      <c r="L979" s="121" t="n">
        <v>-0.05305093745467582</v>
      </c>
      <c r="M979" s="121" t="n">
        <v>-0.176038902332771</v>
      </c>
      <c r="N979" t="n">
        <v>60.24500403791198</v>
      </c>
      <c r="O979" t="n">
        <v>-0.311688469872172</v>
      </c>
      <c r="P979" t="n">
        <v>147.9394631049194</v>
      </c>
      <c r="Q979" t="n">
        <v>153.5631980234609</v>
      </c>
    </row>
    <row r="980">
      <c r="A980" s="118" t="n">
        <v>45859</v>
      </c>
      <c r="B980" s="119" t="n">
        <v>70.98218325531526</v>
      </c>
      <c r="C980" s="119" t="n">
        <v>72.8119694750218</v>
      </c>
      <c r="D980" s="119" t="n">
        <v>70.96272068330524</v>
      </c>
      <c r="E980" s="119" t="n">
        <v>72.04306793212891</v>
      </c>
      <c r="F980" s="120" t="n">
        <v>12743900</v>
      </c>
      <c r="G980" s="121" t="n">
        <v>0.02138810054283935</v>
      </c>
      <c r="H980" s="122" t="n">
        <v>46.07653830745793</v>
      </c>
      <c r="I980" s="119" t="n">
        <v>63.51794326782227</v>
      </c>
      <c r="J980" s="119" t="n">
        <v>68.44003559112549</v>
      </c>
      <c r="K980" s="121" t="n">
        <v>0.6041025442087429</v>
      </c>
      <c r="L980" s="121" t="n">
        <v>-0.03279749569600898</v>
      </c>
      <c r="M980" s="121" t="n">
        <v>-0.1584159395324761</v>
      </c>
      <c r="N980" t="n">
        <v>63.89491437322506</v>
      </c>
      <c r="O980" t="n">
        <v>-0.2807431467642845</v>
      </c>
      <c r="P980" t="n">
        <v>148.2199921299414</v>
      </c>
      <c r="Q980" t="n">
        <v>154.359388177477</v>
      </c>
    </row>
    <row r="981">
      <c r="A981" s="118" t="n">
        <v>45860</v>
      </c>
      <c r="B981" s="119" t="n">
        <v>72.09173501530238</v>
      </c>
      <c r="C981" s="119" t="n">
        <v>73.52247538133085</v>
      </c>
      <c r="D981" s="119" t="n">
        <v>72.0625374446697</v>
      </c>
      <c r="E981" s="119" t="n">
        <v>73.37648010253906</v>
      </c>
      <c r="F981" s="120" t="n">
        <v>11297500</v>
      </c>
      <c r="G981" s="121" t="n">
        <v>0.01850854230231214</v>
      </c>
      <c r="H981" s="122" t="n">
        <v>46.92934786586562</v>
      </c>
      <c r="I981" s="119" t="n">
        <v>63.84631080627442</v>
      </c>
      <c r="J981" s="119" t="n">
        <v>68.38038085937499</v>
      </c>
      <c r="K981" s="121" t="n">
        <v>0.6043641897614962</v>
      </c>
      <c r="L981" s="121" t="n">
        <v>-0.01489598723019636</v>
      </c>
      <c r="M981" s="121" t="n">
        <v>-0.1428394453483613</v>
      </c>
      <c r="N981" t="n">
        <v>66.79658867550074</v>
      </c>
      <c r="O981" t="n">
        <v>-0.1868949733961967</v>
      </c>
      <c r="P981" t="n">
        <v>148.2412020095556</v>
      </c>
      <c r="Q981" t="n">
        <v>153.5604461175143</v>
      </c>
    </row>
    <row r="982">
      <c r="A982" s="118" t="n">
        <v>45861</v>
      </c>
      <c r="B982" s="119" t="n">
        <v>74.11617591087813</v>
      </c>
      <c r="C982" s="119" t="n">
        <v>75.147862896349</v>
      </c>
      <c r="D982" s="119" t="n">
        <v>73.79498781801841</v>
      </c>
      <c r="E982" s="119" t="n">
        <v>74.70014953613281</v>
      </c>
      <c r="F982" s="120" t="n">
        <v>16428100</v>
      </c>
      <c r="G982" s="121" t="n">
        <v>0.0180394239645183</v>
      </c>
      <c r="H982" s="122" t="n">
        <v>47.77592626839633</v>
      </c>
      <c r="I982" s="119" t="n">
        <v>64.21294738769531</v>
      </c>
      <c r="J982" s="119" t="n">
        <v>68.35620143890381</v>
      </c>
      <c r="K982" s="121" t="n">
        <v>0.6047967642028262</v>
      </c>
      <c r="L982" s="121" t="n">
        <v>0</v>
      </c>
      <c r="M982" s="121" t="n">
        <v>-0.1273767626973387</v>
      </c>
      <c r="N982" t="n">
        <v>69.42362506274989</v>
      </c>
      <c r="O982" t="n">
        <v>-0.05873597569391587</v>
      </c>
      <c r="P982" t="n">
        <v>149.5023752010243</v>
      </c>
      <c r="Q982" t="n">
        <v>154.2608733005728</v>
      </c>
    </row>
    <row r="983">
      <c r="A983" s="118" t="n">
        <v>45862</v>
      </c>
      <c r="B983" s="119" t="n">
        <v>74.46656989247731</v>
      </c>
      <c r="C983" s="119" t="n">
        <v>75.46905942255349</v>
      </c>
      <c r="D983" s="119" t="n">
        <v>73.39595022226862</v>
      </c>
      <c r="E983" s="119" t="n">
        <v>73.40567779541016</v>
      </c>
      <c r="F983" s="120" t="n">
        <v>10037800</v>
      </c>
      <c r="G983" s="121" t="n">
        <v>-0.01732890427610878</v>
      </c>
      <c r="H983" s="122" t="n">
        <v>46.94802181538886</v>
      </c>
      <c r="I983" s="119" t="n">
        <v>64.47093078613281</v>
      </c>
      <c r="J983" s="119" t="n">
        <v>68.33033519744873</v>
      </c>
      <c r="K983" s="121" t="n">
        <v>0.6090364480837878</v>
      </c>
      <c r="L983" s="121" t="n">
        <v>-0.01732890427610878</v>
      </c>
      <c r="M983" s="121" t="n">
        <v>-0.1424983672456647</v>
      </c>
      <c r="N983" t="n">
        <v>64.08377359109288</v>
      </c>
      <c r="O983" t="n">
        <v>-0.08273970656237761</v>
      </c>
      <c r="P983" t="n">
        <v>149.5518503728818</v>
      </c>
      <c r="Q983" t="n">
        <v>154.5892226637582</v>
      </c>
    </row>
    <row r="984">
      <c r="A984" s="118" t="n">
        <v>45863</v>
      </c>
      <c r="B984" s="119" t="n">
        <v>73.88258533972039</v>
      </c>
      <c r="C984" s="119" t="n">
        <v>74.52495407715297</v>
      </c>
      <c r="D984" s="119" t="n">
        <v>73.51272969712451</v>
      </c>
      <c r="E984" s="119" t="n">
        <v>74.23296356201172</v>
      </c>
      <c r="F984" s="120" t="n">
        <v>7208400</v>
      </c>
      <c r="G984" s="121" t="n">
        <v>0.01127005146532811</v>
      </c>
      <c r="H984" s="122" t="n">
        <v>47.47712843744365</v>
      </c>
      <c r="I984" s="119" t="n">
        <v>64.74913414001465</v>
      </c>
      <c r="J984" s="119" t="n">
        <v>68.30788753509522</v>
      </c>
      <c r="K984" s="121" t="n">
        <v>0.605855284790204</v>
      </c>
      <c r="L984" s="121" t="n">
        <v>-0.006254150453810059</v>
      </c>
      <c r="M984" s="121" t="n">
        <v>-0.1328342797129204</v>
      </c>
      <c r="N984" t="n">
        <v>65.88952245927115</v>
      </c>
      <c r="O984" t="n">
        <v>-0.06526358474785576</v>
      </c>
      <c r="P984" t="n">
        <v>150.1836080216401</v>
      </c>
      <c r="Q984" t="n">
        <v>154.9613172635456</v>
      </c>
    </row>
    <row r="985">
      <c r="A985" s="118" t="n">
        <v>45866</v>
      </c>
      <c r="B985" s="119" t="n">
        <v>76.89005400945202</v>
      </c>
      <c r="C985" s="119" t="n">
        <v>77.85361083495178</v>
      </c>
      <c r="D985" s="119" t="n">
        <v>75.48851140826886</v>
      </c>
      <c r="E985" s="119" t="n">
        <v>77.12364196777344</v>
      </c>
      <c r="F985" s="120" t="n">
        <v>22631100</v>
      </c>
      <c r="G985" s="121" t="n">
        <v>0.03894063051041941</v>
      </c>
      <c r="H985" s="122" t="n">
        <v>49.32591775362186</v>
      </c>
      <c r="I985" s="119" t="n">
        <v>65.09791358947754</v>
      </c>
      <c r="J985" s="119" t="n">
        <v>68.30668872833252</v>
      </c>
      <c r="K985" s="121" t="n">
        <v>0.3232460461617703</v>
      </c>
      <c r="L985" s="121" t="n">
        <v>0</v>
      </c>
      <c r="M985" s="121" t="n">
        <v>-0.09906629980791959</v>
      </c>
      <c r="N985" t="n">
        <v>71.31618139621141</v>
      </c>
      <c r="O985" t="n">
        <v>0.1091248246275063</v>
      </c>
      <c r="P985" t="n">
        <v>150.145916116235</v>
      </c>
      <c r="Q985" t="n">
        <v>155.4455855904841</v>
      </c>
    </row>
    <row r="986">
      <c r="A986" s="118" t="n">
        <v>45867</v>
      </c>
      <c r="B986" s="119" t="n">
        <v>76.65647665419247</v>
      </c>
      <c r="C986" s="119" t="n">
        <v>77.25018534233567</v>
      </c>
      <c r="D986" s="119" t="n">
        <v>75.68318469666305</v>
      </c>
      <c r="E986" s="119" t="n">
        <v>76.23796081542969</v>
      </c>
      <c r="F986" s="120" t="n">
        <v>12885500</v>
      </c>
      <c r="G986" s="121" t="n">
        <v>-0.01148391245208358</v>
      </c>
      <c r="H986" s="122" t="n">
        <v>48.75946323252059</v>
      </c>
      <c r="I986" s="119" t="n">
        <v>65.41602340698242</v>
      </c>
      <c r="J986" s="119" t="n">
        <v>68.30134876251221</v>
      </c>
      <c r="K986" s="121" t="n">
        <v>0.3214990772086891</v>
      </c>
      <c r="L986" s="121" t="n">
        <v>-0.01148391245208347</v>
      </c>
      <c r="M986" s="121" t="n">
        <v>-0.1094125435460572</v>
      </c>
      <c r="N986" t="n">
        <v>67.7592489323703</v>
      </c>
      <c r="O986" t="n">
        <v>0.1314739250844061</v>
      </c>
      <c r="P986" t="n">
        <v>149.7498819854945</v>
      </c>
      <c r="Q986" t="n">
        <v>155.2048106000738</v>
      </c>
    </row>
    <row r="987">
      <c r="A987" s="118" t="n">
        <v>45868</v>
      </c>
      <c r="B987" s="119" t="n">
        <v>75.7026385883667</v>
      </c>
      <c r="C987" s="119" t="n">
        <v>76.20875450660191</v>
      </c>
      <c r="D987" s="119" t="n">
        <v>73.93124772579846</v>
      </c>
      <c r="E987" s="119" t="n">
        <v>74.63201904296875</v>
      </c>
      <c r="F987" s="120" t="n">
        <v>14601700</v>
      </c>
      <c r="G987" s="121" t="n">
        <v>-0.02106485739235453</v>
      </c>
      <c r="H987" s="122" t="n">
        <v>47.7323520929998</v>
      </c>
      <c r="I987" s="119" t="n">
        <v>65.68828491210938</v>
      </c>
      <c r="J987" s="119" t="n">
        <v>68.2799393081665</v>
      </c>
      <c r="K987" s="121" t="n">
        <v>0.316021625152335</v>
      </c>
      <c r="L987" s="121" t="n">
        <v>-0.03230686286632856</v>
      </c>
      <c r="M987" s="121" t="n">
        <v>-0.1281726413116793</v>
      </c>
      <c r="N987" t="n">
        <v>61.7456939064987</v>
      </c>
      <c r="O987" t="n">
        <v>0.01109114964054836</v>
      </c>
      <c r="P987" t="n">
        <v>149.5613060805288</v>
      </c>
      <c r="Q987" t="n">
        <v>155.4127808580113</v>
      </c>
    </row>
    <row r="988">
      <c r="A988" s="118" t="n">
        <v>45869</v>
      </c>
      <c r="B988" s="119" t="n">
        <v>74.31083588098971</v>
      </c>
      <c r="C988" s="119" t="n">
        <v>74.35950344676554</v>
      </c>
      <c r="D988" s="119" t="n">
        <v>72.32531949250932</v>
      </c>
      <c r="E988" s="119" t="n">
        <v>72.69517517089844</v>
      </c>
      <c r="F988" s="120" t="n">
        <v>16700000</v>
      </c>
      <c r="G988" s="121" t="n">
        <v>-0.02595191577163669</v>
      </c>
      <c r="H988" s="122" t="n">
        <v>46.49360611190016</v>
      </c>
      <c r="I988" s="119" t="n">
        <v>65.94172698974609</v>
      </c>
      <c r="J988" s="119" t="n">
        <v>68.25052055358887</v>
      </c>
      <c r="K988" s="121" t="n">
        <v>0.2969702474173682</v>
      </c>
      <c r="L988" s="121" t="n">
        <v>-0.05742035365401255</v>
      </c>
      <c r="M988" s="121" t="n">
        <v>-0.1507982314917671</v>
      </c>
      <c r="N988" t="n">
        <v>55.36395126940055</v>
      </c>
      <c r="O988" t="n">
        <v>-0.2135852143530554</v>
      </c>
      <c r="P988" t="n">
        <v>149.0002625777273</v>
      </c>
      <c r="Q988" t="n">
        <v>154.5892226637582</v>
      </c>
    </row>
    <row r="989">
      <c r="A989" s="118" t="n">
        <v>45870</v>
      </c>
      <c r="B989" s="119" t="n">
        <v>71.4785599319647</v>
      </c>
      <c r="C989" s="119" t="n">
        <v>72.70490238671439</v>
      </c>
      <c r="D989" s="119" t="n">
        <v>70.59286073346196</v>
      </c>
      <c r="E989" s="119" t="n">
        <v>72.62704467773438</v>
      </c>
      <c r="F989" s="120" t="n">
        <v>11911600</v>
      </c>
      <c r="G989" s="121" t="n">
        <v>-0.0009372079096569008</v>
      </c>
      <c r="H989" s="122" t="n">
        <v>46.45003193650361</v>
      </c>
      <c r="I989" s="119" t="n">
        <v>66.18452445983887</v>
      </c>
      <c r="J989" s="119" t="n">
        <v>68.2205218887329</v>
      </c>
      <c r="K989" s="121" t="n">
        <v>0.296948763389789</v>
      </c>
      <c r="L989" s="121" t="n">
        <v>-0.05830374675404959</v>
      </c>
      <c r="M989" s="121" t="n">
        <v>-0.1515941101061077</v>
      </c>
      <c r="N989" t="n">
        <v>55.14803059883388</v>
      </c>
      <c r="O989" t="n">
        <v>-0.372109146792476</v>
      </c>
      <c r="P989" t="n">
        <v>146.5580860483939</v>
      </c>
      <c r="Q989" t="n">
        <v>151.5439870351676</v>
      </c>
    </row>
    <row r="990">
      <c r="A990" s="118" t="n">
        <v>45873</v>
      </c>
      <c r="B990" s="119" t="n">
        <v>73.0260914616274</v>
      </c>
      <c r="C990" s="119" t="n">
        <v>73.24995187017306</v>
      </c>
      <c r="D990" s="119" t="n">
        <v>72.17933224488016</v>
      </c>
      <c r="E990" s="119" t="n">
        <v>72.82170104980469</v>
      </c>
      <c r="F990" s="120" t="n">
        <v>8839000</v>
      </c>
      <c r="G990" s="121" t="n">
        <v>0.002680218821157432</v>
      </c>
      <c r="H990" s="122" t="n">
        <v>46.57452818634319</v>
      </c>
      <c r="I990" s="119" t="n">
        <v>66.48110549926758</v>
      </c>
      <c r="J990" s="119" t="n">
        <v>68.19412853240966</v>
      </c>
      <c r="K990" s="121" t="n">
        <v>0.2970714194813938</v>
      </c>
      <c r="L990" s="121" t="n">
        <v>-0.05577979473228634</v>
      </c>
      <c r="M990" s="121" t="n">
        <v>-0.1493201966720331</v>
      </c>
      <c r="N990" t="n">
        <v>55.67986931641389</v>
      </c>
      <c r="O990" t="n">
        <v>-0.4632413743957566</v>
      </c>
      <c r="P990" t="n">
        <v>148.7857343920813</v>
      </c>
      <c r="Q990" t="n">
        <v>154.3402255153369</v>
      </c>
    </row>
    <row r="991">
      <c r="A991" s="118" t="n">
        <v>45874</v>
      </c>
      <c r="B991" s="119" t="n">
        <v>72.90929881357218</v>
      </c>
      <c r="C991" s="119" t="n">
        <v>73.6879278677325</v>
      </c>
      <c r="D991" s="119" t="n">
        <v>72.25718760585781</v>
      </c>
      <c r="E991" s="119" t="n">
        <v>72.39344787597656</v>
      </c>
      <c r="F991" s="120" t="n">
        <v>6533800</v>
      </c>
      <c r="G991" s="121" t="n">
        <v>-0.005880845512455601</v>
      </c>
      <c r="H991" s="122" t="n">
        <v>46.3006305812638</v>
      </c>
      <c r="I991" s="119" t="n">
        <v>66.74320945739746</v>
      </c>
      <c r="J991" s="119" t="n">
        <v>68.16310543060303</v>
      </c>
      <c r="K991" s="121" t="n">
        <v>0.271065274944441</v>
      </c>
      <c r="L991" s="121" t="n">
        <v>-0.0613326078892048</v>
      </c>
      <c r="M991" s="121" t="n">
        <v>-0.154322913175971</v>
      </c>
      <c r="N991" t="n">
        <v>54.15833965304327</v>
      </c>
      <c r="O991" t="n">
        <v>-0.5460532962347711</v>
      </c>
      <c r="P991" t="n">
        <v>148.0314016777331</v>
      </c>
      <c r="Q991" t="n">
        <v>153.2923366466958</v>
      </c>
    </row>
    <row r="992">
      <c r="A992" s="118" t="n">
        <v>45875</v>
      </c>
      <c r="B992" s="119" t="n">
        <v>72.48105384638546</v>
      </c>
      <c r="C992" s="119" t="n">
        <v>73.95072679321295</v>
      </c>
      <c r="D992" s="119" t="n">
        <v>72.26692842591184</v>
      </c>
      <c r="E992" s="119" t="n">
        <v>73.46408081054688</v>
      </c>
      <c r="F992" s="120" t="n">
        <v>7579800</v>
      </c>
      <c r="G992" s="121" t="n">
        <v>0.01478908611183294</v>
      </c>
      <c r="H992" s="122" t="n">
        <v>46.98537459396228</v>
      </c>
      <c r="I992" s="119" t="n">
        <v>67.05186454772949</v>
      </c>
      <c r="J992" s="119" t="n">
        <v>68.12872577667237</v>
      </c>
      <c r="K992" s="121" t="n">
        <v>0.2749047673293707</v>
      </c>
      <c r="L992" s="121" t="n">
        <v>-0.04745057499690863</v>
      </c>
      <c r="M992" s="121" t="n">
        <v>-0.1418161219161264</v>
      </c>
      <c r="N992" t="n">
        <v>57.29983527518556</v>
      </c>
      <c r="O992" t="n">
        <v>-0.522409098144792</v>
      </c>
      <c r="P992" t="n">
        <v>149.1652719497884</v>
      </c>
      <c r="Q992" t="n">
        <v>155.2212381361817</v>
      </c>
    </row>
    <row r="993">
      <c r="A993" s="118" t="n">
        <v>45876</v>
      </c>
      <c r="B993" s="119" t="n">
        <v>74.28163638514559</v>
      </c>
      <c r="C993" s="119" t="n">
        <v>74.3108339536026</v>
      </c>
      <c r="D993" s="119" t="n">
        <v>72.02359950839403</v>
      </c>
      <c r="E993" s="119" t="n">
        <v>72.36425018310547</v>
      </c>
      <c r="F993" s="120" t="n">
        <v>8717600</v>
      </c>
      <c r="G993" s="121" t="n">
        <v>-0.01497099827979487</v>
      </c>
      <c r="H993" s="122" t="n">
        <v>46.28195663174055</v>
      </c>
      <c r="I993" s="119" t="n">
        <v>67.28418518066407</v>
      </c>
      <c r="J993" s="119" t="n">
        <v>68.09143119812012</v>
      </c>
      <c r="K993" s="121" t="n">
        <v>0.2762864649998945</v>
      </c>
      <c r="L993" s="121" t="n">
        <v>-0.0617111908000495</v>
      </c>
      <c r="M993" s="121" t="n">
        <v>-0.1546639912786677</v>
      </c>
      <c r="N993" t="n">
        <v>53.26187134711935</v>
      </c>
      <c r="O993" t="n">
        <v>-0.5706029723369173</v>
      </c>
      <c r="P993" t="n">
        <v>149.0403256836655</v>
      </c>
      <c r="Q993" t="n">
        <v>155.7465669134326</v>
      </c>
    </row>
    <row r="994">
      <c r="A994" s="118" t="n">
        <v>45877</v>
      </c>
      <c r="B994" s="119" t="n">
        <v>72.21825418363007</v>
      </c>
      <c r="C994" s="119" t="n">
        <v>72.95795808810163</v>
      </c>
      <c r="D994" s="119" t="n">
        <v>71.42989014076565</v>
      </c>
      <c r="E994" s="119" t="n">
        <v>72.20852661132812</v>
      </c>
      <c r="F994" s="120" t="n">
        <v>6739000</v>
      </c>
      <c r="G994" s="121" t="n">
        <v>-0.002151940652785234</v>
      </c>
      <c r="H994" s="122" t="n">
        <v>46.18236060777426</v>
      </c>
      <c r="I994" s="119" t="n">
        <v>67.533695602417</v>
      </c>
      <c r="J994" s="119" t="n">
        <v>68.05565509796142</v>
      </c>
      <c r="K994" s="121" t="n">
        <v>0.2580480304189565</v>
      </c>
      <c r="L994" s="121" t="n">
        <v>-0.0637303326326204</v>
      </c>
      <c r="M994" s="121" t="n">
        <v>-0.1564831042010983</v>
      </c>
      <c r="N994" t="n">
        <v>52.69563604421894</v>
      </c>
      <c r="O994" t="n">
        <v>-0.5997459296976697</v>
      </c>
      <c r="P994" t="n">
        <v>150.202490342449</v>
      </c>
      <c r="Q994" t="n">
        <v>157.1994054540768</v>
      </c>
    </row>
    <row r="995">
      <c r="A995" s="118" t="n">
        <v>45880</v>
      </c>
      <c r="B995" s="119" t="n">
        <v>72.33505849167804</v>
      </c>
      <c r="C995" s="119" t="n">
        <v>72.79250690301177</v>
      </c>
      <c r="D995" s="119" t="n">
        <v>71.0989809642606</v>
      </c>
      <c r="E995" s="119" t="n">
        <v>72.04306793212891</v>
      </c>
      <c r="F995" s="120" t="n">
        <v>6985700</v>
      </c>
      <c r="G995" s="121" t="n">
        <v>-0.002291400849235181</v>
      </c>
      <c r="H995" s="122" t="n">
        <v>46.07653830745792</v>
      </c>
      <c r="I995" s="119" t="n">
        <v>67.78647148132325</v>
      </c>
      <c r="J995" s="119" t="n">
        <v>68.02594284057618</v>
      </c>
      <c r="K995" s="121" t="n">
        <v>0.2572876649348071</v>
      </c>
      <c r="L995" s="121" t="n">
        <v>-0.06587570174353918</v>
      </c>
      <c r="M995" s="121" t="n">
        <v>-0.1584159395324761</v>
      </c>
      <c r="N995" t="n">
        <v>52.06231506058579</v>
      </c>
      <c r="O995" t="n">
        <v>-0.6146747490075608</v>
      </c>
      <c r="P995" t="n">
        <v>149.9054647443937</v>
      </c>
      <c r="Q995" t="n">
        <v>156.7342494495355</v>
      </c>
    </row>
    <row r="996">
      <c r="A996" s="118" t="n">
        <v>45881</v>
      </c>
      <c r="B996" s="119" t="n">
        <v>72.72438141796643</v>
      </c>
      <c r="C996" s="119" t="n">
        <v>73.69767344459738</v>
      </c>
      <c r="D996" s="119" t="n">
        <v>72.35452569544418</v>
      </c>
      <c r="E996" s="119" t="n">
        <v>72.89957427978516</v>
      </c>
      <c r="F996" s="120" t="n">
        <v>6397700</v>
      </c>
      <c r="G996" s="121" t="n">
        <v>0.01188881001657438</v>
      </c>
      <c r="H996" s="122" t="n">
        <v>46.62433351761671</v>
      </c>
      <c r="I996" s="119" t="n">
        <v>68.07281410217286</v>
      </c>
      <c r="J996" s="119" t="n">
        <v>68.00080032348633</v>
      </c>
      <c r="K996" s="121" t="n">
        <v>0.2592148322901678</v>
      </c>
      <c r="L996" s="121" t="n">
        <v>-0.05477007542970214</v>
      </c>
      <c r="M996" s="121" t="n">
        <v>-0.1484105065246004</v>
      </c>
      <c r="N996" t="n">
        <v>55.0724611358193</v>
      </c>
      <c r="O996" t="n">
        <v>-0.55329143997768</v>
      </c>
      <c r="P996" t="n">
        <v>151.5013554393227</v>
      </c>
      <c r="Q996" t="n">
        <v>158.7042113893339</v>
      </c>
    </row>
    <row r="997">
      <c r="A997" s="118" t="n">
        <v>45882</v>
      </c>
      <c r="B997" s="119" t="n">
        <v>73.46408185083392</v>
      </c>
      <c r="C997" s="119" t="n">
        <v>75.61505623360141</v>
      </c>
      <c r="D997" s="119" t="n">
        <v>73.18182628581532</v>
      </c>
      <c r="E997" s="119" t="n">
        <v>75.13813781738281</v>
      </c>
      <c r="F997" s="120" t="n">
        <v>13472600</v>
      </c>
      <c r="G997" s="121" t="n">
        <v>0.03070749808505258</v>
      </c>
      <c r="H997" s="122" t="n">
        <v>48.05605014982577</v>
      </c>
      <c r="I997" s="119" t="n">
        <v>68.3770652770996</v>
      </c>
      <c r="J997" s="119" t="n">
        <v>67.99340679168701</v>
      </c>
      <c r="K997" s="121" t="n">
        <v>0.2783352199884392</v>
      </c>
      <c r="L997" s="121" t="n">
        <v>-0.02574442933102539</v>
      </c>
      <c r="M997" s="121" t="n">
        <v>-0.1222603237844536</v>
      </c>
      <c r="N997" t="n">
        <v>61.82032437366558</v>
      </c>
      <c r="O997" t="n">
        <v>-0.3578342575709679</v>
      </c>
      <c r="P997" t="n">
        <v>152.0199500884105</v>
      </c>
      <c r="Q997" t="n">
        <v>158.7835803840123</v>
      </c>
    </row>
    <row r="998">
      <c r="A998" s="118" t="n">
        <v>45883</v>
      </c>
      <c r="B998" s="119" t="n">
        <v>73.88259362641328</v>
      </c>
      <c r="C998" s="119" t="n">
        <v>74.55416000555762</v>
      </c>
      <c r="D998" s="119" t="n">
        <v>73.33754509872531</v>
      </c>
      <c r="E998" s="119" t="n">
        <v>74.34976959228516</v>
      </c>
      <c r="F998" s="120" t="n">
        <v>7990500</v>
      </c>
      <c r="G998" s="121" t="n">
        <v>-0.01049225131202647</v>
      </c>
      <c r="H998" s="122" t="n">
        <v>47.55183399459045</v>
      </c>
      <c r="I998" s="119" t="n">
        <v>68.64997642517091</v>
      </c>
      <c r="J998" s="119" t="n">
        <v>67.98690483093262</v>
      </c>
      <c r="K998" s="121" t="n">
        <v>0.2806450362064941</v>
      </c>
      <c r="L998" s="121" t="n">
        <v>-0.035966563620626</v>
      </c>
      <c r="M998" s="121" t="n">
        <v>-0.1314697890538438</v>
      </c>
      <c r="N998" t="n">
        <v>58.48859874285193</v>
      </c>
      <c r="O998" t="n">
        <v>-0.2809444942289221</v>
      </c>
      <c r="P998" t="n">
        <v>152.0341191026385</v>
      </c>
      <c r="Q998" t="n">
        <v>158.6604493728177</v>
      </c>
    </row>
    <row r="999">
      <c r="A999" s="118" t="n">
        <v>45884</v>
      </c>
      <c r="B999" s="119" t="n">
        <v>74.69041572656404</v>
      </c>
      <c r="C999" s="119" t="n">
        <v>75.43011962398792</v>
      </c>
      <c r="D999" s="119" t="n">
        <v>74.12591208769379</v>
      </c>
      <c r="E999" s="119" t="n">
        <v>74.91427612304688</v>
      </c>
      <c r="F999" s="120" t="n">
        <v>9767700</v>
      </c>
      <c r="G999" s="121" t="n">
        <v>0.007592579423679746</v>
      </c>
      <c r="H999" s="122" t="n">
        <v>47.91287507093602</v>
      </c>
      <c r="I999" s="119" t="n">
        <v>68.92639129638673</v>
      </c>
      <c r="J999" s="119" t="n">
        <v>67.98413463592529</v>
      </c>
      <c r="K999" s="121" t="n">
        <v>0.2789199661012059</v>
      </c>
      <c r="L999" s="121" t="n">
        <v>-0.02864706318783261</v>
      </c>
      <c r="M999" s="121" t="n">
        <v>-0.1248754044453697</v>
      </c>
      <c r="N999" t="n">
        <v>60.14492586629785</v>
      </c>
      <c r="O999" t="n">
        <v>-0.1954235448842749</v>
      </c>
      <c r="P999" t="n">
        <v>151.6781626250787</v>
      </c>
      <c r="Q999" t="n">
        <v>157.9627740957058</v>
      </c>
    </row>
    <row r="1000">
      <c r="A1000" s="118" t="n">
        <v>45887</v>
      </c>
      <c r="B1000" s="119" t="n">
        <v>75.05053877230689</v>
      </c>
      <c r="C1000" s="119" t="n">
        <v>76.16982593899122</v>
      </c>
      <c r="D1000" s="119" t="n">
        <v>74.79748079990911</v>
      </c>
      <c r="E1000" s="119" t="n">
        <v>75.36199188232422</v>
      </c>
      <c r="F1000" s="120" t="n">
        <v>9069100</v>
      </c>
      <c r="G1000" s="121" t="n">
        <v>0.005976374363438675</v>
      </c>
      <c r="H1000" s="122" t="n">
        <v>48.1992203491886</v>
      </c>
      <c r="I1000" s="119" t="n">
        <v>69.21370712280273</v>
      </c>
      <c r="J1000" s="119" t="n">
        <v>67.9833158493042</v>
      </c>
      <c r="K1000" s="121" t="n">
        <v>0.2708102795405247</v>
      </c>
      <c r="L1000" s="121" t="n">
        <v>-0.02284189439841755</v>
      </c>
      <c r="M1000" s="121" t="n">
        <v>-0.1196453322476824</v>
      </c>
      <c r="N1000" t="n">
        <v>61.45841471010127</v>
      </c>
      <c r="O1000" t="n">
        <v>-0.1159837892510585</v>
      </c>
      <c r="P1000" t="n">
        <v>151.6451403845269</v>
      </c>
      <c r="Q1000" t="n">
        <v>157.8998158572209</v>
      </c>
    </row>
    <row r="1001">
      <c r="A1001" s="118" t="n">
        <v>45888</v>
      </c>
      <c r="B1001" s="119" t="n">
        <v>76.11142813173873</v>
      </c>
      <c r="C1001" s="119" t="n">
        <v>76.68567424818278</v>
      </c>
      <c r="D1001" s="119" t="n">
        <v>74.63202762311974</v>
      </c>
      <c r="E1001" s="119" t="n">
        <v>74.82668304443359</v>
      </c>
      <c r="F1001" s="120" t="n">
        <v>7684800</v>
      </c>
      <c r="G1001" s="121" t="n">
        <v>-0.007103167319761128</v>
      </c>
      <c r="H1001" s="122" t="n">
        <v>47.85685322236628</v>
      </c>
      <c r="I1001" s="119" t="n">
        <v>69.48778617858886</v>
      </c>
      <c r="J1001" s="119" t="n">
        <v>67.98226123809815</v>
      </c>
      <c r="K1001" s="121" t="n">
        <v>0.265808086690172</v>
      </c>
      <c r="L1001" s="121" t="n">
        <v>-0.02978281192036647</v>
      </c>
      <c r="M1001" s="121" t="n">
        <v>-0.1258986387534597</v>
      </c>
      <c r="N1001" t="n">
        <v>58.95656258297834</v>
      </c>
      <c r="O1001" t="n">
        <v>-0.1069899540318811</v>
      </c>
      <c r="P1001" t="n">
        <v>150.8224501775124</v>
      </c>
      <c r="Q1001" t="n">
        <v>155.7575074175617</v>
      </c>
    </row>
    <row r="1002">
      <c r="A1002" s="118" t="n">
        <v>45889</v>
      </c>
      <c r="B1002" s="119" t="n">
        <v>74.6417595349609</v>
      </c>
      <c r="C1002" s="119" t="n">
        <v>75.48851875084846</v>
      </c>
      <c r="D1002" s="119" t="n">
        <v>74.1259160067471</v>
      </c>
      <c r="E1002" s="119" t="n">
        <v>74.22324371337891</v>
      </c>
      <c r="F1002" s="120" t="n">
        <v>6282600</v>
      </c>
      <c r="G1002" s="121" t="n">
        <v>-0.008064493927872673</v>
      </c>
      <c r="H1002" s="122" t="n">
        <v>47.47091192014741</v>
      </c>
      <c r="I1002" s="119" t="n">
        <v>69.76712097167969</v>
      </c>
      <c r="J1002" s="119" t="n">
        <v>67.98752128601075</v>
      </c>
      <c r="K1002" s="121" t="n">
        <v>0.259842419253531</v>
      </c>
      <c r="L1002" s="121" t="n">
        <v>-0.03760712254235232</v>
      </c>
      <c r="M1002" s="121" t="n">
        <v>-0.1329478238735777</v>
      </c>
      <c r="N1002" t="n">
        <v>56.18019229673803</v>
      </c>
      <c r="O1002" t="n">
        <v>-0.1467258058291516</v>
      </c>
      <c r="P1002" t="n">
        <v>150.4217172874335</v>
      </c>
      <c r="Q1002" t="n">
        <v>154.8327160002865</v>
      </c>
    </row>
    <row r="1003">
      <c r="A1003" s="118" t="n">
        <v>45890</v>
      </c>
      <c r="B1003" s="119" t="n">
        <v>73.67819472801116</v>
      </c>
      <c r="C1003" s="119" t="n">
        <v>74.19404567861766</v>
      </c>
      <c r="D1003" s="119" t="n">
        <v>73.12341863549851</v>
      </c>
      <c r="E1003" s="119" t="n">
        <v>74.14537811279297</v>
      </c>
      <c r="F1003" s="120" t="n">
        <v>6354900</v>
      </c>
      <c r="G1003" s="121" t="n">
        <v>-0.001049072995066402</v>
      </c>
      <c r="H1003" s="122" t="n">
        <v>47.42111146840081</v>
      </c>
      <c r="I1003" s="119" t="n">
        <v>70.00674552917481</v>
      </c>
      <c r="J1003" s="119" t="n">
        <v>67.98913780212402</v>
      </c>
      <c r="K1003" s="121" t="n">
        <v>0.2519083571357486</v>
      </c>
      <c r="L1003" s="121" t="n">
        <v>-0.03861674292073736</v>
      </c>
      <c r="M1003" s="121" t="n">
        <v>-0.1338574248968656</v>
      </c>
      <c r="N1003" t="n">
        <v>55.81494046129171</v>
      </c>
      <c r="O1003" t="n">
        <v>-0.1810461569522905</v>
      </c>
      <c r="P1003" t="n">
        <v>149.818239478161</v>
      </c>
      <c r="Q1003" t="n">
        <v>154.1158948409488</v>
      </c>
    </row>
    <row r="1004">
      <c r="A1004" s="118" t="n">
        <v>45891</v>
      </c>
      <c r="B1004" s="119" t="n">
        <v>74.49576000271706</v>
      </c>
      <c r="C1004" s="119" t="n">
        <v>77.02631735859323</v>
      </c>
      <c r="D1004" s="119" t="n">
        <v>74.21350447168388</v>
      </c>
      <c r="E1004" s="119" t="n">
        <v>76.28661346435547</v>
      </c>
      <c r="F1004" s="120" t="n">
        <v>10985900</v>
      </c>
      <c r="G1004" s="121" t="n">
        <v>0.02887887830722446</v>
      </c>
      <c r="H1004" s="122" t="n">
        <v>48.79057997569008</v>
      </c>
      <c r="I1004" s="119" t="n">
        <v>70.30398872375488</v>
      </c>
      <c r="J1004" s="119" t="n">
        <v>67.99700988769531</v>
      </c>
      <c r="K1004" s="121" t="n">
        <v>0.2689595660798833</v>
      </c>
      <c r="L1004" s="121" t="n">
        <v>-0.01085307283294235</v>
      </c>
      <c r="M1004" s="121" t="n">
        <v>-0.108844198873756</v>
      </c>
      <c r="N1004" t="n">
        <v>62.94866722314065</v>
      </c>
      <c r="O1004" t="n">
        <v>-0.06814256829578591</v>
      </c>
      <c r="P1004" t="n">
        <v>152.1189586210956</v>
      </c>
      <c r="Q1004" t="n">
        <v>156.4934912390395</v>
      </c>
    </row>
    <row r="1005">
      <c r="A1005" s="118" t="n">
        <v>45894</v>
      </c>
      <c r="B1005" s="119" t="n">
        <v>76.37422529590856</v>
      </c>
      <c r="C1005" s="119" t="n">
        <v>78.02881874445754</v>
      </c>
      <c r="D1005" s="119" t="n">
        <v>76.29636015287294</v>
      </c>
      <c r="E1005" s="119" t="n">
        <v>77.05552673339844</v>
      </c>
      <c r="F1005" s="120" t="n">
        <v>12488900</v>
      </c>
      <c r="G1005" s="121" t="n">
        <v>0.01007926861771424</v>
      </c>
      <c r="H1005" s="122" t="n">
        <v>49.28235333727913</v>
      </c>
      <c r="I1005" s="119" t="n">
        <v>70.62264465332031</v>
      </c>
      <c r="J1005" s="119" t="n">
        <v>68.01288997650147</v>
      </c>
      <c r="K1005" s="121" t="n">
        <v>0.2327471285677216</v>
      </c>
      <c r="L1005" s="121" t="n">
        <v>-0.0008831952516389352</v>
      </c>
      <c r="M1005" s="121" t="n">
        <v>-0.09986200017397029</v>
      </c>
      <c r="N1005" t="n">
        <v>65.12607367768578</v>
      </c>
      <c r="O1005" t="n">
        <v>0.04369646231641378</v>
      </c>
      <c r="P1005" t="n">
        <v>151.4494945196897</v>
      </c>
      <c r="Q1005" t="n">
        <v>156.0420612044024</v>
      </c>
    </row>
    <row r="1006">
      <c r="A1006" s="118" t="n">
        <v>45895</v>
      </c>
      <c r="B1006" s="119" t="n">
        <v>76.89005863235661</v>
      </c>
      <c r="C1006" s="119" t="n">
        <v>77.35724200271549</v>
      </c>
      <c r="D1006" s="119" t="n">
        <v>76.28661499264884</v>
      </c>
      <c r="E1006" s="119" t="n">
        <v>76.54940795898438</v>
      </c>
      <c r="F1006" s="120" t="n">
        <v>6874800</v>
      </c>
      <c r="G1006" s="121" t="n">
        <v>-0.006568234568886444</v>
      </c>
      <c r="H1006" s="122" t="n">
        <v>48.95865528045314</v>
      </c>
      <c r="I1006" s="119" t="n">
        <v>70.97536567687989</v>
      </c>
      <c r="J1006" s="119" t="n">
        <v>68.02245895385742</v>
      </c>
      <c r="K1006" s="121" t="n">
        <v>0.2301537446603275</v>
      </c>
      <c r="L1006" s="121" t="n">
        <v>-0.007445628786942438</v>
      </c>
      <c r="M1006" s="121" t="n">
        <v>-0.1057743177011959</v>
      </c>
      <c r="N1006" t="n">
        <v>62.52156800187389</v>
      </c>
      <c r="O1006" t="n">
        <v>0.06753630239782815</v>
      </c>
      <c r="P1006" t="n">
        <v>152.0835942744959</v>
      </c>
      <c r="Q1006" t="n">
        <v>156.6686064247613</v>
      </c>
    </row>
    <row r="1007">
      <c r="A1007" s="118" t="n">
        <v>45896</v>
      </c>
      <c r="B1007" s="119" t="n">
        <v>76.85113055031921</v>
      </c>
      <c r="C1007" s="119" t="n">
        <v>77.38644408658831</v>
      </c>
      <c r="D1007" s="119" t="n">
        <v>75.57612048745962</v>
      </c>
      <c r="E1007" s="119" t="n">
        <v>75.97516632080078</v>
      </c>
      <c r="F1007" s="120" t="n">
        <v>12636700</v>
      </c>
      <c r="G1007" s="121" t="n">
        <v>-0.007501581703822868</v>
      </c>
      <c r="H1007" s="122" t="n">
        <v>48.59138792775752</v>
      </c>
      <c r="I1007" s="119" t="n">
        <v>71.28993362426758</v>
      </c>
      <c r="J1007" s="119" t="n">
        <v>68.0418862915039</v>
      </c>
      <c r="K1007" s="121" t="n">
        <v>0.2181759649341066</v>
      </c>
      <c r="L1007" s="121" t="n">
        <v>-0.01489135649808382</v>
      </c>
      <c r="M1007" s="121" t="n">
        <v>-0.1124824247186172</v>
      </c>
      <c r="N1007" t="n">
        <v>59.60878841588455</v>
      </c>
      <c r="O1007" t="n">
        <v>0.030468859958934</v>
      </c>
      <c r="P1007" t="n">
        <v>152.4301241388938</v>
      </c>
      <c r="Q1007" t="n">
        <v>156.9093814151716</v>
      </c>
    </row>
    <row r="1008">
      <c r="A1008" s="118" t="n">
        <v>45897</v>
      </c>
      <c r="B1008" s="119" t="n">
        <v>76.48127387797233</v>
      </c>
      <c r="C1008" s="119" t="n">
        <v>76.55913900661902</v>
      </c>
      <c r="D1008" s="119" t="n">
        <v>75.64424230908875</v>
      </c>
      <c r="E1008" s="119" t="n">
        <v>75.83889770507812</v>
      </c>
      <c r="F1008" s="120" t="n">
        <v>7478600</v>
      </c>
      <c r="G1008" s="121" t="n">
        <v>-0.001793594174539503</v>
      </c>
      <c r="H1008" s="122" t="n">
        <v>48.5042346974375</v>
      </c>
      <c r="I1008" s="119" t="n">
        <v>71.63876129150391</v>
      </c>
      <c r="J1008" s="119" t="n">
        <v>68.05776092529297</v>
      </c>
      <c r="K1008" s="121" t="n">
        <v>0.1941511219561595</v>
      </c>
      <c r="L1008" s="121" t="n">
        <v>-0.01665824162235729</v>
      </c>
      <c r="M1008" s="121" t="n">
        <v>-0.1140742710714433</v>
      </c>
      <c r="N1008" t="n">
        <v>58.90744009944112</v>
      </c>
      <c r="O1008" t="n">
        <v>-0.01494998019628291</v>
      </c>
      <c r="P1008" t="n">
        <v>152.9699432148384</v>
      </c>
      <c r="Q1008" t="n">
        <v>157.8916104791242</v>
      </c>
    </row>
    <row r="1009">
      <c r="A1009" s="118" t="n">
        <v>45898</v>
      </c>
      <c r="B1009" s="119" t="n">
        <v>75.67343707613449</v>
      </c>
      <c r="C1009" s="119" t="n">
        <v>77.01657708027292</v>
      </c>
      <c r="D1009" s="119" t="n">
        <v>75.06026591838963</v>
      </c>
      <c r="E1009" s="119" t="n">
        <v>75.3035888671875</v>
      </c>
      <c r="F1009" s="120" t="n">
        <v>14208800</v>
      </c>
      <c r="G1009" s="121" t="n">
        <v>-0.007058499715704381</v>
      </c>
      <c r="H1009" s="122" t="n">
        <v>48.16186757061518</v>
      </c>
      <c r="I1009" s="119" t="n">
        <v>71.98642112731933</v>
      </c>
      <c r="J1009" s="119" t="n">
        <v>68.07115047454835</v>
      </c>
      <c r="K1009" s="121" t="n">
        <v>0.1966582471979303</v>
      </c>
      <c r="L1009" s="121" t="n">
        <v>-0.02359915914430621</v>
      </c>
      <c r="M1009" s="121" t="n">
        <v>-0.1203275775772207</v>
      </c>
      <c r="N1009" t="n">
        <v>56.11431502897364</v>
      </c>
      <c r="O1009" t="n">
        <v>-0.08865412471374579</v>
      </c>
      <c r="P1009" t="n">
        <v>152.0576710883007</v>
      </c>
      <c r="Q1009" t="n">
        <v>156.0639589925748</v>
      </c>
    </row>
    <row r="1010">
      <c r="A1010" s="118" t="n">
        <v>45902</v>
      </c>
      <c r="B1010" s="119" t="n">
        <v>74.00238865931139</v>
      </c>
      <c r="C1010" s="119" t="n">
        <v>74.40351571642387</v>
      </c>
      <c r="D1010" s="119" t="n">
        <v>72.39789535929683</v>
      </c>
      <c r="E1010" s="119" t="n">
        <v>72.68161773681641</v>
      </c>
      <c r="F1010" s="120" t="n">
        <v>15078700</v>
      </c>
      <c r="G1010" s="121" t="n">
        <v>-0.03481867424666107</v>
      </c>
      <c r="H1010" s="122" t="n">
        <v>46.4849351925631</v>
      </c>
      <c r="I1010" s="119" t="n">
        <v>72.27619102478027</v>
      </c>
      <c r="J1010" s="119" t="n">
        <v>68.06798450469971</v>
      </c>
      <c r="K1010" s="121" t="n">
        <v>0.2357954633003128</v>
      </c>
      <c r="L1010" s="121" t="n">
        <v>-0.05759614195622653</v>
      </c>
      <c r="M1010" s="121" t="n">
        <v>-0.1509566050973307</v>
      </c>
      <c r="N1010" t="n">
        <v>44.88755668589116</v>
      </c>
      <c r="O1010" t="n">
        <v>-0.3091871089815221</v>
      </c>
      <c r="P1010" t="n">
        <v>150.9308853233594</v>
      </c>
      <c r="Q1010" t="n">
        <v>154.7560989115547</v>
      </c>
    </row>
    <row r="1011">
      <c r="A1011" s="118" t="n">
        <v>45903</v>
      </c>
      <c r="B1011" s="119" t="n">
        <v>72.78923655363829</v>
      </c>
      <c r="C1011" s="119" t="n">
        <v>73.55234830758148</v>
      </c>
      <c r="D1011" s="119" t="n">
        <v>72.30984717614893</v>
      </c>
      <c r="E1011" s="119" t="n">
        <v>73.12187194824219</v>
      </c>
      <c r="F1011" s="120" t="n">
        <v>8300100</v>
      </c>
      <c r="G1011" s="121" t="n">
        <v>0.006057297912932524</v>
      </c>
      <c r="H1011" s="122" t="n">
        <v>46.76650829348781</v>
      </c>
      <c r="I1011" s="119" t="n">
        <v>72.5554948425293</v>
      </c>
      <c r="J1011" s="119" t="n">
        <v>68.06673267364502</v>
      </c>
      <c r="K1011" s="121" t="n">
        <v>0.2356486172588303</v>
      </c>
      <c r="L1011" s="121" t="n">
        <v>-0.05188772103375849</v>
      </c>
      <c r="M1011" s="121" t="n">
        <v>-0.1458136963133976</v>
      </c>
      <c r="N1011" t="n">
        <v>46.81178423156626</v>
      </c>
      <c r="O1011" t="n">
        <v>-0.4140600946484625</v>
      </c>
      <c r="P1011" t="n">
        <v>151.748862223793</v>
      </c>
      <c r="Q1011" t="n">
        <v>155.9736494937673</v>
      </c>
    </row>
    <row r="1012">
      <c r="A1012" s="118" t="n">
        <v>45904</v>
      </c>
      <c r="B1012" s="119" t="n">
        <v>73.13165760876444</v>
      </c>
      <c r="C1012" s="119" t="n">
        <v>74.12957125776539</v>
      </c>
      <c r="D1012" s="119" t="n">
        <v>72.89685571444967</v>
      </c>
      <c r="E1012" s="119" t="n">
        <v>73.71866607666016</v>
      </c>
      <c r="F1012" s="120" t="n">
        <v>11096200</v>
      </c>
      <c r="G1012" s="121" t="n">
        <v>0.008161636354720114</v>
      </c>
      <c r="H1012" s="122" t="n">
        <v>47.14819952775926</v>
      </c>
      <c r="I1012" s="119" t="n">
        <v>72.83427635192871</v>
      </c>
      <c r="J1012" s="119" t="n">
        <v>68.06913478851318</v>
      </c>
      <c r="K1012" s="121" t="n">
        <v>0.2314954972351217</v>
      </c>
      <c r="L1012" s="121" t="n">
        <v>-0.04414957338939107</v>
      </c>
      <c r="M1012" s="121" t="n">
        <v>-0.1388421383235249</v>
      </c>
      <c r="N1012" t="n">
        <v>49.39129696374948</v>
      </c>
      <c r="O1012" t="n">
        <v>-0.4300082801877694</v>
      </c>
      <c r="P1012" t="n">
        <v>153.0170908278905</v>
      </c>
      <c r="Q1012" t="n">
        <v>157.3854443640133</v>
      </c>
    </row>
    <row r="1013">
      <c r="A1013" s="118" t="n">
        <v>45905</v>
      </c>
      <c r="B1013" s="119" t="n">
        <v>73.18058350918903</v>
      </c>
      <c r="C1013" s="119" t="n">
        <v>73.77737761059569</v>
      </c>
      <c r="D1013" s="119" t="n">
        <v>72.03590832819474</v>
      </c>
      <c r="E1013" s="119" t="n">
        <v>72.30985260009766</v>
      </c>
      <c r="F1013" s="120" t="n">
        <v>13758400</v>
      </c>
      <c r="G1013" s="121" t="n">
        <v>-0.01911067510496556</v>
      </c>
      <c r="H1013" s="122" t="n">
        <v>46.24716560480016</v>
      </c>
      <c r="I1013" s="119" t="n">
        <v>73.09636650085449</v>
      </c>
      <c r="J1013" s="119" t="n">
        <v>68.06851268768311</v>
      </c>
      <c r="K1013" s="121" t="n">
        <v>0.2355422273337446</v>
      </c>
      <c r="L1013" s="121" t="n">
        <v>-0.06241652034128931</v>
      </c>
      <c r="M1013" s="121" t="n">
        <v>-0.1552994464321109</v>
      </c>
      <c r="N1013" t="n">
        <v>43.97012044766365</v>
      </c>
      <c r="O1013" t="n">
        <v>-0.5163972095601526</v>
      </c>
      <c r="P1013" t="n">
        <v>152.5739236313405</v>
      </c>
      <c r="Q1013" t="n">
        <v>157.6125437242623</v>
      </c>
    </row>
    <row r="1014">
      <c r="A1014" s="118" t="n">
        <v>45908</v>
      </c>
      <c r="B1014" s="119" t="n">
        <v>72.65227394459478</v>
      </c>
      <c r="C1014" s="119" t="n">
        <v>72.96534564970874</v>
      </c>
      <c r="D1014" s="119" t="n">
        <v>72.11417845257787</v>
      </c>
      <c r="E1014" s="119" t="n">
        <v>72.54465484619141</v>
      </c>
      <c r="F1014" s="120" t="n">
        <v>13793300</v>
      </c>
      <c r="G1014" s="121" t="n">
        <v>0.003247168091909947</v>
      </c>
      <c r="H1014" s="122" t="n">
        <v>46.39733792529334</v>
      </c>
      <c r="I1014" s="119" t="n">
        <v>73.32986602783203</v>
      </c>
      <c r="J1014" s="119" t="n">
        <v>68.06437477111817</v>
      </c>
      <c r="K1014" s="121" t="n">
        <v>0.2356473025919847</v>
      </c>
      <c r="L1014" s="121" t="n">
        <v>-0.05937202918263962</v>
      </c>
      <c r="M1014" s="121" t="n">
        <v>-0.1525565617473466</v>
      </c>
      <c r="N1014" t="n">
        <v>45.05260976956271</v>
      </c>
      <c r="O1014" t="n">
        <v>-0.5363396927435921</v>
      </c>
      <c r="P1014" t="n">
        <v>152.9487333352241</v>
      </c>
      <c r="Q1014" t="n">
        <v>158.3813658380416</v>
      </c>
    </row>
    <row r="1015">
      <c r="A1015" s="118" t="n">
        <v>45909</v>
      </c>
      <c r="B1015" s="119" t="n">
        <v>72.38811719684874</v>
      </c>
      <c r="C1015" s="119" t="n">
        <v>72.93599829360964</v>
      </c>
      <c r="D1015" s="119" t="n">
        <v>71.46847323711221</v>
      </c>
      <c r="E1015" s="119" t="n">
        <v>72.00656127929688</v>
      </c>
      <c r="F1015" s="120" t="n">
        <v>8740200</v>
      </c>
      <c r="G1015" s="121" t="n">
        <v>-0.007417411634742632</v>
      </c>
      <c r="H1015" s="122" t="n">
        <v>46.05318977114518</v>
      </c>
      <c r="I1015" s="119" t="n">
        <v>73.36767822265625</v>
      </c>
      <c r="J1015" s="119" t="n">
        <v>68.06601684570313</v>
      </c>
      <c r="K1015" s="121" t="n">
        <v>0.237103582403499</v>
      </c>
      <c r="L1015" s="121" t="n">
        <v>-0.06634905403734459</v>
      </c>
      <c r="M1015" s="121" t="n">
        <v>-0.1588423985660281</v>
      </c>
      <c r="N1015" t="n">
        <v>43.00222622382101</v>
      </c>
      <c r="O1015" t="n">
        <v>-0.5616913913247316</v>
      </c>
      <c r="P1015" t="n">
        <v>153.3023331594934</v>
      </c>
      <c r="Q1015" t="n">
        <v>158.8300775265607</v>
      </c>
    </row>
    <row r="1016">
      <c r="A1016" s="118" t="n">
        <v>45910</v>
      </c>
      <c r="B1016" s="119" t="n">
        <v>73.62083655977088</v>
      </c>
      <c r="C1016" s="119" t="n">
        <v>73.82628916144083</v>
      </c>
      <c r="D1016" s="119" t="n">
        <v>71.74240637517312</v>
      </c>
      <c r="E1016" s="119" t="n">
        <v>72.64248657226562</v>
      </c>
      <c r="F1016" s="120" t="n">
        <v>11359300</v>
      </c>
      <c r="G1016" s="121" t="n">
        <v>0.008831490931807462</v>
      </c>
      <c r="H1016" s="122" t="n">
        <v>46.45990809898986</v>
      </c>
      <c r="I1016" s="119" t="n">
        <v>73.43767471313477</v>
      </c>
      <c r="J1016" s="119" t="n">
        <v>68.07552841186524</v>
      </c>
      <c r="K1016" s="121" t="n">
        <v>0.2353258252613245</v>
      </c>
      <c r="L1016" s="121" t="n">
        <v>-0.05810352417460196</v>
      </c>
      <c r="M1016" s="121" t="n">
        <v>-0.1514137228367431</v>
      </c>
      <c r="N1016" t="n">
        <v>46.12292700898147</v>
      </c>
      <c r="O1016" t="n">
        <v>-0.5129011541782711</v>
      </c>
      <c r="P1016" t="n">
        <v>153.7455149032859</v>
      </c>
      <c r="Q1016" t="n">
        <v>158.8820617010879</v>
      </c>
    </row>
    <row r="1017">
      <c r="A1017" s="118" t="n">
        <v>45911</v>
      </c>
      <c r="B1017" s="119" t="n">
        <v>72.79902632135538</v>
      </c>
      <c r="C1017" s="119" t="n">
        <v>73.89477353279437</v>
      </c>
      <c r="D1017" s="119" t="n">
        <v>72.40768483260514</v>
      </c>
      <c r="E1017" s="119" t="n">
        <v>72.72075653076172</v>
      </c>
      <c r="F1017" s="120" t="n">
        <v>9803400</v>
      </c>
      <c r="G1017" s="121" t="n">
        <v>0.001077468051953634</v>
      </c>
      <c r="H1017" s="122" t="n">
        <v>46.50996716566323</v>
      </c>
      <c r="I1017" s="119" t="n">
        <v>73.46310272216797</v>
      </c>
      <c r="J1017" s="119" t="n">
        <v>68.08806339263916</v>
      </c>
      <c r="K1017" s="121" t="n">
        <v>0.2055434849822928</v>
      </c>
      <c r="L1017" s="121" t="n">
        <v>-0.05708866081365238</v>
      </c>
      <c r="M1017" s="121" t="n">
        <v>-0.1504993982337733</v>
      </c>
      <c r="N1017" t="n">
        <v>46.51110557072553</v>
      </c>
      <c r="O1017" t="n">
        <v>-0.4546171081208781</v>
      </c>
      <c r="P1017" t="n">
        <v>155.0231701205453</v>
      </c>
      <c r="Q1017" t="n">
        <v>159.8068531183631</v>
      </c>
    </row>
    <row r="1018">
      <c r="A1018" s="118" t="n">
        <v>45912</v>
      </c>
      <c r="B1018" s="119" t="n">
        <v>72.63269991130322</v>
      </c>
      <c r="C1018" s="119" t="n">
        <v>72.67183480593248</v>
      </c>
      <c r="D1018" s="119" t="n">
        <v>70.37271386204361</v>
      </c>
      <c r="E1018" s="119" t="n">
        <v>71.41954803466797</v>
      </c>
      <c r="F1018" s="120" t="n">
        <v>11806000</v>
      </c>
      <c r="G1018" s="121" t="n">
        <v>-0.01789322001268401</v>
      </c>
      <c r="H1018" s="122" t="n">
        <v>45.67775409038531</v>
      </c>
      <c r="I1018" s="119" t="n">
        <v>73.40449829101563</v>
      </c>
      <c r="J1018" s="119" t="n">
        <v>68.08576541900635</v>
      </c>
      <c r="K1018" s="121" t="n">
        <v>0.2114073945380701</v>
      </c>
      <c r="L1018" s="121" t="n">
        <v>-0.07396038085816814</v>
      </c>
      <c r="M1018" s="121" t="n">
        <v>-0.165699699402084</v>
      </c>
      <c r="N1018" t="n">
        <v>41.19700610445576</v>
      </c>
      <c r="O1018" t="n">
        <v>-0.4804368004776334</v>
      </c>
      <c r="P1018" t="n">
        <v>154.9712801064273</v>
      </c>
      <c r="Q1018" t="n">
        <v>160.5127505534861</v>
      </c>
    </row>
    <row r="1019">
      <c r="A1019" s="118" t="n">
        <v>45915</v>
      </c>
      <c r="B1019" s="119" t="n">
        <v>71.59565230623927</v>
      </c>
      <c r="C1019" s="119" t="n">
        <v>71.62500161155759</v>
      </c>
      <c r="D1019" s="119" t="n">
        <v>71.00864380721896</v>
      </c>
      <c r="E1019" s="119" t="n">
        <v>71.44889831542969</v>
      </c>
      <c r="F1019" s="120" t="n">
        <v>10323800</v>
      </c>
      <c r="G1019" s="121" t="n">
        <v>0.0004109558456946161</v>
      </c>
      <c r="H1019" s="122" t="n">
        <v>45.69652563044696</v>
      </c>
      <c r="I1019" s="119" t="n">
        <v>73.34648086547851</v>
      </c>
      <c r="J1019" s="119" t="n">
        <v>68.07260746002197</v>
      </c>
      <c r="K1019" s="121" t="n">
        <v>0.2086385550035753</v>
      </c>
      <c r="L1019" s="121" t="n">
        <v>-0.07357981946333692</v>
      </c>
      <c r="M1019" s="121" t="n">
        <v>-0.1653568388164884</v>
      </c>
      <c r="N1019" t="n">
        <v>41.35975529724628</v>
      </c>
      <c r="O1019" t="n">
        <v>-0.4716094104121793</v>
      </c>
      <c r="P1019" t="n">
        <v>155.7963415139748</v>
      </c>
      <c r="Q1019" t="n">
        <v>161.8862368793661</v>
      </c>
    </row>
    <row r="1020">
      <c r="A1020" s="118" t="n">
        <v>45916</v>
      </c>
      <c r="B1020" s="119" t="n">
        <v>71.22387775748686</v>
      </c>
      <c r="C1020" s="119" t="n">
        <v>71.79131504302825</v>
      </c>
      <c r="D1020" s="119" t="n">
        <v>70.5292427399647</v>
      </c>
      <c r="E1020" s="119" t="n">
        <v>71.17495727539062</v>
      </c>
      <c r="F1020" s="120" t="n">
        <v>8813600</v>
      </c>
      <c r="G1020" s="121" t="n">
        <v>-0.003834083470814043</v>
      </c>
      <c r="H1020" s="122" t="n">
        <v>45.52132133685362</v>
      </c>
      <c r="I1020" s="119" t="n">
        <v>73.28025955200195</v>
      </c>
      <c r="J1020" s="119" t="n">
        <v>68.04917861938476</v>
      </c>
      <c r="K1020" s="121" t="n">
        <v>0.2063816338360704</v>
      </c>
      <c r="L1020" s="121" t="n">
        <v>-0.0771317917645612</v>
      </c>
      <c r="M1020" s="121" t="n">
        <v>-0.1685569303648101</v>
      </c>
      <c r="N1020" t="n">
        <v>40.2402915168756</v>
      </c>
      <c r="O1020" t="n">
        <v>-0.4598090969903819</v>
      </c>
      <c r="P1020" t="n">
        <v>155.5818424228138</v>
      </c>
      <c r="Q1020" t="n">
        <v>161.7494302380103</v>
      </c>
    </row>
    <row r="1021">
      <c r="A1021" s="118" t="n">
        <v>45917</v>
      </c>
      <c r="B1021" s="119" t="n">
        <v>71.48803201499382</v>
      </c>
      <c r="C1021" s="119" t="n">
        <v>71.73261950751319</v>
      </c>
      <c r="D1021" s="119" t="n">
        <v>70.05964195438683</v>
      </c>
      <c r="E1021" s="119" t="n">
        <v>70.74448394775391</v>
      </c>
      <c r="F1021" s="120" t="n">
        <v>11108700</v>
      </c>
      <c r="G1021" s="121" t="n">
        <v>-0.006048100962971148</v>
      </c>
      <c r="H1021" s="122" t="n">
        <v>45.24600378944048</v>
      </c>
      <c r="I1021" s="119" t="n">
        <v>73.25623458862304</v>
      </c>
      <c r="J1021" s="119" t="n">
        <v>68.03149360656738</v>
      </c>
      <c r="K1021" s="121" t="n">
        <v>0.2061218768769055</v>
      </c>
      <c r="L1021" s="121" t="n">
        <v>-0.08271339186348547</v>
      </c>
      <c r="M1021" s="121" t="n">
        <v>-0.1735855819949264</v>
      </c>
      <c r="N1021" t="n">
        <v>38.47784224163288</v>
      </c>
      <c r="O1021" t="n">
        <v>-0.4557055316972637</v>
      </c>
      <c r="P1021" t="n">
        <v>155.3885386640245</v>
      </c>
      <c r="Q1021" t="n">
        <v>161.4266014666322</v>
      </c>
    </row>
    <row r="1022">
      <c r="A1022" s="118" t="n">
        <v>45918</v>
      </c>
      <c r="B1022" s="119" t="n">
        <v>71.85002483547758</v>
      </c>
      <c r="C1022" s="119" t="n">
        <v>72.00655695070063</v>
      </c>
      <c r="D1022" s="119" t="n">
        <v>70.07920629808632</v>
      </c>
      <c r="E1022" s="119" t="n">
        <v>70.53903198242188</v>
      </c>
      <c r="F1022" s="120" t="n">
        <v>14918400</v>
      </c>
      <c r="G1022" s="121" t="n">
        <v>-0.002904141126872317</v>
      </c>
      <c r="H1022" s="122" t="n">
        <v>45.11460300900895</v>
      </c>
      <c r="I1022" s="119" t="n">
        <v>73.23510818481445</v>
      </c>
      <c r="J1022" s="119" t="n">
        <v>68.00928791046142</v>
      </c>
      <c r="K1022" s="121" t="n">
        <v>0.2051591259771279</v>
      </c>
      <c r="L1022" s="121" t="n">
        <v>-0.08537732162730394</v>
      </c>
      <c r="M1022" s="121" t="n">
        <v>-0.1759856060940951</v>
      </c>
      <c r="N1022" t="n">
        <v>37.6307186885066</v>
      </c>
      <c r="O1022" t="n">
        <v>-0.4412422719560493</v>
      </c>
      <c r="P1022" t="n">
        <v>156.1146060861295</v>
      </c>
      <c r="Q1022" t="n">
        <v>162.8821751333086</v>
      </c>
    </row>
    <row r="1023">
      <c r="A1023" s="118" t="n">
        <v>45919</v>
      </c>
      <c r="B1023" s="119" t="n">
        <v>70.45097919706168</v>
      </c>
      <c r="C1023" s="119" t="n">
        <v>70.68578108577402</v>
      </c>
      <c r="D1023" s="119" t="n">
        <v>69.20847062984824</v>
      </c>
      <c r="E1023" s="119" t="n">
        <v>69.355224609375</v>
      </c>
      <c r="F1023" s="120" t="n">
        <v>33415600</v>
      </c>
      <c r="G1023" s="121" t="n">
        <v>-0.01678230250369572</v>
      </c>
      <c r="H1023" s="122" t="n">
        <v>44.35747609397762</v>
      </c>
      <c r="I1023" s="119" t="n">
        <v>73.16967178344727</v>
      </c>
      <c r="J1023" s="119" t="n">
        <v>67.97910537719727</v>
      </c>
      <c r="K1023" s="121" t="n">
        <v>0.2112326926317459</v>
      </c>
      <c r="L1023" s="121" t="n">
        <v>-0.1007267960924949</v>
      </c>
      <c r="M1023" s="121" t="n">
        <v>-0.1898144649200235</v>
      </c>
      <c r="N1023" t="n">
        <v>33.10777238499604</v>
      </c>
      <c r="O1023" t="n">
        <v>-0.4824746205222422</v>
      </c>
      <c r="P1023" t="n">
        <v>156.887806574044</v>
      </c>
      <c r="Q1023" t="n">
        <v>163.984766522595</v>
      </c>
    </row>
    <row r="1024">
      <c r="A1024" s="118" t="n">
        <v>45922</v>
      </c>
      <c r="B1024" s="119" t="n">
        <v>69.25739648495703</v>
      </c>
      <c r="C1024" s="119" t="n">
        <v>70.92058847739845</v>
      </c>
      <c r="D1024" s="119" t="n">
        <v>68.90518989245116</v>
      </c>
      <c r="E1024" s="119" t="n">
        <v>69.73678588867188</v>
      </c>
      <c r="F1024" s="120" t="n">
        <v>12336300</v>
      </c>
      <c r="G1024" s="121" t="n">
        <v>0.005501550625002238</v>
      </c>
      <c r="H1024" s="122" t="n">
        <v>44.60151099430596</v>
      </c>
      <c r="I1024" s="119" t="n">
        <v>73.15060363769531</v>
      </c>
      <c r="J1024" s="119" t="n">
        <v>67.94736743927002</v>
      </c>
      <c r="K1024" s="121" t="n">
        <v>0.1777132162619458</v>
      </c>
      <c r="L1024" s="121" t="n">
        <v>-0.09577939903548982</v>
      </c>
      <c r="M1024" s="121" t="n">
        <v>-0.1853571881831366</v>
      </c>
      <c r="N1024" t="n">
        <v>35.78676435753673</v>
      </c>
      <c r="O1024" t="n">
        <v>-0.4554566018664921</v>
      </c>
      <c r="P1024" t="n">
        <v>157.6300650770891</v>
      </c>
      <c r="Q1024" t="n">
        <v>164.9555684649036</v>
      </c>
    </row>
    <row r="1025">
      <c r="A1025" s="118" t="n">
        <v>45923</v>
      </c>
      <c r="B1025" s="119" t="n">
        <v>70.0205067845706</v>
      </c>
      <c r="C1025" s="119" t="n">
        <v>70.85210276302321</v>
      </c>
      <c r="D1025" s="119" t="n">
        <v>69.1986963957613</v>
      </c>
      <c r="E1025" s="119" t="n">
        <v>69.39436340332031</v>
      </c>
      <c r="F1025" s="120" t="n">
        <v>10432400</v>
      </c>
      <c r="G1025" s="121" t="n">
        <v>-0.004910213182153345</v>
      </c>
      <c r="H1025" s="122" t="n">
        <v>44.38250806707777</v>
      </c>
      <c r="I1025" s="119" t="n">
        <v>73.13208419799804</v>
      </c>
      <c r="J1025" s="119" t="n">
        <v>67.91502361297607</v>
      </c>
      <c r="K1025" s="121" t="n">
        <v>0.1692589658479016</v>
      </c>
      <c r="L1025" s="121" t="n">
        <v>-0.1002193149499203</v>
      </c>
      <c r="M1025" s="121" t="n">
        <v>-0.1893572580564662</v>
      </c>
      <c r="N1025" t="n">
        <v>34.45321773308774</v>
      </c>
      <c r="O1025" t="n">
        <v>-0.4322417792251751</v>
      </c>
      <c r="P1025" t="n">
        <v>156.7719959762323</v>
      </c>
      <c r="Q1025" t="n">
        <v>163.8598904003123</v>
      </c>
    </row>
    <row r="1026">
      <c r="A1026" s="118" t="n">
        <v>45924</v>
      </c>
      <c r="B1026" s="119" t="n">
        <v>69.13998986360284</v>
      </c>
      <c r="C1026" s="119" t="n">
        <v>69.98137142611895</v>
      </c>
      <c r="D1026" s="119" t="n">
        <v>68.92475167818459</v>
      </c>
      <c r="E1026" s="119" t="n">
        <v>69.67808532714844</v>
      </c>
      <c r="F1026" s="120" t="n">
        <v>10024500</v>
      </c>
      <c r="G1026" s="121" t="n">
        <v>0.004088544226267032</v>
      </c>
      <c r="H1026" s="122" t="n">
        <v>44.56396791418267</v>
      </c>
      <c r="I1026" s="119" t="n">
        <v>73.12430023193359</v>
      </c>
      <c r="J1026" s="119" t="n">
        <v>67.88645534515381</v>
      </c>
      <c r="K1026" s="121" t="n">
        <v>0.1722893463276016</v>
      </c>
      <c r="L1026" s="121" t="n">
        <v>-0.09654052182515216</v>
      </c>
      <c r="M1026" s="121" t="n">
        <v>-0.1860429093543277</v>
      </c>
      <c r="N1026" t="n">
        <v>36.56255844287568</v>
      </c>
      <c r="O1026" t="n">
        <v>-0.3716834456743944</v>
      </c>
      <c r="P1026" t="n">
        <v>156.2732001242331</v>
      </c>
      <c r="Q1026" t="n">
        <v>163.2846413779941</v>
      </c>
    </row>
    <row r="1027">
      <c r="A1027" s="118" t="n">
        <v>45925</v>
      </c>
      <c r="B1027" s="119" t="n">
        <v>69.61938920057813</v>
      </c>
      <c r="C1027" s="119" t="n">
        <v>69.61938920057813</v>
      </c>
      <c r="D1027" s="119" t="n">
        <v>67.55507011477485</v>
      </c>
      <c r="E1027" s="119" t="n">
        <v>67.74095153808594</v>
      </c>
      <c r="F1027" s="120" t="n">
        <v>13075300</v>
      </c>
      <c r="G1027" s="121" t="n">
        <v>-0.02780119143583504</v>
      </c>
      <c r="H1027" s="122" t="n">
        <v>43.32503651106007</v>
      </c>
      <c r="I1027" s="119" t="n">
        <v>73.07563232421874</v>
      </c>
      <c r="J1027" s="119" t="n">
        <v>67.84719131469727</v>
      </c>
      <c r="K1027" s="121" t="n">
        <v>0.1908387534852934</v>
      </c>
      <c r="L1027" s="121" t="n">
        <v>-0.1216577717324107</v>
      </c>
      <c r="M1027" s="121" t="n">
        <v>-0.2086718862519233</v>
      </c>
      <c r="N1027" t="n">
        <v>29.56658793126881</v>
      </c>
      <c r="O1027" t="n">
        <v>-0.4317761723784671</v>
      </c>
      <c r="P1027" t="n">
        <v>155.5522387842575</v>
      </c>
      <c r="Q1027" t="n">
        <v>162.5806736330165</v>
      </c>
    </row>
    <row r="1028">
      <c r="A1028" s="118" t="n">
        <v>45926</v>
      </c>
      <c r="B1028" s="119" t="n">
        <v>67.87791718167053</v>
      </c>
      <c r="C1028" s="119" t="n">
        <v>67.93662325463075</v>
      </c>
      <c r="D1028" s="119" t="n">
        <v>66.55714623544138</v>
      </c>
      <c r="E1028" s="119" t="n">
        <v>67.80943298339844</v>
      </c>
      <c r="F1028" s="120" t="n">
        <v>15627600</v>
      </c>
      <c r="G1028" s="121" t="n">
        <v>0.0010109312573503</v>
      </c>
      <c r="H1028" s="122" t="n">
        <v>43.36883514469494</v>
      </c>
      <c r="I1028" s="119" t="n">
        <v>73.01120422363282</v>
      </c>
      <c r="J1028" s="119" t="n">
        <v>67.80677856445313</v>
      </c>
      <c r="K1028" s="121" t="n">
        <v>0.191847363578701</v>
      </c>
      <c r="L1028" s="121" t="n">
        <v>-0.1207698281192042</v>
      </c>
      <c r="M1028" s="121" t="n">
        <v>-0.2078719079269153</v>
      </c>
      <c r="N1028" t="n">
        <v>30.07596088821022</v>
      </c>
      <c r="O1028" t="n">
        <v>-0.4353627022073772</v>
      </c>
      <c r="P1028" t="n">
        <v>156.4434174091212</v>
      </c>
      <c r="Q1028" t="n">
        <v>163.2490343998318</v>
      </c>
    </row>
    <row r="1029">
      <c r="A1029" s="118" t="n">
        <v>45929</v>
      </c>
      <c r="B1029" s="119" t="n">
        <v>68.25948123416173</v>
      </c>
      <c r="C1029" s="119" t="n">
        <v>68.44537013637802</v>
      </c>
      <c r="D1029" s="119" t="n">
        <v>67.25178185435085</v>
      </c>
      <c r="E1029" s="119" t="n">
        <v>68.04425048828125</v>
      </c>
      <c r="F1029" s="120" t="n">
        <v>18479300</v>
      </c>
      <c r="G1029" s="121" t="n">
        <v>0.003462903235605941</v>
      </c>
      <c r="H1029" s="122" t="n">
        <v>43.51901722424196</v>
      </c>
      <c r="I1029" s="119" t="n">
        <v>72.96139984130859</v>
      </c>
      <c r="J1029" s="119" t="n">
        <v>67.77355243682861</v>
      </c>
      <c r="K1029" s="121" t="n">
        <v>0.1943397380990117</v>
      </c>
      <c r="L1029" s="121" t="n">
        <v>-0.1177251391121559</v>
      </c>
      <c r="M1029" s="121" t="n">
        <v>-0.2051288449938611</v>
      </c>
      <c r="N1029" t="n">
        <v>31.89474036123407</v>
      </c>
      <c r="O1029" t="n">
        <v>-0.3917367723282204</v>
      </c>
      <c r="P1029" t="n">
        <v>156.8830787202205</v>
      </c>
      <c r="Q1029" t="n">
        <v>164.0050534389937</v>
      </c>
    </row>
    <row r="1030">
      <c r="A1030" s="118" t="n">
        <v>45930</v>
      </c>
      <c r="B1030" s="119" t="n">
        <v>68.55297993995462</v>
      </c>
      <c r="C1030" s="119" t="n">
        <v>68.68994833430277</v>
      </c>
      <c r="D1030" s="119" t="n">
        <v>67.3300425159764</v>
      </c>
      <c r="E1030" s="119" t="n">
        <v>68.22034454345703</v>
      </c>
      <c r="F1030" s="120" t="n">
        <v>40567700</v>
      </c>
      <c r="G1030" s="121" t="n">
        <v>0.002587934379644663</v>
      </c>
      <c r="H1030" s="122" t="n">
        <v>43.63164158508493</v>
      </c>
      <c r="I1030" s="119" t="n">
        <v>72.88494537353516</v>
      </c>
      <c r="J1030" s="119" t="n">
        <v>67.74553577423096</v>
      </c>
      <c r="K1030" s="121" t="n">
        <v>0.1606060606419598</v>
      </c>
      <c r="L1030" s="121" t="n">
        <v>-0.115441869667368</v>
      </c>
      <c r="M1030" s="121" t="n">
        <v>-0.2030717706044328</v>
      </c>
      <c r="N1030" t="n">
        <v>33.29595484512134</v>
      </c>
      <c r="O1030" t="n">
        <v>-0.3236606767213668</v>
      </c>
      <c r="P1030" t="n">
        <v>157.4740313536714</v>
      </c>
      <c r="Q1030" t="n">
        <v>164.4543020847707</v>
      </c>
    </row>
    <row r="1031">
      <c r="A1031" s="118" t="n">
        <v>45931</v>
      </c>
      <c r="B1031" s="119" t="n">
        <v>72.74032088713273</v>
      </c>
      <c r="C1031" s="119" t="n">
        <v>73.07296376797728</v>
      </c>
      <c r="D1031" s="119" t="n">
        <v>70.05964398153699</v>
      </c>
      <c r="E1031" s="119" t="n">
        <v>72.59356689453125</v>
      </c>
      <c r="F1031" s="120" t="n">
        <v>57921900</v>
      </c>
      <c r="G1031" s="121" t="n">
        <v>0.0641043720951664</v>
      </c>
      <c r="H1031" s="122" t="n">
        <v>46.42862057237815</v>
      </c>
      <c r="I1031" s="119" t="n">
        <v>72.86928710937499</v>
      </c>
      <c r="J1031" s="119" t="n">
        <v>67.72923614501953</v>
      </c>
      <c r="K1031" s="121" t="n">
        <v>0.2870017424761884</v>
      </c>
      <c r="L1031" s="121" t="n">
        <v>-0.05873782614072032</v>
      </c>
      <c r="M1031" s="121" t="n">
        <v>-0.1490357884042405</v>
      </c>
      <c r="N1031" t="n">
        <v>56.97226420300599</v>
      </c>
      <c r="O1031" t="n">
        <v>0.02476025840239271</v>
      </c>
      <c r="P1031" t="n">
        <v>158.0106209417735</v>
      </c>
      <c r="Q1031" t="n">
        <v>165.2431761961484</v>
      </c>
    </row>
    <row r="1032">
      <c r="A1032" s="118" t="n">
        <v>45932</v>
      </c>
      <c r="B1032" s="119" t="n">
        <v>73.37624957297592</v>
      </c>
      <c r="C1032" s="119" t="n">
        <v>75.30360025603431</v>
      </c>
      <c r="D1032" s="119" t="n">
        <v>72.2804948922343</v>
      </c>
      <c r="E1032" s="119" t="n">
        <v>72.95555877685547</v>
      </c>
      <c r="F1032" s="120" t="n">
        <v>26254400</v>
      </c>
      <c r="G1032" s="121" t="n">
        <v>0.004986555941659976</v>
      </c>
      <c r="H1032" s="122" t="n">
        <v>46.66013948615642</v>
      </c>
      <c r="I1032" s="119" t="n">
        <v>72.83439529418945</v>
      </c>
      <c r="J1032" s="119" t="n">
        <v>67.71902732849121</v>
      </c>
      <c r="K1032" s="121" t="n">
        <v>0.2859927754559025</v>
      </c>
      <c r="L1032" s="121" t="n">
        <v>-0.05404416965500258</v>
      </c>
      <c r="M1032" s="121" t="n">
        <v>-0.1447924077587676</v>
      </c>
      <c r="N1032" t="n">
        <v>58.29192977297529</v>
      </c>
      <c r="O1032" t="n">
        <v>0.2745873154085283</v>
      </c>
      <c r="P1032" t="n">
        <v>158.192621493114</v>
      </c>
      <c r="Q1032" t="n">
        <v>165.922494247007</v>
      </c>
    </row>
    <row r="1033">
      <c r="A1033" s="118" t="n">
        <v>45933</v>
      </c>
      <c r="B1033" s="119" t="n">
        <v>73.16100700586584</v>
      </c>
      <c r="C1033" s="119" t="n">
        <v>73.16100700586584</v>
      </c>
      <c r="D1033" s="119" t="n">
        <v>70.36292559230155</v>
      </c>
      <c r="E1033" s="119" t="n">
        <v>70.37271118164062</v>
      </c>
      <c r="F1033" s="120" t="n">
        <v>18794900</v>
      </c>
      <c r="G1033" s="121" t="n">
        <v>-0.03540302669896389</v>
      </c>
      <c r="H1033" s="122" t="n">
        <v>45.00822932215064</v>
      </c>
      <c r="I1033" s="119" t="n">
        <v>72.77373596191406</v>
      </c>
      <c r="J1033" s="119" t="n">
        <v>67.6993193435669</v>
      </c>
      <c r="K1033" s="121" t="n">
        <v>0.3053455031900602</v>
      </c>
      <c r="L1033" s="121" t="n">
        <v>-0.08753386917274708</v>
      </c>
      <c r="M1033" s="121" t="n">
        <v>-0.1240639653511202</v>
      </c>
      <c r="N1033" t="n">
        <v>47.17443916730259</v>
      </c>
      <c r="O1033" t="n">
        <v>0.2609626767337917</v>
      </c>
      <c r="P1033" t="n">
        <v>158.1902793870661</v>
      </c>
      <c r="Q1033" t="n">
        <v>165.2240135340083</v>
      </c>
    </row>
    <row r="1034">
      <c r="A1034" s="118" t="n">
        <v>45936</v>
      </c>
      <c r="B1034" s="119" t="n">
        <v>70.46076163197728</v>
      </c>
      <c r="C1034" s="119" t="n">
        <v>70.82275380839046</v>
      </c>
      <c r="D1034" s="119" t="n">
        <v>69.47263353543669</v>
      </c>
      <c r="E1034" s="119" t="n">
        <v>69.62916564941406</v>
      </c>
      <c r="F1034" s="120" t="n">
        <v>14039600</v>
      </c>
      <c r="G1034" s="121" t="n">
        <v>-0.01056582188950173</v>
      </c>
      <c r="H1034" s="122" t="n">
        <v>44.53268038757094</v>
      </c>
      <c r="I1034" s="119" t="n">
        <v>72.6816600036621</v>
      </c>
      <c r="J1034" s="119" t="n">
        <v>67.67613418579101</v>
      </c>
      <c r="K1034" s="121" t="n">
        <v>0.3066207032522252</v>
      </c>
      <c r="L1034" s="121" t="n">
        <v>-0.09717482379127074</v>
      </c>
      <c r="M1034" s="121" t="n">
        <v>-0.1333189494798167</v>
      </c>
      <c r="N1034" t="n">
        <v>44.54083693036815</v>
      </c>
      <c r="O1034" t="n">
        <v>0.1997110191740787</v>
      </c>
      <c r="P1034" t="n">
        <v>158.7575927513996</v>
      </c>
      <c r="Q1034" t="n">
        <v>166.4648714171953</v>
      </c>
    </row>
    <row r="1035">
      <c r="A1035" s="118" t="n">
        <v>45937</v>
      </c>
      <c r="B1035" s="119" t="n">
        <v>69.68787002882179</v>
      </c>
      <c r="C1035" s="119" t="n">
        <v>70.03029101752531</v>
      </c>
      <c r="D1035" s="119" t="n">
        <v>67.40831286025329</v>
      </c>
      <c r="E1035" s="119" t="n">
        <v>67.41809844970703</v>
      </c>
      <c r="F1035" s="120" t="n">
        <v>17368000</v>
      </c>
      <c r="G1035" s="121" t="n">
        <v>-0.03175490010665716</v>
      </c>
      <c r="H1035" s="122" t="n">
        <v>43.11854957038194</v>
      </c>
      <c r="I1035" s="119" t="n">
        <v>72.48754913330077</v>
      </c>
      <c r="J1035" s="119" t="n">
        <v>67.63804565429687</v>
      </c>
      <c r="K1035" s="121" t="n">
        <v>0.3241258993745155</v>
      </c>
      <c r="L1035" s="121" t="n">
        <v>-0.125843947075554</v>
      </c>
      <c r="M1035" s="121" t="n">
        <v>-0.1608403196634178</v>
      </c>
      <c r="N1035" t="n">
        <v>37.78549139318661</v>
      </c>
      <c r="O1035" t="n">
        <v>0.01770959573829378</v>
      </c>
      <c r="P1035" t="n">
        <v>158.1689967712391</v>
      </c>
      <c r="Q1035" t="n">
        <v>165.5883222535565</v>
      </c>
    </row>
    <row r="1036">
      <c r="A1036" s="118" t="n">
        <v>45938</v>
      </c>
      <c r="B1036" s="119" t="n">
        <v>67.41809668463229</v>
      </c>
      <c r="C1036" s="119" t="n">
        <v>67.92683535964142</v>
      </c>
      <c r="D1036" s="119" t="n">
        <v>67.1832873291965</v>
      </c>
      <c r="E1036" s="119" t="n">
        <v>67.59419250488281</v>
      </c>
      <c r="F1036" s="120" t="n">
        <v>13051800</v>
      </c>
      <c r="G1036" s="121" t="n">
        <v>0.002611970067757818</v>
      </c>
      <c r="H1036" s="122" t="n">
        <v>43.2311739312249</v>
      </c>
      <c r="I1036" s="119" t="n">
        <v>72.31467376708984</v>
      </c>
      <c r="J1036" s="119" t="n">
        <v>67.60612857818603</v>
      </c>
      <c r="K1036" s="121" t="n">
        <v>0.3218351989693777</v>
      </c>
      <c r="L1036" s="121" t="n">
        <v>-0.1235606776307662</v>
      </c>
      <c r="M1036" s="121" t="n">
        <v>-0.1586484596963095</v>
      </c>
      <c r="N1036" t="n">
        <v>38.58439678593741</v>
      </c>
      <c r="O1036" t="n">
        <v>-0.07813193558561293</v>
      </c>
      <c r="P1036" t="n">
        <v>159.1121672409187</v>
      </c>
      <c r="Q1036" t="n">
        <v>167.4866003994297</v>
      </c>
    </row>
    <row r="1037">
      <c r="A1037" s="118" t="n">
        <v>45939</v>
      </c>
      <c r="B1037" s="119" t="n">
        <v>68.04424122884124</v>
      </c>
      <c r="C1037" s="119" t="n">
        <v>68.15186031924604</v>
      </c>
      <c r="D1037" s="119" t="n">
        <v>66.42017674761797</v>
      </c>
      <c r="E1037" s="119" t="n">
        <v>66.58649444580078</v>
      </c>
      <c r="F1037" s="120" t="n">
        <v>13410900</v>
      </c>
      <c r="G1037" s="121" t="n">
        <v>-0.01490805676847518</v>
      </c>
      <c r="H1037" s="122" t="n">
        <v>42.58668113609038</v>
      </c>
      <c r="I1037" s="119" t="n">
        <v>72.15376327514649</v>
      </c>
      <c r="J1037" s="119" t="n">
        <v>67.56821102142334</v>
      </c>
      <c r="K1037" s="121" t="n">
        <v>0.3238794653500362</v>
      </c>
      <c r="L1037" s="121" t="n">
        <v>-0.1366266848027706</v>
      </c>
      <c r="M1037" s="121" t="n">
        <v>-0.1711913762214009</v>
      </c>
      <c r="N1037" t="n">
        <v>35.75489727715652</v>
      </c>
      <c r="O1037" t="n">
        <v>-0.1903147129777006</v>
      </c>
      <c r="P1037" t="n">
        <v>158.6512233139924</v>
      </c>
      <c r="Q1037" t="n">
        <v>167.283899034585</v>
      </c>
    </row>
    <row r="1038">
      <c r="A1038" s="118" t="n">
        <v>45940</v>
      </c>
      <c r="B1038" s="119" t="n">
        <v>66.70390227289971</v>
      </c>
      <c r="C1038" s="119" t="n">
        <v>67.00718837968644</v>
      </c>
      <c r="D1038" s="119" t="n">
        <v>63.4753443368562</v>
      </c>
      <c r="E1038" s="119" t="n">
        <v>63.80798721313477</v>
      </c>
      <c r="F1038" s="120" t="n">
        <v>18806100</v>
      </c>
      <c r="G1038" s="121" t="n">
        <v>-0.04172778963349133</v>
      </c>
      <c r="H1038" s="122" t="n">
        <v>40.80963306445503</v>
      </c>
      <c r="I1038" s="119" t="n">
        <v>71.97601951599121</v>
      </c>
      <c r="J1038" s="119" t="n">
        <v>67.51717054367066</v>
      </c>
      <c r="K1038" s="121" t="n">
        <v>0.3474363306560326</v>
      </c>
      <c r="L1038" s="121" t="n">
        <v>-0.1726533448744906</v>
      </c>
      <c r="M1038" s="121" t="n">
        <v>-0.2057757281208578</v>
      </c>
      <c r="N1038" t="n">
        <v>29.36137611404087</v>
      </c>
      <c r="O1038" t="n">
        <v>-0.419434199056097</v>
      </c>
      <c r="P1038" t="n">
        <v>154.3632199157565</v>
      </c>
      <c r="Q1038" t="n">
        <v>161.4767734104141</v>
      </c>
    </row>
    <row r="1039">
      <c r="A1039" s="118" t="n">
        <v>45943</v>
      </c>
      <c r="B1039" s="119" t="n">
        <v>64.27758317025649</v>
      </c>
      <c r="C1039" s="119" t="n">
        <v>66.05817962669263</v>
      </c>
      <c r="D1039" s="119" t="n">
        <v>64.13083666182209</v>
      </c>
      <c r="E1039" s="119" t="n">
        <v>65.92121124267578</v>
      </c>
      <c r="F1039" s="120" t="n">
        <v>13191200</v>
      </c>
      <c r="G1039" s="121" t="n">
        <v>0.03311848754110236</v>
      </c>
      <c r="H1039" s="122" t="n">
        <v>42.16118638865714</v>
      </c>
      <c r="I1039" s="119" t="n">
        <v>71.84190284729004</v>
      </c>
      <c r="J1039" s="119" t="n">
        <v>67.47756196975708</v>
      </c>
      <c r="K1039" s="121" t="n">
        <v>0.373131934276099</v>
      </c>
      <c r="L1039" s="121" t="n">
        <v>-0.1452528749845436</v>
      </c>
      <c r="M1039" s="121" t="n">
        <v>-0.1794722214677874</v>
      </c>
      <c r="N1039" t="n">
        <v>38.3855207397926</v>
      </c>
      <c r="O1039" t="n">
        <v>-0.3967016900759504</v>
      </c>
      <c r="P1039" t="n">
        <v>156.7317873978689</v>
      </c>
      <c r="Q1039" t="n">
        <v>164.9035171707191</v>
      </c>
    </row>
    <row r="1040">
      <c r="A1040" s="118" t="n">
        <v>45944</v>
      </c>
      <c r="B1040" s="119" t="n">
        <v>65.03092285649932</v>
      </c>
      <c r="C1040" s="119" t="n">
        <v>66.52779709690482</v>
      </c>
      <c r="D1040" s="119" t="n">
        <v>64.62979579117872</v>
      </c>
      <c r="E1040" s="119" t="n">
        <v>66.17559051513672</v>
      </c>
      <c r="F1040" s="120" t="n">
        <v>9483700</v>
      </c>
      <c r="G1040" s="121" t="n">
        <v>0.003858837962253059</v>
      </c>
      <c r="H1040" s="122" t="n">
        <v>42.32387957522732</v>
      </c>
      <c r="I1040" s="119" t="n">
        <v>71.70898063659668</v>
      </c>
      <c r="J1040" s="119" t="n">
        <v>67.43908098220825</v>
      </c>
      <c r="K1040" s="121" t="n">
        <v>0.3741091559962547</v>
      </c>
      <c r="L1040" s="121" t="n">
        <v>-0.1419545443304073</v>
      </c>
      <c r="M1040" s="121" t="n">
        <v>-0.1763059377269042</v>
      </c>
      <c r="N1040" t="n">
        <v>39.38929036484836</v>
      </c>
      <c r="O1040" t="n">
        <v>-0.3350278718618767</v>
      </c>
      <c r="P1040" t="n">
        <v>156.5403165916389</v>
      </c>
      <c r="Q1040" t="n">
        <v>163.8051039800956</v>
      </c>
    </row>
    <row r="1041">
      <c r="A1041" s="118" t="n">
        <v>45945</v>
      </c>
      <c r="B1041" s="119" t="n">
        <v>67.09524128987819</v>
      </c>
      <c r="C1041" s="119" t="n">
        <v>68.02467075568632</v>
      </c>
      <c r="D1041" s="119" t="n">
        <v>66.65497933432349</v>
      </c>
      <c r="E1041" s="119" t="n">
        <v>66.97783660888672</v>
      </c>
      <c r="F1041" s="120" t="n">
        <v>13001500</v>
      </c>
      <c r="G1041" s="121" t="n">
        <v>0.01212299108334358</v>
      </c>
      <c r="H1041" s="122" t="n">
        <v>42.83697158993031</v>
      </c>
      <c r="I1041" s="119" t="n">
        <v>71.60066841125489</v>
      </c>
      <c r="J1041" s="119" t="n">
        <v>67.40388975143432</v>
      </c>
      <c r="K1041" s="121" t="n">
        <v>0.3779271490711389</v>
      </c>
      <c r="L1041" s="121" t="n">
        <v>-0.1315524669222213</v>
      </c>
      <c r="M1041" s="121" t="n">
        <v>-0.1663203019545644</v>
      </c>
      <c r="N1041" t="n">
        <v>42.56706331596435</v>
      </c>
      <c r="O1041" t="n">
        <v>-0.2164522619934199</v>
      </c>
      <c r="P1041" t="n">
        <v>157.2352820092066</v>
      </c>
      <c r="Q1041" t="n">
        <v>164.9610387169681</v>
      </c>
    </row>
    <row r="1042">
      <c r="A1042" s="118" t="n">
        <v>45946</v>
      </c>
      <c r="B1042" s="119" t="n">
        <v>67.11480416761049</v>
      </c>
      <c r="C1042" s="119" t="n">
        <v>67.54528052832632</v>
      </c>
      <c r="D1042" s="119" t="n">
        <v>65.13854057964882</v>
      </c>
      <c r="E1042" s="119" t="n">
        <v>65.39290618896484</v>
      </c>
      <c r="F1042" s="120" t="n">
        <v>15349700</v>
      </c>
      <c r="G1042" s="121" t="n">
        <v>-0.02366350572319897</v>
      </c>
      <c r="H1042" s="122" t="n">
        <v>41.82329866754748</v>
      </c>
      <c r="I1042" s="119" t="n">
        <v>71.43924491882325</v>
      </c>
      <c r="J1042" s="119" t="n">
        <v>67.36327508926392</v>
      </c>
      <c r="K1042" s="121" t="n">
        <v>0.3853578490834908</v>
      </c>
      <c r="L1042" s="121" t="n">
        <v>-0.1521029800915055</v>
      </c>
      <c r="M1042" s="121" t="n">
        <v>-0.1860480862605773</v>
      </c>
      <c r="N1042" t="n">
        <v>38.29530829439263</v>
      </c>
      <c r="O1042" t="n">
        <v>-0.2202783306271574</v>
      </c>
      <c r="P1042" t="n">
        <v>156.1644594862929</v>
      </c>
      <c r="Q1042" t="n">
        <v>164.3501994964018</v>
      </c>
    </row>
    <row r="1043">
      <c r="A1043" s="118" t="n">
        <v>45947</v>
      </c>
      <c r="B1043" s="119" t="n">
        <v>65.18745366016505</v>
      </c>
      <c r="C1043" s="119" t="n">
        <v>66.30277199197711</v>
      </c>
      <c r="D1043" s="119" t="n">
        <v>64.88416756803547</v>
      </c>
      <c r="E1043" s="119" t="n">
        <v>65.91143798828125</v>
      </c>
      <c r="F1043" s="120" t="n">
        <v>10054000</v>
      </c>
      <c r="G1043" s="121" t="n">
        <v>0.007929480880051631</v>
      </c>
      <c r="H1043" s="122" t="n">
        <v>42.15493571467248</v>
      </c>
      <c r="I1043" s="119" t="n">
        <v>71.31018867492676</v>
      </c>
      <c r="J1043" s="119" t="n">
        <v>67.33376672744751</v>
      </c>
      <c r="K1043" s="121" t="n">
        <v>0.3840448528839477</v>
      </c>
      <c r="L1043" s="121" t="n">
        <v>-0.1453795968838884</v>
      </c>
      <c r="M1043" s="121" t="n">
        <v>-0.1795938701232991</v>
      </c>
      <c r="N1043" t="n">
        <v>40.40253055816532</v>
      </c>
      <c r="O1043" t="n">
        <v>-0.1658827275577133</v>
      </c>
      <c r="P1043" t="n">
        <v>157.0509102573331</v>
      </c>
      <c r="Q1043" t="n">
        <v>165.4294500248852</v>
      </c>
    </row>
    <row r="1044">
      <c r="A1044" s="118" t="n">
        <v>45950</v>
      </c>
      <c r="B1044" s="119" t="n">
        <v>66.09732267272402</v>
      </c>
      <c r="C1044" s="119" t="n">
        <v>66.70390235122778</v>
      </c>
      <c r="D1044" s="119" t="n">
        <v>66.00927475679919</v>
      </c>
      <c r="E1044" s="119" t="n">
        <v>66.15602874755859</v>
      </c>
      <c r="F1044" s="120" t="n">
        <v>9670000</v>
      </c>
      <c r="G1044" s="121" t="n">
        <v>0.003710900061395073</v>
      </c>
      <c r="H1044" s="122" t="n">
        <v>42.31136846820417</v>
      </c>
      <c r="I1044" s="119" t="n">
        <v>71.18913871765136</v>
      </c>
      <c r="J1044" s="119" t="n">
        <v>67.30057516098023</v>
      </c>
      <c r="K1044" s="121" t="n">
        <v>0.3836167686832877</v>
      </c>
      <c r="L1044" s="121" t="n">
        <v>-0.1422081859774953</v>
      </c>
      <c r="M1044" s="121" t="n">
        <v>-0.1712176783895218</v>
      </c>
      <c r="N1044" t="n">
        <v>41.41877904523435</v>
      </c>
      <c r="O1044" t="n">
        <v>-0.09495061291165552</v>
      </c>
      <c r="P1044" t="n">
        <v>158.6843182907568</v>
      </c>
      <c r="Q1044" t="n">
        <v>167.5139852195809</v>
      </c>
    </row>
    <row r="1045">
      <c r="A1045" s="118" t="n">
        <v>45951</v>
      </c>
      <c r="B1045" s="119" t="n">
        <v>66.28321080097258</v>
      </c>
      <c r="C1045" s="119" t="n">
        <v>67.78987065805877</v>
      </c>
      <c r="D1045" s="119" t="n">
        <v>65.95057539232369</v>
      </c>
      <c r="E1045" s="119" t="n">
        <v>66.8800048828125</v>
      </c>
      <c r="F1045" s="120" t="n">
        <v>9659200</v>
      </c>
      <c r="G1045" s="121" t="n">
        <v>0.01094346424596448</v>
      </c>
      <c r="H1045" s="122" t="n">
        <v>42.77440141623379</v>
      </c>
      <c r="I1045" s="119" t="n">
        <v>71.08587745666505</v>
      </c>
      <c r="J1045" s="119" t="n">
        <v>67.2806234550476</v>
      </c>
      <c r="K1045" s="121" t="n">
        <v>0.3863353244045529</v>
      </c>
      <c r="L1045" s="121" t="n">
        <v>-0.1320544065034018</v>
      </c>
      <c r="M1045" s="121" t="n">
        <v>-0.1572977875704227</v>
      </c>
      <c r="N1045" t="n">
        <v>44.43881742352244</v>
      </c>
      <c r="O1045" t="n">
        <v>0.01343755458218898</v>
      </c>
      <c r="P1045" t="n">
        <v>158.6819470902238</v>
      </c>
      <c r="Q1045" t="n">
        <v>167.4701728633218</v>
      </c>
    </row>
    <row r="1046">
      <c r="A1046" s="118" t="n">
        <v>45952</v>
      </c>
      <c r="B1046" s="119" t="n">
        <v>66.7430301256714</v>
      </c>
      <c r="C1046" s="119" t="n">
        <v>67.85834839370247</v>
      </c>
      <c r="D1046" s="119" t="n">
        <v>66.48865706644162</v>
      </c>
      <c r="E1046" s="119" t="n">
        <v>67.58441162109375</v>
      </c>
      <c r="F1046" s="120" t="n">
        <v>8096100</v>
      </c>
      <c r="G1046" s="121" t="n">
        <v>0.01053239663357552</v>
      </c>
      <c r="H1046" s="122" t="n">
        <v>43.22491837771334</v>
      </c>
      <c r="I1046" s="119" t="n">
        <v>70.97957420349121</v>
      </c>
      <c r="J1046" s="119" t="n">
        <v>67.26592531204224</v>
      </c>
      <c r="K1046" s="121" t="n">
        <v>0.3882582047491807</v>
      </c>
      <c r="L1046" s="121" t="n">
        <v>-0.1229128592563316</v>
      </c>
      <c r="M1046" s="121" t="n">
        <v>-0.1403053836938741</v>
      </c>
      <c r="N1046" t="n">
        <v>47.28630250502476</v>
      </c>
      <c r="O1046" t="n">
        <v>0.13834106341157</v>
      </c>
      <c r="P1046" t="n">
        <v>157.8569729661315</v>
      </c>
      <c r="Q1046" t="n">
        <v>165.8567673226612</v>
      </c>
    </row>
    <row r="1047">
      <c r="A1047" s="118" t="n">
        <v>45953</v>
      </c>
      <c r="B1047" s="119" t="n">
        <v>67.59419451339629</v>
      </c>
      <c r="C1047" s="119" t="n">
        <v>68.37687745967069</v>
      </c>
      <c r="D1047" s="119" t="n">
        <v>67.2517735234829</v>
      </c>
      <c r="E1047" s="119" t="n">
        <v>68.17142486572266</v>
      </c>
      <c r="F1047" s="120" t="n">
        <v>9124900</v>
      </c>
      <c r="G1047" s="121" t="n">
        <v>0.008685630762311769</v>
      </c>
      <c r="H1047" s="122" t="n">
        <v>43.60035405847321</v>
      </c>
      <c r="I1047" s="119" t="n">
        <v>70.84023994445801</v>
      </c>
      <c r="J1047" s="119" t="n">
        <v>67.26046339035034</v>
      </c>
      <c r="K1047" s="121" t="n">
        <v>0.376580945468038</v>
      </c>
      <c r="L1047" s="121" t="n">
        <v>-0.1152948042054603</v>
      </c>
      <c r="M1047" s="121" t="n">
        <v>-0.1328383936882919</v>
      </c>
      <c r="N1047" t="n">
        <v>49.60419579608757</v>
      </c>
      <c r="O1047" t="n">
        <v>0.2592413341293169</v>
      </c>
      <c r="P1047" t="n">
        <v>158.793058928697</v>
      </c>
      <c r="Q1047" t="n">
        <v>167.251027182455</v>
      </c>
    </row>
    <row r="1048">
      <c r="A1048" s="118" t="n">
        <v>45954</v>
      </c>
      <c r="B1048" s="119" t="n">
        <v>68.20077804217524</v>
      </c>
      <c r="C1048" s="119" t="n">
        <v>68.56277023161793</v>
      </c>
      <c r="D1048" s="119" t="n">
        <v>67.41810251568097</v>
      </c>
      <c r="E1048" s="119" t="n">
        <v>67.61376953125</v>
      </c>
      <c r="F1048" s="120" t="n">
        <v>7102900</v>
      </c>
      <c r="G1048" s="121" t="n">
        <v>-0.008180191855620911</v>
      </c>
      <c r="H1048" s="122" t="n">
        <v>43.24369479730191</v>
      </c>
      <c r="I1048" s="119" t="n">
        <v>70.70551994323731</v>
      </c>
      <c r="J1048" s="119" t="n">
        <v>67.25178030014038</v>
      </c>
      <c r="K1048" s="121" t="n">
        <v>0.3778532584979569</v>
      </c>
      <c r="L1048" s="121" t="n">
        <v>-0.1225318624427243</v>
      </c>
      <c r="M1048" s="121" t="n">
        <v>-0.1399319419977501</v>
      </c>
      <c r="N1048" t="n">
        <v>47.46878836772886</v>
      </c>
      <c r="O1048" t="n">
        <v>0.2976537227816973</v>
      </c>
      <c r="P1048" t="n">
        <v>160.0908038878957</v>
      </c>
      <c r="Q1048" t="n">
        <v>169.0369805819482</v>
      </c>
    </row>
    <row r="1049">
      <c r="A1049" s="118" t="n">
        <v>45957</v>
      </c>
      <c r="B1049" s="119" t="n">
        <v>68.52363050332008</v>
      </c>
      <c r="C1049" s="119" t="n">
        <v>68.91497197107859</v>
      </c>
      <c r="D1049" s="119" t="n">
        <v>66.78216880922321</v>
      </c>
      <c r="E1049" s="119" t="n">
        <v>67.10501861572266</v>
      </c>
      <c r="F1049" s="120" t="n">
        <v>9838100</v>
      </c>
      <c r="G1049" s="121" t="n">
        <v>-0.007524368468943443</v>
      </c>
      <c r="H1049" s="122" t="n">
        <v>42.91831330368848</v>
      </c>
      <c r="I1049" s="119" t="n">
        <v>70.54933479309082</v>
      </c>
      <c r="J1049" s="119" t="n">
        <v>67.24440141677856</v>
      </c>
      <c r="K1049" s="121" t="n">
        <v>0.3785771128949034</v>
      </c>
      <c r="L1049" s="121" t="n">
        <v>-0.1291342560294627</v>
      </c>
      <c r="M1049" s="121" t="n">
        <v>-0.1464034109745276</v>
      </c>
      <c r="N1049" t="n">
        <v>45.54257690650655</v>
      </c>
      <c r="O1049" t="n">
        <v>0.2847932168487954</v>
      </c>
      <c r="P1049" t="n">
        <v>161.9795014805453</v>
      </c>
      <c r="Q1049" t="n">
        <v>172.0473978883491</v>
      </c>
    </row>
    <row r="1050">
      <c r="A1050" s="118" t="n">
        <v>45958</v>
      </c>
      <c r="B1050" s="119" t="n">
        <v>66.63541682569567</v>
      </c>
      <c r="C1050" s="119" t="n">
        <v>67.12459180902086</v>
      </c>
      <c r="D1050" s="119" t="n">
        <v>65.59836824959598</v>
      </c>
      <c r="E1050" s="119" t="n">
        <v>65.97013854980469</v>
      </c>
      <c r="F1050" s="120" t="n">
        <v>11262400</v>
      </c>
      <c r="G1050" s="121" t="n">
        <v>-0.01691199986720615</v>
      </c>
      <c r="H1050" s="122" t="n">
        <v>42.19247879479578</v>
      </c>
      <c r="I1050" s="119" t="n">
        <v>70.36149772644043</v>
      </c>
      <c r="J1050" s="119" t="n">
        <v>67.23178106307984</v>
      </c>
      <c r="K1050" s="121" t="n">
        <v>0.3828216001175804</v>
      </c>
      <c r="L1050" s="121" t="n">
        <v>-0.1438623373758469</v>
      </c>
      <c r="M1050" s="121" t="n">
        <v>-0.1608394363747739</v>
      </c>
      <c r="N1050" t="n">
        <v>41.49732674588506</v>
      </c>
      <c r="O1050" t="n">
        <v>0.1998628219078327</v>
      </c>
      <c r="P1050" t="n">
        <v>162.4097216312401</v>
      </c>
      <c r="Q1050" t="n">
        <v>173.3704437918182</v>
      </c>
    </row>
    <row r="1051">
      <c r="A1051" s="118" t="n">
        <v>45959</v>
      </c>
      <c r="B1051" s="119" t="n">
        <v>65.559237668995</v>
      </c>
      <c r="C1051" s="119" t="n">
        <v>65.73534097314831</v>
      </c>
      <c r="D1051" s="119" t="n">
        <v>63.54383152941412</v>
      </c>
      <c r="E1051" s="119" t="n">
        <v>63.93517303466797</v>
      </c>
      <c r="F1051" s="120" t="n">
        <v>15143100</v>
      </c>
      <c r="G1051" s="121" t="n">
        <v>-0.03084676733853464</v>
      </c>
      <c r="H1051" s="122" t="n">
        <v>40.89097721797666</v>
      </c>
      <c r="I1051" s="119" t="n">
        <v>70.14366752624511</v>
      </c>
      <c r="J1051" s="119" t="n">
        <v>67.20475301742553</v>
      </c>
      <c r="K1051" s="121" t="n">
        <v>0.3084800857204616</v>
      </c>
      <c r="L1051" s="121" t="n">
        <v>-0.170271416664571</v>
      </c>
      <c r="M1051" s="121" t="n">
        <v>-0.1867248270405949</v>
      </c>
      <c r="N1051" t="n">
        <v>35.42172545531996</v>
      </c>
      <c r="O1051" t="n">
        <v>0.01631573000138697</v>
      </c>
      <c r="P1051" t="n">
        <v>162.4877384929489</v>
      </c>
      <c r="Q1051" t="n">
        <v>174.1511293050135</v>
      </c>
    </row>
    <row r="1052">
      <c r="A1052" s="118" t="n">
        <v>45960</v>
      </c>
      <c r="B1052" s="119" t="n">
        <v>63.76885180786629</v>
      </c>
      <c r="C1052" s="119" t="n">
        <v>64.57109849054372</v>
      </c>
      <c r="D1052" s="119" t="n">
        <v>63.1720577246799</v>
      </c>
      <c r="E1052" s="119" t="n">
        <v>63.49491500854492</v>
      </c>
      <c r="F1052" s="120" t="n">
        <v>13895200</v>
      </c>
      <c r="G1052" s="121" t="n">
        <v>-0.006886006641200759</v>
      </c>
      <c r="H1052" s="122" t="n">
        <v>40.60940167728849</v>
      </c>
      <c r="I1052" s="119" t="n">
        <v>69.92910095214843</v>
      </c>
      <c r="J1052" s="119" t="n">
        <v>67.1799008178711</v>
      </c>
      <c r="K1052" s="121" t="n">
        <v>0.3056615133287304</v>
      </c>
      <c r="L1052" s="121" t="n">
        <v>-0.1759849331998128</v>
      </c>
      <c r="M1052" s="121" t="n">
        <v>-0.1923250452827171</v>
      </c>
      <c r="N1052" t="n">
        <v>34.25328578168723</v>
      </c>
      <c r="O1052" t="n">
        <v>-0.1176872356128178</v>
      </c>
      <c r="P1052" t="n">
        <v>160.7006824838831</v>
      </c>
      <c r="Q1052" t="n">
        <v>171.4885931820529</v>
      </c>
    </row>
    <row r="1053">
      <c r="A1053" s="118" t="n">
        <v>45961</v>
      </c>
      <c r="B1053" s="119" t="n">
        <v>63.5927469365481</v>
      </c>
      <c r="C1053" s="119" t="n">
        <v>63.83733442476559</v>
      </c>
      <c r="D1053" s="119" t="n">
        <v>62.85898447189562</v>
      </c>
      <c r="E1053" s="119" t="n">
        <v>63.19161987304688</v>
      </c>
      <c r="F1053" s="120" t="n">
        <v>17822500</v>
      </c>
      <c r="G1053" s="121" t="n">
        <v>-0.004776683856608566</v>
      </c>
      <c r="H1053" s="122" t="n">
        <v>40.41542340387005</v>
      </c>
      <c r="I1053" s="119" t="n">
        <v>69.71002578735352</v>
      </c>
      <c r="J1053" s="119" t="n">
        <v>67.15401313781739</v>
      </c>
      <c r="K1053" s="121" t="n">
        <v>0.2862932542021515</v>
      </c>
      <c r="L1053" s="121" t="n">
        <v>-0.1799209926669995</v>
      </c>
      <c r="M1053" s="121" t="n">
        <v>-0.1961830532003022</v>
      </c>
      <c r="N1053" t="n">
        <v>33.43504459729385</v>
      </c>
      <c r="O1053" t="n">
        <v>-0.2046033610843192</v>
      </c>
      <c r="P1053" t="n">
        <v>161.2277872698532</v>
      </c>
      <c r="Q1053" t="n">
        <v>172.3158597373681</v>
      </c>
    </row>
    <row r="1054">
      <c r="A1054" s="118" t="n">
        <v>45964</v>
      </c>
      <c r="B1054" s="119" t="n">
        <v>63.31880894340134</v>
      </c>
      <c r="C1054" s="119" t="n">
        <v>63.44599174774446</v>
      </c>
      <c r="D1054" s="119" t="n">
        <v>60.99033505473162</v>
      </c>
      <c r="E1054" s="119" t="n">
        <v>61.29362487792969</v>
      </c>
      <c r="F1054" s="120" t="n">
        <v>22633300</v>
      </c>
      <c r="G1054" s="121" t="n">
        <v>-0.03003554900048921</v>
      </c>
      <c r="H1054" s="122" t="n">
        <v>39.20152397384759</v>
      </c>
      <c r="I1054" s="119" t="n">
        <v>69.41016601562499</v>
      </c>
      <c r="J1054" s="119" t="n">
        <v>67.11844306945801</v>
      </c>
      <c r="K1054" s="121" t="n">
        <v>0.299174458660919</v>
      </c>
      <c r="L1054" s="121" t="n">
        <v>-0.2045525158760224</v>
      </c>
      <c r="M1054" s="121" t="n">
        <v>-0.2203261364933281</v>
      </c>
      <c r="N1054" t="n">
        <v>28.79878666699773</v>
      </c>
      <c r="O1054" t="n">
        <v>-0.3587537675430972</v>
      </c>
      <c r="P1054" t="n">
        <v>161.5303844617989</v>
      </c>
      <c r="Q1054" t="n">
        <v>173.1403408269081</v>
      </c>
    </row>
    <row r="1055">
      <c r="A1055" s="118" t="n">
        <v>45965</v>
      </c>
      <c r="B1055" s="119" t="n">
        <v>61.06860449712519</v>
      </c>
      <c r="C1055" s="119" t="n">
        <v>61.23492593588423</v>
      </c>
      <c r="D1055" s="119" t="n">
        <v>59.79675025836438</v>
      </c>
      <c r="E1055" s="119" t="n">
        <v>59.90436935424805</v>
      </c>
      <c r="F1055" s="120" t="n">
        <v>13725400</v>
      </c>
      <c r="G1055" s="121" t="n">
        <v>-0.02266557943747716</v>
      </c>
      <c r="H1055" s="122" t="n">
        <v>38.31299871814819</v>
      </c>
      <c r="I1055" s="119" t="n">
        <v>69.067142868042</v>
      </c>
      <c r="J1055" s="119" t="n">
        <v>67.07722547531128</v>
      </c>
      <c r="K1055" s="121" t="n">
        <v>0.2904845503238122</v>
      </c>
      <c r="L1055" s="121" t="n">
        <v>-0.2225817940157757</v>
      </c>
      <c r="M1055" s="121" t="n">
        <v>-0.2379978963819633</v>
      </c>
      <c r="N1055" t="n">
        <v>25.96112305714622</v>
      </c>
      <c r="O1055" t="n">
        <v>-0.5136802627886861</v>
      </c>
      <c r="P1055" t="n">
        <v>159.6156763994989</v>
      </c>
      <c r="Q1055" t="n">
        <v>169.6259220143421</v>
      </c>
    </row>
    <row r="1056">
      <c r="A1056" s="118" t="n">
        <v>45966</v>
      </c>
      <c r="B1056" s="119" t="n">
        <v>59.95328375937023</v>
      </c>
      <c r="C1056" s="119" t="n">
        <v>61.48929288275359</v>
      </c>
      <c r="D1056" s="119" t="n">
        <v>59.54237857166156</v>
      </c>
      <c r="E1056" s="119" t="n">
        <v>60.76531600952148</v>
      </c>
      <c r="F1056" s="120" t="n">
        <v>20979800</v>
      </c>
      <c r="G1056" s="121" t="n">
        <v>0.01437201767674368</v>
      </c>
      <c r="H1056" s="122" t="n">
        <v>38.86363381297447</v>
      </c>
      <c r="I1056" s="119" t="n">
        <v>68.75146102905273</v>
      </c>
      <c r="J1056" s="119" t="n">
        <v>67.02910533905029</v>
      </c>
      <c r="K1056" s="121" t="n">
        <v>0.297869625870984</v>
      </c>
      <c r="L1056" s="121" t="n">
        <v>-0.2114087258171481</v>
      </c>
      <c r="M1056" s="121" t="n">
        <v>-0.227046388679049</v>
      </c>
      <c r="N1056" t="n">
        <v>30.52953956065072</v>
      </c>
      <c r="O1056" t="n">
        <v>-0.5161982651617707</v>
      </c>
      <c r="P1056" t="n">
        <v>160.1688062023619</v>
      </c>
      <c r="Q1056" t="n">
        <v>170.729855796773</v>
      </c>
    </row>
    <row r="1057">
      <c r="A1057" s="118" t="n">
        <v>45967</v>
      </c>
      <c r="B1057" s="119" t="n">
        <v>60.54029367400167</v>
      </c>
      <c r="C1057" s="119" t="n">
        <v>61.12730212908007</v>
      </c>
      <c r="D1057" s="119" t="n">
        <v>60.33483735582637</v>
      </c>
      <c r="E1057" s="119" t="n">
        <v>60.55007553100586</v>
      </c>
      <c r="F1057" s="120" t="n">
        <v>15164600</v>
      </c>
      <c r="G1057" s="121" t="n">
        <v>-0.003542160111236758</v>
      </c>
      <c r="H1057" s="122" t="n">
        <v>38.72597259950444</v>
      </c>
      <c r="I1057" s="119" t="n">
        <v>68.44295921325684</v>
      </c>
      <c r="J1057" s="119" t="n">
        <v>66.97572427749634</v>
      </c>
      <c r="K1057" s="121" t="n">
        <v>0.2956514703461148</v>
      </c>
      <c r="L1057" s="121" t="n">
        <v>-0.214202042372628</v>
      </c>
      <c r="M1057" s="121" t="n">
        <v>-0.2297843141289064</v>
      </c>
      <c r="N1057" t="n">
        <v>30.03065161090251</v>
      </c>
      <c r="O1057" t="n">
        <v>-0.490560807446907</v>
      </c>
      <c r="P1057" t="n">
        <v>158.4502968001154</v>
      </c>
      <c r="Q1057" t="n">
        <v>167.5496089776574</v>
      </c>
    </row>
    <row r="1058">
      <c r="A1058" s="118" t="n">
        <v>45968</v>
      </c>
      <c r="B1058" s="119" t="n">
        <v>60.40332779711976</v>
      </c>
      <c r="C1058" s="119" t="n">
        <v>60.83380043328516</v>
      </c>
      <c r="D1058" s="119" t="n">
        <v>58.98471961751467</v>
      </c>
      <c r="E1058" s="119" t="n">
        <v>59.76739883422852</v>
      </c>
      <c r="F1058" s="120" t="n">
        <v>15504800</v>
      </c>
      <c r="G1058" s="121" t="n">
        <v>-0.01292610603559952</v>
      </c>
      <c r="H1058" s="122" t="n">
        <v>38.22539657135152</v>
      </c>
      <c r="I1058" s="119" t="n">
        <v>68.12152923583984</v>
      </c>
      <c r="J1058" s="119" t="n">
        <v>66.91722728729248</v>
      </c>
      <c r="K1058" s="121" t="n">
        <v>0.2635841648308495</v>
      </c>
      <c r="L1058" s="121" t="n">
        <v>-0.2243593500954769</v>
      </c>
      <c r="M1058" s="121" t="n">
        <v>-0.2397402037547582</v>
      </c>
      <c r="N1058" t="n">
        <v>28.22450800569854</v>
      </c>
      <c r="O1058" t="n">
        <v>-0.4837143772126999</v>
      </c>
      <c r="P1058" t="n">
        <v>158.606301429048</v>
      </c>
      <c r="Q1058" t="n">
        <v>167.0209409974591</v>
      </c>
    </row>
    <row r="1059">
      <c r="A1059" s="118" t="n">
        <v>45971</v>
      </c>
      <c r="B1059" s="119" t="n">
        <v>60.41311012021002</v>
      </c>
      <c r="C1059" s="119" t="n">
        <v>60.74574925639108</v>
      </c>
      <c r="D1059" s="119" t="n">
        <v>59.18039081089722</v>
      </c>
      <c r="E1059" s="119" t="n">
        <v>59.48367691040039</v>
      </c>
      <c r="F1059" s="120" t="n">
        <v>13063100</v>
      </c>
      <c r="G1059" s="121" t="n">
        <v>-0.004747101753835081</v>
      </c>
      <c r="H1059" s="122" t="n">
        <v>38.04393672424662</v>
      </c>
      <c r="I1059" s="119" t="n">
        <v>67.80513099670411</v>
      </c>
      <c r="J1059" s="119" t="n">
        <v>66.86077493667602</v>
      </c>
      <c r="K1059" s="121" t="n">
        <v>0.2261173129281548</v>
      </c>
      <c r="L1059" s="121" t="n">
        <v>-0.2280413951849845</v>
      </c>
      <c r="M1059" s="121" t="n">
        <v>-0.2433492343668844</v>
      </c>
      <c r="N1059" t="n">
        <v>27.57702247009588</v>
      </c>
      <c r="O1059" t="n">
        <v>-0.4560600892754341</v>
      </c>
      <c r="P1059" t="n">
        <v>161.0812383485675</v>
      </c>
      <c r="Q1059" t="n">
        <v>170.7161466067831</v>
      </c>
    </row>
    <row r="1060">
      <c r="A1060" s="118" t="n">
        <v>45972</v>
      </c>
      <c r="B1060" s="119" t="n">
        <v>60.39353994390034</v>
      </c>
      <c r="C1060" s="119" t="n">
        <v>62.22305324416469</v>
      </c>
      <c r="D1060" s="119" t="n">
        <v>59.91415057442945</v>
      </c>
      <c r="E1060" s="119" t="n">
        <v>61.78279876708984</v>
      </c>
      <c r="F1060" s="120" t="n">
        <v>17646400</v>
      </c>
      <c r="G1060" s="121" t="n">
        <v>0.03865130698212549</v>
      </c>
      <c r="H1060" s="122" t="n">
        <v>39.51438460138404</v>
      </c>
      <c r="I1060" s="119" t="n">
        <v>67.58715461730957</v>
      </c>
      <c r="J1060" s="119" t="n">
        <v>66.8061501121521</v>
      </c>
      <c r="K1060" s="121" t="n">
        <v>0.2730986947961814</v>
      </c>
      <c r="L1060" s="121" t="n">
        <v>-0.1982041861727859</v>
      </c>
      <c r="M1060" s="121" t="n">
        <v>-0.2141036933461385</v>
      </c>
      <c r="N1060" t="n">
        <v>39.65742271679134</v>
      </c>
      <c r="O1060" t="n">
        <v>-0.2509430134417372</v>
      </c>
      <c r="P1060" t="n">
        <v>161.449996399557</v>
      </c>
      <c r="Q1060" t="n">
        <v>170.2614277089415</v>
      </c>
    </row>
    <row r="1061">
      <c r="A1061" s="118" t="n">
        <v>45973</v>
      </c>
      <c r="B1061" s="119" t="n">
        <v>62.71222890846503</v>
      </c>
      <c r="C1061" s="119" t="n">
        <v>63.7786342116589</v>
      </c>
      <c r="D1061" s="119" t="n">
        <v>62.3600260692637</v>
      </c>
      <c r="E1061" s="119" t="n">
        <v>62.81006240844727</v>
      </c>
      <c r="F1061" s="120" t="n">
        <v>14812200</v>
      </c>
      <c r="G1061" s="121" t="n">
        <v>0.01662701693443869</v>
      </c>
      <c r="H1061" s="122" t="n">
        <v>40.17139094330517</v>
      </c>
      <c r="I1061" s="119" t="n">
        <v>67.38091842651367</v>
      </c>
      <c r="J1061" s="119" t="n">
        <v>66.76238548278809</v>
      </c>
      <c r="K1061" s="121" t="n">
        <v>0.2769110368153836</v>
      </c>
      <c r="L1061" s="121" t="n">
        <v>-0.1848727135983188</v>
      </c>
      <c r="M1061" s="121" t="n">
        <v>-0.201036582146692</v>
      </c>
      <c r="N1061" t="n">
        <v>44.14079027630456</v>
      </c>
      <c r="O1061" t="n">
        <v>-0.02594334635678797</v>
      </c>
      <c r="P1061" t="n">
        <v>161.5398401694459</v>
      </c>
      <c r="Q1061" t="n">
        <v>170.1272051743892</v>
      </c>
    </row>
    <row r="1062">
      <c r="A1062" s="118" t="n">
        <v>45974</v>
      </c>
      <c r="B1062" s="119" t="n">
        <v>64.28736931792623</v>
      </c>
      <c r="C1062" s="119" t="n">
        <v>64.82546473425529</v>
      </c>
      <c r="D1062" s="119" t="n">
        <v>63.47533713118137</v>
      </c>
      <c r="E1062" s="119" t="n">
        <v>64.60044097900391</v>
      </c>
      <c r="F1062" s="120" t="n">
        <v>21923600</v>
      </c>
      <c r="G1062" s="121" t="n">
        <v>0.0285046456237219</v>
      </c>
      <c r="H1062" s="122" t="n">
        <v>41.31646220635608</v>
      </c>
      <c r="I1062" s="119" t="n">
        <v>67.19855392456054</v>
      </c>
      <c r="J1062" s="119" t="n">
        <v>66.71703880310059</v>
      </c>
      <c r="K1062" s="121" t="n">
        <v>0.2871634051141602</v>
      </c>
      <c r="L1062" s="121" t="n">
        <v>-0.1616377991612128</v>
      </c>
      <c r="M1062" s="121" t="n">
        <v>-0.1782624130544658</v>
      </c>
      <c r="N1062" t="n">
        <v>50.97717453548314</v>
      </c>
      <c r="O1062" t="n">
        <v>0.2484828315317507</v>
      </c>
      <c r="P1062" t="n">
        <v>158.8592488822258</v>
      </c>
      <c r="Q1062" t="n">
        <v>166.6538971518786</v>
      </c>
    </row>
    <row r="1063">
      <c r="A1063" s="118" t="n">
        <v>45975</v>
      </c>
      <c r="B1063" s="119" t="n">
        <v>63.53404574067998</v>
      </c>
      <c r="C1063" s="119" t="n">
        <v>63.65144295314433</v>
      </c>
      <c r="D1063" s="119" t="n">
        <v>62.36980695562539</v>
      </c>
      <c r="E1063" s="119" t="n">
        <v>62.78071212768555</v>
      </c>
      <c r="F1063" s="120" t="n">
        <v>17760100</v>
      </c>
      <c r="G1063" s="121" t="n">
        <v>-0.0281689849750375</v>
      </c>
      <c r="H1063" s="122" t="n">
        <v>40.15261940324353</v>
      </c>
      <c r="I1063" s="119" t="n">
        <v>67.0079711151123</v>
      </c>
      <c r="J1063" s="119" t="n">
        <v>66.65417600631714</v>
      </c>
      <c r="K1063" s="121" t="n">
        <v>0.3014198413704198</v>
      </c>
      <c r="L1063" s="121" t="n">
        <v>-0.18525361140028</v>
      </c>
      <c r="M1063" s="121" t="n">
        <v>-0.2014099267945582</v>
      </c>
      <c r="N1063" t="n">
        <v>44.95496532835243</v>
      </c>
      <c r="O1063" t="n">
        <v>0.3085477506978276</v>
      </c>
      <c r="P1063" t="n">
        <v>158.8332384125754</v>
      </c>
      <c r="Q1063" t="n">
        <v>166.7798807485056</v>
      </c>
    </row>
    <row r="1064">
      <c r="A1064" s="118" t="n">
        <v>45978</v>
      </c>
      <c r="B1064" s="119" t="n">
        <v>61.70453334348217</v>
      </c>
      <c r="C1064" s="119" t="n">
        <v>62.16435903136359</v>
      </c>
      <c r="D1064" s="119" t="n">
        <v>60.91206851094145</v>
      </c>
      <c r="E1064" s="119" t="n">
        <v>61.53821563720703</v>
      </c>
      <c r="F1064" s="120" t="n">
        <v>17064700</v>
      </c>
      <c r="G1064" s="121" t="n">
        <v>-0.01979105442371354</v>
      </c>
      <c r="H1064" s="122" t="n">
        <v>39.35795672737928</v>
      </c>
      <c r="I1064" s="119" t="n">
        <v>66.78784233093262</v>
      </c>
      <c r="J1064" s="119" t="n">
        <v>66.59197904586792</v>
      </c>
      <c r="K1064" s="121" t="n">
        <v>0.3067434484091872</v>
      </c>
      <c r="L1064" s="121" t="n">
        <v>-0.201378301518581</v>
      </c>
      <c r="M1064" s="121" t="n">
        <v>-0.2172148663956044</v>
      </c>
      <c r="N1064" t="n">
        <v>41.36198663952551</v>
      </c>
      <c r="O1064" t="n">
        <v>0.2672408614612163</v>
      </c>
      <c r="P1064" t="n">
        <v>157.3534783547937</v>
      </c>
      <c r="Q1064" t="n">
        <v>165.3555009425284</v>
      </c>
    </row>
    <row r="1065">
      <c r="A1065" s="118" t="n">
        <v>45979</v>
      </c>
      <c r="B1065" s="119" t="n">
        <v>61.04904094184239</v>
      </c>
      <c r="C1065" s="119" t="n">
        <v>61.40124380369194</v>
      </c>
      <c r="D1065" s="119" t="n">
        <v>60.3446277539252</v>
      </c>
      <c r="E1065" s="119" t="n">
        <v>61.13709259033203</v>
      </c>
      <c r="F1065" s="120" t="n">
        <v>14614600</v>
      </c>
      <c r="G1065" s="121" t="n">
        <v>-0.006518275558065945</v>
      </c>
      <c r="H1065" s="122" t="n">
        <v>39.10141072002779</v>
      </c>
      <c r="I1065" s="119" t="n">
        <v>66.57045295715332</v>
      </c>
      <c r="J1065" s="119" t="n">
        <v>66.52926763534546</v>
      </c>
      <c r="K1065" s="121" t="n">
        <v>0.302115407782423</v>
      </c>
      <c r="L1065" s="121" t="n">
        <v>-0.2013381393741196</v>
      </c>
      <c r="M1065" s="121" t="n">
        <v>-0.2223172755991953</v>
      </c>
      <c r="N1065" t="n">
        <v>40.24372788675995</v>
      </c>
      <c r="O1065" t="n">
        <v>0.2176468535947196</v>
      </c>
      <c r="P1065" t="n">
        <v>156.0320941264777</v>
      </c>
      <c r="Q1065" t="n">
        <v>163.3421461443286</v>
      </c>
    </row>
    <row r="1066">
      <c r="A1066" s="118" t="n">
        <v>45980</v>
      </c>
      <c r="B1066" s="119" t="n">
        <v>61.07838758595597</v>
      </c>
      <c r="C1066" s="119" t="n">
        <v>61.85128494100914</v>
      </c>
      <c r="D1066" s="119" t="n">
        <v>60.66747866687232</v>
      </c>
      <c r="E1066" s="119" t="n">
        <v>61.28384017944336</v>
      </c>
      <c r="F1066" s="120" t="n">
        <v>11732100</v>
      </c>
      <c r="G1066" s="121" t="n">
        <v>0.002400303692795092</v>
      </c>
      <c r="H1066" s="122" t="n">
        <v>39.19526598057256</v>
      </c>
      <c r="I1066" s="119" t="n">
        <v>66.34328002929688</v>
      </c>
      <c r="J1066" s="119" t="n">
        <v>66.46666465759277</v>
      </c>
      <c r="K1066" s="121" t="n">
        <v>0.2981707775913665</v>
      </c>
      <c r="L1066" s="121" t="n">
        <v>-0.1933701083236085</v>
      </c>
      <c r="M1066" s="121" t="n">
        <v>-0.2204506008839932</v>
      </c>
      <c r="N1066" t="n">
        <v>40.87352540384018</v>
      </c>
      <c r="O1066" t="n">
        <v>0.1999262030199285</v>
      </c>
      <c r="P1066" t="n">
        <v>156.6348736681086</v>
      </c>
      <c r="Q1066" t="n">
        <v>164.3173276442718</v>
      </c>
    </row>
    <row r="1067">
      <c r="A1067" s="118" t="n">
        <v>45981</v>
      </c>
      <c r="B1067" s="119" t="n">
        <v>61.58712896558099</v>
      </c>
      <c r="C1067" s="119" t="n">
        <v>62.4480779507281</v>
      </c>
      <c r="D1067" s="119" t="n">
        <v>60.08046917460077</v>
      </c>
      <c r="E1067" s="119" t="n">
        <v>60.10003662109375</v>
      </c>
      <c r="F1067" s="120" t="n">
        <v>13886600</v>
      </c>
      <c r="G1067" s="121" t="n">
        <v>-0.01931673267999112</v>
      </c>
      <c r="H1067" s="122" t="n">
        <v>38.43814150530469</v>
      </c>
      <c r="I1067" s="119" t="n">
        <v>66.09086563110351</v>
      </c>
      <c r="J1067" s="119" t="n">
        <v>66.40848411560059</v>
      </c>
      <c r="K1067" s="121" t="n">
        <v>0.2980480569440458</v>
      </c>
      <c r="L1067" s="121" t="n">
        <v>-0.207530193083628</v>
      </c>
      <c r="M1067" s="121" t="n">
        <v>-0.2355089482375649</v>
      </c>
      <c r="N1067" t="n">
        <v>37.44501981297675</v>
      </c>
      <c r="O1067" t="n">
        <v>0.1177437630126867</v>
      </c>
      <c r="P1067" t="n">
        <v>154.2474093179449</v>
      </c>
      <c r="Q1067" t="n">
        <v>160.4276260481998</v>
      </c>
    </row>
    <row r="1068">
      <c r="A1068" s="118" t="n">
        <v>45982</v>
      </c>
      <c r="B1068" s="119" t="n">
        <v>60.66747892341676</v>
      </c>
      <c r="C1068" s="119" t="n">
        <v>62.12522199503446</v>
      </c>
      <c r="D1068" s="119" t="n">
        <v>60.20765698349229</v>
      </c>
      <c r="E1068" s="119" t="n">
        <v>61.44037628173828</v>
      </c>
      <c r="F1068" s="120" t="n">
        <v>12476900</v>
      </c>
      <c r="G1068" s="121" t="n">
        <v>0.02230181104705187</v>
      </c>
      <c r="H1068" s="122" t="n">
        <v>39.29538167415584</v>
      </c>
      <c r="I1068" s="119" t="n">
        <v>65.89128219604493</v>
      </c>
      <c r="J1068" s="119" t="n">
        <v>66.37061756134034</v>
      </c>
      <c r="K1068" s="121" t="n">
        <v>0.3144350266950486</v>
      </c>
      <c r="L1068" s="121" t="n">
        <v>-0.1840976345748896</v>
      </c>
      <c r="M1068" s="121" t="n">
        <v>-0.218459413253997</v>
      </c>
      <c r="N1068" t="n">
        <v>43.24936703815891</v>
      </c>
      <c r="O1068" t="n">
        <v>0.1602826230511796</v>
      </c>
      <c r="P1068" t="n">
        <v>155.7839036216084</v>
      </c>
      <c r="Q1068" t="n">
        <v>161.6328937331388</v>
      </c>
    </row>
    <row r="1069">
      <c r="A1069" s="118" t="n">
        <v>45985</v>
      </c>
      <c r="B1069" s="119" t="n">
        <v>61.15665537045347</v>
      </c>
      <c r="C1069" s="119" t="n">
        <v>61.70453270068757</v>
      </c>
      <c r="D1069" s="119" t="n">
        <v>60.58921432495117</v>
      </c>
      <c r="E1069" s="119" t="n">
        <v>60.58921432495117</v>
      </c>
      <c r="F1069" s="120" t="n">
        <v>16681700</v>
      </c>
      <c r="G1069" s="121" t="n">
        <v>-0.01385346262991716</v>
      </c>
      <c r="H1069" s="122" t="n">
        <v>38.75100457260459</v>
      </c>
      <c r="I1069" s="119" t="n">
        <v>65.67408851623536</v>
      </c>
      <c r="J1069" s="119" t="n">
        <v>66.34321371078491</v>
      </c>
      <c r="K1069" s="121" t="n">
        <v>0.3160170111720081</v>
      </c>
      <c r="L1069" s="121" t="n">
        <v>-0.1781021341061112</v>
      </c>
      <c r="M1069" s="121" t="n">
        <v>-0.2292864565662464</v>
      </c>
      <c r="N1069" t="n">
        <v>40.66868978385176</v>
      </c>
      <c r="O1069" t="n">
        <v>0.1385425903729858</v>
      </c>
      <c r="P1069" t="n">
        <v>158.0767963480598</v>
      </c>
      <c r="Q1069" t="n">
        <v>165.7663739242822</v>
      </c>
    </row>
    <row r="1070">
      <c r="A1070" s="118" t="n">
        <v>45986</v>
      </c>
      <c r="B1070" s="119" t="n">
        <v>60.99033390054907</v>
      </c>
      <c r="C1070" s="119" t="n">
        <v>62.73179928851538</v>
      </c>
      <c r="D1070" s="119" t="n">
        <v>60.53050824584607</v>
      </c>
      <c r="E1070" s="119" t="n">
        <v>62.30132293701172</v>
      </c>
      <c r="F1070" s="120" t="n">
        <v>11527200</v>
      </c>
      <c r="G1070" s="121" t="n">
        <v>0.02825764669728503</v>
      </c>
      <c r="H1070" s="122" t="n">
        <v>39.84601676898213</v>
      </c>
      <c r="I1070" s="119" t="n">
        <v>65.49661582946777</v>
      </c>
      <c r="J1070" s="119" t="n">
        <v>66.31349977493286</v>
      </c>
      <c r="K1070" s="121" t="n">
        <v>0.3334511259835218</v>
      </c>
      <c r="L1070" s="121" t="n">
        <v>-0.1548772345904291</v>
      </c>
      <c r="M1070" s="121" t="n">
        <v>-0.2075079055510827</v>
      </c>
      <c r="N1070" t="n">
        <v>47.45992008123605</v>
      </c>
      <c r="O1070" t="n">
        <v>0.2409196143144476</v>
      </c>
      <c r="P1070" t="n">
        <v>159.5636700074405</v>
      </c>
      <c r="Q1070" t="n">
        <v>166.7881196864309</v>
      </c>
    </row>
    <row r="1071">
      <c r="A1071" s="118" t="n">
        <v>45987</v>
      </c>
      <c r="B1071" s="119" t="n">
        <v>62.12522358643916</v>
      </c>
      <c r="C1071" s="119" t="n">
        <v>63.46556574306032</v>
      </c>
      <c r="D1071" s="119" t="n">
        <v>61.60669929251225</v>
      </c>
      <c r="E1071" s="119" t="n">
        <v>62.937255859375</v>
      </c>
      <c r="F1071" s="120" t="n">
        <v>13791000</v>
      </c>
      <c r="G1071" s="121" t="n">
        <v>0.01020737429614815</v>
      </c>
      <c r="H1071" s="122" t="n">
        <v>40.25273997635372</v>
      </c>
      <c r="I1071" s="119" t="n">
        <v>65.3404712677002</v>
      </c>
      <c r="J1071" s="119" t="n">
        <v>66.28504152297974</v>
      </c>
      <c r="K1071" s="121" t="n">
        <v>0.3189315441665174</v>
      </c>
      <c r="L1071" s="121" t="n">
        <v>-0.1462507501976978</v>
      </c>
      <c r="M1071" s="121" t="n">
        <v>-0.1994186421163042</v>
      </c>
      <c r="N1071" t="n">
        <v>49.76018183534941</v>
      </c>
      <c r="O1071" t="n">
        <v>0.3464959091252222</v>
      </c>
      <c r="P1071" t="n">
        <v>160.6652163065856</v>
      </c>
      <c r="Q1071" t="n">
        <v>168.261798880646</v>
      </c>
    </row>
    <row r="1072">
      <c r="A1072" s="118" t="n">
        <v>45989</v>
      </c>
      <c r="B1072" s="119" t="n">
        <v>63.07422274101749</v>
      </c>
      <c r="C1072" s="119" t="n">
        <v>63.37750883826724</v>
      </c>
      <c r="D1072" s="119" t="n">
        <v>62.58504776392161</v>
      </c>
      <c r="E1072" s="119" t="n">
        <v>63.23075485229492</v>
      </c>
      <c r="F1072" s="120" t="n">
        <v>4941400</v>
      </c>
      <c r="G1072" s="121" t="n">
        <v>0.004663358592813527</v>
      </c>
      <c r="H1072" s="122" t="n">
        <v>40.44045293720674</v>
      </c>
      <c r="I1072" s="119" t="n">
        <v>65.19430572509765</v>
      </c>
      <c r="J1072" s="119" t="n">
        <v>66.25362560272217</v>
      </c>
      <c r="K1072" s="121" t="n">
        <v>0.3185447785404112</v>
      </c>
      <c r="L1072" s="121" t="n">
        <v>-0.1332976415725244</v>
      </c>
      <c r="M1072" s="121" t="n">
        <v>-0.1956852441617709</v>
      </c>
      <c r="N1072" t="n">
        <v>50.83013685061807</v>
      </c>
      <c r="O1072" t="n">
        <v>0.4258998934513827</v>
      </c>
      <c r="P1072" t="n">
        <v>161.5421968227363</v>
      </c>
      <c r="Q1072" t="n">
        <v>169.625922014342</v>
      </c>
    </row>
    <row r="1073">
      <c r="A1073" s="118" t="n">
        <v>45992</v>
      </c>
      <c r="B1073" s="119" t="n">
        <v>62.78768418914595</v>
      </c>
      <c r="C1073" s="119" t="n">
        <v>64.9734846443512</v>
      </c>
      <c r="D1073" s="119" t="n">
        <v>62.60061231076207</v>
      </c>
      <c r="E1073" s="119" t="n">
        <v>64.38272857666016</v>
      </c>
      <c r="F1073" s="120" t="n">
        <v>12047300</v>
      </c>
      <c r="G1073" s="121" t="n">
        <v>0.01821856669363209</v>
      </c>
      <c r="H1073" s="122" t="n">
        <v>41.17722002616394</v>
      </c>
      <c r="I1073" s="119" t="n">
        <v>65.09485580444336</v>
      </c>
      <c r="J1073" s="119" t="n">
        <v>66.22340007781982</v>
      </c>
      <c r="K1073" s="121" t="n">
        <v>0.3243926775877363</v>
      </c>
      <c r="L1073" s="121" t="n">
        <v>-0.1175075668519853</v>
      </c>
      <c r="M1073" s="121" t="n">
        <v>-0.1810317821398597</v>
      </c>
      <c r="N1073" t="n">
        <v>54.89085371451333</v>
      </c>
      <c r="O1073" t="n">
        <v>0.538552232339921</v>
      </c>
      <c r="P1073" t="n">
        <v>160.8046661735147</v>
      </c>
      <c r="Q1073" t="n">
        <v>169.0561600240025</v>
      </c>
    </row>
    <row r="1074">
      <c r="A1074" s="118" t="n">
        <v>45993</v>
      </c>
      <c r="B1074" s="119" t="n">
        <v>64.4418076486732</v>
      </c>
      <c r="C1074" s="119" t="n">
        <v>64.46150377607103</v>
      </c>
      <c r="D1074" s="119" t="n">
        <v>63.58521390365872</v>
      </c>
      <c r="E1074" s="119" t="n">
        <v>63.9298210144043</v>
      </c>
      <c r="F1074" s="120" t="n">
        <v>9051200</v>
      </c>
      <c r="G1074" s="121" t="n">
        <v>-0.007034612733391454</v>
      </c>
      <c r="H1074" s="122" t="n">
        <v>40.88755422984222</v>
      </c>
      <c r="I1074" s="119" t="n">
        <v>64.97871650695801</v>
      </c>
      <c r="J1074" s="119" t="n">
        <v>66.19172769546509</v>
      </c>
      <c r="K1074" s="121" t="n">
        <v>0.3047627297212135</v>
      </c>
      <c r="L1074" s="121" t="n">
        <v>-0.1237155593593299</v>
      </c>
      <c r="M1074" s="121" t="n">
        <v>-0.1867929063934616</v>
      </c>
      <c r="N1074" t="n">
        <v>53.03634458576838</v>
      </c>
      <c r="O1074" t="n">
        <v>0.562491330094534</v>
      </c>
      <c r="P1074" t="n">
        <v>161.102535511637</v>
      </c>
      <c r="Q1074" t="n">
        <v>170.3792059274717</v>
      </c>
    </row>
    <row r="1075">
      <c r="A1075" s="118" t="n">
        <v>45994</v>
      </c>
      <c r="B1075" s="119" t="n">
        <v>64.07750589268086</v>
      </c>
      <c r="C1075" s="119" t="n">
        <v>65.63316928836846</v>
      </c>
      <c r="D1075" s="119" t="n">
        <v>63.97904780057159</v>
      </c>
      <c r="E1075" s="119" t="n">
        <v>64.63872528076172</v>
      </c>
      <c r="F1075" s="120" t="n">
        <v>12028300</v>
      </c>
      <c r="G1075" s="121" t="n">
        <v>0.01108878853575535</v>
      </c>
      <c r="H1075" s="122" t="n">
        <v>41.34094767244117</v>
      </c>
      <c r="I1075" s="119" t="n">
        <v>64.88360374450684</v>
      </c>
      <c r="J1075" s="119" t="n">
        <v>66.14171445846557</v>
      </c>
      <c r="K1075" s="121" t="n">
        <v>0.2913737904943297</v>
      </c>
      <c r="L1075" s="121" t="n">
        <v>-0.1139986264998929</v>
      </c>
      <c r="M1075" s="121" t="n">
        <v>-0.1777754248966824</v>
      </c>
      <c r="N1075" t="n">
        <v>55.56680326995168</v>
      </c>
      <c r="O1075" t="n">
        <v>0.6024338450819496</v>
      </c>
      <c r="P1075" t="n">
        <v>161.6603931683235</v>
      </c>
      <c r="Q1075" t="n">
        <v>170.7955659412044</v>
      </c>
    </row>
    <row r="1076">
      <c r="A1076" s="118" t="n">
        <v>45995</v>
      </c>
      <c r="B1076" s="119" t="n">
        <v>64.58949829553791</v>
      </c>
      <c r="C1076" s="119" t="n">
        <v>65.08179631229029</v>
      </c>
      <c r="D1076" s="119" t="n">
        <v>64.00859024146847</v>
      </c>
      <c r="E1076" s="119" t="n">
        <v>64.67811584472656</v>
      </c>
      <c r="F1076" s="120" t="n">
        <v>10619500</v>
      </c>
      <c r="G1076" s="121" t="n">
        <v>0.000609395742161567</v>
      </c>
      <c r="H1076" s="122" t="n">
        <v>41.36614066992968</v>
      </c>
      <c r="I1076" s="119" t="n">
        <v>64.7836043548584</v>
      </c>
      <c r="J1076" s="119" t="n">
        <v>66.0957942390442</v>
      </c>
      <c r="K1076" s="121" t="n">
        <v>0.2889423191097758</v>
      </c>
      <c r="L1076" s="121" t="n">
        <v>-0.1134587010353326</v>
      </c>
      <c r="M1076" s="121" t="n">
        <v>-0.1772743647415139</v>
      </c>
      <c r="N1076" t="n">
        <v>55.70960589628158</v>
      </c>
      <c r="O1076" t="n">
        <v>0.6062132703422684</v>
      </c>
      <c r="P1076" t="n">
        <v>161.7785749666682</v>
      </c>
      <c r="Q1076" t="n">
        <v>170.6367104924474</v>
      </c>
    </row>
    <row r="1077">
      <c r="A1077" s="118" t="n">
        <v>45996</v>
      </c>
      <c r="B1077" s="119" t="n">
        <v>64.68795815600353</v>
      </c>
      <c r="C1077" s="119" t="n">
        <v>65.06210946650994</v>
      </c>
      <c r="D1077" s="119" t="n">
        <v>63.88058968704436</v>
      </c>
      <c r="E1077" s="119" t="n">
        <v>64.84549713134766</v>
      </c>
      <c r="F1077" s="120" t="n">
        <v>10917900</v>
      </c>
      <c r="G1077" s="121" t="n">
        <v>0.002587912224019107</v>
      </c>
      <c r="H1077" s="122" t="n">
        <v>41.47319261102989</v>
      </c>
      <c r="I1077" s="119" t="n">
        <v>64.72569526672363</v>
      </c>
      <c r="J1077" s="119" t="n">
        <v>66.04854639053345</v>
      </c>
      <c r="K1077" s="121" t="n">
        <v>0.2878394457788923</v>
      </c>
      <c r="L1077" s="121" t="n">
        <v>-0.111164409970644</v>
      </c>
      <c r="M1077" s="121" t="n">
        <v>-0.1751452230130146</v>
      </c>
      <c r="N1077" t="n">
        <v>56.35154946625742</v>
      </c>
      <c r="O1077" t="n">
        <v>0.5939146340825704</v>
      </c>
      <c r="P1077" t="n">
        <v>162.0858709179524</v>
      </c>
      <c r="Q1077" t="n">
        <v>171.3324560794138</v>
      </c>
    </row>
    <row r="1078">
      <c r="A1078" s="118" t="n">
        <v>45999</v>
      </c>
      <c r="B1078" s="119" t="n">
        <v>64.58949502843662</v>
      </c>
      <c r="C1078" s="119" t="n">
        <v>64.78641873229962</v>
      </c>
      <c r="D1078" s="119" t="n">
        <v>62.2953883394989</v>
      </c>
      <c r="E1078" s="119" t="n">
        <v>62.56122970581055</v>
      </c>
      <c r="F1078" s="120" t="n">
        <v>12867300</v>
      </c>
      <c r="G1078" s="121" t="n">
        <v>-0.03522630755548406</v>
      </c>
      <c r="H1078" s="122" t="n">
        <v>40.01224517280592</v>
      </c>
      <c r="I1078" s="119" t="n">
        <v>64.62073120117188</v>
      </c>
      <c r="J1078" s="119" t="n">
        <v>65.99338855743409</v>
      </c>
      <c r="K1078" s="121" t="n">
        <v>0.3144620125443414</v>
      </c>
      <c r="L1078" s="121" t="n">
        <v>-0.1424748058312784</v>
      </c>
      <c r="M1078" s="121" t="n">
        <v>-0.2042018110757683</v>
      </c>
      <c r="N1078" t="n">
        <v>46.4557382322521</v>
      </c>
      <c r="O1078" t="n">
        <v>0.4143711502820261</v>
      </c>
      <c r="P1078" t="n">
        <v>161.5989310686182</v>
      </c>
      <c r="Q1078" t="n">
        <v>171.0037543380278</v>
      </c>
    </row>
    <row r="1079">
      <c r="A1079" s="118" t="n">
        <v>46000</v>
      </c>
      <c r="B1079" s="119" t="n">
        <v>62.53168930632116</v>
      </c>
      <c r="C1079" s="119" t="n">
        <v>62.96491394318451</v>
      </c>
      <c r="D1079" s="119" t="n">
        <v>62.00001032934389</v>
      </c>
      <c r="E1079" s="119" t="n">
        <v>62.35446548461914</v>
      </c>
      <c r="F1079" s="120" t="n">
        <v>9300200</v>
      </c>
      <c r="G1079" s="121" t="n">
        <v>-0.003304989722288099</v>
      </c>
      <c r="H1079" s="122" t="n">
        <v>39.88000511374412</v>
      </c>
      <c r="I1079" s="119" t="n">
        <v>64.50693550109864</v>
      </c>
      <c r="J1079" s="119" t="n">
        <v>65.91901514053345</v>
      </c>
      <c r="K1079" s="121" t="n">
        <v>0.3140642627743585</v>
      </c>
      <c r="L1079" s="121" t="n">
        <v>-0.1453089177846092</v>
      </c>
      <c r="M1079" s="121" t="n">
        <v>-0.2068319159111783</v>
      </c>
      <c r="N1079" t="n">
        <v>45.67388254835412</v>
      </c>
      <c r="O1079" t="n">
        <v>0.2710507676212701</v>
      </c>
      <c r="P1079" t="n">
        <v>161.459452107204</v>
      </c>
      <c r="Q1079" t="n">
        <v>171.2146610809693</v>
      </c>
    </row>
    <row r="1080">
      <c r="A1080" s="118" t="n">
        <v>46001</v>
      </c>
      <c r="B1080" s="119" t="n">
        <v>62.994453029406</v>
      </c>
      <c r="C1080" s="119" t="n">
        <v>65.13102834998018</v>
      </c>
      <c r="D1080" s="119" t="n">
        <v>62.77784070269215</v>
      </c>
      <c r="E1080" s="119" t="n">
        <v>64.77657318115234</v>
      </c>
      <c r="F1080" s="120" t="n">
        <v>20302100</v>
      </c>
      <c r="G1080" s="121" t="n">
        <v>0.03884417383275718</v>
      </c>
      <c r="H1080" s="122" t="n">
        <v>41.42911096483364</v>
      </c>
      <c r="I1080" s="119" t="n">
        <v>64.43806007385254</v>
      </c>
      <c r="J1080" s="119" t="n">
        <v>65.84982580184936</v>
      </c>
      <c r="K1080" s="121" t="n">
        <v>0.314358951609171</v>
      </c>
      <c r="L1080" s="121" t="n">
        <v>-0.1121091488137271</v>
      </c>
      <c r="M1080" s="121" t="n">
        <v>-0.1760219569742372</v>
      </c>
      <c r="N1080" t="n">
        <v>55.18828540538148</v>
      </c>
      <c r="O1080" t="n">
        <v>0.3250980990193296</v>
      </c>
      <c r="P1080" t="n">
        <v>162.5302891773603</v>
      </c>
      <c r="Q1080" t="n">
        <v>171.9159104798289</v>
      </c>
    </row>
    <row r="1081">
      <c r="A1081" s="118" t="n">
        <v>46002</v>
      </c>
      <c r="B1081" s="119" t="n">
        <v>64.81595868539333</v>
      </c>
      <c r="C1081" s="119" t="n">
        <v>66.77530268865083</v>
      </c>
      <c r="D1081" s="119" t="n">
        <v>64.55011354971157</v>
      </c>
      <c r="E1081" s="119" t="n">
        <v>66.696533203125</v>
      </c>
      <c r="F1081" s="120" t="n">
        <v>16153500</v>
      </c>
      <c r="G1081" s="121" t="n">
        <v>0.02963972818696892</v>
      </c>
      <c r="H1081" s="122" t="n">
        <v>42.65705855285908</v>
      </c>
      <c r="I1081" s="119" t="n">
        <v>64.32011940002441</v>
      </c>
      <c r="J1081" s="119" t="n">
        <v>65.7928818321228</v>
      </c>
      <c r="K1081" s="121" t="n">
        <v>0.325288402221992</v>
      </c>
      <c r="L1081" s="121" t="n">
        <v>-0.08579230532486959</v>
      </c>
      <c r="M1081" s="121" t="n">
        <v>-0.151599471746923</v>
      </c>
      <c r="N1081" t="n">
        <v>61.01651846438362</v>
      </c>
      <c r="O1081" t="n">
        <v>0.4672315837103848</v>
      </c>
      <c r="P1081" t="n">
        <v>162.9084883887543</v>
      </c>
      <c r="Q1081" t="n">
        <v>171.3598576794793</v>
      </c>
    </row>
    <row r="1082">
      <c r="A1082" s="118" t="n">
        <v>46003</v>
      </c>
      <c r="B1082" s="119" t="n">
        <v>67.11990878838311</v>
      </c>
      <c r="C1082" s="119" t="n">
        <v>68.07496812837108</v>
      </c>
      <c r="D1082" s="119" t="n">
        <v>66.08608747592564</v>
      </c>
      <c r="E1082" s="119" t="n">
        <v>66.43069458007812</v>
      </c>
      <c r="F1082" s="120" t="n">
        <v>14829200</v>
      </c>
      <c r="G1082" s="121" t="n">
        <v>-0.003985793717902308</v>
      </c>
      <c r="H1082" s="122" t="n">
        <v>42.48703631685491</v>
      </c>
      <c r="I1082" s="119" t="n">
        <v>64.18962211608887</v>
      </c>
      <c r="J1082" s="119" t="n">
        <v>65.74014013290406</v>
      </c>
      <c r="K1082" s="121" t="n">
        <v>0.3119444249751799</v>
      </c>
      <c r="L1082" s="121" t="n">
        <v>-0.08943614861116356</v>
      </c>
      <c r="M1082" s="121" t="n">
        <v>-0.1549810212426991</v>
      </c>
      <c r="N1082" t="n">
        <v>59.85570752076778</v>
      </c>
      <c r="O1082" t="n">
        <v>0.5165674122497066</v>
      </c>
      <c r="P1082" t="n">
        <v>161.1568985569859</v>
      </c>
      <c r="Q1082" t="n">
        <v>168.0837472099203</v>
      </c>
    </row>
    <row r="1083">
      <c r="A1083" s="118" t="n">
        <v>46006</v>
      </c>
      <c r="B1083" s="119" t="n">
        <v>66.37162801053161</v>
      </c>
      <c r="C1083" s="119" t="n">
        <v>67.29714325463979</v>
      </c>
      <c r="D1083" s="119" t="n">
        <v>65.66271760270592</v>
      </c>
      <c r="E1083" s="119" t="n">
        <v>66.73592376708984</v>
      </c>
      <c r="F1083" s="120" t="n">
        <v>15287500</v>
      </c>
      <c r="G1083" s="121" t="n">
        <v>0.00459470112334559</v>
      </c>
      <c r="H1083" s="122" t="n">
        <v>42.68225155034759</v>
      </c>
      <c r="I1083" s="119" t="n">
        <v>64.11688636779785</v>
      </c>
      <c r="J1083" s="119" t="n">
        <v>65.69176244735718</v>
      </c>
      <c r="K1083" s="121" t="n">
        <v>0.2915120082431804</v>
      </c>
      <c r="L1083" s="121" t="n">
        <v>-0.08525237986030942</v>
      </c>
      <c r="M1083" s="121" t="n">
        <v>-0.1510984115917545</v>
      </c>
      <c r="N1083" t="n">
        <v>60.77834823264113</v>
      </c>
      <c r="O1083" t="n">
        <v>0.5404200539428871</v>
      </c>
      <c r="P1083" t="n">
        <v>160.913406811455</v>
      </c>
      <c r="Q1083" t="n">
        <v>167.2400698984115</v>
      </c>
    </row>
    <row r="1084">
      <c r="A1084" s="118" t="n">
        <v>46007</v>
      </c>
      <c r="B1084" s="119" t="n">
        <v>66.25346961482708</v>
      </c>
      <c r="C1084" s="119" t="n">
        <v>67.14944812103592</v>
      </c>
      <c r="D1084" s="119" t="n">
        <v>65.71193877841881</v>
      </c>
      <c r="E1084" s="119" t="n">
        <v>66.08609008789062</v>
      </c>
      <c r="F1084" s="120" t="n">
        <v>16376700</v>
      </c>
      <c r="G1084" s="121" t="n">
        <v>-0.009737389437616151</v>
      </c>
      <c r="H1084" s="122" t="n">
        <v>42.26663784492756</v>
      </c>
      <c r="I1084" s="119" t="n">
        <v>64.04602485656739</v>
      </c>
      <c r="J1084" s="119" t="n">
        <v>65.64313283920288</v>
      </c>
      <c r="K1084" s="121" t="n">
        <v>0.2830482322021476</v>
      </c>
      <c r="L1084" s="121" t="n">
        <v>-0.09415963367474212</v>
      </c>
      <c r="M1084" s="121" t="n">
        <v>-0.1593644969522965</v>
      </c>
      <c r="N1084" t="n">
        <v>57.73595065581953</v>
      </c>
      <c r="O1084" t="n">
        <v>0.4848683253808462</v>
      </c>
      <c r="P1084" t="n">
        <v>160.4737455003556</v>
      </c>
      <c r="Q1084" t="n">
        <v>167.5715067658298</v>
      </c>
    </row>
    <row r="1085">
      <c r="A1085" s="118" t="n">
        <v>46008</v>
      </c>
      <c r="B1085" s="119" t="n">
        <v>65.53470958627788</v>
      </c>
      <c r="C1085" s="119" t="n">
        <v>65.80055472197226</v>
      </c>
      <c r="D1085" s="119" t="n">
        <v>64.60919442285609</v>
      </c>
      <c r="E1085" s="119" t="n">
        <v>64.67811584472656</v>
      </c>
      <c r="F1085" s="120" t="n">
        <v>13205500</v>
      </c>
      <c r="G1085" s="121" t="n">
        <v>-0.02130515273776279</v>
      </c>
      <c r="H1085" s="122" t="n">
        <v>41.36614066992967</v>
      </c>
      <c r="I1085" s="119" t="n">
        <v>63.99122520446777</v>
      </c>
      <c r="J1085" s="119" t="n">
        <v>65.59273283004761</v>
      </c>
      <c r="K1085" s="121" t="n">
        <v>0.2947675334812212</v>
      </c>
      <c r="L1085" s="121" t="n">
        <v>-0.1134587010353327</v>
      </c>
      <c r="M1085" s="121" t="n">
        <v>-0.1772743647415139</v>
      </c>
      <c r="N1085" t="n">
        <v>51.69764602242753</v>
      </c>
      <c r="O1085" t="n">
        <v>0.3329717166372361</v>
      </c>
      <c r="P1085" t="n">
        <v>158.7079575598742</v>
      </c>
      <c r="Q1085" t="n">
        <v>164.4652425888997</v>
      </c>
    </row>
    <row r="1086">
      <c r="A1086" s="118" t="n">
        <v>46009</v>
      </c>
      <c r="B1086" s="119" t="n">
        <v>64.99318510708291</v>
      </c>
      <c r="C1086" s="119" t="n">
        <v>65.96793305941291</v>
      </c>
      <c r="D1086" s="119" t="n">
        <v>64.39258093648779</v>
      </c>
      <c r="E1086" s="119" t="n">
        <v>64.61903381347656</v>
      </c>
      <c r="F1086" s="120" t="n">
        <v>35650000</v>
      </c>
      <c r="G1086" s="121" t="n">
        <v>-0.0009134779280187688</v>
      </c>
      <c r="H1086" s="122" t="n">
        <v>41.32835361346037</v>
      </c>
      <c r="I1086" s="119" t="n">
        <v>63.93172203063965</v>
      </c>
      <c r="J1086" s="119" t="n">
        <v>65.53966859817506</v>
      </c>
      <c r="K1086" s="121" t="n">
        <v>0.2950888590564646</v>
      </c>
      <c r="L1086" s="121" t="n">
        <v>-0.1142685369442142</v>
      </c>
      <c r="M1086" s="121" t="n">
        <v>-0.1780259064501377</v>
      </c>
      <c r="N1086" t="n">
        <v>51.45446083321361</v>
      </c>
      <c r="O1086" t="n">
        <v>0.2139749145446591</v>
      </c>
      <c r="P1086" t="n">
        <v>159.906403041537</v>
      </c>
      <c r="Q1086" t="n">
        <v>166.8483595787978</v>
      </c>
    </row>
    <row r="1087">
      <c r="A1087" s="118" t="n">
        <v>46010</v>
      </c>
      <c r="B1087" s="119" t="n">
        <v>58.28808726496187</v>
      </c>
      <c r="C1087" s="119" t="n">
        <v>59.44991091148832</v>
      </c>
      <c r="D1087" s="119" t="n">
        <v>57.32318358081777</v>
      </c>
      <c r="E1087" s="119" t="n">
        <v>57.80563354492188</v>
      </c>
      <c r="F1087" s="120" t="n">
        <v>108652700</v>
      </c>
      <c r="G1087" s="121" t="n">
        <v>-0.1054395255772723</v>
      </c>
      <c r="H1087" s="122" t="n">
        <v>36.97071161556736</v>
      </c>
      <c r="I1087" s="119" t="n">
        <v>63.75610481262207</v>
      </c>
      <c r="J1087" s="119" t="n">
        <v>65.45302076339722</v>
      </c>
      <c r="K1087" s="121" t="n">
        <v>0.4807263209492714</v>
      </c>
      <c r="L1087" s="121" t="n">
        <v>-0.2076596421976795</v>
      </c>
      <c r="M1087" s="121" t="n">
        <v>-0.2646944649108437</v>
      </c>
      <c r="N1087" t="n">
        <v>32.4798318234504</v>
      </c>
      <c r="O1087" t="n">
        <v>-0.3096954198144018</v>
      </c>
      <c r="P1087" t="n">
        <v>161.3557157206954</v>
      </c>
      <c r="Q1087" t="n">
        <v>169.0233049517868</v>
      </c>
    </row>
    <row r="1088">
      <c r="A1088" s="118" t="n">
        <v>46013</v>
      </c>
      <c r="B1088" s="119" t="n">
        <v>58.08132028849413</v>
      </c>
      <c r="C1088" s="119" t="n">
        <v>58.16993407964069</v>
      </c>
      <c r="D1088" s="119" t="n">
        <v>56.25981541624509</v>
      </c>
      <c r="E1088" s="119" t="n">
        <v>56.33858489990234</v>
      </c>
      <c r="F1088" s="120" t="n">
        <v>38695900</v>
      </c>
      <c r="G1088" s="121" t="n">
        <v>-0.02537899085353779</v>
      </c>
      <c r="H1088" s="122" t="n">
        <v>36.03243226362709</v>
      </c>
      <c r="I1088" s="119" t="n">
        <v>63.60671676635742</v>
      </c>
      <c r="J1088" s="119" t="n">
        <v>65.35478357315064</v>
      </c>
      <c r="K1088" s="121" t="n">
        <v>0.4792206128268475</v>
      </c>
      <c r="L1088" s="121" t="n">
        <v>-0.2277684408912336</v>
      </c>
      <c r="M1088" s="121" t="n">
        <v>-0.2833557773604272</v>
      </c>
      <c r="N1088" t="n">
        <v>29.92127182415254</v>
      </c>
      <c r="O1088" t="n">
        <v>-0.7176580910491839</v>
      </c>
      <c r="P1088" t="n">
        <v>162.3609447270242</v>
      </c>
      <c r="Q1088" t="n">
        <v>169.8335063342504</v>
      </c>
    </row>
    <row r="1089">
      <c r="A1089" s="118" t="n">
        <v>46014</v>
      </c>
      <c r="B1089" s="119" t="n">
        <v>56.29920230093564</v>
      </c>
      <c r="C1089" s="119" t="n">
        <v>56.71273083806883</v>
      </c>
      <c r="D1089" s="119" t="n">
        <v>56.11213040403289</v>
      </c>
      <c r="E1089" s="119" t="n">
        <v>56.45673751831055</v>
      </c>
      <c r="F1089" s="120" t="n">
        <v>23276700</v>
      </c>
      <c r="G1089" s="121" t="n">
        <v>0.00209718825238725</v>
      </c>
      <c r="H1089" s="122" t="n">
        <v>36.10799905727531</v>
      </c>
      <c r="I1089" s="119" t="n">
        <v>63.41742729187012</v>
      </c>
      <c r="J1089" s="119" t="n">
        <v>65.26772426605224</v>
      </c>
      <c r="K1089" s="121" t="n">
        <v>0.4781583898682216</v>
      </c>
      <c r="L1089" s="121" t="n">
        <v>-0.2261489259373479</v>
      </c>
      <c r="M1089" s="121" t="n">
        <v>-0.2818528395155662</v>
      </c>
      <c r="N1089" t="n">
        <v>30.39681990769434</v>
      </c>
      <c r="O1089" t="n">
        <v>-0.928911834045564</v>
      </c>
      <c r="P1089" t="n">
        <v>163.1029995686738</v>
      </c>
      <c r="Q1089" t="n">
        <v>170.6288910523797</v>
      </c>
    </row>
    <row r="1090">
      <c r="A1090" s="118" t="n">
        <v>46015</v>
      </c>
      <c r="B1090" s="119" t="n">
        <v>57.97301342145365</v>
      </c>
      <c r="C1090" s="119" t="n">
        <v>59.64682736945881</v>
      </c>
      <c r="D1090" s="119" t="n">
        <v>57.97301342145365</v>
      </c>
      <c r="E1090" s="119" t="n">
        <v>59.07575988769531</v>
      </c>
      <c r="F1090" s="120" t="n">
        <v>36073300</v>
      </c>
      <c r="G1090" s="121" t="n">
        <v>0.04638989931955129</v>
      </c>
      <c r="H1090" s="122" t="n">
        <v>37.78304549817276</v>
      </c>
      <c r="I1090" s="119" t="n">
        <v>63.27543067932129</v>
      </c>
      <c r="J1090" s="119" t="n">
        <v>65.20454063415528</v>
      </c>
      <c r="K1090" s="121" t="n">
        <v>0.4978442620255992</v>
      </c>
      <c r="L1090" s="121" t="n">
        <v>-0.1902500525232549</v>
      </c>
      <c r="M1090" s="121" t="n">
        <v>-0.2485380650440716</v>
      </c>
      <c r="N1090" t="n">
        <v>40.10002875196639</v>
      </c>
      <c r="O1090" t="n">
        <v>-0.8440811184302786</v>
      </c>
      <c r="P1090" t="n">
        <v>163.6767428142073</v>
      </c>
      <c r="Q1090" t="n">
        <v>171.1280935030526</v>
      </c>
    </row>
    <row r="1091">
      <c r="A1091" s="118" t="n">
        <v>46017</v>
      </c>
      <c r="B1091" s="119" t="n">
        <v>59.0757614024262</v>
      </c>
      <c r="C1091" s="119" t="n">
        <v>59.99143600463867</v>
      </c>
      <c r="D1091" s="119" t="n">
        <v>58.9379185601036</v>
      </c>
      <c r="E1091" s="119" t="n">
        <v>59.99143600463867</v>
      </c>
      <c r="F1091" s="120" t="n">
        <v>22303600</v>
      </c>
      <c r="G1091" s="121" t="n">
        <v>0.01550003112417153</v>
      </c>
      <c r="H1091" s="122" t="n">
        <v>38.36868387936043</v>
      </c>
      <c r="I1091" s="119" t="n">
        <v>63.13570266723633</v>
      </c>
      <c r="J1091" s="119" t="n">
        <v>65.14878759384155</v>
      </c>
      <c r="K1091" s="121" t="n">
        <v>0.4999394728574917</v>
      </c>
      <c r="L1091" s="121" t="n">
        <v>-0.1776989031345692</v>
      </c>
      <c r="M1091" s="121" t="n">
        <v>-0.2368903816636245</v>
      </c>
      <c r="N1091" t="n">
        <v>43.08735352191951</v>
      </c>
      <c r="O1091" t="n">
        <v>-0.6848971134494636</v>
      </c>
      <c r="P1091" t="n">
        <v>163.6601444104762</v>
      </c>
      <c r="Q1091" t="n">
        <v>171.1171026591807</v>
      </c>
    </row>
    <row r="1092">
      <c r="A1092" s="118" t="n">
        <v>46020</v>
      </c>
      <c r="B1092" s="119" t="n">
        <v>59.60744661599452</v>
      </c>
      <c r="C1092" s="119" t="n">
        <v>60.7988069520101</v>
      </c>
      <c r="D1092" s="119" t="n">
        <v>59.57790618003809</v>
      </c>
      <c r="E1092" s="119" t="n">
        <v>60.26712417602539</v>
      </c>
      <c r="F1092" s="120" t="n">
        <v>18062100</v>
      </c>
      <c r="G1092" s="121" t="n">
        <v>0.004595458781240014</v>
      </c>
      <c r="H1092" s="122" t="n">
        <v>38.54500558461846</v>
      </c>
      <c r="I1092" s="119" t="n">
        <v>63.03318702697754</v>
      </c>
      <c r="J1092" s="119" t="n">
        <v>65.09895732879639</v>
      </c>
      <c r="K1092" s="121" t="n">
        <v>0.4999276995804238</v>
      </c>
      <c r="L1092" s="121" t="n">
        <v>-0.1436009333153511</v>
      </c>
      <c r="M1092" s="121" t="n">
        <v>-0.2333835428669919</v>
      </c>
      <c r="N1092" t="n">
        <v>43.99300074517936</v>
      </c>
      <c r="O1092" t="n">
        <v>-0.5267361122320019</v>
      </c>
      <c r="P1092" t="n">
        <v>163.0769163628107</v>
      </c>
      <c r="Q1092" t="n">
        <v>170.2887957491784</v>
      </c>
    </row>
    <row r="1093">
      <c r="A1093" s="118" t="n">
        <v>46021</v>
      </c>
      <c r="B1093" s="119" t="n">
        <v>60.35573505680147</v>
      </c>
      <c r="C1093" s="119" t="n">
        <v>60.35573505680147</v>
      </c>
      <c r="D1093" s="119" t="n">
        <v>59.70590183618617</v>
      </c>
      <c r="E1093" s="119" t="n">
        <v>60.24742889404297</v>
      </c>
      <c r="F1093" s="120" t="n">
        <v>13507800</v>
      </c>
      <c r="G1093" s="121" t="n">
        <v>-0.0003267997644105236</v>
      </c>
      <c r="H1093" s="122" t="n">
        <v>38.5324090858742</v>
      </c>
      <c r="I1093" s="119" t="n">
        <v>62.91990684509278</v>
      </c>
      <c r="J1093" s="119" t="n">
        <v>65.05376625061035</v>
      </c>
      <c r="K1093" s="121" t="n">
        <v>0.49432798083748</v>
      </c>
      <c r="L1093" s="121" t="n">
        <v>-0.1347386065576106</v>
      </c>
      <c r="M1093" s="121" t="n">
        <v>-0.2336340729445762</v>
      </c>
      <c r="N1093" t="n">
        <v>43.93920706608934</v>
      </c>
      <c r="O1093" t="n">
        <v>-0.395157514763901</v>
      </c>
      <c r="P1093" t="n">
        <v>162.8777791597654</v>
      </c>
      <c r="Q1093" t="n">
        <v>169.8938301261888</v>
      </c>
    </row>
    <row r="1094">
      <c r="A1094" s="118" t="n">
        <v>46022</v>
      </c>
      <c r="B1094" s="119" t="n">
        <v>61.29110171703891</v>
      </c>
      <c r="C1094" s="119" t="n">
        <v>63.2110609347518</v>
      </c>
      <c r="D1094" s="119" t="n">
        <v>60.9661832303886</v>
      </c>
      <c r="E1094" s="119" t="n">
        <v>62.72861099243164</v>
      </c>
      <c r="F1094" s="120" t="n">
        <v>35457400</v>
      </c>
      <c r="G1094" s="121" t="n">
        <v>0.041183203066679</v>
      </c>
      <c r="H1094" s="122" t="n">
        <v>40.11929711390611</v>
      </c>
      <c r="I1094" s="119" t="n">
        <v>62.85135848999023</v>
      </c>
      <c r="J1094" s="119" t="n">
        <v>65.01111906051636</v>
      </c>
      <c r="K1094" s="121" t="n">
        <v>0.5179609175072324</v>
      </c>
      <c r="L1094" s="121" t="n">
        <v>-0.07984010725918878</v>
      </c>
      <c r="M1094" s="121" t="n">
        <v>-0.202072669347269</v>
      </c>
      <c r="N1094" t="n">
        <v>51.91601655880133</v>
      </c>
      <c r="O1094" t="n">
        <v>-0.1266370246637443</v>
      </c>
      <c r="P1094" t="n">
        <v>161.6710272026157</v>
      </c>
      <c r="Q1094" t="n">
        <v>168.489552657553</v>
      </c>
    </row>
    <row r="1095">
      <c r="A1095" s="118" t="n">
        <v>46024</v>
      </c>
      <c r="B1095" s="119" t="n">
        <v>63.01414717401337</v>
      </c>
      <c r="C1095" s="119" t="n">
        <v>63.14214195618677</v>
      </c>
      <c r="D1095" s="119" t="n">
        <v>61.58648215091496</v>
      </c>
      <c r="E1095" s="119" t="n">
        <v>62.30523681640625</v>
      </c>
      <c r="F1095" s="120" t="n">
        <v>22284100</v>
      </c>
      <c r="G1095" s="121" t="n">
        <v>-0.006749299391891062</v>
      </c>
      <c r="H1095" s="122" t="n">
        <v>39.84851996629212</v>
      </c>
      <c r="I1095" s="119" t="n">
        <v>62.75986312866211</v>
      </c>
      <c r="J1095" s="119" t="n">
        <v>64.96824029922486</v>
      </c>
      <c r="K1095" s="121" t="n">
        <v>0.5165704251274126</v>
      </c>
      <c r="L1095" s="121" t="n">
        <v>-0.08605054186370686</v>
      </c>
      <c r="M1095" s="121" t="n">
        <v>-0.2074581197948167</v>
      </c>
      <c r="N1095" t="n">
        <v>50.59316165182882</v>
      </c>
      <c r="O1095" t="n">
        <v>0.02856633846794754</v>
      </c>
      <c r="P1095" t="n">
        <v>161.967369080272</v>
      </c>
      <c r="Q1095" t="n">
        <v>168.1631833242559</v>
      </c>
    </row>
    <row r="1096">
      <c r="A1096" s="118" t="n">
        <v>46027</v>
      </c>
      <c r="B1096" s="119" t="n">
        <v>62.75814845219112</v>
      </c>
      <c r="C1096" s="119" t="n">
        <v>64.36304092655959</v>
      </c>
      <c r="D1096" s="119" t="n">
        <v>62.41353761093207</v>
      </c>
      <c r="E1096" s="119" t="n">
        <v>63.53597640991211</v>
      </c>
      <c r="F1096" s="120" t="n">
        <v>23482500</v>
      </c>
      <c r="G1096" s="121" t="n">
        <v>0.01975338922364522</v>
      </c>
      <c r="H1096" s="122" t="n">
        <v>40.63566329117249</v>
      </c>
      <c r="I1096" s="119" t="n">
        <v>62.67889442443848</v>
      </c>
      <c r="J1096" s="119" t="n">
        <v>64.93306228637695</v>
      </c>
      <c r="K1096" s="121" t="n">
        <v>0.5219585389742316</v>
      </c>
      <c r="L1096" s="121" t="n">
        <v>-0.06799694248640098</v>
      </c>
      <c r="M1096" s="121" t="n">
        <v>-0.1918027315590841</v>
      </c>
      <c r="N1096" t="n">
        <v>54.2431654313804</v>
      </c>
      <c r="O1096" t="n">
        <v>0.2101052729729652</v>
      </c>
      <c r="P1096" t="n">
        <v>163.0460907558816</v>
      </c>
      <c r="Q1096" t="n">
        <v>169.4988812831136</v>
      </c>
    </row>
    <row r="1097">
      <c r="A1097" s="118" t="n">
        <v>46028</v>
      </c>
      <c r="B1097" s="119" t="n">
        <v>63.0732234081886</v>
      </c>
      <c r="C1097" s="119" t="n">
        <v>64.42212276189157</v>
      </c>
      <c r="D1097" s="119" t="n">
        <v>62.43323820034229</v>
      </c>
      <c r="E1097" s="119" t="n">
        <v>64.34335327148438</v>
      </c>
      <c r="F1097" s="120" t="n">
        <v>19973200</v>
      </c>
      <c r="G1097" s="121" t="n">
        <v>0.01270739677255217</v>
      </c>
      <c r="H1097" s="122" t="n">
        <v>41.15203678772925</v>
      </c>
      <c r="I1097" s="119" t="n">
        <v>62.60233299255371</v>
      </c>
      <c r="J1097" s="119" t="n">
        <v>64.90738391876221</v>
      </c>
      <c r="K1097" s="121" t="n">
        <v>0.5239485482718678</v>
      </c>
      <c r="L1097" s="121" t="n">
        <v>-0.05615360984134399</v>
      </c>
      <c r="M1097" s="121" t="n">
        <v>-0.1815326481985126</v>
      </c>
      <c r="N1097" t="n">
        <v>56.5128326273449</v>
      </c>
      <c r="O1097" t="n">
        <v>0.3711373695678657</v>
      </c>
      <c r="P1097" t="n">
        <v>164.0157663014577</v>
      </c>
      <c r="Q1097" t="n">
        <v>170.9881993574641</v>
      </c>
    </row>
    <row r="1098">
      <c r="A1098" s="118" t="n">
        <v>46029</v>
      </c>
      <c r="B1098" s="119" t="n">
        <v>64.51072878356035</v>
      </c>
      <c r="C1098" s="119" t="n">
        <v>64.59934633271267</v>
      </c>
      <c r="D1098" s="119" t="n">
        <v>62.21662197952141</v>
      </c>
      <c r="E1098" s="119" t="n">
        <v>62.24616241455078</v>
      </c>
      <c r="F1098" s="120" t="n">
        <v>18284100</v>
      </c>
      <c r="G1098" s="121" t="n">
        <v>-0.03259374512367896</v>
      </c>
      <c r="H1098" s="122" t="n">
        <v>39.81073778934974</v>
      </c>
      <c r="I1098" s="119" t="n">
        <v>62.49498085021973</v>
      </c>
      <c r="J1098" s="119" t="n">
        <v>64.89017017364502</v>
      </c>
      <c r="K1098" s="121" t="n">
        <v>0.521669644266708</v>
      </c>
      <c r="L1098" s="121" t="n">
        <v>-0.08691709851807961</v>
      </c>
      <c r="M1098" s="121" t="n">
        <v>-0.2082095644551827</v>
      </c>
      <c r="N1098" t="n">
        <v>49.62680355927965</v>
      </c>
      <c r="O1098" t="n">
        <v>0.3246659855138919</v>
      </c>
      <c r="P1098" t="n">
        <v>163.4870758660514</v>
      </c>
      <c r="Q1098" t="n">
        <v>171.1527767570002</v>
      </c>
    </row>
    <row r="1099">
      <c r="A1099" s="118" t="n">
        <v>46030</v>
      </c>
      <c r="B1099" s="119" t="n">
        <v>61.22218760315667</v>
      </c>
      <c r="C1099" s="119" t="n">
        <v>64.72734741868122</v>
      </c>
      <c r="D1099" s="119" t="n">
        <v>60.74958191193772</v>
      </c>
      <c r="E1099" s="119" t="n">
        <v>64.25474548339844</v>
      </c>
      <c r="F1099" s="120" t="n">
        <v>21573900</v>
      </c>
      <c r="G1099" s="121" t="n">
        <v>0.03226838396029574</v>
      </c>
      <c r="H1099" s="122" t="n">
        <v>41.09536596207914</v>
      </c>
      <c r="I1099" s="119" t="n">
        <v>62.43797538757324</v>
      </c>
      <c r="J1099" s="119" t="n">
        <v>64.88565826416016</v>
      </c>
      <c r="K1099" s="121" t="n">
        <v>0.5335752852861245</v>
      </c>
      <c r="L1099" s="121" t="n">
        <v>-0.05745338886548024</v>
      </c>
      <c r="M1099" s="121" t="n">
        <v>-0.1826597666649328</v>
      </c>
      <c r="N1099" t="n">
        <v>55.25078319449514</v>
      </c>
      <c r="O1099" t="n">
        <v>0.4118524671947538</v>
      </c>
      <c r="P1099" t="n">
        <v>163.4704774623204</v>
      </c>
      <c r="Q1099" t="n">
        <v>170.1790886694305</v>
      </c>
    </row>
    <row r="1100">
      <c r="A1100" s="118" t="n">
        <v>46031</v>
      </c>
      <c r="B1100" s="119" t="n">
        <v>64.10704357971909</v>
      </c>
      <c r="C1100" s="119" t="n">
        <v>65.51501610350279</v>
      </c>
      <c r="D1100" s="119" t="n">
        <v>63.40798134929096</v>
      </c>
      <c r="E1100" s="119" t="n">
        <v>64.90456390380859</v>
      </c>
      <c r="F1100" s="120" t="n">
        <v>18470400</v>
      </c>
      <c r="G1100" s="121" t="n">
        <v>0.0101131584215528</v>
      </c>
      <c r="H1100" s="122" t="n">
        <v>41.51096990844533</v>
      </c>
      <c r="I1100" s="119" t="n">
        <v>62.41666389465332</v>
      </c>
      <c r="J1100" s="119" t="n">
        <v>64.88850463867188</v>
      </c>
      <c r="K1100" s="121" t="n">
        <v>0.5167853681872393</v>
      </c>
      <c r="L1100" s="121" t="n">
        <v>-0.0479212656673792</v>
      </c>
      <c r="M1100" s="121" t="n">
        <v>-0.1743938754009063</v>
      </c>
      <c r="N1100" t="n">
        <v>56.92627966528518</v>
      </c>
      <c r="O1100" t="n">
        <v>0.4905907696732684</v>
      </c>
      <c r="P1100" t="n">
        <v>164.5515703384629</v>
      </c>
      <c r="Q1100" t="n">
        <v>171.8741117132869</v>
      </c>
    </row>
    <row r="1101">
      <c r="A1101" s="118" t="n">
        <v>46034</v>
      </c>
      <c r="B1101" s="119" t="n">
        <v>64.24489150777713</v>
      </c>
      <c r="C1101" s="119" t="n">
        <v>65.31809758397111</v>
      </c>
      <c r="D1101" s="119" t="n">
        <v>63.25044740563536</v>
      </c>
      <c r="E1101" s="119" t="n">
        <v>64.62888336181641</v>
      </c>
      <c r="F1101" s="120" t="n">
        <v>13901100</v>
      </c>
      <c r="G1101" s="121" t="n">
        <v>-0.004247475453355798</v>
      </c>
      <c r="H1101" s="122" t="n">
        <v>41.33465308271421</v>
      </c>
      <c r="I1101" s="119" t="n">
        <v>62.43053810119629</v>
      </c>
      <c r="J1101" s="119" t="n">
        <v>64.89384006500244</v>
      </c>
      <c r="K1101" s="121" t="n">
        <v>0.505421485341912</v>
      </c>
      <c r="L1101" s="121" t="n">
        <v>-0.0519651967211191</v>
      </c>
      <c r="M1101" s="121" t="n">
        <v>-0.1779006171492812</v>
      </c>
      <c r="N1101" t="n">
        <v>55.96885788608854</v>
      </c>
      <c r="O1101" t="n">
        <v>0.499724987924816</v>
      </c>
      <c r="P1101" t="n">
        <v>164.8099875548335</v>
      </c>
      <c r="Q1101" t="n">
        <v>172.0167242049934</v>
      </c>
    </row>
    <row r="1102">
      <c r="A1102" s="118" t="n">
        <v>46035</v>
      </c>
      <c r="B1102" s="119" t="n">
        <v>65.22949186048358</v>
      </c>
      <c r="C1102" s="119" t="n">
        <v>66.0467084292831</v>
      </c>
      <c r="D1102" s="119" t="n">
        <v>64.83565191668737</v>
      </c>
      <c r="E1102" s="119" t="n">
        <v>65.27872467041016</v>
      </c>
      <c r="F1102" s="120" t="n">
        <v>13685200</v>
      </c>
      <c r="G1102" s="121" t="n">
        <v>0.0100549672962118</v>
      </c>
      <c r="H1102" s="122" t="n">
        <v>41.75027166766117</v>
      </c>
      <c r="I1102" s="119" t="n">
        <v>62.46621429443359</v>
      </c>
      <c r="J1102" s="119" t="n">
        <v>64.90213460922241</v>
      </c>
      <c r="K1102" s="121" t="n">
        <v>0.5068039922794099</v>
      </c>
      <c r="L1102" s="121" t="n">
        <v>-0.04243273777847922</v>
      </c>
      <c r="M1102" s="121" t="n">
        <v>-0.1696344347404813</v>
      </c>
      <c r="N1102" t="n">
        <v>57.7717887370739</v>
      </c>
      <c r="O1102" t="n">
        <v>0.5226795518088989</v>
      </c>
      <c r="P1102" t="n">
        <v>164.4804488697151</v>
      </c>
      <c r="Q1102" t="n">
        <v>171.7616527275924</v>
      </c>
    </row>
    <row r="1103">
      <c r="A1103" s="118" t="n">
        <v>46036</v>
      </c>
      <c r="B1103" s="119" t="n">
        <v>65.26887744660395</v>
      </c>
      <c r="C1103" s="119" t="n">
        <v>66.0959345785422</v>
      </c>
      <c r="D1103" s="119" t="n">
        <v>64.03813230131094</v>
      </c>
      <c r="E1103" s="119" t="n">
        <v>64.55996704101562</v>
      </c>
      <c r="F1103" s="120" t="n">
        <v>15939100</v>
      </c>
      <c r="G1103" s="121" t="n">
        <v>-0.01101059545852823</v>
      </c>
      <c r="H1103" s="122" t="n">
        <v>41.2905763160449</v>
      </c>
      <c r="I1103" s="119" t="n">
        <v>62.49358123779297</v>
      </c>
      <c r="J1103" s="119" t="n">
        <v>64.91896955490112</v>
      </c>
      <c r="K1103" s="121" t="n">
        <v>0.5078019856857167</v>
      </c>
      <c r="L1103" s="121" t="n">
        <v>-0.05297612352713077</v>
      </c>
      <c r="M1103" s="121" t="n">
        <v>-0.178777254062246</v>
      </c>
      <c r="N1103" t="n">
        <v>55.08512510875152</v>
      </c>
      <c r="O1103" t="n">
        <v>0.4645610450699278</v>
      </c>
      <c r="P1103" t="n">
        <v>163.6720004131412</v>
      </c>
      <c r="Q1103" t="n">
        <v>169.9267523180618</v>
      </c>
    </row>
    <row r="1104">
      <c r="A1104" s="118" t="n">
        <v>46037</v>
      </c>
      <c r="B1104" s="119" t="n">
        <v>64.74703770244241</v>
      </c>
      <c r="C1104" s="119" t="n">
        <v>64.74703770244241</v>
      </c>
      <c r="D1104" s="119" t="n">
        <v>63.22091083548825</v>
      </c>
      <c r="E1104" s="119" t="n">
        <v>63.59505462646484</v>
      </c>
      <c r="F1104" s="120" t="n">
        <v>13295300</v>
      </c>
      <c r="G1104" s="121" t="n">
        <v>-0.01494598678989045</v>
      </c>
      <c r="H1104" s="122" t="n">
        <v>40.67344790787833</v>
      </c>
      <c r="I1104" s="119" t="n">
        <v>62.53960983276367</v>
      </c>
      <c r="J1104" s="119" t="n">
        <v>64.93006141662597</v>
      </c>
      <c r="K1104" s="121" t="n">
        <v>0.5093043215665928</v>
      </c>
      <c r="L1104" s="121" t="n">
        <v>-0.06713032987460521</v>
      </c>
      <c r="M1104" s="121" t="n">
        <v>-0.1910512383745891</v>
      </c>
      <c r="N1104" t="n">
        <v>51.61486231123027</v>
      </c>
      <c r="O1104" t="n">
        <v>0.3419063245513881</v>
      </c>
      <c r="P1104" t="n">
        <v>164.1177133771346</v>
      </c>
      <c r="Q1104" t="n">
        <v>170.5383969745149</v>
      </c>
    </row>
    <row r="1105">
      <c r="A1105" s="118" t="n">
        <v>46038</v>
      </c>
      <c r="B1105" s="119" t="n">
        <v>63.39813465371602</v>
      </c>
      <c r="C1105" s="119" t="n">
        <v>63.5950508452858</v>
      </c>
      <c r="D1105" s="119" t="n">
        <v>62.69907240821072</v>
      </c>
      <c r="E1105" s="119" t="n">
        <v>63.38828659057617</v>
      </c>
      <c r="F1105" s="120" t="n">
        <v>15903000</v>
      </c>
      <c r="G1105" s="121" t="n">
        <v>-0.003251322561214187</v>
      </c>
      <c r="H1105" s="122" t="n">
        <v>40.54120540905307</v>
      </c>
      <c r="I1105" s="119" t="n">
        <v>62.60928817749024</v>
      </c>
      <c r="J1105" s="119" t="n">
        <v>64.93393146514893</v>
      </c>
      <c r="K1105" s="121" t="n">
        <v>0.5039554286557174</v>
      </c>
      <c r="L1105" s="121" t="n">
        <v>-0.07016339007975636</v>
      </c>
      <c r="M1105" s="121" t="n">
        <v>-0.1936813917341281</v>
      </c>
      <c r="N1105" t="n">
        <v>50.87523213803786</v>
      </c>
      <c r="O1105" t="n">
        <v>0.2328350480454502</v>
      </c>
      <c r="P1105" t="n">
        <v>163.9801982934625</v>
      </c>
      <c r="Q1105" t="n">
        <v>170.395767702894</v>
      </c>
    </row>
    <row r="1106">
      <c r="A1106" s="118" t="n">
        <v>46042</v>
      </c>
      <c r="B1106" s="119" t="n">
        <v>62.51200608924314</v>
      </c>
      <c r="C1106" s="119" t="n">
        <v>63.5852159549622</v>
      </c>
      <c r="D1106" s="119" t="n">
        <v>62.04924473479652</v>
      </c>
      <c r="E1106" s="119" t="n">
        <v>62.64984893798828</v>
      </c>
      <c r="F1106" s="120" t="n">
        <v>20406000</v>
      </c>
      <c r="G1106" s="121" t="n">
        <v>-0.01164943386713457</v>
      </c>
      <c r="H1106" s="122" t="n">
        <v>40.06892331774639</v>
      </c>
      <c r="I1106" s="119" t="n">
        <v>62.64697883605957</v>
      </c>
      <c r="J1106" s="119" t="n">
        <v>64.93314247131347</v>
      </c>
      <c r="K1106" s="121" t="n">
        <v>0.5055080093633862</v>
      </c>
      <c r="L1106" s="121" t="n">
        <v>-0.08099546017426285</v>
      </c>
      <c r="M1106" s="121" t="n">
        <v>-0.2030745470369614</v>
      </c>
      <c r="N1106" t="n">
        <v>48.21779901912427</v>
      </c>
      <c r="O1106" t="n">
        <v>0.1035347166049961</v>
      </c>
      <c r="P1106" t="n">
        <v>160.6420861909568</v>
      </c>
      <c r="Q1106" t="n">
        <v>166.7753501716423</v>
      </c>
    </row>
    <row r="1107">
      <c r="A1107" s="118" t="n">
        <v>46043</v>
      </c>
      <c r="B1107" s="119" t="n">
        <v>62.89599324614213</v>
      </c>
      <c r="C1107" s="119" t="n">
        <v>64.41226822474781</v>
      </c>
      <c r="D1107" s="119" t="n">
        <v>62.63015187663665</v>
      </c>
      <c r="E1107" s="119" t="n">
        <v>64.40242767333984</v>
      </c>
      <c r="F1107" s="120" t="n">
        <v>17166400</v>
      </c>
      <c r="G1107" s="121" t="n">
        <v>0.02797418932464302</v>
      </c>
      <c r="H1107" s="122" t="n">
        <v>41.18981896467163</v>
      </c>
      <c r="I1107" s="119" t="n">
        <v>62.72402587890625</v>
      </c>
      <c r="J1107" s="119" t="n">
        <v>64.98646242141723</v>
      </c>
      <c r="K1107" s="121" t="n">
        <v>0.3322112136748426</v>
      </c>
      <c r="L1107" s="121" t="n">
        <v>-0.04749538267387876</v>
      </c>
      <c r="M1107" s="121" t="n">
        <v>-0.1807812035381465</v>
      </c>
      <c r="N1107" t="n">
        <v>54.3168265380238</v>
      </c>
      <c r="O1107" t="n">
        <v>0.1270682123140194</v>
      </c>
      <c r="P1107" t="n">
        <v>162.4960740629207</v>
      </c>
      <c r="Q1107" t="n">
        <v>169.0298826781957</v>
      </c>
    </row>
    <row r="1108">
      <c r="A1108" s="118" t="n">
        <v>46044</v>
      </c>
      <c r="B1108" s="119" t="n">
        <v>64.40243485810467</v>
      </c>
      <c r="C1108" s="119" t="n">
        <v>65.52487381727938</v>
      </c>
      <c r="D1108" s="119" t="n">
        <v>64.24489587554646</v>
      </c>
      <c r="E1108" s="119" t="n">
        <v>64.45166015625</v>
      </c>
      <c r="F1108" s="120" t="n">
        <v>11853700</v>
      </c>
      <c r="G1108" s="121" t="n">
        <v>0.0007644507309549908</v>
      </c>
      <c r="H1108" s="122" t="n">
        <v>41.22130655188707</v>
      </c>
      <c r="I1108" s="119" t="n">
        <v>62.81771110534668</v>
      </c>
      <c r="J1108" s="119" t="n">
        <v>65.03195518493652</v>
      </c>
      <c r="K1108" s="121" t="n">
        <v>0.3122110958076165</v>
      </c>
      <c r="L1108" s="121" t="n">
        <v>-0.03954038780120372</v>
      </c>
      <c r="M1108" s="121" t="n">
        <v>-0.1801549511303793</v>
      </c>
      <c r="N1108" t="n">
        <v>54.4790264122792</v>
      </c>
      <c r="O1108" t="n">
        <v>0.1361681326022543</v>
      </c>
      <c r="P1108" t="n">
        <v>163.3448329285558</v>
      </c>
      <c r="Q1108" t="n">
        <v>170.258625463252</v>
      </c>
    </row>
    <row r="1109">
      <c r="A1109" s="118" t="n">
        <v>46045</v>
      </c>
      <c r="B1109" s="119" t="n">
        <v>64.24489599495503</v>
      </c>
      <c r="C1109" s="119" t="n">
        <v>64.44181221164663</v>
      </c>
      <c r="D1109" s="119" t="n">
        <v>63.4473755519202</v>
      </c>
      <c r="E1109" s="119" t="n">
        <v>64.03813171386719</v>
      </c>
      <c r="F1109" s="120" t="n">
        <v>11243900</v>
      </c>
      <c r="G1109" s="121" t="n">
        <v>-0.006416102259899858</v>
      </c>
      <c r="H1109" s="122" t="n">
        <v>40.95682643376349</v>
      </c>
      <c r="I1109" s="119" t="n">
        <v>62.90880020141601</v>
      </c>
      <c r="J1109" s="119" t="n">
        <v>65.08330863952636</v>
      </c>
      <c r="K1109" s="121" t="n">
        <v>0.3154055303685289</v>
      </c>
      <c r="L1109" s="121" t="n">
        <v>-0.04042488514339038</v>
      </c>
      <c r="M1109" s="121" t="n">
        <v>-0.1854151608011994</v>
      </c>
      <c r="N1109" t="n">
        <v>52.7837791219631</v>
      </c>
      <c r="O1109" t="n">
        <v>0.1059016587066623</v>
      </c>
      <c r="P1109" t="n">
        <v>163.404083847396</v>
      </c>
      <c r="Q1109" t="n">
        <v>170.7962035779481</v>
      </c>
    </row>
    <row r="1110">
      <c r="A1110" s="118" t="n">
        <v>46048</v>
      </c>
      <c r="B1110" s="119" t="n">
        <v>63.81166782614764</v>
      </c>
      <c r="C1110" s="119" t="n">
        <v>64.62888435343531</v>
      </c>
      <c r="D1110" s="119" t="n">
        <v>63.78213114644091</v>
      </c>
      <c r="E1110" s="119" t="n">
        <v>63.98889541625977</v>
      </c>
      <c r="F1110" s="120" t="n">
        <v>14765900</v>
      </c>
      <c r="G1110" s="121" t="n">
        <v>-0.0007688590577160648</v>
      </c>
      <c r="H1110" s="122" t="n">
        <v>40.92533640678459</v>
      </c>
      <c r="I1110" s="119" t="n">
        <v>62.95292213439942</v>
      </c>
      <c r="J1110" s="119" t="n">
        <v>65.14572820663452</v>
      </c>
      <c r="K1110" s="121" t="n">
        <v>0.2785844952535653</v>
      </c>
      <c r="L1110" s="121" t="n">
        <v>-0.04116266316200679</v>
      </c>
      <c r="M1110" s="121" t="n">
        <v>-0.1860414617330955</v>
      </c>
      <c r="N1110" t="n">
        <v>52.57401098620893</v>
      </c>
      <c r="O1110" t="n">
        <v>0.07555461248982631</v>
      </c>
      <c r="P1110" t="n">
        <v>164.2338731087671</v>
      </c>
      <c r="Q1110" t="n">
        <v>171.5477256000754</v>
      </c>
    </row>
    <row r="1111">
      <c r="A1111" s="118" t="n">
        <v>46049</v>
      </c>
      <c r="B1111" s="119" t="n">
        <v>63.75259333204947</v>
      </c>
      <c r="C1111" s="119" t="n">
        <v>63.83136281777995</v>
      </c>
      <c r="D1111" s="119" t="n">
        <v>61.91139979636119</v>
      </c>
      <c r="E1111" s="119" t="n">
        <v>62.1181640625</v>
      </c>
      <c r="F1111" s="120" t="n">
        <v>13536700</v>
      </c>
      <c r="G1111" s="121" t="n">
        <v>-0.02923524998502169</v>
      </c>
      <c r="H1111" s="122" t="n">
        <v>39.72887396621113</v>
      </c>
      <c r="I1111" s="119" t="n">
        <v>62.93908416748047</v>
      </c>
      <c r="J1111" s="119" t="n">
        <v>65.16954641342163</v>
      </c>
      <c r="K1111" s="121" t="n">
        <v>0.2989208765596247</v>
      </c>
      <c r="L1111" s="121" t="n">
        <v>-0.06919451239943808</v>
      </c>
      <c r="M1111" s="121" t="n">
        <v>-0.2098377430767714</v>
      </c>
      <c r="N1111" t="n">
        <v>45.22064021143609</v>
      </c>
      <c r="O1111" t="n">
        <v>-0.06966785597228836</v>
      </c>
      <c r="P1111" t="n">
        <v>164.8882226251803</v>
      </c>
      <c r="Q1111" t="n">
        <v>173.1028544983432</v>
      </c>
    </row>
    <row r="1112">
      <c r="A1112" s="118" t="n">
        <v>46050</v>
      </c>
      <c r="B1112" s="119" t="n">
        <v>62.07877799778709</v>
      </c>
      <c r="C1112" s="119" t="n">
        <v>62.50215458473394</v>
      </c>
      <c r="D1112" s="119" t="n">
        <v>61.01541625461844</v>
      </c>
      <c r="E1112" s="119" t="n">
        <v>61.28125762939453</v>
      </c>
      <c r="F1112" s="120" t="n">
        <v>10363600</v>
      </c>
      <c r="G1112" s="121" t="n">
        <v>-0.01347281339904727</v>
      </c>
      <c r="H1112" s="122" t="n">
        <v>39.1936142607101</v>
      </c>
      <c r="I1112" s="119" t="n">
        <v>62.87270050048828</v>
      </c>
      <c r="J1112" s="119" t="n">
        <v>65.21296501159668</v>
      </c>
      <c r="K1112" s="121" t="n">
        <v>0.3036124024276248</v>
      </c>
      <c r="L1112" s="121" t="n">
        <v>-0.08173508104468963</v>
      </c>
      <c r="M1112" s="121" t="n">
        <v>-0.2204834517192681</v>
      </c>
      <c r="N1112" t="n">
        <v>42.36580539540576</v>
      </c>
      <c r="O1112" t="n">
        <v>-0.2131441334566864</v>
      </c>
      <c r="P1112" t="n">
        <v>164.8716242214493</v>
      </c>
      <c r="Q1112" t="n">
        <v>173.6760899309444</v>
      </c>
    </row>
    <row r="1113">
      <c r="A1113" s="118" t="n">
        <v>46051</v>
      </c>
      <c r="B1113" s="119" t="n">
        <v>60.97603034066811</v>
      </c>
      <c r="C1113" s="119" t="n">
        <v>61.97047064414548</v>
      </c>
      <c r="D1113" s="119" t="n">
        <v>60.51326902058864</v>
      </c>
      <c r="E1113" s="119" t="n">
        <v>61.63570785522461</v>
      </c>
      <c r="F1113" s="120" t="n">
        <v>12739400</v>
      </c>
      <c r="G1113" s="121" t="n">
        <v>0.005783990726392352</v>
      </c>
      <c r="H1113" s="122" t="n">
        <v>39.42030976212784</v>
      </c>
      <c r="I1113" s="119" t="n">
        <v>62.84980041503906</v>
      </c>
      <c r="J1113" s="119" t="n">
        <v>65.25820423126221</v>
      </c>
      <c r="K1113" s="121" t="n">
        <v>0.3040307544060642</v>
      </c>
      <c r="L1113" s="121" t="n">
        <v>-0.07642384526908075</v>
      </c>
      <c r="M1113" s="121" t="n">
        <v>-0.215974735232943</v>
      </c>
      <c r="N1113" t="n">
        <v>43.97889677265803</v>
      </c>
      <c r="O1113" t="n">
        <v>-0.2714892713748889</v>
      </c>
      <c r="P1113" t="n">
        <v>164.5444567368639</v>
      </c>
      <c r="Q1113" t="n">
        <v>172.6365910194575</v>
      </c>
    </row>
    <row r="1114">
      <c r="A1114" s="118" t="n">
        <v>46052</v>
      </c>
      <c r="B1114" s="119" t="n">
        <v>61.28125621585293</v>
      </c>
      <c r="C1114" s="119" t="n">
        <v>61.55694189180872</v>
      </c>
      <c r="D1114" s="119" t="n">
        <v>60.08004790329873</v>
      </c>
      <c r="E1114" s="119" t="n">
        <v>60.85787963867188</v>
      </c>
      <c r="F1114" s="120" t="n">
        <v>14309200</v>
      </c>
      <c r="G1114" s="121" t="n">
        <v>-0.01261976610019255</v>
      </c>
      <c r="H1114" s="122" t="n">
        <v>38.92283467333265</v>
      </c>
      <c r="I1114" s="119" t="n">
        <v>62.83619369506836</v>
      </c>
      <c r="J1114" s="119" t="n">
        <v>65.29462327957154</v>
      </c>
      <c r="K1114" s="121" t="n">
        <v>0.2683398832723081</v>
      </c>
      <c r="L1114" s="121" t="n">
        <v>-0.08807916031750018</v>
      </c>
      <c r="M1114" s="121" t="n">
        <v>-0.2258689506909448</v>
      </c>
      <c r="N1114" t="n">
        <v>41.25042015067118</v>
      </c>
      <c r="O1114" t="n">
        <v>-0.3450578977546963</v>
      </c>
      <c r="P1114" t="n">
        <v>164.0536909627433</v>
      </c>
      <c r="Q1114" t="n">
        <v>170.5630802284624</v>
      </c>
    </row>
    <row r="1115">
      <c r="A1115" s="118" t="n">
        <v>46055</v>
      </c>
      <c r="B1115" s="119" t="n">
        <v>60.7101890435314</v>
      </c>
      <c r="C1115" s="119" t="n">
        <v>61.60617125084067</v>
      </c>
      <c r="D1115" s="119" t="n">
        <v>60.20804673751802</v>
      </c>
      <c r="E1115" s="119" t="n">
        <v>61.2221794128418</v>
      </c>
      <c r="F1115" s="120" t="n">
        <v>11006300</v>
      </c>
      <c r="G1115" s="121" t="n">
        <v>0.005986074052084289</v>
      </c>
      <c r="H1115" s="122" t="n">
        <v>39.15582964400425</v>
      </c>
      <c r="I1115" s="119" t="n">
        <v>62.83789543151855</v>
      </c>
      <c r="J1115" s="119" t="n">
        <v>65.33566772460938</v>
      </c>
      <c r="K1115" s="121" t="n">
        <v>0.2687657196075749</v>
      </c>
      <c r="L1115" s="121" t="n">
        <v>-0.08262033464152196</v>
      </c>
      <c r="M1115" s="121" t="n">
        <v>-0.2212349449037631</v>
      </c>
      <c r="N1115" t="n">
        <v>43.03304041524914</v>
      </c>
      <c r="O1115" t="n">
        <v>-0.3506373259173218</v>
      </c>
      <c r="P1115" t="n">
        <v>164.8692675681588</v>
      </c>
      <c r="Q1115" t="n">
        <v>171.7342343476126</v>
      </c>
    </row>
    <row r="1116">
      <c r="A1116" s="118" t="n">
        <v>46056</v>
      </c>
      <c r="B1116" s="119" t="n">
        <v>60.82834112213207</v>
      </c>
      <c r="C1116" s="119" t="n">
        <v>61.5667881396624</v>
      </c>
      <c r="D1116" s="119" t="n">
        <v>59.49913799295179</v>
      </c>
      <c r="E1116" s="119" t="n">
        <v>59.99143600463867</v>
      </c>
      <c r="F1116" s="120" t="n">
        <v>17322100</v>
      </c>
      <c r="G1116" s="121" t="n">
        <v>-0.02010290094221912</v>
      </c>
      <c r="H1116" s="122" t="n">
        <v>38.36868387936043</v>
      </c>
      <c r="I1116" s="119" t="n">
        <v>62.81204734802246</v>
      </c>
      <c r="J1116" s="119" t="n">
        <v>65.37674640655517</v>
      </c>
      <c r="K1116" s="121" t="n">
        <v>0.2656759079886933</v>
      </c>
      <c r="L1116" s="121" t="n">
        <v>-0.1010623271806296</v>
      </c>
      <c r="M1116" s="121" t="n">
        <v>-0.2368903816636245</v>
      </c>
      <c r="N1116" t="n">
        <v>38.75473179589863</v>
      </c>
      <c r="O1116" t="n">
        <v>-0.4143027151581545</v>
      </c>
      <c r="P1116" t="n">
        <v>163.4752198633864</v>
      </c>
      <c r="Q1116" t="n">
        <v>169.0957102820272</v>
      </c>
    </row>
    <row r="1117">
      <c r="A1117" s="118" t="n">
        <v>46057</v>
      </c>
      <c r="B1117" s="119" t="n">
        <v>60.76926857570081</v>
      </c>
      <c r="C1117" s="119" t="n">
        <v>63.41783431772925</v>
      </c>
      <c r="D1117" s="119" t="n">
        <v>60.56250055352113</v>
      </c>
      <c r="E1117" s="119" t="n">
        <v>63.23075866699219</v>
      </c>
      <c r="F1117" s="120" t="n">
        <v>20957700</v>
      </c>
      <c r="G1117" s="121" t="n">
        <v>0.05399641812379752</v>
      </c>
      <c r="H1117" s="122" t="n">
        <v>40.44045537697018</v>
      </c>
      <c r="I1117" s="119" t="n">
        <v>62.87466178894043</v>
      </c>
      <c r="J1117" s="119" t="n">
        <v>65.42333782196044</v>
      </c>
      <c r="K1117" s="121" t="n">
        <v>0.3301137291616989</v>
      </c>
      <c r="L1117" s="121" t="n">
        <v>-0.0525229127318414</v>
      </c>
      <c r="M1117" s="121" t="n">
        <v>-0.195685195637642</v>
      </c>
      <c r="N1117" t="n">
        <v>52.2193370050141</v>
      </c>
      <c r="O1117" t="n">
        <v>-0.2248243611584686</v>
      </c>
      <c r="P1117" t="n">
        <v>162.6833698105435</v>
      </c>
      <c r="Q1117" t="n">
        <v>166.1417741671882</v>
      </c>
    </row>
    <row r="1118">
      <c r="A1118" s="118" t="n">
        <v>46058</v>
      </c>
      <c r="B1118" s="119" t="n">
        <v>63.20122258185587</v>
      </c>
      <c r="C1118" s="119" t="n">
        <v>63.58521443875692</v>
      </c>
      <c r="D1118" s="119" t="n">
        <v>61.13356863217472</v>
      </c>
      <c r="E1118" s="119" t="n">
        <v>61.73417282104492</v>
      </c>
      <c r="F1118" s="120" t="n">
        <v>12506200</v>
      </c>
      <c r="G1118" s="121" t="n">
        <v>-0.02366863655438811</v>
      </c>
      <c r="H1118" s="122" t="n">
        <v>39.48328493655872</v>
      </c>
      <c r="I1118" s="119" t="n">
        <v>62.88053771972656</v>
      </c>
      <c r="J1118" s="119" t="n">
        <v>65.46070594787598</v>
      </c>
      <c r="K1118" s="121" t="n">
        <v>0.3200319995832914</v>
      </c>
      <c r="L1118" s="121" t="n">
        <v>-0.07494840355400179</v>
      </c>
      <c r="M1118" s="121" t="n">
        <v>-0.2147222304174085</v>
      </c>
      <c r="N1118" t="n">
        <v>47.07057631627951</v>
      </c>
      <c r="O1118" t="n">
        <v>-0.1883353783772749</v>
      </c>
      <c r="P1118" t="n">
        <v>160.6515709930889</v>
      </c>
      <c r="Q1118" t="n">
        <v>163.7501162009071</v>
      </c>
    </row>
    <row r="1119">
      <c r="A1119" s="118" t="n">
        <v>46059</v>
      </c>
      <c r="B1119" s="119" t="n">
        <v>62.03939299394511</v>
      </c>
      <c r="C1119" s="119" t="n">
        <v>63.25044563663491</v>
      </c>
      <c r="D1119" s="119" t="n">
        <v>62.02954868644787</v>
      </c>
      <c r="E1119" s="119" t="n">
        <v>62.93537521362305</v>
      </c>
      <c r="F1119" s="120" t="n">
        <v>11961500</v>
      </c>
      <c r="G1119" s="121" t="n">
        <v>0.0194576575288401</v>
      </c>
      <c r="H1119" s="122" t="n">
        <v>40.25153717296789</v>
      </c>
      <c r="I1119" s="119" t="n">
        <v>62.9274609375</v>
      </c>
      <c r="J1119" s="119" t="n">
        <v>65.49953580856324</v>
      </c>
      <c r="K1119" s="121" t="n">
        <v>0.3056914646824721</v>
      </c>
      <c r="L1119" s="121" t="n">
        <v>-0.05694906639384867</v>
      </c>
      <c r="M1119" s="121" t="n">
        <v>-0.1994425645118589</v>
      </c>
      <c r="N1119" t="n">
        <v>51.22726678335545</v>
      </c>
      <c r="O1119" t="n">
        <v>-0.07705418507064804</v>
      </c>
      <c r="P1119" t="n">
        <v>163.733637079757</v>
      </c>
      <c r="Q1119" t="n">
        <v>167.2114433646015</v>
      </c>
    </row>
    <row r="1120">
      <c r="A1120" s="118" t="n">
        <v>46062</v>
      </c>
      <c r="B1120" s="119" t="n">
        <v>62.59076629047854</v>
      </c>
      <c r="C1120" s="119" t="n">
        <v>62.92552907467734</v>
      </c>
      <c r="D1120" s="119" t="n">
        <v>61.40925036060424</v>
      </c>
      <c r="E1120" s="119" t="n">
        <v>61.44863510131836</v>
      </c>
      <c r="F1120" s="120" t="n">
        <v>12920800</v>
      </c>
      <c r="G1120" s="121" t="n">
        <v>-0.02362328193417784</v>
      </c>
      <c r="H1120" s="122" t="n">
        <v>39.30066376204683</v>
      </c>
      <c r="I1120" s="119" t="n">
        <v>62.91040718078613</v>
      </c>
      <c r="J1120" s="119" t="n">
        <v>65.52933666229248</v>
      </c>
      <c r="K1120" s="121" t="n">
        <v>0.3129942580548787</v>
      </c>
      <c r="L1120" s="121" t="n">
        <v>-0.07922702447671648</v>
      </c>
      <c r="M1120" s="121" t="n">
        <v>-0.2183543585148977</v>
      </c>
      <c r="N1120" t="n">
        <v>46.37304426108699</v>
      </c>
      <c r="O1120" t="n">
        <v>-0.09609081627275268</v>
      </c>
      <c r="P1120" t="n">
        <v>164.5231304793093</v>
      </c>
      <c r="Q1120" t="n">
        <v>168.4923045634995</v>
      </c>
    </row>
    <row r="1121">
      <c r="A1121" s="118" t="n">
        <v>46063</v>
      </c>
      <c r="B1121" s="119" t="n">
        <v>62.0295468389025</v>
      </c>
      <c r="C1121" s="119" t="n">
        <v>63.20121846076945</v>
      </c>
      <c r="D1121" s="119" t="n">
        <v>61.33048459341244</v>
      </c>
      <c r="E1121" s="119" t="n">
        <v>62.06893157958984</v>
      </c>
      <c r="F1121" s="120" t="n">
        <v>13003400</v>
      </c>
      <c r="G1121" s="121" t="n">
        <v>0.01009455258442626</v>
      </c>
      <c r="H1121" s="122" t="n">
        <v>39.69738637899567</v>
      </c>
      <c r="I1121" s="119" t="n">
        <v>62.89304069519043</v>
      </c>
      <c r="J1121" s="119" t="n">
        <v>65.55696956634522</v>
      </c>
      <c r="K1121" s="121" t="n">
        <v>0.3160874186898561</v>
      </c>
      <c r="L1121" s="121" t="n">
        <v>-0.06993223325697806</v>
      </c>
      <c r="M1121" s="121" t="n">
        <v>-0.2104639954845386</v>
      </c>
      <c r="N1121" t="n">
        <v>48.56303738562005</v>
      </c>
      <c r="O1121" t="n">
        <v>-0.0611250403405989</v>
      </c>
      <c r="P1121" t="n">
        <v>164.0892589707385</v>
      </c>
      <c r="Q1121" t="n">
        <v>167.7106122554458</v>
      </c>
    </row>
    <row r="1122">
      <c r="A1122" s="118" t="n">
        <v>46064</v>
      </c>
      <c r="B1122" s="119" t="n">
        <v>62.91568754403264</v>
      </c>
      <c r="C1122" s="119" t="n">
        <v>63.02399370780837</v>
      </c>
      <c r="D1122" s="119" t="n">
        <v>60.72988316509905</v>
      </c>
      <c r="E1122" s="119" t="n">
        <v>61.38956069946289</v>
      </c>
      <c r="F1122" s="120" t="n">
        <v>15511900</v>
      </c>
      <c r="G1122" s="121" t="n">
        <v>-0.01094542572004498</v>
      </c>
      <c r="H1122" s="122" t="n">
        <v>39.26288158510445</v>
      </c>
      <c r="I1122" s="119" t="n">
        <v>62.85621681213379</v>
      </c>
      <c r="J1122" s="119" t="n">
        <v>65.5853631401062</v>
      </c>
      <c r="K1122" s="121" t="n">
        <v>0.3143977124593291</v>
      </c>
      <c r="L1122" s="121" t="n">
        <v>-0.08011222091247194</v>
      </c>
      <c r="M1122" s="121" t="n">
        <v>-0.2191058031752637</v>
      </c>
      <c r="N1122" t="n">
        <v>46.3313818692896</v>
      </c>
      <c r="O1122" t="n">
        <v>-0.07694698379156073</v>
      </c>
      <c r="P1122" t="n">
        <v>164.0513343094528</v>
      </c>
      <c r="Q1122" t="n">
        <v>168.1604314183093</v>
      </c>
    </row>
    <row r="1123">
      <c r="A1123" s="118" t="n">
        <v>46065</v>
      </c>
      <c r="B1123" s="119" t="n">
        <v>61.36987374077416</v>
      </c>
      <c r="C1123" s="119" t="n">
        <v>61.75386560020932</v>
      </c>
      <c r="D1123" s="119" t="n">
        <v>59.91266827819252</v>
      </c>
      <c r="E1123" s="119" t="n">
        <v>60.15881729125977</v>
      </c>
      <c r="F1123" s="120" t="n">
        <v>13602400</v>
      </c>
      <c r="G1123" s="121" t="n">
        <v>-0.0200480895152243</v>
      </c>
      <c r="H1123" s="122" t="n">
        <v>38.47573582046062</v>
      </c>
      <c r="I1123" s="119" t="n">
        <v>62.77173858642578</v>
      </c>
      <c r="J1123" s="119" t="n">
        <v>65.60910161972046</v>
      </c>
      <c r="K1123" s="121" t="n">
        <v>0.3190980513630223</v>
      </c>
      <c r="L1123" s="121" t="n">
        <v>-0.09855421345157955</v>
      </c>
      <c r="M1123" s="121" t="n">
        <v>-0.2347612399351252</v>
      </c>
      <c r="N1123" t="n">
        <v>42.51937672144388</v>
      </c>
      <c r="O1123" t="n">
        <v>-0.1587842023042151</v>
      </c>
      <c r="P1123" t="n">
        <v>161.5169282624551</v>
      </c>
      <c r="Q1123" t="n">
        <v>164.7402318245846</v>
      </c>
    </row>
    <row r="1124">
      <c r="A1124" s="118" t="n">
        <v>46066</v>
      </c>
      <c r="B1124" s="119" t="n">
        <v>60.64126824429253</v>
      </c>
      <c r="C1124" s="119" t="n">
        <v>62.40369599891337</v>
      </c>
      <c r="D1124" s="119" t="n">
        <v>60.64126824429253</v>
      </c>
      <c r="E1124" s="119" t="n">
        <v>62.15754699707031</v>
      </c>
      <c r="F1124" s="120" t="n">
        <v>20180900</v>
      </c>
      <c r="G1124" s="121" t="n">
        <v>0.03322421875639048</v>
      </c>
      <c r="H1124" s="122" t="n">
        <v>39.75406208417269</v>
      </c>
      <c r="I1124" s="119" t="n">
        <v>62.7362931060791</v>
      </c>
      <c r="J1124" s="119" t="n">
        <v>65.64172185897827</v>
      </c>
      <c r="K1124" s="121" t="n">
        <v>0.3409154483314656</v>
      </c>
      <c r="L1124" s="121" t="n">
        <v>-0.06860438144226833</v>
      </c>
      <c r="M1124" s="121" t="n">
        <v>-0.2093367799698607</v>
      </c>
      <c r="N1124" t="n">
        <v>49.75014246472914</v>
      </c>
      <c r="O1124" t="n">
        <v>-0.07124914325901566</v>
      </c>
      <c r="P1124" t="n">
        <v>161.6307167935545</v>
      </c>
      <c r="Q1124" t="n">
        <v>165.0913011917435</v>
      </c>
    </row>
    <row r="1125">
      <c r="A1125" s="118" t="n">
        <v>46070</v>
      </c>
      <c r="B1125" s="119" t="n">
        <v>61.97047254837756</v>
      </c>
      <c r="C1125" s="119" t="n">
        <v>63.82151412963867</v>
      </c>
      <c r="D1125" s="119" t="n">
        <v>61.97047254837756</v>
      </c>
      <c r="E1125" s="119" t="n">
        <v>63.82151412963867</v>
      </c>
      <c r="F1125" s="120" t="n">
        <v>12347500</v>
      </c>
      <c r="G1125" s="121" t="n">
        <v>0.02677015443751007</v>
      </c>
      <c r="H1125" s="122" t="n">
        <v>40.81828446568436</v>
      </c>
      <c r="I1125" s="119" t="n">
        <v>62.71994888305664</v>
      </c>
      <c r="J1125" s="119" t="n">
        <v>65.68817306518555</v>
      </c>
      <c r="K1125" s="121" t="n">
        <v>0.3545811705521059</v>
      </c>
      <c r="L1125" s="121" t="n">
        <v>-0.04367077689105769</v>
      </c>
      <c r="M1125" s="121" t="n">
        <v>-0.1881706034615949</v>
      </c>
      <c r="N1125" t="n">
        <v>54.84301830824806</v>
      </c>
      <c r="O1125" t="n">
        <v>0.09665507148498131</v>
      </c>
      <c r="P1125" t="n">
        <v>161.8915052104581</v>
      </c>
      <c r="Q1125" t="n">
        <v>164.9212367602286</v>
      </c>
    </row>
    <row r="1126">
      <c r="A1126" s="118" t="n">
        <v>46071</v>
      </c>
      <c r="B1126" s="119" t="n">
        <v>63.31937103496855</v>
      </c>
      <c r="C1126" s="119" t="n">
        <v>65.13103171500809</v>
      </c>
      <c r="D1126" s="119" t="n">
        <v>63.31937103496855</v>
      </c>
      <c r="E1126" s="119" t="n">
        <v>64.54027557373047</v>
      </c>
      <c r="F1126" s="120" t="n">
        <v>11211500</v>
      </c>
      <c r="G1126" s="121" t="n">
        <v>0.01126205565464655</v>
      </c>
      <c r="H1126" s="122" t="n">
        <v>41.27798225706409</v>
      </c>
      <c r="I1126" s="119" t="n">
        <v>62.71719207763672</v>
      </c>
      <c r="J1126" s="119" t="n">
        <v>65.73647773742675</v>
      </c>
      <c r="K1126" s="121" t="n">
        <v>0.3534295962052071</v>
      </c>
      <c r="L1126" s="121" t="n">
        <v>-0.03290054395623987</v>
      </c>
      <c r="M1126" s="121" t="n">
        <v>-0.1790277356157013</v>
      </c>
      <c r="N1126" t="n">
        <v>56.87617227771239</v>
      </c>
      <c r="O1126" t="n">
        <v>0.245590184301295</v>
      </c>
      <c r="P1126" t="n">
        <v>162.7070672686311</v>
      </c>
      <c r="Q1126" t="n">
        <v>166.1527314512315</v>
      </c>
    </row>
    <row r="1127">
      <c r="A1127" s="118" t="n">
        <v>46072</v>
      </c>
      <c r="B1127" s="119" t="n">
        <v>64.19565439183378</v>
      </c>
      <c r="C1127" s="119" t="n">
        <v>64.82579521318183</v>
      </c>
      <c r="D1127" s="119" t="n">
        <v>63.26029122285902</v>
      </c>
      <c r="E1127" s="119" t="n">
        <v>64.59934234619141</v>
      </c>
      <c r="F1127" s="120" t="n">
        <v>10778300</v>
      </c>
      <c r="G1127" s="121" t="n">
        <v>0.0009151924427943658</v>
      </c>
      <c r="H1127" s="122" t="n">
        <v>41.31575955447956</v>
      </c>
      <c r="I1127" s="119" t="n">
        <v>62.71226898193359</v>
      </c>
      <c r="J1127" s="119" t="n">
        <v>65.77623090744018</v>
      </c>
      <c r="K1127" s="121" t="n">
        <v>0.3395495612487168</v>
      </c>
      <c r="L1127" s="121" t="n">
        <v>-0.03201546184263804</v>
      </c>
      <c r="M1127" s="121" t="n">
        <v>-0.1782763880035931</v>
      </c>
      <c r="N1127" t="n">
        <v>57.04732300560096</v>
      </c>
      <c r="O1127" t="n">
        <v>0.3321684843202227</v>
      </c>
      <c r="P1127" t="n">
        <v>162.2779381611262</v>
      </c>
      <c r="Q1127" t="n">
        <v>165.5164203207451</v>
      </c>
    </row>
    <row r="1128">
      <c r="A1128" s="118" t="n">
        <v>46073</v>
      </c>
      <c r="B1128" s="119" t="n">
        <v>64.29412764782089</v>
      </c>
      <c r="C1128" s="119" t="n">
        <v>67.43498406519049</v>
      </c>
      <c r="D1128" s="119" t="n">
        <v>62.35447214964492</v>
      </c>
      <c r="E1128" s="119" t="n">
        <v>64.39258575439453</v>
      </c>
      <c r="F1128" s="120" t="n">
        <v>33436800</v>
      </c>
      <c r="G1128" s="121" t="n">
        <v>-0.003200599019860806</v>
      </c>
      <c r="H1128" s="122" t="n">
        <v>41.18352437494468</v>
      </c>
      <c r="I1128" s="119" t="n">
        <v>62.74889610290527</v>
      </c>
      <c r="J1128" s="119" t="n">
        <v>65.8209448814392</v>
      </c>
      <c r="K1128" s="121" t="n">
        <v>0.3397797309172245</v>
      </c>
      <c r="L1128" s="121" t="n">
        <v>-0.03511359220670496</v>
      </c>
      <c r="M1128" s="121" t="n">
        <v>-0.1809063957907453</v>
      </c>
      <c r="N1128" t="n">
        <v>56.20641566010026</v>
      </c>
      <c r="O1128" t="n">
        <v>0.357402859317496</v>
      </c>
      <c r="P1128" t="n">
        <v>163.4515224052988</v>
      </c>
      <c r="Q1128" t="n">
        <v>166.981055141148</v>
      </c>
    </row>
    <row r="1129">
      <c r="A1129" s="118" t="n">
        <v>46076</v>
      </c>
      <c r="B1129" s="119" t="n">
        <v>63.60490242427272</v>
      </c>
      <c r="C1129" s="119" t="n">
        <v>63.96920566187249</v>
      </c>
      <c r="D1129" s="119" t="n">
        <v>61.09418328361855</v>
      </c>
      <c r="E1129" s="119" t="n">
        <v>62.1181640625</v>
      </c>
      <c r="F1129" s="120" t="n">
        <v>17748800</v>
      </c>
      <c r="G1129" s="121" t="n">
        <v>-0.03532117347437491</v>
      </c>
      <c r="H1129" s="122" t="n">
        <v>39.72887396621111</v>
      </c>
      <c r="I1129" s="119" t="n">
        <v>62.74417007446289</v>
      </c>
      <c r="J1129" s="119" t="n">
        <v>65.85578536987305</v>
      </c>
      <c r="K1129" s="121" t="n">
        <v>0.3619765586081667</v>
      </c>
      <c r="L1129" s="121" t="n">
        <v>-0.06919451239943841</v>
      </c>
      <c r="M1129" s="121" t="n">
        <v>-0.2098377430767714</v>
      </c>
      <c r="N1129" t="n">
        <v>47.85047352330653</v>
      </c>
      <c r="O1129" t="n">
        <v>0.2100970732482212</v>
      </c>
      <c r="P1129" t="n">
        <v>161.7824590804247</v>
      </c>
      <c r="Q1129" t="n">
        <v>164.9514070461549</v>
      </c>
    </row>
    <row r="1130">
      <c r="A1130" s="118" t="n">
        <v>46077</v>
      </c>
      <c r="B1130" s="119" t="n">
        <v>62.30523234639186</v>
      </c>
      <c r="C1130" s="119" t="n">
        <v>63.7033568336593</v>
      </c>
      <c r="D1130" s="119" t="n">
        <v>61.63570678022741</v>
      </c>
      <c r="E1130" s="119" t="n">
        <v>63.10275268554688</v>
      </c>
      <c r="F1130" s="120" t="n">
        <v>14296100</v>
      </c>
      <c r="G1130" s="121" t="n">
        <v>0.0158502531088367</v>
      </c>
      <c r="H1130" s="122" t="n">
        <v>40.35858667430463</v>
      </c>
      <c r="I1130" s="119" t="n">
        <v>62.71069366455078</v>
      </c>
      <c r="J1130" s="119" t="n">
        <v>65.88791059494018</v>
      </c>
      <c r="K1130" s="121" t="n">
        <v>0.3670566400121722</v>
      </c>
      <c r="L1130" s="121" t="n">
        <v>-0.0544410098258753</v>
      </c>
      <c r="M1130" s="121" t="n">
        <v>-0.1973134713074884</v>
      </c>
      <c r="N1130" t="n">
        <v>51.23054543060843</v>
      </c>
      <c r="O1130" t="n">
        <v>0.1698720405268718</v>
      </c>
      <c r="P1130" t="n">
        <v>162.9583708834026</v>
      </c>
      <c r="Q1130" t="n">
        <v>166.7232317578005</v>
      </c>
    </row>
    <row r="1131">
      <c r="A1131" s="118" t="n">
        <v>46078</v>
      </c>
      <c r="B1131" s="119" t="n">
        <v>62.9058393833342</v>
      </c>
      <c r="C1131" s="119" t="n">
        <v>63.23075787415979</v>
      </c>
      <c r="D1131" s="119" t="n">
        <v>62.28554283644448</v>
      </c>
      <c r="E1131" s="119" t="n">
        <v>62.42338943481445</v>
      </c>
      <c r="F1131" s="120" t="n">
        <v>9500800</v>
      </c>
      <c r="G1131" s="121" t="n">
        <v>-0.01076598439560661</v>
      </c>
      <c r="H1131" s="122" t="n">
        <v>39.92408675994033</v>
      </c>
      <c r="I1131" s="119" t="n">
        <v>62.62523078918457</v>
      </c>
      <c r="J1131" s="119" t="n">
        <v>65.9152370262146</v>
      </c>
      <c r="K1131" s="121" t="n">
        <v>0.3534453020466932</v>
      </c>
      <c r="L1131" s="121" t="n">
        <v>-0.06462088315921555</v>
      </c>
      <c r="M1131" s="121" t="n">
        <v>-0.2059551819499557</v>
      </c>
      <c r="N1131" t="n">
        <v>48.87653749255531</v>
      </c>
      <c r="O1131" t="n">
        <v>0.09229511815748551</v>
      </c>
      <c r="P1131" t="n">
        <v>164.3334635311535</v>
      </c>
      <c r="Q1131" t="n">
        <v>169.1395897579434</v>
      </c>
    </row>
    <row r="1132">
      <c r="A1132" s="118" t="n">
        <v>46079</v>
      </c>
      <c r="B1132" s="119" t="n">
        <v>63.2209095418325</v>
      </c>
      <c r="C1132" s="119" t="n">
        <v>64.05781465644573</v>
      </c>
      <c r="D1132" s="119" t="n">
        <v>62.79753295276396</v>
      </c>
      <c r="E1132" s="119" t="n">
        <v>62.96491622924805</v>
      </c>
      <c r="F1132" s="120" t="n">
        <v>10319100</v>
      </c>
      <c r="G1132" s="121" t="n">
        <v>0.008675062333792116</v>
      </c>
      <c r="H1132" s="122" t="n">
        <v>40.27043070120254</v>
      </c>
      <c r="I1132" s="119" t="n">
        <v>62.55591522216797</v>
      </c>
      <c r="J1132" s="119" t="n">
        <v>65.9482200050354</v>
      </c>
      <c r="K1132" s="121" t="n">
        <v>0.3505820381583978</v>
      </c>
      <c r="L1132" s="121" t="n">
        <v>-0.05650641101489429</v>
      </c>
      <c r="M1132" s="121" t="n">
        <v>-0.1936395923711259</v>
      </c>
      <c r="N1132" t="n">
        <v>50.81653274851294</v>
      </c>
      <c r="O1132" t="n">
        <v>0.07307745666052903</v>
      </c>
      <c r="P1132" t="n">
        <v>163.4206822511271</v>
      </c>
      <c r="Q1132" t="n">
        <v>167.098984378907</v>
      </c>
    </row>
    <row r="1133">
      <c r="A1133" s="118" t="n">
        <v>46080</v>
      </c>
      <c r="B1133" s="119" t="n">
        <v>61.75386215281055</v>
      </c>
      <c r="C1133" s="119" t="n">
        <v>61.75386215281055</v>
      </c>
      <c r="D1133" s="119" t="n">
        <v>60.57234620485853</v>
      </c>
      <c r="E1133" s="119" t="n">
        <v>61.2221794128418</v>
      </c>
      <c r="F1133" s="120" t="n">
        <v>18017400</v>
      </c>
      <c r="G1133" s="121" t="n">
        <v>-0.0276779025649958</v>
      </c>
      <c r="H1133" s="122" t="n">
        <v>39.15582964400424</v>
      </c>
      <c r="I1133" s="119" t="n">
        <v>62.44564033508301</v>
      </c>
      <c r="J1133" s="119" t="n">
        <v>65.95179836273194</v>
      </c>
      <c r="K1133" s="121" t="n">
        <v>0.3650886608862434</v>
      </c>
      <c r="L1133" s="121" t="n">
        <v>-0.0826203346415223</v>
      </c>
      <c r="M1133" s="121" t="n">
        <v>-0.2061814269815754</v>
      </c>
      <c r="N1133" t="n">
        <v>44.91015161437998</v>
      </c>
      <c r="O1133" t="n">
        <v>-0.05449725465028797</v>
      </c>
      <c r="P1133" t="n">
        <v>162.6359457998833</v>
      </c>
      <c r="Q1133" t="n">
        <v>166.5641413902432</v>
      </c>
    </row>
    <row r="1134">
      <c r="A1134" s="118" t="n">
        <v>46083</v>
      </c>
      <c r="B1134" s="119" t="n">
        <v>59.3687652996699</v>
      </c>
      <c r="C1134" s="119" t="n">
        <v>60.98430656698472</v>
      </c>
      <c r="D1134" s="119" t="n">
        <v>58.61550340812185</v>
      </c>
      <c r="E1134" s="119" t="n">
        <v>60.46891784667969</v>
      </c>
      <c r="F1134" s="120" t="n">
        <v>15335000</v>
      </c>
      <c r="G1134" s="121" t="n">
        <v>-0.01230373654427774</v>
      </c>
      <c r="H1134" s="122" t="n">
        <v>38.67406663189179</v>
      </c>
      <c r="I1134" s="119" t="n">
        <v>62.33329689025879</v>
      </c>
      <c r="J1134" s="119" t="n">
        <v>65.95252897262573</v>
      </c>
      <c r="K1134" s="121" t="n">
        <v>0.3649464703060112</v>
      </c>
      <c r="L1134" s="121" t="n">
        <v>-0.09390753235517058</v>
      </c>
      <c r="M1134" s="121" t="n">
        <v>-0.2159483615679486</v>
      </c>
      <c r="N1134" t="n">
        <v>42.60511984115094</v>
      </c>
      <c r="O1134" t="n">
        <v>-0.1800301792424094</v>
      </c>
      <c r="P1134" t="n">
        <v>162.7284226206707</v>
      </c>
      <c r="Q1134" t="n">
        <v>166.7835723296533</v>
      </c>
    </row>
    <row r="1135">
      <c r="A1135" s="118" t="n">
        <v>46084</v>
      </c>
      <c r="B1135" s="119" t="n">
        <v>58.91284468954928</v>
      </c>
      <c r="C1135" s="119" t="n">
        <v>59.57690464439405</v>
      </c>
      <c r="D1135" s="119" t="n">
        <v>58.10011730424026</v>
      </c>
      <c r="E1135" s="119" t="n">
        <v>58.86328887939453</v>
      </c>
      <c r="F1135" s="120" t="n">
        <v>17438600</v>
      </c>
      <c r="G1135" s="121" t="n">
        <v>-0.026552963480449</v>
      </c>
      <c r="H1135" s="122" t="n">
        <v>37.64715555297472</v>
      </c>
      <c r="I1135" s="119" t="n">
        <v>62.21700035095215</v>
      </c>
      <c r="J1135" s="119" t="n">
        <v>65.94842206954957</v>
      </c>
      <c r="K1135" s="121" t="n">
        <v>0.3758966567817094</v>
      </c>
      <c r="L1135" s="121" t="n">
        <v>-0.1179669725584537</v>
      </c>
      <c r="M1135" s="121" t="n">
        <v>-0.236767256090021</v>
      </c>
      <c r="N1135" t="n">
        <v>38.11449629830538</v>
      </c>
      <c r="O1135" t="n">
        <v>-0.3516884791939515</v>
      </c>
      <c r="P1135" t="n">
        <v>161.2940790540796</v>
      </c>
      <c r="Q1135" t="n">
        <v>164.9980552079321</v>
      </c>
    </row>
    <row r="1136">
      <c r="A1136" s="118" t="n">
        <v>46085</v>
      </c>
      <c r="B1136" s="119" t="n">
        <v>58.66505934682952</v>
      </c>
      <c r="C1136" s="119" t="n">
        <v>58.96240175676261</v>
      </c>
      <c r="D1136" s="119" t="n">
        <v>58.09020516808152</v>
      </c>
      <c r="E1136" s="119" t="n">
        <v>58.11993789672852</v>
      </c>
      <c r="F1136" s="120" t="n">
        <v>15971300</v>
      </c>
      <c r="G1136" s="121" t="n">
        <v>-0.01262843101052458</v>
      </c>
      <c r="H1136" s="122" t="n">
        <v>37.17173104633149</v>
      </c>
      <c r="I1136" s="119" t="n">
        <v>62.08701843261719</v>
      </c>
      <c r="J1136" s="119" t="n">
        <v>65.93735940933227</v>
      </c>
      <c r="K1136" s="121" t="n">
        <v>0.3719585164922142</v>
      </c>
      <c r="L1136" s="121" t="n">
        <v>-0.1291056657945033</v>
      </c>
      <c r="M1136" s="121" t="n">
        <v>-0.2464056881414616</v>
      </c>
      <c r="N1136" t="n">
        <v>36.21155479392401</v>
      </c>
      <c r="O1136" t="n">
        <v>-0.4874285233652629</v>
      </c>
      <c r="P1136" t="n">
        <v>162.4320516485294</v>
      </c>
      <c r="Q1136" t="n">
        <v>167.5131462238652</v>
      </c>
    </row>
    <row r="1137">
      <c r="A1137" s="118" t="n">
        <v>46086</v>
      </c>
      <c r="B1137" s="119" t="n">
        <v>58.08029395903205</v>
      </c>
      <c r="C1137" s="119" t="n">
        <v>58.26861132997332</v>
      </c>
      <c r="D1137" s="119" t="n">
        <v>56.92067212706421</v>
      </c>
      <c r="E1137" s="119" t="n">
        <v>57.50543975830078</v>
      </c>
      <c r="F1137" s="120" t="n">
        <v>22040200</v>
      </c>
      <c r="G1137" s="121" t="n">
        <v>-0.01057293177978991</v>
      </c>
      <c r="H1137" s="122" t="n">
        <v>36.77871686984193</v>
      </c>
      <c r="I1137" s="119" t="n">
        <v>62.08101455688477</v>
      </c>
      <c r="J1137" s="119" t="n">
        <v>65.91979188919068</v>
      </c>
      <c r="K1137" s="121" t="n">
        <v>0.3100517149827694</v>
      </c>
      <c r="L1137" s="121" t="n">
        <v>-0.1383135721774635</v>
      </c>
      <c r="M1137" s="121" t="n">
        <v>-0.2543733893903796</v>
      </c>
      <c r="N1137" t="n">
        <v>34.67053868625239</v>
      </c>
      <c r="O1137" t="n">
        <v>-0.5842059475535757</v>
      </c>
      <c r="P1137" t="n">
        <v>161.5264130645871</v>
      </c>
      <c r="Q1137" t="n">
        <v>167.0084567412135</v>
      </c>
    </row>
    <row r="1138">
      <c r="A1138" s="118" t="n">
        <v>46087</v>
      </c>
      <c r="B1138" s="119" t="n">
        <v>56.9603178090165</v>
      </c>
      <c r="C1138" s="119" t="n">
        <v>57.03960634806334</v>
      </c>
      <c r="D1138" s="119" t="n">
        <v>56.25661170282152</v>
      </c>
      <c r="E1138" s="119" t="n">
        <v>56.50439453125</v>
      </c>
      <c r="F1138" s="120" t="n">
        <v>16323700</v>
      </c>
      <c r="G1138" s="121" t="n">
        <v>-0.01740783535015544</v>
      </c>
      <c r="H1138" s="122" t="n">
        <v>36.13847902218173</v>
      </c>
      <c r="I1138" s="119" t="n">
        <v>62.08433074951172</v>
      </c>
      <c r="J1138" s="119" t="n">
        <v>65.90219850540161</v>
      </c>
      <c r="K1138" s="121" t="n">
        <v>0.3056980666232625</v>
      </c>
      <c r="L1138" s="121" t="n">
        <v>-0.1533136676364619</v>
      </c>
      <c r="M1138" s="121" t="n">
        <v>-0.2673531346605663</v>
      </c>
      <c r="N1138" t="n">
        <v>32.2619201254047</v>
      </c>
      <c r="O1138" t="n">
        <v>-0.6748261324991217</v>
      </c>
      <c r="P1138" t="n">
        <v>159.4092655751866</v>
      </c>
      <c r="Q1138" t="n">
        <v>164.4961176312269</v>
      </c>
    </row>
    <row r="1139">
      <c r="A1139" s="118" t="n">
        <v>46090</v>
      </c>
      <c r="B1139" s="119" t="n">
        <v>55.24566132347709</v>
      </c>
      <c r="C1139" s="119" t="n">
        <v>56.20705613085387</v>
      </c>
      <c r="D1139" s="119" t="n">
        <v>54.89876309369158</v>
      </c>
      <c r="E1139" s="119" t="n">
        <v>56.02865219116211</v>
      </c>
      <c r="F1139" s="120" t="n">
        <v>18053100</v>
      </c>
      <c r="G1139" s="121" t="n">
        <v>-0.008419563540757458</v>
      </c>
      <c r="H1139" s="122" t="n">
        <v>35.83420880178815</v>
      </c>
      <c r="I1139" s="119" t="n">
        <v>62.07576904296875</v>
      </c>
      <c r="J1139" s="119" t="n">
        <v>65.87990591049194</v>
      </c>
      <c r="K1139" s="121" t="n">
        <v>0.2927786728663238</v>
      </c>
      <c r="L1139" s="121" t="n">
        <v>-0.1604423970108875</v>
      </c>
      <c r="M1139" s="121" t="n">
        <v>-0.2735217014962286</v>
      </c>
      <c r="N1139" t="n">
        <v>31.15420791811731</v>
      </c>
      <c r="O1139" t="n">
        <v>-0.7217749510333487</v>
      </c>
      <c r="P1139" t="n">
        <v>160.805684480492</v>
      </c>
      <c r="Q1139" t="n">
        <v>166.6930614718741</v>
      </c>
    </row>
    <row r="1140">
      <c r="A1140" s="118" t="n">
        <v>46091</v>
      </c>
      <c r="B1140" s="119" t="n">
        <v>56.19714576690576</v>
      </c>
      <c r="C1140" s="119" t="n">
        <v>56.73235757917769</v>
      </c>
      <c r="D1140" s="119" t="n">
        <v>55.30512607978587</v>
      </c>
      <c r="E1140" s="119" t="n">
        <v>55.58264541625977</v>
      </c>
      <c r="F1140" s="120" t="n">
        <v>15706400</v>
      </c>
      <c r="G1140" s="121" t="n">
        <v>-0.007960333819571952</v>
      </c>
      <c r="H1140" s="122" t="n">
        <v>35.54895653756567</v>
      </c>
      <c r="I1140" s="119" t="n">
        <v>62.00590675354004</v>
      </c>
      <c r="J1140" s="119" t="n">
        <v>65.8678558921814</v>
      </c>
      <c r="K1140" s="121" t="n">
        <v>0.2851950504389687</v>
      </c>
      <c r="L1140" s="121" t="n">
        <v>-0.1671255557914407</v>
      </c>
      <c r="M1140" s="121" t="n">
        <v>-0.2793047112649932</v>
      </c>
      <c r="N1140" t="n">
        <v>30.11043019131738</v>
      </c>
      <c r="O1140" t="n">
        <v>-0.7353475430932027</v>
      </c>
      <c r="P1140" t="n">
        <v>160.5472527168789</v>
      </c>
      <c r="Q1140" t="n">
        <v>166.6958133778207</v>
      </c>
    </row>
    <row r="1141">
      <c r="A1141" s="118" t="n">
        <v>46092</v>
      </c>
      <c r="B1141" s="119" t="n">
        <v>57.08915987817863</v>
      </c>
      <c r="C1141" s="119" t="n">
        <v>57.08915987817863</v>
      </c>
      <c r="D1141" s="119" t="n">
        <v>54.91858374892139</v>
      </c>
      <c r="E1141" s="119" t="n">
        <v>55.20601272583008</v>
      </c>
      <c r="F1141" s="120" t="n">
        <v>20245300</v>
      </c>
      <c r="G1141" s="121" t="n">
        <v>-0.006776084290502471</v>
      </c>
      <c r="H1141" s="122" t="n">
        <v>35.30807381162771</v>
      </c>
      <c r="I1141" s="119" t="n">
        <v>61.91019828796387</v>
      </c>
      <c r="J1141" s="119" t="n">
        <v>65.84744470596314</v>
      </c>
      <c r="K1141" s="121" t="n">
        <v>0.2797037411658647</v>
      </c>
      <c r="L1141" s="121" t="n">
        <v>-0.1727691832288032</v>
      </c>
      <c r="M1141" s="121" t="n">
        <v>-0.2841882032892297</v>
      </c>
      <c r="N1141" t="n">
        <v>29.22013352419228</v>
      </c>
      <c r="O1141" t="n">
        <v>-0.7211857675036963</v>
      </c>
      <c r="P1141" t="n">
        <v>160.3457443133005</v>
      </c>
      <c r="Q1141" t="n">
        <v>166.6738652499054</v>
      </c>
    </row>
    <row r="1142">
      <c r="A1142" s="118" t="n">
        <v>46093</v>
      </c>
      <c r="B1142" s="119" t="n">
        <v>54.78973926315801</v>
      </c>
      <c r="C1142" s="119" t="n">
        <v>54.96814320682024</v>
      </c>
      <c r="D1142" s="119" t="n">
        <v>53.55082508820696</v>
      </c>
      <c r="E1142" s="119" t="n">
        <v>53.64994049072266</v>
      </c>
      <c r="F1142" s="120" t="n">
        <v>18611800</v>
      </c>
      <c r="G1142" s="121" t="n">
        <v>-0.02818664414029237</v>
      </c>
      <c r="H1142" s="122" t="n">
        <v>34.31285769982019</v>
      </c>
      <c r="I1142" s="119" t="n">
        <v>61.77785461425781</v>
      </c>
      <c r="J1142" s="119" t="n">
        <v>65.82553777694702</v>
      </c>
      <c r="K1142" s="121" t="n">
        <v>0.2904845578500106</v>
      </c>
      <c r="L1142" s="121" t="n">
        <v>-0.1960860438830164</v>
      </c>
      <c r="M1142" s="121" t="n">
        <v>-0.3043645356745394</v>
      </c>
      <c r="N1142" t="n">
        <v>25.82294269413066</v>
      </c>
      <c r="O1142" t="n">
        <v>-0.7640083593636675</v>
      </c>
      <c r="P1142" t="n">
        <v>157.9108995942042</v>
      </c>
      <c r="Q1142" t="n">
        <v>163.813191898792</v>
      </c>
    </row>
    <row r="1143">
      <c r="A1143" s="118" t="n">
        <v>46094</v>
      </c>
      <c r="B1143" s="119" t="n">
        <v>53.85807434815711</v>
      </c>
      <c r="C1143" s="119" t="n">
        <v>54.38337272098835</v>
      </c>
      <c r="D1143" s="119" t="n">
        <v>53.26339708762612</v>
      </c>
      <c r="E1143" s="119" t="n">
        <v>53.50126647949219</v>
      </c>
      <c r="F1143" s="120" t="n">
        <v>14377100</v>
      </c>
      <c r="G1143" s="121" t="n">
        <v>-0.002771186880555443</v>
      </c>
      <c r="H1143" s="122" t="n">
        <v>34.21777035872807</v>
      </c>
      <c r="I1143" s="119" t="n">
        <v>61.6429313659668</v>
      </c>
      <c r="J1143" s="119" t="n">
        <v>65.7893030166626</v>
      </c>
      <c r="K1143" s="121" t="n">
        <v>0.2862849408764702</v>
      </c>
      <c r="L1143" s="121" t="n">
        <v>-0.1904307486138369</v>
      </c>
      <c r="M1143" s="121" t="n">
        <v>-0.3062922715469272</v>
      </c>
      <c r="N1143" t="n">
        <v>25.51768334117702</v>
      </c>
      <c r="O1143" t="n">
        <v>-0.7487446214410989</v>
      </c>
      <c r="P1143" t="n">
        <v>157.0171024656844</v>
      </c>
      <c r="Q1143" t="n">
        <v>162.8422389372546</v>
      </c>
    </row>
    <row r="1144">
      <c r="A1144" s="118" t="n">
        <v>46097</v>
      </c>
      <c r="B1144" s="119" t="n">
        <v>53.78869604866507</v>
      </c>
      <c r="C1144" s="119" t="n">
        <v>54.58160033166583</v>
      </c>
      <c r="D1144" s="119" t="n">
        <v>53.50126706455672</v>
      </c>
      <c r="E1144" s="119" t="n">
        <v>54.30408477783203</v>
      </c>
      <c r="F1144" s="120" t="n">
        <v>13115200</v>
      </c>
      <c r="G1144" s="121" t="n">
        <v>0.01500559428154058</v>
      </c>
      <c r="H1144" s="122" t="n">
        <v>34.73122833795008</v>
      </c>
      <c r="I1144" s="119" t="n">
        <v>61.47444084167481</v>
      </c>
      <c r="J1144" s="119" t="n">
        <v>65.76215841293335</v>
      </c>
      <c r="K1144" s="121" t="n">
        <v>0.259487719635998</v>
      </c>
      <c r="L1144" s="121" t="n">
        <v>-0.1681197043598613</v>
      </c>
      <c r="M1144" s="121" t="n">
        <v>-0.2958827748237912</v>
      </c>
      <c r="N1144" t="n">
        <v>30.30850408849649</v>
      </c>
      <c r="O1144" t="n">
        <v>-0.6354450909090876</v>
      </c>
      <c r="P1144" t="n">
        <v>158.6150443218107</v>
      </c>
      <c r="Q1144" t="n">
        <v>164.6689171887741</v>
      </c>
    </row>
    <row r="1145">
      <c r="A1145" s="118" t="n">
        <v>46098</v>
      </c>
      <c r="B1145" s="119" t="n">
        <v>54.95823206953708</v>
      </c>
      <c r="C1145" s="119" t="n">
        <v>55.18619181785433</v>
      </c>
      <c r="D1145" s="119" t="n">
        <v>54.51222222245291</v>
      </c>
      <c r="E1145" s="119" t="n">
        <v>54.63115692138672</v>
      </c>
      <c r="F1145" s="120" t="n">
        <v>9861400</v>
      </c>
      <c r="G1145" s="121" t="n">
        <v>0.006022974973112882</v>
      </c>
      <c r="H1145" s="122" t="n">
        <v>34.94041365701502</v>
      </c>
      <c r="I1145" s="119" t="n">
        <v>61.32095924377441</v>
      </c>
      <c r="J1145" s="119" t="n">
        <v>65.7382928276062</v>
      </c>
      <c r="K1145" s="121" t="n">
        <v>0.2332177208049815</v>
      </c>
      <c r="L1145" s="121" t="n">
        <v>-0.163109310158595</v>
      </c>
      <c r="M1145" s="121" t="n">
        <v>-0.2916418943984173</v>
      </c>
      <c r="N1145" t="n">
        <v>32.22126711728616</v>
      </c>
      <c r="O1145" t="n">
        <v>-0.4955506737166049</v>
      </c>
      <c r="P1145" t="n">
        <v>159.0322883321654</v>
      </c>
      <c r="Q1145" t="n">
        <v>165.4725408448288</v>
      </c>
    </row>
    <row r="1146">
      <c r="A1146" s="118" t="n">
        <v>46099</v>
      </c>
      <c r="B1146" s="119" t="n">
        <v>54.01665642898114</v>
      </c>
      <c r="C1146" s="119" t="n">
        <v>54.47257592446014</v>
      </c>
      <c r="D1146" s="119" t="n">
        <v>52.78765194022699</v>
      </c>
      <c r="E1146" s="119" t="n">
        <v>52.99579238891602</v>
      </c>
      <c r="F1146" s="120" t="n">
        <v>16861300</v>
      </c>
      <c r="G1146" s="121" t="n">
        <v>-0.02993464946795776</v>
      </c>
      <c r="H1146" s="122" t="n">
        <v>33.89448462192683</v>
      </c>
      <c r="I1146" s="119" t="n">
        <v>61.11015556335449</v>
      </c>
      <c r="J1146" s="119" t="n">
        <v>65.71035957336426</v>
      </c>
      <c r="K1146" s="121" t="n">
        <v>0.2347721118713034</v>
      </c>
      <c r="L1146" s="121" t="n">
        <v>-0.1881613396019949</v>
      </c>
      <c r="M1146" s="121" t="n">
        <v>-0.3128463459873871</v>
      </c>
      <c r="N1146" t="n">
        <v>28.07250735580315</v>
      </c>
      <c r="O1146" t="n">
        <v>-0.4704292571367468</v>
      </c>
      <c r="P1146" t="n">
        <v>156.8132083143305</v>
      </c>
      <c r="Q1146" t="n">
        <v>163.1659067043481</v>
      </c>
    </row>
    <row r="1147">
      <c r="A1147" s="118" t="n">
        <v>46100</v>
      </c>
      <c r="B1147" s="119" t="n">
        <v>52.43084877990165</v>
      </c>
      <c r="C1147" s="119" t="n">
        <v>53.15437419586343</v>
      </c>
      <c r="D1147" s="119" t="n">
        <v>52.12359670701406</v>
      </c>
      <c r="E1147" s="119" t="n">
        <v>52.96605682373047</v>
      </c>
      <c r="F1147" s="120" t="n">
        <v>12307700</v>
      </c>
      <c r="G1147" s="121" t="n">
        <v>-0.0005610929442724233</v>
      </c>
      <c r="H1147" s="122" t="n">
        <v>33.87546666575572</v>
      </c>
      <c r="I1147" s="119" t="n">
        <v>60.88260963439942</v>
      </c>
      <c r="J1147" s="119" t="n">
        <v>65.67556196212769</v>
      </c>
      <c r="K1147" s="121" t="n">
        <v>0.2339437719769788</v>
      </c>
      <c r="L1147" s="121" t="n">
        <v>-0.1886168565462317</v>
      </c>
      <c r="M1147" s="121" t="n">
        <v>-0.3132319030542846</v>
      </c>
      <c r="N1147" t="n">
        <v>28.00190656259392</v>
      </c>
      <c r="O1147" t="n">
        <v>-0.4150225469014825</v>
      </c>
      <c r="P1147" t="n">
        <v>156.4267753636624</v>
      </c>
      <c r="Q1147" t="n">
        <v>162.650259937653</v>
      </c>
    </row>
    <row r="1148">
      <c r="A1148" s="118" t="n">
        <v>46101</v>
      </c>
      <c r="B1148" s="119" t="n">
        <v>52.47048881037924</v>
      </c>
      <c r="C1148" s="119" t="n">
        <v>53.13454873666556</v>
      </c>
      <c r="D1148" s="119" t="n">
        <v>51.71723069817</v>
      </c>
      <c r="E1148" s="119" t="n">
        <v>51.90554428100586</v>
      </c>
      <c r="F1148" s="120" t="n">
        <v>19566100</v>
      </c>
      <c r="G1148" s="121" t="n">
        <v>-0.02002249376905596</v>
      </c>
      <c r="H1148" s="122" t="n">
        <v>33.19719534551676</v>
      </c>
      <c r="I1148" s="119" t="n">
        <v>60.67579727172851</v>
      </c>
      <c r="J1148" s="119" t="n">
        <v>65.63156862258911</v>
      </c>
      <c r="K1148" s="121" t="n">
        <v>0.2352909360458956</v>
      </c>
      <c r="L1148" s="121" t="n">
        <v>-0.2048627704803518</v>
      </c>
      <c r="M1148" s="121" t="n">
        <v>-0.3269827129961667</v>
      </c>
      <c r="N1148" t="n">
        <v>25.53533235423365</v>
      </c>
      <c r="O1148" t="n">
        <v>-0.4083739709211667</v>
      </c>
      <c r="P1148" t="n">
        <v>154.184274285348</v>
      </c>
      <c r="Q1148" t="n">
        <v>159.6442054089722</v>
      </c>
    </row>
    <row r="1149">
      <c r="A1149" s="118" t="n">
        <v>46104</v>
      </c>
      <c r="B1149" s="119" t="n">
        <v>52.80747537109458</v>
      </c>
      <c r="C1149" s="119" t="n">
        <v>53.08499471090233</v>
      </c>
      <c r="D1149" s="119" t="n">
        <v>52.06412688318676</v>
      </c>
      <c r="E1149" s="119" t="n">
        <v>52.24253082275391</v>
      </c>
      <c r="F1149" s="120" t="n">
        <v>15242700</v>
      </c>
      <c r="G1149" s="121" t="n">
        <v>0.00649230340257434</v>
      </c>
      <c r="H1149" s="122" t="n">
        <v>33.41272160981438</v>
      </c>
      <c r="I1149" s="119" t="n">
        <v>60.43555297851562</v>
      </c>
      <c r="J1149" s="119" t="n">
        <v>65.5873136138916</v>
      </c>
      <c r="K1149" s="121" t="n">
        <v>0.2235815631944335</v>
      </c>
      <c r="L1149" s="121" t="n">
        <v>-0.1997004983396279</v>
      </c>
      <c r="M1149" s="121" t="n">
        <v>-0.3226132805737604</v>
      </c>
      <c r="N1149" t="n">
        <v>27.71424946498126</v>
      </c>
      <c r="O1149" t="n">
        <v>-0.3425186845853245</v>
      </c>
      <c r="P1149" t="n">
        <v>155.8032078124506</v>
      </c>
      <c r="Q1149" t="n">
        <v>161.4767566304997</v>
      </c>
    </row>
    <row r="1150">
      <c r="A1150" s="118" t="n">
        <v>46105</v>
      </c>
      <c r="B1150" s="119" t="n">
        <v>51.8956341566726</v>
      </c>
      <c r="C1150" s="119" t="n">
        <v>53.60038115931096</v>
      </c>
      <c r="D1150" s="119" t="n">
        <v>51.80643219070046</v>
      </c>
      <c r="E1150" s="119" t="n">
        <v>53.0156135559082</v>
      </c>
      <c r="F1150" s="120" t="n">
        <v>12073800</v>
      </c>
      <c r="G1150" s="121" t="n">
        <v>0.01479795716209042</v>
      </c>
      <c r="H1150" s="122" t="n">
        <v>33.90716163286527</v>
      </c>
      <c r="I1150" s="119" t="n">
        <v>60.19777397155762</v>
      </c>
      <c r="J1150" s="119" t="n">
        <v>65.54741067886353</v>
      </c>
      <c r="K1150" s="121" t="n">
        <v>0.2220861867020383</v>
      </c>
      <c r="L1150" s="121" t="n">
        <v>-0.1878577005972154</v>
      </c>
      <c r="M1150" s="121" t="n">
        <v>-0.312589340917522</v>
      </c>
      <c r="N1150" t="n">
        <v>32.58760724229795</v>
      </c>
      <c r="O1150" t="n">
        <v>-0.2143947126517407</v>
      </c>
      <c r="P1150" t="n">
        <v>155.2802053488751</v>
      </c>
      <c r="Q1150" t="n">
        <v>160.3727725083258</v>
      </c>
    </row>
    <row r="1151">
      <c r="A1151" s="118" t="n">
        <v>46106</v>
      </c>
      <c r="B1151" s="119" t="n">
        <v>53.28321685225985</v>
      </c>
      <c r="C1151" s="119" t="n">
        <v>53.73914012224481</v>
      </c>
      <c r="D1151" s="119" t="n">
        <v>52.09386232079537</v>
      </c>
      <c r="E1151" s="119" t="n">
        <v>52.51013565063477</v>
      </c>
      <c r="F1151" s="120" t="n">
        <v>13427100</v>
      </c>
      <c r="G1151" s="121" t="n">
        <v>-0.009534510144646013</v>
      </c>
      <c r="H1151" s="122" t="n">
        <v>33.58387345630056</v>
      </c>
      <c r="I1151" s="119" t="n">
        <v>59.95539901733398</v>
      </c>
      <c r="J1151" s="119" t="n">
        <v>65.50434770584107</v>
      </c>
      <c r="K1151" s="121" t="n">
        <v>0.2219682165422523</v>
      </c>
      <c r="L1151" s="121" t="n">
        <v>-0.1956010795897676</v>
      </c>
      <c r="M1151" s="121" t="n">
        <v>-0.3191434648200816</v>
      </c>
      <c r="N1151" t="n">
        <v>31.11072255856054</v>
      </c>
      <c r="O1151" t="n">
        <v>-0.1350645093299319</v>
      </c>
      <c r="P1151" t="n">
        <v>156.1455335237562</v>
      </c>
      <c r="Q1151" t="n">
        <v>161.4273230029473</v>
      </c>
    </row>
    <row r="1152">
      <c r="A1152" s="118" t="n">
        <v>46107</v>
      </c>
      <c r="B1152" s="119" t="n">
        <v>52.29208695461357</v>
      </c>
      <c r="C1152" s="119" t="n">
        <v>53.14446049760458</v>
      </c>
      <c r="D1152" s="119" t="n">
        <v>51.40998068180017</v>
      </c>
      <c r="E1152" s="119" t="n">
        <v>51.60820770263672</v>
      </c>
      <c r="F1152" s="120" t="n">
        <v>14486700</v>
      </c>
      <c r="G1152" s="121" t="n">
        <v>-0.01717626391214899</v>
      </c>
      <c r="H1152" s="122" t="n">
        <v>33.00702798262293</v>
      </c>
      <c r="I1152" s="119" t="n">
        <v>59.68198867797852</v>
      </c>
      <c r="J1152" s="119" t="n">
        <v>65.46110622406006</v>
      </c>
      <c r="K1152" s="121" t="n">
        <v>0.2142472194131346</v>
      </c>
      <c r="L1152" s="121" t="n">
        <v>-0.2094176477373813</v>
      </c>
      <c r="M1152" s="121" t="n">
        <v>-0.3308380363546433</v>
      </c>
      <c r="N1152" t="n">
        <v>28.61845508509384</v>
      </c>
      <c r="O1152" t="n">
        <v>-0.1154685914362652</v>
      </c>
      <c r="P1152" t="n">
        <v>153.3569726024503</v>
      </c>
      <c r="Q1152" t="n">
        <v>157.574386199125</v>
      </c>
    </row>
    <row r="1153">
      <c r="A1153" s="118" t="n">
        <v>46108</v>
      </c>
      <c r="B1153" s="119" t="n">
        <v>51.25139824293279</v>
      </c>
      <c r="C1153" s="119" t="n">
        <v>51.64785227239643</v>
      </c>
      <c r="D1153" s="119" t="n">
        <v>50.74592294718918</v>
      </c>
      <c r="E1153" s="119" t="n">
        <v>50.91441345214844</v>
      </c>
      <c r="F1153" s="120" t="n">
        <v>13077800</v>
      </c>
      <c r="G1153" s="121" t="n">
        <v>-0.01344348663464312</v>
      </c>
      <c r="H1153" s="122" t="n">
        <v>32.56329844308924</v>
      </c>
      <c r="I1153" s="119" t="n">
        <v>59.40907760620117</v>
      </c>
      <c r="J1153" s="119" t="n">
        <v>65.40485754013062</v>
      </c>
      <c r="K1153" s="121" t="n">
        <v>0.2042243289177648</v>
      </c>
      <c r="L1153" s="121" t="n">
        <v>-0.2200458310236085</v>
      </c>
      <c r="M1153" s="121" t="n">
        <v>-0.3398339062693211</v>
      </c>
      <c r="N1153" t="n">
        <v>26.83743394099731</v>
      </c>
      <c r="O1153" t="n">
        <v>-0.1207944341866689</v>
      </c>
      <c r="P1153" t="n">
        <v>150.7419457373301</v>
      </c>
      <c r="Q1153" t="n">
        <v>154.4959095602895</v>
      </c>
    </row>
    <row r="1154">
      <c r="A1154" s="118" t="n">
        <v>46111</v>
      </c>
      <c r="B1154" s="119" t="n">
        <v>50.97388181860143</v>
      </c>
      <c r="C1154" s="119" t="n">
        <v>51.72713992465417</v>
      </c>
      <c r="D1154" s="119" t="n">
        <v>50.4981392599051</v>
      </c>
      <c r="E1154" s="119" t="n">
        <v>50.78556823730469</v>
      </c>
      <c r="F1154" s="120" t="n">
        <v>16869200</v>
      </c>
      <c r="G1154" s="121" t="n">
        <v>-0.002530623572141177</v>
      </c>
      <c r="H1154" s="122" t="n">
        <v>32.48089299246249</v>
      </c>
      <c r="I1154" s="119" t="n">
        <v>59.15288787841797</v>
      </c>
      <c r="J1154" s="119" t="n">
        <v>65.35166311264038</v>
      </c>
      <c r="K1154" s="121" t="n">
        <v>0.2051332113056598</v>
      </c>
      <c r="L1154" s="121" t="n">
        <v>-0.2220196014288101</v>
      </c>
      <c r="M1154" s="121" t="n">
        <v>-0.3415045381476444</v>
      </c>
      <c r="N1154" t="n">
        <v>26.50750979487562</v>
      </c>
      <c r="O1154" t="n">
        <v>-0.1051325216359413</v>
      </c>
      <c r="P1154" t="n">
        <v>150.2379565197463</v>
      </c>
      <c r="Q1154" t="n">
        <v>153.3150398707548</v>
      </c>
    </row>
    <row r="1155">
      <c r="A1155" s="118" t="n">
        <v>46112</v>
      </c>
      <c r="B1155" s="119" t="n">
        <v>51.46944862010977</v>
      </c>
      <c r="C1155" s="119" t="n">
        <v>52.63898385450308</v>
      </c>
      <c r="D1155" s="119" t="n">
        <v>51.23157544495102</v>
      </c>
      <c r="E1155" s="119" t="n">
        <v>52.35155487060547</v>
      </c>
      <c r="F1155" s="120" t="n">
        <v>36422800</v>
      </c>
      <c r="G1155" s="121" t="n">
        <v>0.03083526851532747</v>
      </c>
      <c r="H1155" s="122" t="n">
        <v>33.4824500495027</v>
      </c>
      <c r="I1155" s="119" t="n">
        <v>58.93215324401856</v>
      </c>
      <c r="J1155" s="119" t="n">
        <v>65.30780723571777</v>
      </c>
      <c r="K1155" s="121" t="n">
        <v>0.2371898428460174</v>
      </c>
      <c r="L1155" s="121" t="n">
        <v>-0.1980303669392058</v>
      </c>
      <c r="M1155" s="121" t="n">
        <v>-0.3211996537653024</v>
      </c>
      <c r="N1155" t="n">
        <v>36.69395665252791</v>
      </c>
      <c r="O1155" t="n">
        <v>0.03126291339645171</v>
      </c>
      <c r="P1155" t="n">
        <v>154.6050532756385</v>
      </c>
      <c r="Q1155" t="n">
        <v>158.5053526248657</v>
      </c>
    </row>
    <row r="1156">
      <c r="A1156" s="118" t="n">
        <v>46113</v>
      </c>
      <c r="B1156" s="119" t="n">
        <v>46.14707564565088</v>
      </c>
      <c r="C1156" s="119" t="n">
        <v>46.41468155590174</v>
      </c>
      <c r="D1156" s="119" t="n">
        <v>44.16481300456243</v>
      </c>
      <c r="E1156" s="119" t="n">
        <v>44.23419189453125</v>
      </c>
      <c r="F1156" s="120" t="n">
        <v>114225700</v>
      </c>
      <c r="G1156" s="121" t="n">
        <v>-0.155054859328199</v>
      </c>
      <c r="H1156" s="122" t="n">
        <v>28.29083346711361</v>
      </c>
      <c r="I1156" s="119" t="n">
        <v>58.56384010314942</v>
      </c>
      <c r="J1156" s="119" t="n">
        <v>65.23441141128541</v>
      </c>
      <c r="K1156" s="121" t="n">
        <v>0.5812776898732754</v>
      </c>
      <c r="L1156" s="121" t="n">
        <v>-0.3223796555789347</v>
      </c>
      <c r="M1156" s="121" t="n">
        <v>-0.4264509459626561</v>
      </c>
      <c r="N1156" t="n">
        <v>20.68741339596399</v>
      </c>
      <c r="O1156" t="n">
        <v>-0.3818582972673044</v>
      </c>
      <c r="P1156" t="n">
        <v>155.7699237215333</v>
      </c>
      <c r="Q1156" t="n">
        <v>160.4634008255051</v>
      </c>
    </row>
    <row r="1157">
      <c r="A1157" s="118" t="n">
        <v>46114</v>
      </c>
      <c r="B1157" s="119" t="n">
        <v>43.37190511622997</v>
      </c>
      <c r="C1157" s="119" t="n">
        <v>43.94676309951662</v>
      </c>
      <c r="D1157" s="119" t="n">
        <v>42.78713748327485</v>
      </c>
      <c r="E1157" s="119" t="n">
        <v>43.79809188842773</v>
      </c>
      <c r="F1157" s="120" t="n">
        <v>63242600</v>
      </c>
      <c r="G1157" s="121" t="n">
        <v>-0.009858889411686778</v>
      </c>
      <c r="H1157" s="122" t="n">
        <v>28.01191726859689</v>
      </c>
      <c r="I1157" s="119" t="n">
        <v>58.15175338745117</v>
      </c>
      <c r="J1157" s="119" t="n">
        <v>65.15216802597045</v>
      </c>
      <c r="K1157" s="121" t="n">
        <v>0.5813204749878063</v>
      </c>
      <c r="L1157" s="121" t="n">
        <v>-0.329060239617691</v>
      </c>
      <c r="M1157" s="121" t="n">
        <v>-0.4321055026585878</v>
      </c>
      <c r="N1157" t="n">
        <v>20.1781526269281</v>
      </c>
      <c r="O1157" t="n">
        <v>-0.6266788088193298</v>
      </c>
      <c r="P1157" t="n">
        <v>155.9101882340443</v>
      </c>
      <c r="Q1157" t="n">
        <v>160.647392585896</v>
      </c>
    </row>
    <row r="1158">
      <c r="A1158" s="118" t="n">
        <v>46118</v>
      </c>
      <c r="B1158" s="119" t="n">
        <v>43.76835923952276</v>
      </c>
      <c r="C1158" s="119" t="n">
        <v>43.98640934129222</v>
      </c>
      <c r="D1158" s="119" t="n">
        <v>43.17368195579907</v>
      </c>
      <c r="E1158" s="119" t="n">
        <v>43.63951110839844</v>
      </c>
      <c r="F1158" s="120" t="n">
        <v>26999600</v>
      </c>
      <c r="G1158" s="121" t="n">
        <v>-0.003620723487983701</v>
      </c>
      <c r="H1158" s="122" t="n">
        <v>27.91049386179903</v>
      </c>
      <c r="I1158" s="119" t="n">
        <v>57.73551040649414</v>
      </c>
      <c r="J1158" s="119" t="n">
        <v>65.07837800979614</v>
      </c>
      <c r="K1158" s="121" t="n">
        <v>0.5819383415897557</v>
      </c>
      <c r="L1158" s="121" t="n">
        <v>-0.3314895269671293</v>
      </c>
      <c r="M1158" s="121" t="n">
        <v>-0.4341616916038086</v>
      </c>
      <c r="N1158" t="n">
        <v>19.98548978382497</v>
      </c>
      <c r="O1158" t="n">
        <v>-0.7340388504902777</v>
      </c>
      <c r="P1158" t="n">
        <v>156.6471515408071</v>
      </c>
      <c r="Q1158" t="n">
        <v>161.6140666692848</v>
      </c>
    </row>
    <row r="1159">
      <c r="A1159" s="118" t="n">
        <v>46119</v>
      </c>
      <c r="B1159" s="119" t="n">
        <v>43.31243846575701</v>
      </c>
      <c r="C1159" s="119" t="n">
        <v>43.48092897155077</v>
      </c>
      <c r="D1159" s="119" t="n">
        <v>41.9843223756015</v>
      </c>
      <c r="E1159" s="119" t="n">
        <v>42.31139373779297</v>
      </c>
      <c r="F1159" s="120" t="n">
        <v>38253000</v>
      </c>
      <c r="G1159" s="121" t="n">
        <v>-0.03043382789753279</v>
      </c>
      <c r="H1159" s="122" t="n">
        <v>27.06107069507389</v>
      </c>
      <c r="I1159" s="119" t="n">
        <v>57.30097564697266</v>
      </c>
      <c r="J1159" s="119" t="n">
        <v>65.00033199310303</v>
      </c>
      <c r="K1159" s="121" t="n">
        <v>0.5853109997404004</v>
      </c>
      <c r="L1159" s="121" t="n">
        <v>-0.3518348596511099</v>
      </c>
      <c r="M1159" s="121" t="n">
        <v>-0.4513823172993694</v>
      </c>
      <c r="N1159" t="n">
        <v>18.40086853514831</v>
      </c>
      <c r="O1159" t="n">
        <v>-0.8225774118419498</v>
      </c>
      <c r="P1159" t="n">
        <v>156.7160763759323</v>
      </c>
      <c r="Q1159" t="n">
        <v>161.638783483061</v>
      </c>
    </row>
    <row r="1160">
      <c r="A1160" s="118" t="n">
        <v>46120</v>
      </c>
      <c r="B1160" s="119" t="n">
        <v>43.52057494288791</v>
      </c>
      <c r="C1160" s="119" t="n">
        <v>43.90711554238363</v>
      </c>
      <c r="D1160" s="119" t="n">
        <v>42.38077244310726</v>
      </c>
      <c r="E1160" s="119" t="n">
        <v>42.74749374389648</v>
      </c>
      <c r="F1160" s="120" t="n">
        <v>29462900</v>
      </c>
      <c r="G1160" s="121" t="n">
        <v>0.01030691659097926</v>
      </c>
      <c r="H1160" s="122" t="n">
        <v>27.33998689359061</v>
      </c>
      <c r="I1160" s="119" t="n">
        <v>56.87614761352539</v>
      </c>
      <c r="J1160" s="119" t="n">
        <v>64.92310384750367</v>
      </c>
      <c r="K1160" s="121" t="n">
        <v>0.591058101015537</v>
      </c>
      <c r="L1160" s="121" t="n">
        <v>-0.3451542756123537</v>
      </c>
      <c r="M1160" s="121" t="n">
        <v>-0.4457277606034377</v>
      </c>
      <c r="N1160" t="n">
        <v>20.62633688401107</v>
      </c>
      <c r="O1160" t="n">
        <v>-0.7802146445130926</v>
      </c>
      <c r="P1160" t="n">
        <v>160.707577876844</v>
      </c>
      <c r="Q1160" t="n">
        <v>166.4446348405392</v>
      </c>
    </row>
    <row r="1161">
      <c r="A1161" s="118" t="n">
        <v>46121</v>
      </c>
      <c r="B1161" s="119" t="n">
        <v>42.83669811553343</v>
      </c>
      <c r="C1161" s="119" t="n">
        <v>43.82782946457684</v>
      </c>
      <c r="D1161" s="119" t="n">
        <v>42.34113244101172</v>
      </c>
      <c r="E1161" s="119" t="n">
        <v>43.60977935791016</v>
      </c>
      <c r="F1161" s="120" t="n">
        <v>24147400</v>
      </c>
      <c r="G1161" s="121" t="n">
        <v>0.02017160629766246</v>
      </c>
      <c r="H1161" s="122" t="n">
        <v>27.89147834539137</v>
      </c>
      <c r="I1161" s="119" t="n">
        <v>56.50597991943359</v>
      </c>
      <c r="J1161" s="119" t="n">
        <v>64.84536933898926</v>
      </c>
      <c r="K1161" s="121" t="n">
        <v>0.6020498519184753</v>
      </c>
      <c r="L1161" s="121" t="n">
        <v>-0.3319449854742984</v>
      </c>
      <c r="M1161" s="121" t="n">
        <v>-0.4345471992086064</v>
      </c>
      <c r="N1161" t="n">
        <v>24.98291780503433</v>
      </c>
      <c r="O1161" t="n">
        <v>-0.6290497497663794</v>
      </c>
      <c r="P1161" t="n">
        <v>161.6347027380087</v>
      </c>
      <c r="Q1161" t="n">
        <v>167.5705838705427</v>
      </c>
    </row>
    <row r="1162">
      <c r="A1162" s="118" t="n">
        <v>46122</v>
      </c>
      <c r="B1162" s="119" t="n">
        <v>43.44128761038457</v>
      </c>
      <c r="C1162" s="119" t="n">
        <v>43.57013195987964</v>
      </c>
      <c r="D1162" s="119" t="n">
        <v>42.02396951901127</v>
      </c>
      <c r="E1162" s="119" t="n">
        <v>42.24201583862305</v>
      </c>
      <c r="F1162" s="120" t="n">
        <v>26094800</v>
      </c>
      <c r="G1162" s="121" t="n">
        <v>-0.03136368813200652</v>
      </c>
      <c r="H1162" s="122" t="n">
        <v>27.0166987170259</v>
      </c>
      <c r="I1162" s="119" t="n">
        <v>56.12519508361817</v>
      </c>
      <c r="J1162" s="119" t="n">
        <v>64.75768146514892</v>
      </c>
      <c r="K1162" s="121" t="n">
        <v>0.6033587107652166</v>
      </c>
      <c r="L1162" s="121" t="n">
        <v>-0.3460921689845423</v>
      </c>
      <c r="M1162" s="121" t="n">
        <v>-0.4522818845059973</v>
      </c>
      <c r="N1162" t="n">
        <v>22.84133259813778</v>
      </c>
      <c r="O1162" t="n">
        <v>-0.5584968972348792</v>
      </c>
      <c r="P1162" t="n">
        <v>161.5277368636577</v>
      </c>
      <c r="Q1162" t="n">
        <v>167.8122481964114</v>
      </c>
    </row>
    <row r="1163">
      <c r="A1163" s="118" t="n">
        <v>46125</v>
      </c>
      <c r="B1163" s="119" t="n">
        <v>41.85547603452363</v>
      </c>
      <c r="C1163" s="119" t="n">
        <v>42.59882453952412</v>
      </c>
      <c r="D1163" s="119" t="n">
        <v>41.7167182518621</v>
      </c>
      <c r="E1163" s="119" t="n">
        <v>42.52944564819336</v>
      </c>
      <c r="F1163" s="120" t="n">
        <v>21236700</v>
      </c>
      <c r="G1163" s="121" t="n">
        <v>0.00680435826425474</v>
      </c>
      <c r="H1163" s="122" t="n">
        <v>27.20053001421397</v>
      </c>
      <c r="I1163" s="119" t="n">
        <v>55.74306983947754</v>
      </c>
      <c r="J1163" s="119" t="n">
        <v>64.67430196762085</v>
      </c>
      <c r="K1163" s="121" t="n">
        <v>0.6060702503595122</v>
      </c>
      <c r="L1163" s="121" t="n">
        <v>-0.3416427458305114</v>
      </c>
      <c r="M1163" s="121" t="n">
        <v>-0.4485550142203537</v>
      </c>
      <c r="N1163" t="n">
        <v>24.30971049948157</v>
      </c>
      <c r="O1163" t="n">
        <v>-0.4352651093464859</v>
      </c>
      <c r="P1163" t="n">
        <v>163.1062581510013</v>
      </c>
      <c r="Q1163" t="n">
        <v>169.5478450730652</v>
      </c>
    </row>
    <row r="1164">
      <c r="A1164" s="118" t="n">
        <v>46126</v>
      </c>
      <c r="B1164" s="119" t="n">
        <v>42.60873826434926</v>
      </c>
      <c r="C1164" s="119" t="n">
        <v>43.81791593650846</v>
      </c>
      <c r="D1164" s="119" t="n">
        <v>42.5690921030677</v>
      </c>
      <c r="E1164" s="119" t="n">
        <v>43.80800628662109</v>
      </c>
      <c r="F1164" s="120" t="n">
        <v>22554100</v>
      </c>
      <c r="G1164" s="121" t="n">
        <v>0.03006295094942169</v>
      </c>
      <c r="H1164" s="122" t="n">
        <v>28.01825821382956</v>
      </c>
      <c r="I1164" s="119" t="n">
        <v>55.40207237243652</v>
      </c>
      <c r="J1164" s="119" t="n">
        <v>64.58899360656739</v>
      </c>
      <c r="K1164" s="121" t="n">
        <v>0.6167877189811771</v>
      </c>
      <c r="L1164" s="121" t="n">
        <v>-0.3218505839912181</v>
      </c>
      <c r="M1164" s="121" t="n">
        <v>-0.4319769506615556</v>
      </c>
      <c r="N1164" t="n">
        <v>30.63349605971507</v>
      </c>
      <c r="O1164" t="n">
        <v>-0.221231488024316</v>
      </c>
      <c r="P1164" t="n">
        <v>165.0936878787279</v>
      </c>
      <c r="Q1164" t="n">
        <v>172.6263217119007</v>
      </c>
    </row>
    <row r="1165">
      <c r="A1165" s="118" t="n">
        <v>46127</v>
      </c>
      <c r="B1165" s="119" t="n">
        <v>44.69011192421851</v>
      </c>
      <c r="C1165" s="119" t="n">
        <v>45.49292966448566</v>
      </c>
      <c r="D1165" s="119" t="n">
        <v>44.31348095930559</v>
      </c>
      <c r="E1165" s="119" t="n">
        <v>45.03700637817383</v>
      </c>
      <c r="F1165" s="120" t="n">
        <v>31523500</v>
      </c>
      <c r="G1165" s="121" t="n">
        <v>0.02805423473307145</v>
      </c>
      <c r="H1165" s="122" t="n">
        <v>28.80428900657214</v>
      </c>
      <c r="I1165" s="119" t="n">
        <v>55.07836891174316</v>
      </c>
      <c r="J1165" s="119" t="n">
        <v>64.46359888076782</v>
      </c>
      <c r="K1165" s="121" t="n">
        <v>0.629165749865737</v>
      </c>
      <c r="L1165" s="121" t="n">
        <v>-0.3028256210904124</v>
      </c>
      <c r="M1165" s="121" t="n">
        <v>-0.4160414987016199</v>
      </c>
      <c r="N1165" t="n">
        <v>36.15525441910008</v>
      </c>
      <c r="O1165" t="n">
        <v>0.03583636025944648</v>
      </c>
      <c r="P1165" t="n">
        <v>166.3964370893581</v>
      </c>
      <c r="Q1165" t="n">
        <v>175.0429985304156</v>
      </c>
    </row>
    <row r="1166">
      <c r="A1166" s="118" t="n">
        <v>46128</v>
      </c>
      <c r="B1166" s="119" t="n">
        <v>45.39381223902274</v>
      </c>
      <c r="C1166" s="119" t="n">
        <v>46.07769524756912</v>
      </c>
      <c r="D1166" s="119" t="n">
        <v>45.14602941699656</v>
      </c>
      <c r="E1166" s="119" t="n">
        <v>45.29470062255859</v>
      </c>
      <c r="F1166" s="120" t="n">
        <v>21766300</v>
      </c>
      <c r="G1166" s="121" t="n">
        <v>0.005721833334589643</v>
      </c>
      <c r="H1166" s="122" t="n">
        <v>28.9691023475891</v>
      </c>
      <c r="I1166" s="119" t="n">
        <v>54.78443420410157</v>
      </c>
      <c r="J1166" s="119" t="n">
        <v>64.34435907363891</v>
      </c>
      <c r="K1166" s="121" t="n">
        <v>0.6260028314282119</v>
      </c>
      <c r="L1166" s="121" t="n">
        <v>-0.2988365054891458</v>
      </c>
      <c r="M1166" s="121" t="n">
        <v>-0.4127001854828738</v>
      </c>
      <c r="N1166" t="n">
        <v>37.28258994471162</v>
      </c>
      <c r="O1166" t="n">
        <v>0.2443331585670263</v>
      </c>
      <c r="P1166" t="n">
        <v>166.8053309824984</v>
      </c>
      <c r="Q1166" t="n">
        <v>175.8860717650092</v>
      </c>
    </row>
    <row r="1167">
      <c r="A1167" s="118" t="n">
        <v>46129</v>
      </c>
      <c r="B1167" s="119" t="n">
        <v>45.96867099143482</v>
      </c>
      <c r="C1167" s="119" t="n">
        <v>46.36512124497474</v>
      </c>
      <c r="D1167" s="119" t="n">
        <v>45.37398993982613</v>
      </c>
      <c r="E1167" s="119" t="n">
        <v>45.62177276611328</v>
      </c>
      <c r="F1167" s="120" t="n">
        <v>31290400</v>
      </c>
      <c r="G1167" s="121" t="n">
        <v>0.007220980358832341</v>
      </c>
      <c r="H1167" s="122" t="n">
        <v>29.17828766665405</v>
      </c>
      <c r="I1167" s="119" t="n">
        <v>54.43225448608398</v>
      </c>
      <c r="J1167" s="119" t="n">
        <v>64.21522115707397</v>
      </c>
      <c r="K1167" s="121" t="n">
        <v>0.6276746251032033</v>
      </c>
      <c r="L1167" s="121" t="n">
        <v>-0.2937734176669525</v>
      </c>
      <c r="M1167" s="121" t="n">
        <v>-0.4084593050574997</v>
      </c>
      <c r="N1167" t="n">
        <v>38.76061692326648</v>
      </c>
      <c r="O1167" t="n">
        <v>0.4153274677889467</v>
      </c>
      <c r="P1167" t="n">
        <v>168.8212878528337</v>
      </c>
      <c r="Q1167" t="n">
        <v>178.1873866726542</v>
      </c>
    </row>
    <row r="1168">
      <c r="A1168" s="118" t="n">
        <v>46132</v>
      </c>
      <c r="B1168" s="119" t="n">
        <v>45.57221769511245</v>
      </c>
      <c r="C1168" s="119" t="n">
        <v>46.14707567622461</v>
      </c>
      <c r="D1168" s="119" t="n">
        <v>45.16585400465473</v>
      </c>
      <c r="E1168" s="119" t="n">
        <v>46.06778335571289</v>
      </c>
      <c r="F1168" s="120" t="n">
        <v>19003100</v>
      </c>
      <c r="G1168" s="121" t="n">
        <v>0.009776266079929652</v>
      </c>
      <c r="H1168" s="122" t="n">
        <v>29.46354237063998</v>
      </c>
      <c r="I1168" s="119" t="n">
        <v>54.11892669677734</v>
      </c>
      <c r="J1168" s="119" t="n">
        <v>64.07381122589112</v>
      </c>
      <c r="K1168" s="121" t="n">
        <v>0.6281532818918858</v>
      </c>
      <c r="L1168" s="121" t="n">
        <v>-0.2868691586853453</v>
      </c>
      <c r="M1168" s="121" t="n">
        <v>-0.4026762458266353</v>
      </c>
      <c r="N1168" t="n">
        <v>40.80911415650575</v>
      </c>
      <c r="O1168" t="n">
        <v>0.5604958976053003</v>
      </c>
      <c r="P1168" t="n">
        <v>168.4836899953516</v>
      </c>
      <c r="Q1168" t="n">
        <v>177.621668641663</v>
      </c>
    </row>
    <row r="1169">
      <c r="A1169" s="118" t="n">
        <v>46133</v>
      </c>
      <c r="B1169" s="119" t="n">
        <v>46.35521142809223</v>
      </c>
      <c r="C1169" s="119" t="n">
        <v>46.55343844457923</v>
      </c>
      <c r="D1169" s="119" t="n">
        <v>45.52266098353952</v>
      </c>
      <c r="E1169" s="119" t="n">
        <v>45.97858047485352</v>
      </c>
      <c r="F1169" s="120" t="n">
        <v>22194000</v>
      </c>
      <c r="G1169" s="121" t="n">
        <v>-0.001936339766352435</v>
      </c>
      <c r="H1169" s="122" t="n">
        <v>29.4064909418901</v>
      </c>
      <c r="I1169" s="119" t="n">
        <v>53.77979080200195</v>
      </c>
      <c r="J1169" s="119" t="n">
        <v>63.93195528030395</v>
      </c>
      <c r="K1169" s="121" t="n">
        <v>0.6267944045707458</v>
      </c>
      <c r="L1169" s="121" t="n">
        <v>-0.2882500222919954</v>
      </c>
      <c r="M1169" s="121" t="n">
        <v>-0.4038328675652282</v>
      </c>
      <c r="N1169" t="n">
        <v>40.51719517060877</v>
      </c>
      <c r="O1169" t="n">
        <v>0.6464336407145033</v>
      </c>
      <c r="P1169" t="n">
        <v>167.3806453302255</v>
      </c>
      <c r="Q1169" t="n">
        <v>176.9461092916095</v>
      </c>
    </row>
    <row r="1170">
      <c r="A1170" s="118" t="n">
        <v>46134</v>
      </c>
      <c r="B1170" s="119" t="n">
        <v>45.89929325209091</v>
      </c>
      <c r="C1170" s="119" t="n">
        <v>46.5336166983341</v>
      </c>
      <c r="D1170" s="119" t="n">
        <v>45.09647551370226</v>
      </c>
      <c r="E1170" s="119" t="n">
        <v>45.27487945556641</v>
      </c>
      <c r="F1170" s="120" t="n">
        <v>17985200</v>
      </c>
      <c r="G1170" s="121" t="n">
        <v>-0.01530497488220572</v>
      </c>
      <c r="H1170" s="122" t="n">
        <v>28.95642533665066</v>
      </c>
      <c r="I1170" s="119" t="n">
        <v>53.45631568908691</v>
      </c>
      <c r="J1170" s="119" t="n">
        <v>63.7858995628357</v>
      </c>
      <c r="K1170" s="121" t="n">
        <v>0.6229228753571854</v>
      </c>
      <c r="L1170" s="121" t="n">
        <v>-0.2991433378232269</v>
      </c>
      <c r="M1170" s="121" t="n">
        <v>-0.4129571905527389</v>
      </c>
      <c r="N1170" t="n">
        <v>38.1959728751782</v>
      </c>
      <c r="O1170" t="n">
        <v>0.6500525497435472</v>
      </c>
      <c r="P1170" t="n">
        <v>169.0756609357799</v>
      </c>
      <c r="Q1170" t="n">
        <v>179.9065224533716</v>
      </c>
    </row>
    <row r="1171">
      <c r="A1171" s="118" t="n">
        <v>46135</v>
      </c>
      <c r="B1171" s="119" t="n">
        <v>45.1757663387775</v>
      </c>
      <c r="C1171" s="119" t="n">
        <v>45.34425684447689</v>
      </c>
      <c r="D1171" s="119" t="n">
        <v>43.84765024936583</v>
      </c>
      <c r="E1171" s="119" t="n">
        <v>44.38285827636719</v>
      </c>
      <c r="F1171" s="120" t="n">
        <v>17457500</v>
      </c>
      <c r="G1171" s="121" t="n">
        <v>-0.01970234244521107</v>
      </c>
      <c r="H1171" s="122" t="n">
        <v>28.38591592867879</v>
      </c>
      <c r="I1171" s="119" t="n">
        <v>53.10259422302246</v>
      </c>
      <c r="J1171" s="119" t="n">
        <v>63.64808519363403</v>
      </c>
      <c r="K1171" s="121" t="n">
        <v>0.624501057387282</v>
      </c>
      <c r="L1171" s="121" t="n">
        <v>-0.3129518557864411</v>
      </c>
      <c r="M1171" s="121" t="n">
        <v>-0.4245233090144677</v>
      </c>
      <c r="N1171" t="n">
        <v>35.42543423514282</v>
      </c>
      <c r="O1171" t="n">
        <v>0.5883861452523762</v>
      </c>
      <c r="P1171" t="n">
        <v>168.4195221085349</v>
      </c>
      <c r="Q1171" t="n">
        <v>178.893166648377</v>
      </c>
    </row>
    <row r="1172">
      <c r="A1172" s="118" t="n">
        <v>46136</v>
      </c>
      <c r="B1172" s="119" t="n">
        <v>44.58108437316442</v>
      </c>
      <c r="C1172" s="119" t="n">
        <v>45.01718077380956</v>
      </c>
      <c r="D1172" s="119" t="n">
        <v>44.19454378018212</v>
      </c>
      <c r="E1172" s="119" t="n">
        <v>44.29365539550781</v>
      </c>
      <c r="F1172" s="120" t="n">
        <v>15885000</v>
      </c>
      <c r="G1172" s="121" t="n">
        <v>-0.002009849845720169</v>
      </c>
      <c r="H1172" s="122" t="n">
        <v>28.32886449992891</v>
      </c>
      <c r="I1172" s="119" t="n">
        <v>52.76067611694336</v>
      </c>
      <c r="J1172" s="119" t="n">
        <v>63.51157670974732</v>
      </c>
      <c r="K1172" s="121" t="n">
        <v>0.6237279673113637</v>
      </c>
      <c r="L1172" s="121" t="n">
        <v>-0.3143327193930912</v>
      </c>
      <c r="M1172" s="121" t="n">
        <v>-0.4256799307530604</v>
      </c>
      <c r="N1172" t="n">
        <v>35.15085297032797</v>
      </c>
      <c r="O1172" t="n">
        <v>0.5389257630825721</v>
      </c>
      <c r="P1172" t="n">
        <v>169.7246570669408</v>
      </c>
      <c r="Q1172" t="n">
        <v>182.3149435540467</v>
      </c>
    </row>
    <row r="1173">
      <c r="A1173" s="118" t="n">
        <v>46139</v>
      </c>
      <c r="B1173" s="119" t="n">
        <v>44.2044541791922</v>
      </c>
      <c r="C1173" s="119" t="n">
        <v>45.00727188806503</v>
      </c>
      <c r="D1173" s="119" t="n">
        <v>44.09543291283096</v>
      </c>
      <c r="E1173" s="119" t="n">
        <v>44.73966598510742</v>
      </c>
      <c r="F1173" s="120" t="n">
        <v>14583100</v>
      </c>
      <c r="G1173" s="121" t="n">
        <v>0.01006940126338818</v>
      </c>
      <c r="H1173" s="122" t="n">
        <v>28.61411920391485</v>
      </c>
      <c r="I1173" s="119" t="n">
        <v>52.45229309082031</v>
      </c>
      <c r="J1173" s="119" t="n">
        <v>63.37213981628418</v>
      </c>
      <c r="K1173" s="121" t="n">
        <v>0.6259939840414408</v>
      </c>
      <c r="L1173" s="121" t="n">
        <v>-0.307428460411484</v>
      </c>
      <c r="M1173" s="121" t="n">
        <v>-0.4198968715221961</v>
      </c>
      <c r="N1173" t="n">
        <v>37.74893855364275</v>
      </c>
      <c r="O1173" t="n">
        <v>0.532636426697501</v>
      </c>
      <c r="P1173" t="n">
        <v>170.0170566418703</v>
      </c>
      <c r="Q1173" t="n">
        <v>182.4110589032049</v>
      </c>
    </row>
    <row r="1174">
      <c r="A1174" s="118" t="n">
        <v>46140</v>
      </c>
      <c r="B1174" s="119" t="n">
        <v>44.97754016627945</v>
      </c>
      <c r="C1174" s="119" t="n">
        <v>45.30461153441868</v>
      </c>
      <c r="D1174" s="119" t="n">
        <v>44.35312637872973</v>
      </c>
      <c r="E1174" s="119" t="n">
        <v>44.63064193725586</v>
      </c>
      <c r="F1174" s="120" t="n">
        <v>12426000</v>
      </c>
      <c r="G1174" s="121" t="n">
        <v>-0.00243685430928009</v>
      </c>
      <c r="H1174" s="122" t="n">
        <v>28.54439076422653</v>
      </c>
      <c r="I1174" s="119" t="n">
        <v>52.10175498962403</v>
      </c>
      <c r="J1174" s="119" t="n">
        <v>63.24184206008911</v>
      </c>
      <c r="K1174" s="121" t="n">
        <v>0.626000249204</v>
      </c>
      <c r="L1174" s="121" t="n">
        <v>-0.309116156352215</v>
      </c>
      <c r="M1174" s="121" t="n">
        <v>-0.4213104983306541</v>
      </c>
      <c r="N1174" t="n">
        <v>37.35497194398172</v>
      </c>
      <c r="O1174" t="n">
        <v>0.5171005627963616</v>
      </c>
      <c r="P1174" t="n">
        <v>169.1897549589726</v>
      </c>
      <c r="Q1174" t="n">
        <v>180.5765947714463</v>
      </c>
    </row>
    <row r="1175">
      <c r="A1175" s="118" t="n">
        <v>46141</v>
      </c>
      <c r="B1175" s="119" t="n">
        <v>44.52161720838121</v>
      </c>
      <c r="C1175" s="119" t="n">
        <v>44.75949038945037</v>
      </c>
      <c r="D1175" s="119" t="n">
        <v>43.75844941693546</v>
      </c>
      <c r="E1175" s="119" t="n">
        <v>43.99631881713867</v>
      </c>
      <c r="F1175" s="120" t="n">
        <v>13329700</v>
      </c>
      <c r="G1175" s="121" t="n">
        <v>-0.01421272678553342</v>
      </c>
      <c r="H1175" s="122" t="n">
        <v>28.13869713703507</v>
      </c>
      <c r="I1175" s="119" t="n">
        <v>51.70525108337402</v>
      </c>
      <c r="J1175" s="119" t="n">
        <v>63.11022197723388</v>
      </c>
      <c r="K1175" s="121" t="n">
        <v>0.6114453695619749</v>
      </c>
      <c r="L1175" s="121" t="n">
        <v>-0.3189354996625202</v>
      </c>
      <c r="M1175" s="121" t="n">
        <v>-0.429535254111537</v>
      </c>
      <c r="N1175" t="n">
        <v>35.06217078070424</v>
      </c>
      <c r="O1175" t="n">
        <v>0.4618816338617848</v>
      </c>
      <c r="P1175" t="n">
        <v>169.1636135641393</v>
      </c>
      <c r="Q1175" t="n">
        <v>181.6805621137059</v>
      </c>
    </row>
    <row r="1176">
      <c r="A1176" s="118" t="n">
        <v>46142</v>
      </c>
      <c r="B1176" s="119" t="n">
        <v>43.69898114981162</v>
      </c>
      <c r="C1176" s="119" t="n">
        <v>44.41259692804836</v>
      </c>
      <c r="D1176" s="119" t="n">
        <v>43.12412315492845</v>
      </c>
      <c r="E1176" s="119" t="n">
        <v>43.96658706665039</v>
      </c>
      <c r="F1176" s="120" t="n">
        <v>21679500</v>
      </c>
      <c r="G1176" s="121" t="n">
        <v>-0.0006757781397996876</v>
      </c>
      <c r="H1176" s="122" t="n">
        <v>28.11968162062742</v>
      </c>
      <c r="I1176" s="119" t="n">
        <v>51.29377731323243</v>
      </c>
      <c r="J1176" s="119" t="n">
        <v>62.97971849441528</v>
      </c>
      <c r="K1176" s="121" t="n">
        <v>0.2673817672124645</v>
      </c>
      <c r="L1176" s="121" t="n">
        <v>-0.3193957481636418</v>
      </c>
      <c r="M1176" s="121" t="n">
        <v>-0.4299207617163349</v>
      </c>
      <c r="N1176" t="n">
        <v>34.95387589666535</v>
      </c>
      <c r="O1176" t="n">
        <v>0.4222156831540862</v>
      </c>
      <c r="P1176" t="n">
        <v>170.8467295253011</v>
      </c>
      <c r="Q1176" t="n">
        <v>183.3749643007328</v>
      </c>
    </row>
    <row r="1177">
      <c r="A1177" s="118" t="n">
        <v>46143</v>
      </c>
      <c r="B1177" s="119" t="n">
        <v>44.42250656527431</v>
      </c>
      <c r="C1177" s="119" t="n">
        <v>44.5612643485884</v>
      </c>
      <c r="D1177" s="119" t="n">
        <v>43.82782927082362</v>
      </c>
      <c r="E1177" s="119" t="n">
        <v>44.00623321533203</v>
      </c>
      <c r="F1177" s="120" t="n">
        <v>11562800</v>
      </c>
      <c r="G1177" s="121" t="n">
        <v>0.0009017335965044726</v>
      </c>
      <c r="H1177" s="122" t="n">
        <v>28.14503808226775</v>
      </c>
      <c r="I1177" s="119" t="n">
        <v>50.88191513061523</v>
      </c>
      <c r="J1177" s="119" t="n">
        <v>62.84887792587281</v>
      </c>
      <c r="K1177" s="121" t="n">
        <v>0.2649262501297628</v>
      </c>
      <c r="L1177" s="121" t="n">
        <v>-0.3187820244438372</v>
      </c>
      <c r="M1177" s="121" t="n">
        <v>-0.4294067021145047</v>
      </c>
      <c r="N1177" t="n">
        <v>35.24110851364824</v>
      </c>
      <c r="O1177" t="n">
        <v>0.3978426130669566</v>
      </c>
      <c r="P1177" t="n">
        <v>171.3198203997432</v>
      </c>
      <c r="Q1177" t="n">
        <v>185.1352947710771</v>
      </c>
    </row>
    <row r="1178">
      <c r="A1178" s="118" t="n">
        <v>46146</v>
      </c>
      <c r="B1178" s="119" t="n">
        <v>43.79809050589887</v>
      </c>
      <c r="C1178" s="119" t="n">
        <v>43.9467617122948</v>
      </c>
      <c r="D1178" s="119" t="n">
        <v>42.70784759521484</v>
      </c>
      <c r="E1178" s="119" t="n">
        <v>42.70784759521484</v>
      </c>
      <c r="F1178" s="120" t="n">
        <v>33272400</v>
      </c>
      <c r="G1178" s="121" t="n">
        <v>-0.0295045843565821</v>
      </c>
      <c r="H1178" s="122" t="n">
        <v>27.31463043195027</v>
      </c>
      <c r="I1178" s="119" t="n">
        <v>50.44822036743164</v>
      </c>
      <c r="J1178" s="119" t="n">
        <v>62.7072629737854</v>
      </c>
      <c r="K1178" s="121" t="n">
        <v>0.2852497220128502</v>
      </c>
      <c r="L1178" s="121" t="n">
        <v>-0.338881077668854</v>
      </c>
      <c r="M1178" s="121" t="n">
        <v>-0.4462418202052677</v>
      </c>
      <c r="N1178" t="n">
        <v>30.49225049215232</v>
      </c>
      <c r="O1178" t="n">
        <v>0.2980356755000004</v>
      </c>
      <c r="P1178" t="n">
        <v>170.692208715107</v>
      </c>
      <c r="Q1178" t="n">
        <v>184.7865242521784</v>
      </c>
    </row>
    <row r="1179">
      <c r="A1179" s="118" t="n">
        <v>46147</v>
      </c>
      <c r="B1179" s="119" t="n">
        <v>42.65829276469492</v>
      </c>
      <c r="C1179" s="119" t="n">
        <v>42.91598524337447</v>
      </c>
      <c r="D1179" s="119" t="n">
        <v>42.27175215624262</v>
      </c>
      <c r="E1179" s="119" t="n">
        <v>42.67811584472656</v>
      </c>
      <c r="F1179" s="120" t="n">
        <v>18589700</v>
      </c>
      <c r="G1179" s="121" t="n">
        <v>-0.0006961659779738394</v>
      </c>
      <c r="H1179" s="122" t="n">
        <v>27.29561491554262</v>
      </c>
      <c r="I1179" s="119" t="n">
        <v>50.05941940307617</v>
      </c>
      <c r="J1179" s="119" t="n">
        <v>62.56798120498657</v>
      </c>
      <c r="K1179" s="121" t="n">
        <v>0.2631199523704416</v>
      </c>
      <c r="L1179" s="121" t="n">
        <v>-0.3393413261699756</v>
      </c>
      <c r="M1179" s="121" t="n">
        <v>-0.4466273278100655</v>
      </c>
      <c r="N1179" t="n">
        <v>30.39125784265987</v>
      </c>
      <c r="O1179" t="n">
        <v>0.2364635383460247</v>
      </c>
      <c r="P1179" t="n">
        <v>172.0615406548145</v>
      </c>
      <c r="Q1179" t="n">
        <v>187.1839545089815</v>
      </c>
    </row>
    <row r="1180">
      <c r="A1180" s="118" t="n">
        <v>46148</v>
      </c>
      <c r="B1180" s="119" t="n">
        <v>43.24305809592846</v>
      </c>
      <c r="C1180" s="119" t="n">
        <v>43.67915449086552</v>
      </c>
      <c r="D1180" s="119" t="n">
        <v>42.81687135004795</v>
      </c>
      <c r="E1180" s="119" t="n">
        <v>43.49084091186523</v>
      </c>
      <c r="F1180" s="120" t="n">
        <v>19406700</v>
      </c>
      <c r="G1180" s="121" t="n">
        <v>0.01904313372444943</v>
      </c>
      <c r="H1180" s="122" t="n">
        <v>27.81540896047038</v>
      </c>
      <c r="I1180" s="119" t="n">
        <v>49.66718116760254</v>
      </c>
      <c r="J1180" s="119" t="n">
        <v>62.42522006988526</v>
      </c>
      <c r="K1180" s="121" t="n">
        <v>0.2691690228654929</v>
      </c>
      <c r="L1180" s="121" t="n">
        <v>-0.326760314698013</v>
      </c>
      <c r="M1180" s="121" t="n">
        <v>-0.4360893780140968</v>
      </c>
      <c r="N1180" t="n">
        <v>36.57522379041976</v>
      </c>
      <c r="O1180" t="n">
        <v>0.2553086242651452</v>
      </c>
      <c r="P1180" t="n">
        <v>174.4530927801302</v>
      </c>
      <c r="Q1180" t="n">
        <v>191.0725821905377</v>
      </c>
    </row>
    <row r="1181">
      <c r="A1181" s="118" t="n">
        <v>46149</v>
      </c>
      <c r="B1181" s="119" t="n">
        <v>43.65933211846881</v>
      </c>
      <c r="C1181" s="119" t="n">
        <v>44.2440997247781</v>
      </c>
      <c r="D1181" s="119" t="n">
        <v>43.61968595986952</v>
      </c>
      <c r="E1181" s="119" t="n">
        <v>44.01613998413086</v>
      </c>
      <c r="F1181" s="120" t="n">
        <v>17177700</v>
      </c>
      <c r="G1181" s="121" t="n">
        <v>0.01207838389076343</v>
      </c>
      <c r="H1181" s="122" t="n">
        <v>28.15137414797352</v>
      </c>
      <c r="I1181" s="119" t="n">
        <v>49.29903617858886</v>
      </c>
      <c r="J1181" s="119" t="n">
        <v>62.27841836929321</v>
      </c>
      <c r="K1181" s="121" t="n">
        <v>0.2629852857025586</v>
      </c>
      <c r="L1181" s="121" t="n">
        <v>-0.318628667328439</v>
      </c>
      <c r="M1181" s="121" t="n">
        <v>-0.4292782490416718</v>
      </c>
      <c r="N1181" t="n">
        <v>40.26884117774856</v>
      </c>
      <c r="O1181" t="n">
        <v>0.3046450216104841</v>
      </c>
      <c r="P1181" t="n">
        <v>173.9182052194046</v>
      </c>
      <c r="Q1181" t="n">
        <v>190.8446438345733</v>
      </c>
    </row>
    <row r="1182">
      <c r="A1182" s="118" t="n">
        <v>46150</v>
      </c>
      <c r="B1182" s="119" t="n">
        <v>43.8674698540947</v>
      </c>
      <c r="C1182" s="119" t="n">
        <v>44.26392388806487</v>
      </c>
      <c r="D1182" s="119" t="n">
        <v>43.41155036163511</v>
      </c>
      <c r="E1182" s="119" t="n">
        <v>43.74853515625</v>
      </c>
      <c r="F1182" s="120" t="n">
        <v>17357100</v>
      </c>
      <c r="G1182" s="121" t="n">
        <v>-0.006079697764895808</v>
      </c>
      <c r="H1182" s="122" t="n">
        <v>27.98022230148734</v>
      </c>
      <c r="I1182" s="119" t="n">
        <v>48.9147085571289</v>
      </c>
      <c r="J1182" s="119" t="n">
        <v>62.1236602973938</v>
      </c>
      <c r="K1182" s="121" t="n">
        <v>0.2361823846384561</v>
      </c>
      <c r="L1182" s="121" t="n">
        <v>-0.3227711990967462</v>
      </c>
      <c r="M1182" s="121" t="n">
        <v>-0.4327480647953506</v>
      </c>
      <c r="N1182" t="n">
        <v>39.02210197476916</v>
      </c>
      <c r="O1182" t="n">
        <v>0.3192108646026621</v>
      </c>
      <c r="P1182" t="n">
        <v>175.3540907937043</v>
      </c>
      <c r="Q1182" t="n">
        <v>195.3182025490037</v>
      </c>
    </row>
    <row r="1183">
      <c r="A1183" s="118" t="n">
        <v>46153</v>
      </c>
      <c r="B1183" s="119" t="n">
        <v>43.67915812346727</v>
      </c>
      <c r="C1183" s="119" t="n">
        <v>43.67915812346727</v>
      </c>
      <c r="D1183" s="119" t="n">
        <v>42.01405715942383</v>
      </c>
      <c r="E1183" s="119" t="n">
        <v>42.01405715942383</v>
      </c>
      <c r="F1183" s="120" t="n">
        <v>24863800</v>
      </c>
      <c r="G1183" s="121" t="n">
        <v>-0.03964653880710289</v>
      </c>
      <c r="H1183" s="122" t="n">
        <v>26.87090333218006</v>
      </c>
      <c r="I1183" s="119" t="n">
        <v>48.53054611206055</v>
      </c>
      <c r="J1183" s="119" t="n">
        <v>61.96670219421387</v>
      </c>
      <c r="K1183" s="121" t="n">
        <v>0.2772635218223198</v>
      </c>
      <c r="L1183" s="121" t="n">
        <v>-0.3496209770330448</v>
      </c>
      <c r="M1183" s="121" t="n">
        <v>-0.4552376406578459</v>
      </c>
      <c r="N1183" t="n">
        <v>32.08775786203941</v>
      </c>
      <c r="O1183" t="n">
        <v>0.2168796672962479</v>
      </c>
      <c r="P1183" t="n">
        <v>175.7534707902275</v>
      </c>
      <c r="Q1183" t="n">
        <v>195.8839205799948</v>
      </c>
    </row>
    <row r="1184">
      <c r="A1184" s="118" t="n">
        <v>46154</v>
      </c>
      <c r="B1184" s="119" t="n">
        <v>41.9248551995918</v>
      </c>
      <c r="C1184" s="119" t="n">
        <v>42.13299187494307</v>
      </c>
      <c r="D1184" s="119" t="n">
        <v>41.6869857937235</v>
      </c>
      <c r="E1184" s="119" t="n">
        <v>41.97441101074219</v>
      </c>
      <c r="F1184" s="120" t="n">
        <v>21271300</v>
      </c>
      <c r="G1184" s="121" t="n">
        <v>-0.0009436400900584285</v>
      </c>
      <c r="H1184" s="122" t="n">
        <v>26.84554687053973</v>
      </c>
      <c r="I1184" s="119" t="n">
        <v>48.1606559753418</v>
      </c>
      <c r="J1184" s="119" t="n">
        <v>61.80540943145752</v>
      </c>
      <c r="K1184" s="121" t="n">
        <v>0.2527465233415208</v>
      </c>
      <c r="L1184" s="121" t="n">
        <v>-0.3502347007528495</v>
      </c>
      <c r="M1184" s="121" t="n">
        <v>-0.455751700259676</v>
      </c>
      <c r="N1184" t="n">
        <v>31.94800671189191</v>
      </c>
      <c r="O1184" t="n">
        <v>0.154309936740112</v>
      </c>
      <c r="P1184" t="n">
        <v>175.4872126101312</v>
      </c>
      <c r="Q1184" t="n">
        <v>194.2224741446695</v>
      </c>
    </row>
    <row r="1185">
      <c r="A1185" s="118" t="n">
        <v>46155</v>
      </c>
      <c r="B1185" s="119" t="n">
        <v>41.82574264676562</v>
      </c>
      <c r="C1185" s="119" t="n">
        <v>42.23210633854384</v>
      </c>
      <c r="D1185" s="119" t="n">
        <v>41.33017698455481</v>
      </c>
      <c r="E1185" s="119" t="n">
        <v>41.96450042724609</v>
      </c>
      <c r="F1185" s="120" t="n">
        <v>21325200</v>
      </c>
      <c r="G1185" s="121" t="n">
        <v>-0.0002361101265615506</v>
      </c>
      <c r="H1185" s="122" t="n">
        <v>26.83920836507051</v>
      </c>
      <c r="I1185" s="119" t="n">
        <v>47.82268020629883</v>
      </c>
      <c r="J1185" s="119" t="n">
        <v>61.62961372375489</v>
      </c>
      <c r="K1185" s="121" t="n">
        <v>0.2267170872282647</v>
      </c>
      <c r="L1185" s="121" t="n">
        <v>-0.35038811691989</v>
      </c>
      <c r="M1185" s="121" t="n">
        <v>-0.4558802027946086</v>
      </c>
      <c r="N1185" t="n">
        <v>31.91059274193262</v>
      </c>
      <c r="O1185" t="n">
        <v>0.1214878826456807</v>
      </c>
      <c r="P1185" t="n">
        <v>176.469035103223</v>
      </c>
      <c r="Q1185" t="n">
        <v>196.2739025684348</v>
      </c>
    </row>
    <row r="1186">
      <c r="A1186" s="118" t="n">
        <v>46156</v>
      </c>
      <c r="B1186" s="119" t="n">
        <v>42.18255069185571</v>
      </c>
      <c r="C1186" s="119" t="n">
        <v>42.45015660418981</v>
      </c>
      <c r="D1186" s="119" t="n">
        <v>41.61760613721681</v>
      </c>
      <c r="E1186" s="119" t="n">
        <v>41.6473388671875</v>
      </c>
      <c r="F1186" s="120" t="n">
        <v>19146900</v>
      </c>
      <c r="G1186" s="121" t="n">
        <v>-0.007557853824769256</v>
      </c>
      <c r="H1186" s="122" t="n">
        <v>26.63636155147478</v>
      </c>
      <c r="I1186" s="119" t="n">
        <v>47.49322822570801</v>
      </c>
      <c r="J1186" s="119" t="n">
        <v>61.45666061401367</v>
      </c>
      <c r="K1186" s="121" t="n">
        <v>0.2244978250090905</v>
      </c>
      <c r="L1186" s="121" t="n">
        <v>-0.3552977885750426</v>
      </c>
      <c r="M1186" s="121" t="n">
        <v>-0.4599925806850501</v>
      </c>
      <c r="N1186" t="n">
        <v>30.67263144733926</v>
      </c>
      <c r="O1186" t="n">
        <v>0.08914674717175308</v>
      </c>
      <c r="P1186" t="n">
        <v>177.8621372372308</v>
      </c>
      <c r="Q1186" t="n">
        <v>197.668951084201</v>
      </c>
    </row>
    <row r="1187">
      <c r="A1187" s="118" t="n">
        <v>46157</v>
      </c>
      <c r="B1187" s="119" t="n">
        <v>41.62751394964982</v>
      </c>
      <c r="C1187" s="119" t="n">
        <v>42.40059514169484</v>
      </c>
      <c r="D1187" s="119" t="n">
        <v>41.46893309536198</v>
      </c>
      <c r="E1187" s="119" t="n">
        <v>41.50857925415039</v>
      </c>
      <c r="F1187" s="120" t="n">
        <v>26172600</v>
      </c>
      <c r="G1187" s="121" t="n">
        <v>-0.003331776214552606</v>
      </c>
      <c r="H1187" s="122" t="n">
        <v>26.54761515561536</v>
      </c>
      <c r="I1187" s="119" t="n">
        <v>47.173291015625</v>
      </c>
      <c r="J1187" s="119" t="n">
        <v>61.29104341506958</v>
      </c>
      <c r="K1187" s="121" t="n">
        <v>0.2205344271953689</v>
      </c>
      <c r="L1187" s="121" t="n">
        <v>-0.3553826303470411</v>
      </c>
      <c r="M1187" s="121" t="n">
        <v>-0.4617917645604056</v>
      </c>
      <c r="N1187" t="n">
        <v>30.12204705536968</v>
      </c>
      <c r="O1187" t="n">
        <v>0.06998442994504339</v>
      </c>
      <c r="P1187" t="n">
        <v>175.7225724470856</v>
      </c>
      <c r="Q1187" t="n">
        <v>194.6865897945237</v>
      </c>
    </row>
    <row r="1188">
      <c r="A1188" s="118" t="n">
        <v>46160</v>
      </c>
      <c r="B1188" s="119" t="n">
        <v>41.50857987107708</v>
      </c>
      <c r="C1188" s="119" t="n">
        <v>42.37086304277891</v>
      </c>
      <c r="D1188" s="119" t="n">
        <v>40.98327771148777</v>
      </c>
      <c r="E1188" s="119" t="n">
        <v>42.19245910644531</v>
      </c>
      <c r="F1188" s="120" t="n">
        <v>18694900</v>
      </c>
      <c r="G1188" s="121" t="n">
        <v>0.01647562659535118</v>
      </c>
      <c r="H1188" s="122" t="n">
        <v>26.98500374991636</v>
      </c>
      <c r="I1188" s="119" t="n">
        <v>46.8870523071289</v>
      </c>
      <c r="J1188" s="119" t="n">
        <v>61.13852983474732</v>
      </c>
      <c r="K1188" s="121" t="n">
        <v>0.2275068061574355</v>
      </c>
      <c r="L1188" s="121" t="n">
        <v>-0.3313689607694543</v>
      </c>
      <c r="M1188" s="121" t="n">
        <v>-0.45292444664276</v>
      </c>
      <c r="N1188" t="n">
        <v>36.20048068084333</v>
      </c>
      <c r="O1188" t="n">
        <v>0.1124262811822678</v>
      </c>
      <c r="P1188" t="n">
        <v>175.5989499800333</v>
      </c>
      <c r="Q1188" t="n">
        <v>193.8489868119946</v>
      </c>
    </row>
    <row r="1189">
      <c r="A1189" s="118" t="n">
        <v>46161</v>
      </c>
      <c r="B1189" s="119" t="n">
        <v>42.2221928505344</v>
      </c>
      <c r="C1189" s="119" t="n">
        <v>42.81687391289736</v>
      </c>
      <c r="D1189" s="119" t="n">
        <v>41.43920197876539</v>
      </c>
      <c r="E1189" s="119" t="n">
        <v>42.04378890991211</v>
      </c>
      <c r="F1189" s="120" t="n">
        <v>22957900</v>
      </c>
      <c r="G1189" s="121" t="n">
        <v>-0.003523620089507684</v>
      </c>
      <c r="H1189" s="122" t="n">
        <v>26.88991884858771</v>
      </c>
      <c r="I1189" s="119" t="n">
        <v>46.60735504150391</v>
      </c>
      <c r="J1189" s="119" t="n">
        <v>60.9856135559082</v>
      </c>
      <c r="K1189" s="121" t="n">
        <v>0.2273591602648911</v>
      </c>
      <c r="L1189" s="121" t="n">
        <v>-0.3337249625317555</v>
      </c>
      <c r="M1189" s="121" t="n">
        <v>-0.4548521330530481</v>
      </c>
      <c r="N1189" t="n">
        <v>35.47797850277394</v>
      </c>
      <c r="O1189" t="n">
        <v>0.1378679184041192</v>
      </c>
      <c r="P1189" t="n">
        <v>174.42932258583</v>
      </c>
      <c r="Q1189" t="n">
        <v>192.65440793247</v>
      </c>
    </row>
    <row r="1190">
      <c r="A1190" s="118" t="n">
        <v>46162</v>
      </c>
      <c r="B1190" s="119" t="n">
        <v>41.83565231873069</v>
      </c>
      <c r="C1190" s="119" t="n">
        <v>43.88729385890787</v>
      </c>
      <c r="D1190" s="119" t="n">
        <v>41.45902513747319</v>
      </c>
      <c r="E1190" s="119" t="n">
        <v>43.79809188842773</v>
      </c>
      <c r="F1190" s="120" t="n">
        <v>27060200</v>
      </c>
      <c r="G1190" s="121" t="n">
        <v>0.04172561569735311</v>
      </c>
      <c r="H1190" s="122" t="n">
        <v>28.0119172685969</v>
      </c>
      <c r="I1190" s="119" t="n">
        <v>46.37166397094727</v>
      </c>
      <c r="J1190" s="119" t="n">
        <v>60.84049551010132</v>
      </c>
      <c r="K1190" s="121" t="n">
        <v>0.2759039405906338</v>
      </c>
      <c r="L1190" s="121" t="n">
        <v>-0.3044048255545373</v>
      </c>
      <c r="M1190" s="121" t="n">
        <v>-0.4321055026585878</v>
      </c>
      <c r="N1190" t="n">
        <v>48.53159625394859</v>
      </c>
      <c r="O1190" t="n">
        <v>0.2724495316319748</v>
      </c>
      <c r="P1190" t="n">
        <v>176.2170477680524</v>
      </c>
      <c r="Q1190" t="n">
        <v>195.8454945762287</v>
      </c>
    </row>
    <row r="1191">
      <c r="A1191" s="118" t="n">
        <v>46163</v>
      </c>
      <c r="B1191" s="119" t="n">
        <v>43.50075315570505</v>
      </c>
      <c r="C1191" s="119" t="n">
        <v>44.34321704866178</v>
      </c>
      <c r="D1191" s="119" t="n">
        <v>42.77722774371587</v>
      </c>
      <c r="E1191" s="119" t="n">
        <v>43.99631881713867</v>
      </c>
      <c r="F1191" s="120" t="n">
        <v>18428100</v>
      </c>
      <c r="G1191" s="121" t="n">
        <v>0.004525926134314462</v>
      </c>
      <c r="H1191" s="122" t="n">
        <v>28.13869713703509</v>
      </c>
      <c r="I1191" s="119" t="n">
        <v>46.14747009277344</v>
      </c>
      <c r="J1191" s="119" t="n">
        <v>60.69850986480713</v>
      </c>
      <c r="K1191" s="121" t="n">
        <v>0.2680100117122443</v>
      </c>
      <c r="L1191" s="121" t="n">
        <v>-0.3012566131756115</v>
      </c>
      <c r="M1191" s="121" t="n">
        <v>-0.429535254111537</v>
      </c>
      <c r="N1191" t="n">
        <v>49.76823847124295</v>
      </c>
      <c r="O1191" t="n">
        <v>0.3684568710621059</v>
      </c>
      <c r="P1191" t="n">
        <v>176.5665016281995</v>
      </c>
      <c r="Q1191" t="n">
        <v>196.2189651289893</v>
      </c>
    </row>
    <row r="1192">
      <c r="A1192" s="118" t="n">
        <v>46164</v>
      </c>
      <c r="B1192" s="119" t="n">
        <v>44.16481295929489</v>
      </c>
      <c r="C1192" s="119" t="n">
        <v>44.32339381918479</v>
      </c>
      <c r="D1192" s="119" t="n">
        <v>43.81791472894041</v>
      </c>
      <c r="E1192" s="119" t="n">
        <v>44.27383422851562</v>
      </c>
      <c r="F1192" s="120" t="n">
        <v>14905100</v>
      </c>
      <c r="G1192" s="121" t="n">
        <v>0.006307696162726417</v>
      </c>
      <c r="H1192" s="122" t="n">
        <v>28.31618748899049</v>
      </c>
      <c r="I1192" s="119" t="n">
        <v>45.9599479675293</v>
      </c>
      <c r="J1192" s="119" t="n">
        <v>60.55255863189697</v>
      </c>
      <c r="K1192" s="121" t="n">
        <v>0.268931578051437</v>
      </c>
      <c r="L1192" s="121" t="n">
        <v>-0.2768334180009789</v>
      </c>
      <c r="M1192" s="121" t="n">
        <v>-0.4259369358229257</v>
      </c>
      <c r="N1192" t="n">
        <v>51.52428777545421</v>
      </c>
      <c r="O1192" t="n">
        <v>0.4394739575972308</v>
      </c>
      <c r="P1192" t="n">
        <v>177.2606814946704</v>
      </c>
      <c r="Q1192" t="n">
        <v>197.0510642996252</v>
      </c>
    </row>
    <row r="1193">
      <c r="A1193" s="118" t="n">
        <v>46168</v>
      </c>
      <c r="B1193" s="119" t="n">
        <v>44.30356966277343</v>
      </c>
      <c r="C1193" s="119" t="n">
        <v>44.55135248663585</v>
      </c>
      <c r="D1193" s="119" t="n">
        <v>43.70888861698413</v>
      </c>
      <c r="E1193" s="119" t="n">
        <v>44.54143905639648</v>
      </c>
      <c r="F1193" s="120" t="n">
        <v>18667600</v>
      </c>
      <c r="G1193" s="121" t="n">
        <v>0.006044311104830946</v>
      </c>
      <c r="H1193" s="122" t="n">
        <v>28.48733933547667</v>
      </c>
      <c r="I1193" s="119" t="n">
        <v>45.78075141906739</v>
      </c>
      <c r="J1193" s="119" t="n">
        <v>60.41344457626343</v>
      </c>
      <c r="K1193" s="121" t="n">
        <v>0.2673301254964008</v>
      </c>
      <c r="L1193" s="121" t="n">
        <v>-0.2633994349074954</v>
      </c>
      <c r="M1193" s="121" t="n">
        <v>-0.4224671200692469</v>
      </c>
      <c r="N1193" t="n">
        <v>53.22248061814075</v>
      </c>
      <c r="O1193" t="n">
        <v>0.4894706844014831</v>
      </c>
      <c r="P1193" t="n">
        <v>178.4374515849578</v>
      </c>
      <c r="Q1193" t="n">
        <v>200.54974355257</v>
      </c>
    </row>
    <row r="1194">
      <c r="A1194" s="118" t="n">
        <v>46169</v>
      </c>
      <c r="B1194" s="119" t="n">
        <v>45.30461013326204</v>
      </c>
      <c r="C1194" s="119" t="n">
        <v>46.17680672276838</v>
      </c>
      <c r="D1194" s="119" t="n">
        <v>45.26496397445134</v>
      </c>
      <c r="E1194" s="119" t="n">
        <v>45.57221603393555</v>
      </c>
      <c r="F1194" s="120" t="n">
        <v>24251900</v>
      </c>
      <c r="G1194" s="121" t="n">
        <v>0.02314197743440527</v>
      </c>
      <c r="H1194" s="122" t="n">
        <v>29.14659269954452</v>
      </c>
      <c r="I1194" s="119" t="n">
        <v>45.60611404418945</v>
      </c>
      <c r="J1194" s="119" t="n">
        <v>60.28026302337646</v>
      </c>
      <c r="K1194" s="121" t="n">
        <v>0.279490564928814</v>
      </c>
      <c r="L1194" s="121" t="n">
        <v>-0.2257956206404157</v>
      </c>
      <c r="M1194" s="121" t="n">
        <v>-0.4091018671942624</v>
      </c>
      <c r="N1194" t="n">
        <v>59.15760062006377</v>
      </c>
      <c r="O1194" t="n">
        <v>0.5712596069061144</v>
      </c>
      <c r="P1194" t="n">
        <v>178.4065386945735</v>
      </c>
      <c r="Q1194" t="n">
        <v>200.3218051966056</v>
      </c>
    </row>
    <row r="1195">
      <c r="A1195" s="118" t="n">
        <v>46170</v>
      </c>
      <c r="B1195" s="119" t="n">
        <v>45.56230854048204</v>
      </c>
      <c r="C1195" s="119" t="n">
        <v>47.22740948065888</v>
      </c>
      <c r="D1195" s="119" t="n">
        <v>45.15594484560948</v>
      </c>
      <c r="E1195" s="119" t="n">
        <v>46.94989013671875</v>
      </c>
      <c r="F1195" s="120" t="n">
        <v>22871300</v>
      </c>
      <c r="G1195" s="121" t="n">
        <v>0.03023057078807212</v>
      </c>
      <c r="H1195" s="122" t="n">
        <v>30.0277108333792</v>
      </c>
      <c r="I1195" s="119" t="n">
        <v>45.45248870849609</v>
      </c>
      <c r="J1195" s="119" t="n">
        <v>60.15479713439942</v>
      </c>
      <c r="K1195" s="121" t="n">
        <v>0.2912763769976335</v>
      </c>
      <c r="L1195" s="121" t="n">
        <v>-0.1921896024709707</v>
      </c>
      <c r="M1195" s="121" t="n">
        <v>-0.3912386793619389</v>
      </c>
      <c r="N1195" t="n">
        <v>65.4646059835772</v>
      </c>
      <c r="O1195" t="n">
        <v>0.6895238992111532</v>
      </c>
      <c r="P1195" t="n">
        <v>179.3907323881984</v>
      </c>
      <c r="Q1195" t="n">
        <v>202.0107035717394</v>
      </c>
    </row>
    <row r="1196">
      <c r="A1196" s="118" t="n">
        <v>46171</v>
      </c>
      <c r="B1196" s="119" t="n">
        <v>46.69219630031297</v>
      </c>
      <c r="C1196" s="119" t="n">
        <v>46.78139826883871</v>
      </c>
      <c r="D1196" s="119" t="n">
        <v>45.67133226785857</v>
      </c>
      <c r="E1196" s="119" t="n">
        <v>45.81999969482422</v>
      </c>
      <c r="F1196" s="120" t="n">
        <v>38949100</v>
      </c>
      <c r="G1196" s="121" t="n">
        <v>-0.0240658804228141</v>
      </c>
      <c r="H1196" s="122" t="n">
        <v>29.30506753509226</v>
      </c>
      <c r="I1196" s="119" t="n">
        <v>45.30897285461426</v>
      </c>
      <c r="J1196" s="119" t="n">
        <v>60.01939926147461</v>
      </c>
      <c r="K1196" s="121" t="n">
        <v>0.307038825110301</v>
      </c>
      <c r="L1196" s="121" t="n">
        <v>-0.2032058203987527</v>
      </c>
      <c r="M1196" s="121" t="n">
        <v>-0.4058890565104488</v>
      </c>
      <c r="N1196" t="n">
        <v>57.60745393949469</v>
      </c>
      <c r="O1196" t="n">
        <v>0.6628521614806461</v>
      </c>
      <c r="P1196" t="n">
        <v>179.8376673205646</v>
      </c>
      <c r="Q1196" t="n">
        <v>202.7549263311426</v>
      </c>
    </row>
    <row r="1197">
      <c r="A1197" s="118" t="n">
        <v>46174</v>
      </c>
      <c r="B1197" s="119" t="n">
        <v>45.52000045776367</v>
      </c>
      <c r="C1197" s="119" t="n">
        <v>46.27999877929688</v>
      </c>
      <c r="D1197" s="119" t="n">
        <v>45.04999923706055</v>
      </c>
      <c r="E1197" s="119" t="n">
        <v>45.93000030517578</v>
      </c>
      <c r="F1197" s="120" t="n">
        <v>26885100</v>
      </c>
      <c r="G1197" s="121" t="n">
        <v>0.002400711721610715</v>
      </c>
      <c r="H1197" s="122" t="n">
        <v>29.37542055422634</v>
      </c>
      <c r="I1197" s="119" t="n">
        <v>45.16825172424316</v>
      </c>
      <c r="J1197" s="119" t="n">
        <v>59.87335857391358</v>
      </c>
      <c r="K1197" s="121" t="n">
        <v>0.3069979832429056</v>
      </c>
      <c r="L1197" s="121" t="n">
        <v>-0.1871428640868985</v>
      </c>
      <c r="M1197" s="121" t="n">
        <v>-0.4044627674044763</v>
      </c>
      <c r="N1197" t="n">
        <v>58.13427204170519</v>
      </c>
      <c r="O1197" t="n">
        <v>0.6243516807517064</v>
      </c>
      <c r="P1197" t="n">
        <v>180.3273856932228</v>
      </c>
      <c r="Q1197" t="n">
        <v>203.9715036783254</v>
      </c>
    </row>
    <row r="1198">
      <c r="A1198" s="118" t="n">
        <v>46175</v>
      </c>
      <c r="B1198" s="119" t="n">
        <v>45.77999877929688</v>
      </c>
      <c r="C1198" s="119" t="n">
        <v>45.77999877929688</v>
      </c>
      <c r="D1198" s="119" t="n">
        <v>43.5099983215332</v>
      </c>
      <c r="E1198" s="119" t="n">
        <v>43.72999954223633</v>
      </c>
      <c r="F1198" s="120" t="n">
        <v>28345000</v>
      </c>
      <c r="G1198" s="121" t="n">
        <v>-0.04789899299633882</v>
      </c>
      <c r="H1198" s="122" t="n">
        <v>27.96836749083495</v>
      </c>
      <c r="I1198" s="119" t="n">
        <v>45.00474082946777</v>
      </c>
      <c r="J1198" s="119" t="n">
        <v>59.72025972366333</v>
      </c>
      <c r="K1198" s="121" t="n">
        <v>0.3376967453202227</v>
      </c>
      <c r="L1198" s="121" t="n">
        <v>-0.2195064876264462</v>
      </c>
      <c r="M1198" s="121" t="n">
        <v>-0.4329884011376283</v>
      </c>
      <c r="N1198" t="n">
        <v>45.85951140195777</v>
      </c>
      <c r="O1198" t="n">
        <v>0.4316135170582058</v>
      </c>
      <c r="P1198" t="n">
        <v>180.5722594267944</v>
      </c>
      <c r="Q1198" t="n">
        <v>204.9106922620771</v>
      </c>
    </row>
    <row r="1199">
      <c r="A1199" s="118" t="n">
        <v>46176</v>
      </c>
      <c r="B1199" s="119" t="n">
        <v>43.65000152587891</v>
      </c>
      <c r="C1199" s="119" t="n">
        <v>43.9900016784668</v>
      </c>
      <c r="D1199" s="119" t="n">
        <v>43.15999984741211</v>
      </c>
      <c r="E1199" s="119" t="n">
        <v>43.81000137329102</v>
      </c>
      <c r="F1199" s="120" t="n">
        <v>18940500</v>
      </c>
      <c r="G1199" s="121" t="n">
        <v>0.001829449620218249</v>
      </c>
      <c r="H1199" s="122" t="n">
        <v>28.01953421011919</v>
      </c>
      <c r="I1199" s="119" t="n">
        <v>44.83609024047851</v>
      </c>
      <c r="J1199" s="119" t="n">
        <v>59.56473834991455</v>
      </c>
      <c r="K1199" s="121" t="n">
        <v>0.3376078373064726</v>
      </c>
      <c r="L1199" s="121" t="n">
        <v>-0.2118043132852552</v>
      </c>
      <c r="M1199" s="121" t="n">
        <v>-0.4319510819834302</v>
      </c>
      <c r="N1199" t="n">
        <v>46.30351696759664</v>
      </c>
      <c r="O1199" t="n">
        <v>0.2968265193236186</v>
      </c>
      <c r="P1199" t="n">
        <v>179.305150960372</v>
      </c>
      <c r="Q1199" t="n">
        <v>204.3751948567553</v>
      </c>
    </row>
    <row r="1200">
      <c r="A1200" s="118" t="n">
        <v>46177</v>
      </c>
      <c r="B1200" s="119" t="n">
        <v>44.5</v>
      </c>
      <c r="C1200" s="119" t="n">
        <v>44.70000076293945</v>
      </c>
      <c r="D1200" s="119" t="n">
        <v>43.13000106811523</v>
      </c>
      <c r="E1200" s="119" t="n">
        <v>43.61999893188477</v>
      </c>
      <c r="F1200" s="120" t="n">
        <v>17350900</v>
      </c>
      <c r="G1200" s="121" t="n">
        <v>-0.004336964972616597</v>
      </c>
      <c r="H1200" s="122" t="n">
        <v>27.89801447170086</v>
      </c>
      <c r="I1200" s="119" t="n">
        <v>44.64817794799805</v>
      </c>
      <c r="J1200" s="119" t="n">
        <v>59.40602838516235</v>
      </c>
      <c r="K1200" s="121" t="n">
        <v>0.331666461091699</v>
      </c>
      <c r="L1200" s="121" t="n">
        <v>-0.2098686940403574</v>
      </c>
      <c r="M1200" s="121" t="n">
        <v>-0.4344146902436008</v>
      </c>
      <c r="N1200" t="n">
        <v>45.35223583477863</v>
      </c>
      <c r="O1200" t="n">
        <v>0.1875203772890093</v>
      </c>
      <c r="P1200" t="n">
        <v>179.9826887813842</v>
      </c>
      <c r="Q1200" t="n">
        <v>203.3865558655369</v>
      </c>
    </row>
    <row r="1201">
      <c r="A1201" s="118" t="n">
        <v>46178</v>
      </c>
      <c r="B1201" s="119" t="n">
        <v>43.29999923706055</v>
      </c>
      <c r="C1201" s="119" t="n">
        <v>43.7400016784668</v>
      </c>
      <c r="D1201" s="119" t="n">
        <v>42.79000091552734</v>
      </c>
      <c r="E1201" s="119" t="n">
        <v>42.97999954223633</v>
      </c>
      <c r="F1201" s="120" t="n">
        <v>18406500</v>
      </c>
      <c r="G1201" s="121" t="n">
        <v>-0.01467215509674435</v>
      </c>
      <c r="H1201" s="122" t="n">
        <v>27.48869047648085</v>
      </c>
      <c r="I1201" s="119" t="n">
        <v>44.45757522583008</v>
      </c>
      <c r="J1201" s="119" t="n">
        <v>59.24679496765137</v>
      </c>
      <c r="K1201" s="121" t="n">
        <v>0.3327185729986999</v>
      </c>
      <c r="L1201" s="121" t="n">
        <v>-0.2132694607935208</v>
      </c>
      <c r="M1201" s="121" t="n">
        <v>-0.442713045628787</v>
      </c>
      <c r="N1201" t="n">
        <v>42.20678946957224</v>
      </c>
      <c r="O1201" t="n">
        <v>0.07076999971302295</v>
      </c>
      <c r="P1201" t="n">
        <v>175.3374487482455</v>
      </c>
      <c r="Q1201" t="n">
        <v>193.6238003619767</v>
      </c>
    </row>
    <row r="1202">
      <c r="A1202" s="118" t="n">
        <v>46181</v>
      </c>
      <c r="B1202" s="119" t="n">
        <v>43.06000137329102</v>
      </c>
      <c r="C1202" s="119" t="n">
        <v>43.86000061035156</v>
      </c>
      <c r="D1202" s="119" t="n">
        <v>42.65000152587891</v>
      </c>
      <c r="E1202" s="119" t="n">
        <v>43.22999954223633</v>
      </c>
      <c r="F1202" s="120" t="n">
        <v>18192000</v>
      </c>
      <c r="G1202" s="121" t="n">
        <v>0.005816658973072375</v>
      </c>
      <c r="H1202" s="122" t="n">
        <v>27.64858281459889</v>
      </c>
      <c r="I1202" s="119" t="n">
        <v>44.29001106262207</v>
      </c>
      <c r="J1202" s="119" t="n">
        <v>59.09182874679566</v>
      </c>
      <c r="K1202" s="121" t="n">
        <v>0.3329800708711969</v>
      </c>
      <c r="L1202" s="121" t="n">
        <v>-0.2086933175432554</v>
      </c>
      <c r="M1202" s="121" t="n">
        <v>-0.4394714974650674</v>
      </c>
      <c r="N1202" t="n">
        <v>43.84517385790337</v>
      </c>
      <c r="O1202" t="n">
        <v>0.01211034993375015</v>
      </c>
      <c r="P1202" t="n">
        <v>175.7344429969932</v>
      </c>
      <c r="Q1202" t="n">
        <v>196.6473731211953</v>
      </c>
    </row>
    <row r="1203">
      <c r="A1203" s="118" t="n">
        <v>46182</v>
      </c>
      <c r="B1203" s="119" t="n">
        <v>43.52000045776367</v>
      </c>
      <c r="C1203" s="119" t="n">
        <v>45.27999877929688</v>
      </c>
      <c r="D1203" s="119" t="n">
        <v>43.27000045776367</v>
      </c>
      <c r="E1203" s="119" t="n">
        <v>44.65000152587891</v>
      </c>
      <c r="F1203" s="120" t="n">
        <v>21505800</v>
      </c>
      <c r="G1203" s="121" t="n">
        <v>0.03284760579872814</v>
      </c>
      <c r="H1203" s="122" t="n">
        <v>28.55677256378632</v>
      </c>
      <c r="I1203" s="119" t="n">
        <v>44.16472282409668</v>
      </c>
      <c r="J1203" s="119" t="n">
        <v>58.94435186386109</v>
      </c>
      <c r="K1203" s="121" t="n">
        <v>0.3187399900034569</v>
      </c>
      <c r="L1203" s="121" t="n">
        <v>-0.1827007875720169</v>
      </c>
      <c r="M1203" s="121" t="n">
        <v>-0.4210594781748486</v>
      </c>
      <c r="N1203" t="n">
        <v>52.14387517931849</v>
      </c>
      <c r="O1203" t="n">
        <v>0.06757507002589086</v>
      </c>
      <c r="P1203" t="n">
        <v>175.2185832295018</v>
      </c>
      <c r="Q1203" t="n">
        <v>194.3845009972307</v>
      </c>
    </row>
    <row r="1204">
      <c r="A1204" s="118" t="n">
        <v>46183</v>
      </c>
      <c r="B1204" s="119" t="n">
        <v>43.77000045776367</v>
      </c>
      <c r="C1204" s="119" t="n">
        <v>44.58000183105469</v>
      </c>
      <c r="D1204" s="119" t="n">
        <v>43.31000137329102</v>
      </c>
      <c r="E1204" s="119" t="n">
        <v>43.95999908447266</v>
      </c>
      <c r="F1204" s="120" t="n">
        <v>15335600</v>
      </c>
      <c r="G1204" s="121" t="n">
        <v>-0.01545358158624766</v>
      </c>
      <c r="H1204" s="122" t="n">
        <v>28.11546814913193</v>
      </c>
      <c r="I1204" s="119" t="n">
        <v>44.02821144104004</v>
      </c>
      <c r="J1204" s="119" t="n">
        <v>58.78271879196167</v>
      </c>
      <c r="K1204" s="121" t="n">
        <v>0.3253579987151734</v>
      </c>
      <c r="L1204" s="121" t="n">
        <v>-0.1953309876316488</v>
      </c>
      <c r="M1204" s="121" t="n">
        <v>-0.4300061827624583</v>
      </c>
      <c r="N1204" t="n">
        <v>48.40085282470844</v>
      </c>
      <c r="O1204" t="n">
        <v>0.05685361161347541</v>
      </c>
      <c r="P1204" t="n">
        <v>172.4561637030291</v>
      </c>
      <c r="Q1204" t="n">
        <v>190.5013771275677</v>
      </c>
    </row>
    <row r="1205">
      <c r="A1205" s="118" t="n">
        <v>46184</v>
      </c>
      <c r="B1205" s="119" t="n">
        <v>44.52000045776367</v>
      </c>
      <c r="C1205" s="119" t="n">
        <v>45.97999954223633</v>
      </c>
      <c r="D1205" s="119" t="n">
        <v>44.22000122070312</v>
      </c>
      <c r="E1205" s="119" t="n">
        <v>45.95999908447266</v>
      </c>
      <c r="F1205" s="120" t="n">
        <v>16647500</v>
      </c>
      <c r="G1205" s="121" t="n">
        <v>0.04549590631603162</v>
      </c>
      <c r="H1205" s="122" t="n">
        <v>29.3946068540762</v>
      </c>
      <c r="I1205" s="119" t="n">
        <v>43.90038032531739</v>
      </c>
      <c r="J1205" s="119" t="n">
        <v>58.62724115371704</v>
      </c>
      <c r="K1205" s="121" t="n">
        <v>0.358990495690492</v>
      </c>
      <c r="L1205" s="121" t="n">
        <v>-0.133085594944496</v>
      </c>
      <c r="M1205" s="121" t="n">
        <v>-0.4040737974527019</v>
      </c>
      <c r="N1205" t="n">
        <v>57.84623507506434</v>
      </c>
      <c r="O1205" t="n">
        <v>0.1767500659132954</v>
      </c>
      <c r="P1205" t="n">
        <v>175.3873748846216</v>
      </c>
      <c r="Q1205" t="n">
        <v>196.9357191686697</v>
      </c>
    </row>
    <row r="1206">
      <c r="A1206" s="118" t="n">
        <v>46185</v>
      </c>
      <c r="B1206" s="119" t="n">
        <v>46.29000091552734</v>
      </c>
      <c r="C1206" s="119" t="n">
        <v>46.31000137329102</v>
      </c>
      <c r="D1206" s="119" t="n">
        <v>44.84999847412109</v>
      </c>
      <c r="E1206" s="119" t="n">
        <v>44.93000030517578</v>
      </c>
      <c r="F1206" s="120" t="n">
        <v>16524300</v>
      </c>
      <c r="G1206" s="121" t="n">
        <v>-0.02241076587934165</v>
      </c>
      <c r="H1206" s="122" t="n">
        <v>28.73585120175422</v>
      </c>
      <c r="I1206" s="119" t="n">
        <v>43.91429649353027</v>
      </c>
      <c r="J1206" s="119" t="n">
        <v>58.469144115448</v>
      </c>
      <c r="K1206" s="121" t="n">
        <v>0.3694898942412989</v>
      </c>
      <c r="L1206" s="121" t="n">
        <v>-0.1525138107136236</v>
      </c>
      <c r="M1206" s="121" t="n">
        <v>-0.4174289600593545</v>
      </c>
      <c r="N1206" t="n">
        <v>52.51473309495133</v>
      </c>
      <c r="O1206" t="n">
        <v>0.1784598345395913</v>
      </c>
      <c r="P1206" t="n">
        <v>176.3359132867961</v>
      </c>
      <c r="Q1206" t="n">
        <v>198.0946239503748</v>
      </c>
    </row>
    <row r="1207">
      <c r="A1207" s="118" t="n">
        <v>46188</v>
      </c>
      <c r="B1207" s="119" t="n">
        <v>45.36000061035156</v>
      </c>
      <c r="C1207" s="119" t="n">
        <v>46.09000015258789</v>
      </c>
      <c r="D1207" s="119" t="n">
        <v>45.09000015258789</v>
      </c>
      <c r="E1207" s="119" t="n">
        <v>45.20000076293945</v>
      </c>
      <c r="F1207" s="120" t="n">
        <v>14345100</v>
      </c>
      <c r="G1207" s="121" t="n">
        <v>0.006009358022029065</v>
      </c>
      <c r="H1207" s="122" t="n">
        <v>28.90853521969331</v>
      </c>
      <c r="I1207" s="119" t="n">
        <v>43.94233467102051</v>
      </c>
      <c r="J1207" s="119" t="n">
        <v>58.31526828765869</v>
      </c>
      <c r="K1207" s="121" t="n">
        <v>0.3684986838874171</v>
      </c>
      <c r="L1207" s="121" t="n">
        <v>-0.1474209627834767</v>
      </c>
      <c r="M1207" s="121" t="n">
        <v>-0.4139280821070854</v>
      </c>
      <c r="N1207" t="n">
        <v>53.71891063705608</v>
      </c>
      <c r="O1207" t="n">
        <v>0.1885590175579949</v>
      </c>
      <c r="P1207" t="n">
        <v>179.445415472883</v>
      </c>
      <c r="Q1207" t="n">
        <v>204.3175222912776</v>
      </c>
    </row>
    <row r="1208">
      <c r="A1208" s="118" t="n">
        <v>46189</v>
      </c>
      <c r="B1208" s="119" t="n">
        <v>45.5099983215332</v>
      </c>
      <c r="C1208" s="119" t="n">
        <v>46.09999847412109</v>
      </c>
      <c r="D1208" s="119" t="n">
        <v>45</v>
      </c>
      <c r="E1208" s="119" t="n">
        <v>45.04000091552734</v>
      </c>
      <c r="F1208" s="120" t="n">
        <v>19591400</v>
      </c>
      <c r="G1208" s="121" t="n">
        <v>-0.003539819573261993</v>
      </c>
      <c r="H1208" s="122" t="n">
        <v>28.8062042208883</v>
      </c>
      <c r="I1208" s="119" t="n">
        <v>43.97034446716309</v>
      </c>
      <c r="J1208" s="119" t="n">
        <v>58.16127380371094</v>
      </c>
      <c r="K1208" s="121" t="n">
        <v>0.3667339219281545</v>
      </c>
      <c r="L1208" s="121" t="n">
        <v>-0.1504389387471686</v>
      </c>
      <c r="M1208" s="121" t="n">
        <v>-0.4160026709533819</v>
      </c>
      <c r="N1208" t="n">
        <v>52.86339792645354</v>
      </c>
      <c r="O1208" t="n">
        <v>0.1755157280656783</v>
      </c>
      <c r="P1208" t="n">
        <v>178.3756403514317</v>
      </c>
      <c r="Q1208" t="n">
        <v>200.4343816417002</v>
      </c>
    </row>
    <row r="1209">
      <c r="A1209" s="118" t="n">
        <v>46190</v>
      </c>
      <c r="B1209" s="119" t="n">
        <v>44.90000152587891</v>
      </c>
      <c r="C1209" s="119" t="n">
        <v>45.84999847412109</v>
      </c>
      <c r="D1209" s="119" t="n">
        <v>44.15999984741211</v>
      </c>
      <c r="E1209" s="119" t="n">
        <v>44.18999862670898</v>
      </c>
      <c r="F1209" s="120" t="n">
        <v>20859700</v>
      </c>
      <c r="G1209" s="121" t="n">
        <v>-0.01887216411057679</v>
      </c>
      <c r="H1209" s="122" t="n">
        <v>28.26256880742891</v>
      </c>
      <c r="I1209" s="119" t="n">
        <v>44.0079165649414</v>
      </c>
      <c r="J1209" s="119" t="n">
        <v>58.00570585250855</v>
      </c>
      <c r="K1209" s="121" t="n">
        <v>0.3746081928620384</v>
      </c>
      <c r="L1209" s="121" t="n">
        <v>-0.1664719945170877</v>
      </c>
      <c r="M1209" s="121" t="n">
        <v>-0.4270239643872883</v>
      </c>
      <c r="N1209" t="n">
        <v>48.44902032925078</v>
      </c>
      <c r="O1209" t="n">
        <v>0.1042165562495729</v>
      </c>
      <c r="P1209" t="n">
        <v>176.1481083856846</v>
      </c>
      <c r="Q1209" t="n">
        <v>198.4159257495508</v>
      </c>
    </row>
    <row r="1210">
      <c r="A1210" s="118" t="n">
        <v>46191</v>
      </c>
      <c r="B1210" s="119" t="n">
        <v>44.40999984741211</v>
      </c>
      <c r="C1210" s="119" t="n">
        <v>45.70999908447266</v>
      </c>
      <c r="D1210" s="119" t="n">
        <v>44.2400016784668</v>
      </c>
      <c r="E1210" s="119" t="n">
        <v>45.20000076293945</v>
      </c>
      <c r="F1210" s="120" t="n">
        <v>32320300</v>
      </c>
      <c r="G1210" s="121" t="n">
        <v>0.02285589879199512</v>
      </c>
      <c r="H1210" s="122" t="n">
        <v>28.90853521969331</v>
      </c>
      <c r="I1210" s="119" t="n">
        <v>44.05696670532227</v>
      </c>
      <c r="J1210" s="119" t="n">
        <v>57.86829776763916</v>
      </c>
      <c r="K1210" s="121" t="n">
        <v>0.3539941513379608</v>
      </c>
      <c r="L1210" s="121" t="n">
        <v>-0.1392137879119518</v>
      </c>
      <c r="M1210" s="121" t="n">
        <v>-0.4139280821070854</v>
      </c>
      <c r="N1210" t="n">
        <v>53.42578213164943</v>
      </c>
      <c r="O1210" t="n">
        <v>0.118604952884389</v>
      </c>
      <c r="P1210" t="n">
        <v>177.979518937236</v>
      </c>
      <c r="Q1210" t="n">
        <v>203.3893077714835</v>
      </c>
    </row>
    <row r="1211">
      <c r="A1211" s="118" t="n">
        <v>46195</v>
      </c>
      <c r="B1211" s="119" t="n">
        <v>44.61999893188477</v>
      </c>
      <c r="C1211" s="119" t="n">
        <v>44.90999984741211</v>
      </c>
      <c r="D1211" s="119" t="n">
        <v>43.13999938964844</v>
      </c>
      <c r="E1211" s="119" t="n">
        <v>43.18999862670898</v>
      </c>
      <c r="F1211" s="120" t="n">
        <v>25864500</v>
      </c>
      <c r="G1211" s="121" t="n">
        <v>-0.04446907305980663</v>
      </c>
      <c r="H1211" s="122" t="n">
        <v>27.62299945495677</v>
      </c>
      <c r="I1211" s="119" t="n">
        <v>44.04857109069824</v>
      </c>
      <c r="J1211" s="119" t="n">
        <v>57.71863840103149</v>
      </c>
      <c r="K1211" s="121" t="n">
        <v>0.3899129840423859</v>
      </c>
      <c r="L1211" s="121" t="n">
        <v>-0.1750006521590541</v>
      </c>
      <c r="M1211" s="121" t="n">
        <v>-0.4399901570421665</v>
      </c>
      <c r="N1211" t="n">
        <v>44.26680421565381</v>
      </c>
      <c r="O1211" t="n">
        <v>-0.007053548213867077</v>
      </c>
      <c r="P1211" t="n">
        <v>177.4194210051993</v>
      </c>
      <c r="Q1211" t="n">
        <v>202.8787788786524</v>
      </c>
    </row>
    <row r="1212">
      <c r="A1212" s="118" t="n">
        <v>46196</v>
      </c>
      <c r="B1212" s="119" t="n">
        <v>42.38999938964844</v>
      </c>
      <c r="C1212" s="119" t="n">
        <v>43.18999862670898</v>
      </c>
      <c r="D1212" s="119" t="n">
        <v>42.31999969482422</v>
      </c>
      <c r="E1212" s="119" t="n">
        <v>42.38000106811523</v>
      </c>
      <c r="F1212" s="120" t="n">
        <v>31517900</v>
      </c>
      <c r="G1212" s="121" t="n">
        <v>-0.01875428535190649</v>
      </c>
      <c r="H1212" s="122" t="n">
        <v>27.10494984090295</v>
      </c>
      <c r="I1212" s="119" t="n">
        <v>44.05133079528809</v>
      </c>
      <c r="J1212" s="119" t="n">
        <v>57.56194507598877</v>
      </c>
      <c r="K1212" s="121" t="n">
        <v>0.3941185209654295</v>
      </c>
      <c r="L1212" s="121" t="n">
        <v>-0.1904729253435999</v>
      </c>
      <c r="M1212" s="121" t="n">
        <v>-0.450492741436874</v>
      </c>
      <c r="N1212" t="n">
        <v>41.20145110842391</v>
      </c>
      <c r="O1212" t="n">
        <v>-0.1373059402050948</v>
      </c>
      <c r="P1212" t="n">
        <v>174.8429443327938</v>
      </c>
      <c r="Q1212" t="n">
        <v>196.1981748151612</v>
      </c>
    </row>
    <row r="1213">
      <c r="A1213" s="118" t="n">
        <v>46197</v>
      </c>
      <c r="B1213" s="119" t="n">
        <v>42.04000091552734</v>
      </c>
      <c r="C1213" s="119" t="n">
        <v>42.33000183105469</v>
      </c>
      <c r="D1213" s="119" t="n">
        <v>41.31000137329102</v>
      </c>
      <c r="E1213" s="119" t="n">
        <v>41.81999969482422</v>
      </c>
      <c r="F1213" s="120" t="n">
        <v>34384300</v>
      </c>
      <c r="G1213" s="121" t="n">
        <v>-0.01321381215613826</v>
      </c>
      <c r="H1213" s="122" t="n">
        <v>26.74679012520371</v>
      </c>
      <c r="I1213" s="119" t="n">
        <v>44.0371418762207</v>
      </c>
      <c r="J1213" s="119" t="n">
        <v>57.4094958114624</v>
      </c>
      <c r="K1213" s="121" t="n">
        <v>0.3949040218428715</v>
      </c>
      <c r="L1213" s="121" t="n">
        <v>-0.2011698640434177</v>
      </c>
      <c r="M1213" s="121" t="n">
        <v>-0.4577538271299617</v>
      </c>
      <c r="N1213" t="n">
        <v>39.18135577771502</v>
      </c>
      <c r="O1213" t="n">
        <v>-0.2473425278683288</v>
      </c>
      <c r="P1213" t="n">
        <v>174.7619016446379</v>
      </c>
      <c r="Q1213" t="n">
        <v>195.3651527492383</v>
      </c>
    </row>
    <row r="1214">
      <c r="A1214" s="118" t="n">
        <v>46198</v>
      </c>
      <c r="B1214" s="119" t="n">
        <v>41.79999923706055</v>
      </c>
      <c r="C1214" s="119" t="n">
        <v>41.86000061035156</v>
      </c>
      <c r="D1214" s="119" t="n">
        <v>40.43999862670898</v>
      </c>
      <c r="E1214" s="119" t="n">
        <v>40.90000152587891</v>
      </c>
      <c r="F1214" s="120" t="n">
        <v>29228300</v>
      </c>
      <c r="G1214" s="121" t="n">
        <v>-0.02199899989619503</v>
      </c>
      <c r="H1214" s="122" t="n">
        <v>26.15838749201581</v>
      </c>
      <c r="I1214" s="119" t="n">
        <v>43.97898178100586</v>
      </c>
      <c r="J1214" s="119" t="n">
        <v>57.25127254486084</v>
      </c>
      <c r="K1214" s="121" t="n">
        <v>0.387939864490058</v>
      </c>
      <c r="L1214" s="121" t="n">
        <v>-0.2187433281214041</v>
      </c>
      <c r="M1214" s="121" t="n">
        <v>-0.4696827006306418</v>
      </c>
      <c r="N1214" t="n">
        <v>36.05388025718522</v>
      </c>
      <c r="O1214" t="n">
        <v>-0.361350352099068</v>
      </c>
      <c r="P1214" t="n">
        <v>175.0145436057226</v>
      </c>
      <c r="Q1214" t="n">
        <v>196.9487068223444</v>
      </c>
    </row>
    <row r="1215">
      <c r="A1215" s="118" t="n">
        <v>46199</v>
      </c>
      <c r="B1215" s="119" t="n">
        <v>40.06999969482422</v>
      </c>
      <c r="C1215" s="119" t="n">
        <v>41.47000122070312</v>
      </c>
      <c r="D1215" s="119" t="n">
        <v>40</v>
      </c>
      <c r="E1215" s="119" t="n">
        <v>40.75</v>
      </c>
      <c r="F1215" s="120" t="n">
        <v>33970700</v>
      </c>
      <c r="G1215" s="121" t="n">
        <v>-0.003667518833318284</v>
      </c>
      <c r="H1215" s="122" t="n">
        <v>26.0624511132396</v>
      </c>
      <c r="I1215" s="119" t="n">
        <v>43.89324165344238</v>
      </c>
      <c r="J1215" s="119" t="n">
        <v>57.09498973846436</v>
      </c>
      <c r="K1215" s="121" t="n">
        <v>0.3649627365379611</v>
      </c>
      <c r="L1215" s="121" t="n">
        <v>-0.1320533470614005</v>
      </c>
      <c r="M1215" s="121" t="n">
        <v>-0.4716276493137134</v>
      </c>
      <c r="N1215" t="n">
        <v>35.55555226244589</v>
      </c>
      <c r="O1215" t="n">
        <v>-0.4219078144854805</v>
      </c>
      <c r="P1215" t="n">
        <v>173.7489480525237</v>
      </c>
      <c r="Q1215" t="n">
        <v>194.2379787854903</v>
      </c>
    </row>
    <row r="1216">
      <c r="A1216" s="118" t="n">
        <v>46202</v>
      </c>
      <c r="B1216" s="119" t="n">
        <v>41.13999938964844</v>
      </c>
      <c r="C1216" s="119" t="n">
        <v>41.68999862670898</v>
      </c>
      <c r="D1216" s="119" t="n">
        <v>40.77000045776367</v>
      </c>
      <c r="E1216" s="119" t="n">
        <v>41.47999954223633</v>
      </c>
      <c r="F1216" s="120" t="n">
        <v>27824700</v>
      </c>
      <c r="G1216" s="121" t="n">
        <v>0.01791409919598341</v>
      </c>
      <c r="H1216" s="122" t="n">
        <v>26.52933644777264</v>
      </c>
      <c r="I1216" s="119" t="n">
        <v>43.81694763183594</v>
      </c>
      <c r="J1216" s="119" t="n">
        <v>56.93917730331421</v>
      </c>
      <c r="K1216" s="121" t="n">
        <v>0.3690279878089804</v>
      </c>
      <c r="L1216" s="121" t="n">
        <v>-0.1165048646238368</v>
      </c>
      <c r="M1216" s="121" t="n">
        <v>-0.4621623346111042</v>
      </c>
      <c r="N1216" t="n">
        <v>39.90854167995214</v>
      </c>
      <c r="O1216" t="n">
        <v>-0.3886678777521365</v>
      </c>
      <c r="P1216" t="n">
        <v>176.6114380603865</v>
      </c>
      <c r="Q1216" t="n">
        <v>199.0656104717409</v>
      </c>
    </row>
    <row r="1217">
      <c r="A1217" s="118" t="n">
        <v>46203</v>
      </c>
      <c r="B1217" s="119" t="n">
        <v>41.38000106811523</v>
      </c>
      <c r="C1217" s="119" t="n">
        <v>41.63999938964844</v>
      </c>
      <c r="D1217" s="119" t="n">
        <v>40.88999938964844</v>
      </c>
      <c r="E1217" s="119" t="n">
        <v>41.04999923706055</v>
      </c>
      <c r="F1217" s="120" t="n">
        <v>73891500</v>
      </c>
      <c r="G1217" s="121" t="n">
        <v>-0.01036644913021134</v>
      </c>
      <c r="H1217" s="122" t="n">
        <v>26.25432143102854</v>
      </c>
      <c r="I1217" s="119" t="n">
        <v>43.72551216125488</v>
      </c>
      <c r="J1217" s="119" t="n">
        <v>56.7808235168457</v>
      </c>
      <c r="K1217" s="121" t="n">
        <v>0.3685494367395604</v>
      </c>
      <c r="L1217" s="121" t="n">
        <v>-0.1256635720015029</v>
      </c>
      <c r="M1217" s="121" t="n">
        <v>-0.4677378014096698</v>
      </c>
      <c r="N1217" t="n">
        <v>38.26879140973015</v>
      </c>
      <c r="O1217" t="n">
        <v>-0.3715226683959393</v>
      </c>
      <c r="P1217" t="n">
        <v>177.9866761805627</v>
      </c>
      <c r="Q1217" t="n">
        <v>202.4526529547924</v>
      </c>
    </row>
    <row r="1218">
      <c r="A1218" s="118" t="n">
        <v>46204</v>
      </c>
      <c r="B1218" s="119" t="n">
        <v>41.40000152587891</v>
      </c>
      <c r="C1218" s="119" t="n">
        <v>43.27999877929688</v>
      </c>
      <c r="D1218" s="119" t="n">
        <v>40.11000061035156</v>
      </c>
      <c r="E1218" s="119" t="n">
        <v>43.06000137329102</v>
      </c>
      <c r="F1218" s="120" t="n">
        <v>80185700</v>
      </c>
      <c r="G1218" s="121" t="n">
        <v>0.04896473017265768</v>
      </c>
      <c r="H1218" s="122" t="n">
        <v>27.53985719576508</v>
      </c>
      <c r="I1218" s="119" t="n">
        <v>43.66535652160645</v>
      </c>
      <c r="J1218" s="119" t="n">
        <v>56.63902578353882</v>
      </c>
      <c r="K1218" s="121" t="n">
        <v>0.3804044199447735</v>
      </c>
      <c r="L1218" s="121" t="n">
        <v>-0.08285192472443126</v>
      </c>
      <c r="M1218" s="121" t="n">
        <v>-0.4416757264745889</v>
      </c>
      <c r="N1218" t="n">
        <v>48.84868085720912</v>
      </c>
      <c r="O1218" t="n">
        <v>-0.2088020717261024</v>
      </c>
      <c r="P1218" t="n">
        <v>177.7459484111132</v>
      </c>
      <c r="Q1218" t="n">
        <v>199.3652661814591</v>
      </c>
    </row>
    <row r="1219">
      <c r="A1219" s="118" t="n">
        <v>46205</v>
      </c>
      <c r="B1219" s="119" t="n">
        <v>44.11000061035156</v>
      </c>
      <c r="C1219" s="119" t="n">
        <v>45.04000091552734</v>
      </c>
      <c r="D1219" s="119" t="n">
        <v>43.59999847412109</v>
      </c>
      <c r="E1219" s="119" t="n">
        <v>44.09000015258789</v>
      </c>
      <c r="F1219" s="120" t="n">
        <v>34233400</v>
      </c>
      <c r="G1219" s="121" t="n">
        <v>0.02392008236060472</v>
      </c>
      <c r="H1219" s="122" t="n">
        <v>28.19861284808707</v>
      </c>
      <c r="I1219" s="119" t="n">
        <v>43.62758491516113</v>
      </c>
      <c r="J1219" s="119" t="n">
        <v>56.50223129272461</v>
      </c>
      <c r="K1219" s="121" t="n">
        <v>0.3901562920946298</v>
      </c>
      <c r="L1219" s="121" t="n">
        <v>-0.06091366722696967</v>
      </c>
      <c r="M1219" s="121" t="n">
        <v>-0.4283205638679362</v>
      </c>
      <c r="N1219" t="n">
        <v>53.26855994261072</v>
      </c>
      <c r="O1219" t="n">
        <v>-0.02543334772764005</v>
      </c>
      <c r="P1219" t="n">
        <v>177.5123778849904</v>
      </c>
      <c r="Q1219" t="n">
        <v>195.9094931694007</v>
      </c>
    </row>
    <row r="1220">
      <c r="A1220" s="118" t="n">
        <v>46209</v>
      </c>
      <c r="B1220" s="119" t="n">
        <v>43.90000152587891</v>
      </c>
      <c r="C1220" s="119" t="n">
        <v>44.11000061035156</v>
      </c>
      <c r="D1220" s="119" t="n">
        <v>41.84000015258789</v>
      </c>
      <c r="E1220" s="119" t="n">
        <v>43.34000015258789</v>
      </c>
      <c r="F1220" s="120" t="n">
        <v>21979100</v>
      </c>
      <c r="G1220" s="121" t="n">
        <v>-0.01701065995473761</v>
      </c>
      <c r="H1220" s="122" t="n">
        <v>27.71893583373297</v>
      </c>
      <c r="I1220" s="119" t="n">
        <v>43.58888732910156</v>
      </c>
      <c r="J1220" s="119" t="n">
        <v>56.3630565071106</v>
      </c>
      <c r="K1220" s="121" t="n">
        <v>0.3948501900946269</v>
      </c>
      <c r="L1220" s="121" t="n">
        <v>-0.07688814550191314</v>
      </c>
      <c r="M1220" s="121" t="n">
        <v>-0.4380452083590949</v>
      </c>
      <c r="N1220" t="n">
        <v>49.88821694848014</v>
      </c>
      <c r="O1220" t="n">
        <v>0.04772733499633697</v>
      </c>
      <c r="P1220" t="n">
        <v>179.061601025871</v>
      </c>
      <c r="Q1220" t="n">
        <v>198.7192059207596</v>
      </c>
    </row>
    <row r="1221">
      <c r="A1221" s="118" t="n">
        <v>46210</v>
      </c>
      <c r="B1221" s="119" t="n">
        <v>43.72000122070312</v>
      </c>
      <c r="C1221" s="119" t="n">
        <v>44.04000091552734</v>
      </c>
      <c r="D1221" s="119" t="n">
        <v>42.88000106811523</v>
      </c>
      <c r="E1221" s="119" t="n">
        <v>43.20999908447266</v>
      </c>
      <c r="F1221" s="120" t="n">
        <v>17784900</v>
      </c>
      <c r="G1221" s="121" t="n">
        <v>-0.002999563166994457</v>
      </c>
      <c r="H1221" s="122" t="n">
        <v>27.63579113477782</v>
      </c>
      <c r="I1221" s="119" t="n">
        <v>43.56543014526367</v>
      </c>
      <c r="J1221" s="119" t="n">
        <v>56.22538408279419</v>
      </c>
      <c r="K1221" s="121" t="n">
        <v>0.3912669530825702</v>
      </c>
      <c r="L1221" s="121" t="n">
        <v>-0.07965707781968145</v>
      </c>
      <c r="M1221" s="121" t="n">
        <v>-0.4397308272536169</v>
      </c>
      <c r="N1221" t="n">
        <v>49.30417525452628</v>
      </c>
      <c r="O1221" t="n">
        <v>0.0874346518049709</v>
      </c>
      <c r="P1221" t="n">
        <v>178.2107182628259</v>
      </c>
      <c r="Q1221" t="n">
        <v>195.0379947599688</v>
      </c>
    </row>
    <row r="1222">
      <c r="A1222" s="118" t="n">
        <v>46211</v>
      </c>
      <c r="B1222" s="119" t="n">
        <v>42.70000076293945</v>
      </c>
      <c r="C1222" s="119" t="n">
        <v>43.2599983215332</v>
      </c>
      <c r="D1222" s="119" t="n">
        <v>42.06999969482422</v>
      </c>
      <c r="E1222" s="119" t="n">
        <v>42.88999938964844</v>
      </c>
      <c r="F1222" s="120" t="n">
        <v>21101500</v>
      </c>
      <c r="G1222" s="121" t="n">
        <v>-0.007405686220882335</v>
      </c>
      <c r="H1222" s="122" t="n">
        <v>27.43112913716782</v>
      </c>
      <c r="I1222" s="119" t="n">
        <v>43.53735702514648</v>
      </c>
      <c r="J1222" s="119" t="n">
        <v>56.08713891983032</v>
      </c>
      <c r="K1222" s="121" t="n">
        <v>0.391722669218011</v>
      </c>
      <c r="L1222" s="121" t="n">
        <v>-0.08647284871695882</v>
      </c>
      <c r="M1222" s="121" t="n">
        <v>-0.4438800049462099</v>
      </c>
      <c r="N1222" t="n">
        <v>47.82014059036116</v>
      </c>
      <c r="O1222" t="n">
        <v>0.09176797405412607</v>
      </c>
      <c r="P1222" t="n">
        <v>177.6601487746488</v>
      </c>
      <c r="Q1222" t="n">
        <v>195.5905908979708</v>
      </c>
    </row>
    <row r="1223">
      <c r="A1223" s="118" t="n">
        <v>46212</v>
      </c>
      <c r="B1223" s="119" t="n">
        <v>42.68999862670898</v>
      </c>
      <c r="C1223" s="119" t="n">
        <v>43.06000137329102</v>
      </c>
      <c r="D1223" s="119" t="n">
        <v>42.13000106811523</v>
      </c>
      <c r="E1223" s="119" t="n">
        <v>42.77999877929688</v>
      </c>
      <c r="F1223" s="120" t="n">
        <v>19647000</v>
      </c>
      <c r="G1223" s="121" t="n">
        <v>-0.002564714663486622</v>
      </c>
      <c r="H1223" s="122" t="n">
        <v>27.36077611803373</v>
      </c>
      <c r="I1223" s="119" t="n">
        <v>43.49816368103027</v>
      </c>
      <c r="J1223" s="119" t="n">
        <v>55.95426279067993</v>
      </c>
      <c r="K1223" s="121" t="n">
        <v>0.3718744174560759</v>
      </c>
      <c r="L1223" s="121" t="n">
        <v>-0.08881578519734756</v>
      </c>
      <c r="M1223" s="121" t="n">
        <v>-0.4453062940521825</v>
      </c>
      <c r="N1223" t="n">
        <v>47.29316687056811</v>
      </c>
      <c r="O1223" t="n">
        <v>0.08689489510804616</v>
      </c>
      <c r="P1223" t="n">
        <v>179.1640863495217</v>
      </c>
      <c r="Q1223" t="n">
        <v>198.8456761349015</v>
      </c>
    </row>
    <row r="1224">
      <c r="A1224" s="118" t="n">
        <v>46213</v>
      </c>
      <c r="B1224" s="119" t="n">
        <v>43.41999816894531</v>
      </c>
      <c r="C1224" s="119" t="n">
        <v>44.63000106811523</v>
      </c>
      <c r="D1224" s="119" t="n">
        <v>43.06000137329102</v>
      </c>
      <c r="E1224" s="119" t="n">
        <v>44.36999893188477</v>
      </c>
      <c r="F1224" s="120" t="n">
        <v>23313500</v>
      </c>
      <c r="G1224" s="121" t="n">
        <v>0.03716690504809828</v>
      </c>
      <c r="H1224" s="122" t="n">
        <v>28.37769148605496</v>
      </c>
      <c r="I1224" s="119" t="n">
        <v>43.49295082092285</v>
      </c>
      <c r="J1224" s="119" t="n">
        <v>55.827428855896</v>
      </c>
      <c r="K1224" s="121" t="n">
        <v>0.3927215767630761</v>
      </c>
      <c r="L1224" s="121" t="n">
        <v>-0.05494988800445155</v>
      </c>
      <c r="M1224" s="121" t="n">
        <v>-0.4246900457524422</v>
      </c>
      <c r="N1224" t="n">
        <v>55.01063321091824</v>
      </c>
      <c r="O1224" t="n">
        <v>0.1847989032372203</v>
      </c>
      <c r="P1224" t="n">
        <v>179.9363121721864</v>
      </c>
      <c r="Q1224" t="n">
        <v>199.4587470840708</v>
      </c>
    </row>
    <row r="1225">
      <c r="A1225" s="118" t="n">
        <v>46216</v>
      </c>
      <c r="B1225" s="119" t="n">
        <v>44.7599983215332</v>
      </c>
      <c r="C1225" s="119" t="n">
        <v>44.90000152587891</v>
      </c>
      <c r="D1225" s="119" t="n">
        <v>43.66999816894531</v>
      </c>
      <c r="E1225" s="119" t="n">
        <v>43.7599983215332</v>
      </c>
      <c r="F1225" s="120" t="n">
        <v>13665500</v>
      </c>
      <c r="G1225" s="121" t="n">
        <v>-0.01374804203371771</v>
      </c>
      <c r="H1225" s="122" t="n">
        <v>27.9875537906848</v>
      </c>
      <c r="I1225" s="119" t="n">
        <v>43.48822441101074</v>
      </c>
      <c r="J1225" s="119" t="n">
        <v>55.69925703048706</v>
      </c>
      <c r="K1225" s="121" t="n">
        <v>0.3579654158291302</v>
      </c>
      <c r="L1225" s="121" t="n">
        <v>-0.06794247666813591</v>
      </c>
      <c r="M1225" s="121" t="n">
        <v>-0.4325994311858539</v>
      </c>
      <c r="N1225" t="n">
        <v>51.87255851037973</v>
      </c>
      <c r="O1225" t="n">
        <v>0.2011692053679422</v>
      </c>
      <c r="P1225" t="n">
        <v>178.5586883042346</v>
      </c>
      <c r="Q1225" t="n">
        <v>195.6730641767963</v>
      </c>
    </row>
    <row r="1226">
      <c r="A1226" s="118" t="n">
        <v>46217</v>
      </c>
      <c r="B1226" s="119" t="n">
        <v>44.31000137329102</v>
      </c>
      <c r="C1226" s="119" t="n">
        <v>44.4900016784668</v>
      </c>
      <c r="D1226" s="119" t="n">
        <v>42.47000122070312</v>
      </c>
      <c r="E1226" s="119" t="n">
        <v>42.86000061035156</v>
      </c>
      <c r="F1226" s="120" t="n">
        <v>13090200</v>
      </c>
      <c r="G1226" s="121" t="n">
        <v>-0.02056667609008511</v>
      </c>
      <c r="H1226" s="122" t="n">
        <v>27.41194283731795</v>
      </c>
      <c r="I1226" s="119" t="n">
        <v>43.46609268188477</v>
      </c>
      <c r="J1226" s="119" t="n">
        <v>55.56516660690308</v>
      </c>
      <c r="K1226" s="121" t="n">
        <v>0.3566425451968698</v>
      </c>
      <c r="L1226" s="121" t="n">
        <v>-0.08711180184782952</v>
      </c>
      <c r="M1226" s="121" t="n">
        <v>-0.4442689748979844</v>
      </c>
      <c r="N1226" t="n">
        <v>47.56164491221723</v>
      </c>
      <c r="O1226" t="n">
        <v>0.1466121590606255</v>
      </c>
      <c r="P1226" t="n">
        <v>179.1926862283431</v>
      </c>
      <c r="Q1226" t="n">
        <v>197.8586983551997</v>
      </c>
    </row>
    <row r="1227">
      <c r="A1227" s="118" t="n">
        <v>46218</v>
      </c>
      <c r="B1227" s="119" t="n">
        <v>43</v>
      </c>
      <c r="C1227" s="119" t="n">
        <v>43.58000183105469</v>
      </c>
      <c r="D1227" s="119" t="n">
        <v>42.47999954223633</v>
      </c>
      <c r="E1227" s="119" t="n">
        <v>42.77000045776367</v>
      </c>
      <c r="F1227" s="120" t="n">
        <v>14388200</v>
      </c>
      <c r="G1227" s="121" t="n">
        <v>-0.002099863539576141</v>
      </c>
      <c r="H1227" s="122" t="n">
        <v>27.35438149800492</v>
      </c>
      <c r="I1227" s="119" t="n">
        <v>43.4413680267334</v>
      </c>
      <c r="J1227" s="119" t="n">
        <v>55.44031185150146</v>
      </c>
      <c r="K1227" s="121" t="n">
        <v>0.3553510418150128</v>
      </c>
      <c r="L1227" s="121" t="n">
        <v>-0.08902874249083859</v>
      </c>
      <c r="M1227" s="121" t="n">
        <v>-0.4454359342154074</v>
      </c>
      <c r="N1227" t="n">
        <v>47.13974888278003</v>
      </c>
      <c r="O1227" t="n">
        <v>0.1018171884824726</v>
      </c>
      <c r="P1227" t="n">
        <v>179.9029407978138</v>
      </c>
      <c r="Q1227" t="n">
        <v>197.3225968729627</v>
      </c>
    </row>
    <row r="1228">
      <c r="A1228" s="118" t="n">
        <v>46219</v>
      </c>
      <c r="B1228" s="119" t="n">
        <v>42.90000152587891</v>
      </c>
      <c r="C1228" s="119" t="n">
        <v>44.66999816894531</v>
      </c>
      <c r="D1228" s="119" t="n">
        <v>42.90000152587891</v>
      </c>
      <c r="E1228" s="119" t="n">
        <v>44.56999969482422</v>
      </c>
      <c r="F1228" s="120" t="n">
        <v>15944700</v>
      </c>
      <c r="G1228" s="121" t="n">
        <v>0.04208555571183803</v>
      </c>
      <c r="H1228" s="122" t="n">
        <v>28.50560584450208</v>
      </c>
      <c r="I1228" s="119" t="n">
        <v>43.47861106872558</v>
      </c>
      <c r="J1228" s="119" t="n">
        <v>55.3241146850586</v>
      </c>
      <c r="K1228" s="121" t="n">
        <v>0.388937747420587</v>
      </c>
      <c r="L1228" s="121" t="n">
        <v>-0.05069001088105352</v>
      </c>
      <c r="M1228" s="121" t="n">
        <v>-0.4220967973290466</v>
      </c>
      <c r="N1228" t="n">
        <v>55.61903142227624</v>
      </c>
      <c r="O1228" t="n">
        <v>0.1858724079225409</v>
      </c>
      <c r="P1228" t="n">
        <v>178.9281155283807</v>
      </c>
      <c r="Q1228" t="n">
        <v>194.0785192598183</v>
      </c>
    </row>
    <row r="1229">
      <c r="A1229" s="118" t="n">
        <v>46220</v>
      </c>
      <c r="B1229" s="119" t="n">
        <v>44.52000045776367</v>
      </c>
      <c r="C1229" s="119" t="n">
        <v>44.97999954223633</v>
      </c>
      <c r="D1229" s="119" t="n">
        <v>43.52000045776367</v>
      </c>
      <c r="E1229" s="119" t="n">
        <v>43.7599983215332</v>
      </c>
      <c r="F1229" s="120" t="n">
        <v>15825100</v>
      </c>
      <c r="G1229" s="121" t="n">
        <v>-0.01817369034860183</v>
      </c>
      <c r="H1229" s="122" t="n">
        <v>27.98755379068481</v>
      </c>
      <c r="I1229" s="119" t="n">
        <v>43.50024871826172</v>
      </c>
      <c r="J1229" s="119" t="n">
        <v>55.20269342422485</v>
      </c>
      <c r="K1229" s="121" t="n">
        <v>0.3885016485809699</v>
      </c>
      <c r="L1229" s="121" t="n">
        <v>-0.06794247666813569</v>
      </c>
      <c r="M1229" s="121" t="n">
        <v>-0.4325994311858539</v>
      </c>
      <c r="N1229" t="n">
        <v>51.60723751375934</v>
      </c>
      <c r="O1229" t="n">
        <v>0.1792943343942249</v>
      </c>
      <c r="P1229" t="n">
        <v>177.1572360530125</v>
      </c>
      <c r="Q1229" t="n">
        <v>191.1615996359434</v>
      </c>
    </row>
    <row r="1230">
      <c r="A1230" s="118" t="n">
        <v>46223</v>
      </c>
      <c r="B1230" s="119" t="n">
        <v>43.84000015258789</v>
      </c>
      <c r="C1230" s="119" t="n">
        <v>43.84000015258789</v>
      </c>
      <c r="D1230" s="119" t="n">
        <v>42.83000183105469</v>
      </c>
      <c r="E1230" s="119" t="n">
        <v>43.47000122070312</v>
      </c>
      <c r="F1230" s="120" t="n">
        <v>11926900</v>
      </c>
      <c r="G1230" s="121" t="n">
        <v>-0.006626990675348776</v>
      </c>
      <c r="H1230" s="122" t="n">
        <v>27.80208053268812</v>
      </c>
      <c r="I1230" s="119" t="n">
        <v>43.49983192443847</v>
      </c>
      <c r="J1230" s="119" t="n">
        <v>55.07894170761109</v>
      </c>
      <c r="K1230" s="121" t="n">
        <v>0.3792748730281656</v>
      </c>
      <c r="L1230" s="121" t="n">
        <v>-0.07411921318414472</v>
      </c>
      <c r="M1230" s="121" t="n">
        <v>-0.4363595894645728</v>
      </c>
      <c r="N1230" t="n">
        <v>50.21085189559076</v>
      </c>
      <c r="O1230" t="n">
        <v>0.1490307119641529</v>
      </c>
      <c r="P1230" t="n">
        <v>176.8712372647978</v>
      </c>
      <c r="Q1230" t="n">
        <v>191.3622874110711</v>
      </c>
    </row>
    <row r="1231">
      <c r="A1231" s="118" t="n">
        <v>46224</v>
      </c>
      <c r="B1231" s="119" t="n">
        <v>43.06000137329102</v>
      </c>
      <c r="C1231" s="119" t="n">
        <v>43.56000137329102</v>
      </c>
      <c r="D1231" s="119" t="n">
        <v>42.75</v>
      </c>
      <c r="E1231" s="119" t="n">
        <v>42.95999908447266</v>
      </c>
      <c r="F1231" s="120" t="n">
        <v>11859000</v>
      </c>
      <c r="G1231" s="121" t="n">
        <v>-0.01173227793671128</v>
      </c>
      <c r="H1231" s="122" t="n">
        <v>27.47589879665979</v>
      </c>
      <c r="I1231" s="119" t="n">
        <v>43.47870910644532</v>
      </c>
      <c r="J1231" s="119" t="n">
        <v>54.93077386856079</v>
      </c>
      <c r="K1231" s="121" t="n">
        <v>0.3466929492220824</v>
      </c>
      <c r="L1231" s="121" t="n">
        <v>-0.08498190391132909</v>
      </c>
      <c r="M1231" s="121" t="n">
        <v>-0.4429723754173365</v>
      </c>
      <c r="N1231" t="n">
        <v>47.76319174213604</v>
      </c>
      <c r="O1231" t="n">
        <v>0.09112803691809979</v>
      </c>
      <c r="P1231" t="n">
        <v>178.3465749608491</v>
      </c>
      <c r="Q1231" t="n">
        <v>194.9115245458269</v>
      </c>
    </row>
    <row r="1232">
      <c r="A1232" s="118" t="n">
        <v>46225</v>
      </c>
      <c r="B1232" s="119" t="n">
        <v>42.45000076293945</v>
      </c>
      <c r="C1232" s="119" t="n">
        <v>42.90999984741211</v>
      </c>
      <c r="D1232" s="119" t="n">
        <v>41.56999969482422</v>
      </c>
      <c r="E1232" s="119" t="n">
        <v>42.20999908447266</v>
      </c>
      <c r="F1232" s="120" t="n">
        <v>18990000</v>
      </c>
      <c r="G1232" s="121" t="n">
        <v>-0.01745810093071154</v>
      </c>
      <c r="H1232" s="122" t="n">
        <v>26.99622178230569</v>
      </c>
      <c r="I1232" s="119" t="n">
        <v>43.44793838500976</v>
      </c>
      <c r="J1232" s="119" t="n">
        <v>54.77704607009888</v>
      </c>
      <c r="K1232" s="121" t="n">
        <v>0.3457945211419544</v>
      </c>
      <c r="L1232" s="121" t="n">
        <v>-0.1009563821862727</v>
      </c>
      <c r="M1232" s="121" t="n">
        <v>-0.4526970199084951</v>
      </c>
      <c r="N1232" t="n">
        <v>44.3400589584104</v>
      </c>
      <c r="O1232" t="n">
        <v>0.003413290838881089</v>
      </c>
      <c r="P1232" t="n">
        <v>178.1392040185297</v>
      </c>
      <c r="Q1232" t="n">
        <v>193.9163078281996</v>
      </c>
    </row>
    <row r="1233">
      <c r="A1233" s="118" t="n">
        <v>46226</v>
      </c>
      <c r="B1233" s="119" t="n">
        <v>41.79999923706055</v>
      </c>
      <c r="C1233" s="119" t="n">
        <v>42.08000183105469</v>
      </c>
      <c r="D1233" s="119" t="n">
        <v>40.68999862670898</v>
      </c>
      <c r="E1233" s="119" t="n">
        <v>40.9900016784668</v>
      </c>
      <c r="F1233" s="120" t="n">
        <v>18156200</v>
      </c>
      <c r="G1233" s="121" t="n">
        <v>-0.0289030427023782</v>
      </c>
      <c r="H1233" s="122" t="n">
        <v>26.21594883132884</v>
      </c>
      <c r="I1233" s="119" t="n">
        <v>43.42745727539062</v>
      </c>
      <c r="J1233" s="119" t="n">
        <v>54.63013252258301</v>
      </c>
      <c r="K1233" s="121" t="n">
        <v>0.3580270401733259</v>
      </c>
      <c r="L1233" s="121" t="n">
        <v>-0.1269414782632433</v>
      </c>
      <c r="M1233" s="121" t="n">
        <v>-0.4685157413132187</v>
      </c>
      <c r="N1233" t="n">
        <v>39.39416670579435</v>
      </c>
      <c r="O1233" t="n">
        <v>-0.128390847908836</v>
      </c>
      <c r="P1233" t="n">
        <v>175.9393118135968</v>
      </c>
      <c r="Q1233" t="n">
        <v>190.2351134473231</v>
      </c>
    </row>
    <row r="1234">
      <c r="A1234" s="118" t="n">
        <v>46227</v>
      </c>
      <c r="B1234" s="119" t="n">
        <v>41.18999862670898</v>
      </c>
      <c r="C1234" s="119" t="n">
        <v>42.15000152587891</v>
      </c>
      <c r="D1234" s="119" t="n">
        <v>40.88999938964844</v>
      </c>
      <c r="E1234" s="119" t="n">
        <v>41.70000076293945</v>
      </c>
      <c r="F1234" s="120" t="n">
        <v>26175200</v>
      </c>
      <c r="G1234" s="121" t="n">
        <v>0.01732127483287327</v>
      </c>
      <c r="H1234" s="122" t="n">
        <v>26.67004248604083</v>
      </c>
      <c r="I1234" s="119" t="n">
        <v>43.42196907043457</v>
      </c>
      <c r="J1234" s="119" t="n">
        <v>54.49048669815063</v>
      </c>
      <c r="K1234" s="121" t="n">
        <v>0.3542809238304472</v>
      </c>
      <c r="L1234" s="121" t="n">
        <v>-0.1118189916630589</v>
      </c>
      <c r="M1234" s="121" t="n">
        <v>-0.4593097563991592</v>
      </c>
      <c r="N1234" t="n">
        <v>43.35420704672908</v>
      </c>
      <c r="O1234" t="n">
        <v>-0.1574594771667052</v>
      </c>
      <c r="P1234" t="n">
        <v>176.1180683298523</v>
      </c>
      <c r="Q1234" t="n">
        <v>188.1099540800869</v>
      </c>
    </row>
    <row r="1235">
      <c r="A1235" s="118" t="n">
        <v>46230</v>
      </c>
      <c r="B1235" s="119" t="n">
        <v>42.15000152587891</v>
      </c>
      <c r="C1235" s="119" t="n">
        <v>42.59999847412109</v>
      </c>
      <c r="D1235" s="119" t="n">
        <v>41.58000183105469</v>
      </c>
      <c r="E1235" s="119" t="n">
        <v>42.13999938964844</v>
      </c>
      <c r="F1235" s="120" t="n">
        <v>16996900</v>
      </c>
      <c r="G1235" s="121" t="n">
        <v>0.01055152562730965</v>
      </c>
      <c r="H1235" s="122" t="n">
        <v>26.95145212281372</v>
      </c>
      <c r="I1235" s="119" t="n">
        <v>43.42547904968261</v>
      </c>
      <c r="J1235" s="119" t="n">
        <v>54.36409620285034</v>
      </c>
      <c r="K1235" s="121" t="n">
        <v>0.3552824230399498</v>
      </c>
      <c r="L1235" s="121" t="n">
        <v>-0.102447326991902</v>
      </c>
      <c r="M1235" s="121" t="n">
        <v>-0.4536046494373687</v>
      </c>
      <c r="N1235" t="n">
        <v>45.72118261735494</v>
      </c>
      <c r="O1235" t="n">
        <v>-0.1374835702595146</v>
      </c>
      <c r="P1235" t="n">
        <v>176.1562111997759</v>
      </c>
      <c r="Q1235" t="n">
        <v>187.5298724424478</v>
      </c>
    </row>
    <row r="1236">
      <c r="A1236" s="118" t="n">
        <v>46231</v>
      </c>
      <c r="B1236" s="119" t="n">
        <v>42.75</v>
      </c>
      <c r="C1236" s="119" t="n">
        <v>43.27000045776367</v>
      </c>
      <c r="D1236" s="119" t="n">
        <v>42.52000045776367</v>
      </c>
      <c r="E1236" s="119" t="n">
        <v>43.04999923706055</v>
      </c>
      <c r="F1236" s="120" t="n">
        <v>23601400</v>
      </c>
      <c r="G1236" s="121" t="n">
        <v>0.0215946810771821</v>
      </c>
      <c r="H1236" s="122" t="n">
        <v>27.53346013597283</v>
      </c>
      <c r="I1236" s="119" t="n">
        <v>43.45353225708008</v>
      </c>
      <c r="J1236" s="119" t="n">
        <v>54.24137523651123</v>
      </c>
      <c r="K1236" s="121" t="n">
        <v>0.3577128331477171</v>
      </c>
      <c r="L1236" s="121" t="n">
        <v>-0.0830649632683198</v>
      </c>
      <c r="M1236" s="121" t="n">
        <v>-0.4418054160999134</v>
      </c>
      <c r="N1236" t="n">
        <v>50.34269326433641</v>
      </c>
      <c r="O1236" t="n">
        <v>-0.05750693551991248</v>
      </c>
      <c r="P1236" t="n">
        <v>176.5780666860139</v>
      </c>
      <c r="Q1236" t="n">
        <v>185.7071374707908</v>
      </c>
    </row>
    <row r="1237">
      <c r="A1237" s="118" t="n">
        <v>46232</v>
      </c>
      <c r="B1237" s="119" t="n">
        <v>42.59999847412109</v>
      </c>
      <c r="C1237" s="119" t="n">
        <v>43.68999862670898</v>
      </c>
      <c r="D1237" s="119" t="n">
        <v>42.40000152587891</v>
      </c>
      <c r="E1237" s="119" t="n">
        <v>43.22000122070312</v>
      </c>
      <c r="F1237" s="120" t="n">
        <v>15029100</v>
      </c>
      <c r="G1237" s="121" t="n">
        <v>0.003948942779451459</v>
      </c>
      <c r="H1237" s="122" t="n">
        <v>27.64218819457009</v>
      </c>
      <c r="I1237" s="119" t="n">
        <v>43.48776069641113</v>
      </c>
      <c r="J1237" s="119" t="n">
        <v>54.12454277038574</v>
      </c>
      <c r="K1237" s="121" t="n">
        <v>0.3546937000143638</v>
      </c>
      <c r="L1237" s="121" t="n">
        <v>-0.07944403927579224</v>
      </c>
      <c r="M1237" s="121" t="n">
        <v>-0.439105758497526</v>
      </c>
      <c r="N1237" t="n">
        <v>51.17898487337951</v>
      </c>
      <c r="O1237" t="n">
        <v>0.008790620712299635</v>
      </c>
      <c r="P1237" t="n">
        <v>173.8609763672765</v>
      </c>
      <c r="Q1237" t="n">
        <v>181.9242064694628</v>
      </c>
    </row>
    <row r="1238">
      <c r="A1238" s="118" t="n">
        <v>46233</v>
      </c>
      <c r="B1238" s="119" t="n">
        <v>42.5</v>
      </c>
      <c r="C1238" s="119" t="n">
        <v>42.5</v>
      </c>
      <c r="D1238" s="119" t="n">
        <v>41.22999954223633</v>
      </c>
      <c r="E1238" s="119" t="n">
        <v>42.29000091552734</v>
      </c>
      <c r="F1238" s="120" t="n">
        <v>16977600</v>
      </c>
      <c r="G1238" s="121" t="n">
        <v>-0.02151782227924359</v>
      </c>
      <c r="H1238" s="122" t="n">
        <v>27.04738850158992</v>
      </c>
      <c r="I1238" s="119" t="n">
        <v>43.48971153259277</v>
      </c>
      <c r="J1238" s="119" t="n">
        <v>54.01695283889771</v>
      </c>
      <c r="K1238" s="121" t="n">
        <v>0.3195543053735688</v>
      </c>
      <c r="L1238" s="121" t="n">
        <v>-0.09925239883675407</v>
      </c>
      <c r="M1238" s="121" t="n">
        <v>-0.4511749811036274</v>
      </c>
      <c r="N1238" t="n">
        <v>46.5594697867095</v>
      </c>
      <c r="O1238" t="n">
        <v>-0.007180643774584161</v>
      </c>
      <c r="P1238" t="n">
        <v>176.7758946372311</v>
      </c>
      <c r="Q1238" t="n">
        <v>187.9230090547778</v>
      </c>
    </row>
    <row r="1239">
      <c r="A1239" s="118" t="n">
        <v>46234</v>
      </c>
      <c r="B1239" s="119" t="n">
        <v>42.02000045776367</v>
      </c>
      <c r="C1239" s="119" t="n">
        <v>42.08000183105469</v>
      </c>
      <c r="D1239" s="119" t="n">
        <v>41.4900016784668</v>
      </c>
      <c r="E1239" s="119" t="n">
        <v>41.70999908447266</v>
      </c>
      <c r="F1239" s="120" t="n">
        <v>22622400</v>
      </c>
      <c r="G1239" s="121" t="n">
        <v>-0.01371486920071763</v>
      </c>
      <c r="H1239" s="122" t="n">
        <v>26.67643710606962</v>
      </c>
      <c r="I1239" s="119" t="n">
        <v>43.48303573608398</v>
      </c>
      <c r="J1239" s="119" t="n">
        <v>53.89589677810669</v>
      </c>
      <c r="K1239" s="121" t="n">
        <v>0.3088234703349944</v>
      </c>
      <c r="L1239" s="121" t="n">
        <v>-0.1116060343695682</v>
      </c>
      <c r="M1239" s="121" t="n">
        <v>-0.4587020444518726</v>
      </c>
      <c r="N1239" t="n">
        <v>43.89823761970221</v>
      </c>
      <c r="O1239" t="n">
        <v>-0.0515267201028069</v>
      </c>
      <c r="P1239" t="n">
        <v>178.0486474337567</v>
      </c>
      <c r="Q1239" t="n">
        <v>189.1436639211375</v>
      </c>
    </row>
    <row r="1240">
      <c r="A1240" s="118" t="n">
        <v>46237</v>
      </c>
      <c r="B1240" s="119" t="n">
        <v>42.56999969482422</v>
      </c>
      <c r="C1240" s="119" t="n">
        <v>43.20999908447266</v>
      </c>
      <c r="D1240" s="119" t="n">
        <v>42.06000137329102</v>
      </c>
      <c r="E1240" s="119" t="n">
        <v>42.63999938964844</v>
      </c>
      <c r="F1240" s="120" t="n">
        <v>21329900</v>
      </c>
      <c r="G1240" s="121" t="n">
        <v>0.0222968191222519</v>
      </c>
      <c r="H1240" s="122" t="n">
        <v>27.27123679904978</v>
      </c>
      <c r="I1240" s="119" t="n">
        <v>43.4598738861084</v>
      </c>
      <c r="J1240" s="119" t="n">
        <v>53.77821882247925</v>
      </c>
      <c r="K1240" s="121" t="n">
        <v>0.3159216917896812</v>
      </c>
      <c r="L1240" s="121" t="n">
        <v>-0.09179767480860657</v>
      </c>
      <c r="M1240" s="121" t="n">
        <v>-0.4466328218457711</v>
      </c>
      <c r="N1240" t="n">
        <v>48.93800960051697</v>
      </c>
      <c r="O1240" t="n">
        <v>-0.01485063567037648</v>
      </c>
      <c r="P1240" t="n">
        <v>180.584595488463</v>
      </c>
      <c r="Q1240" t="n">
        <v>192.4647277811286</v>
      </c>
    </row>
    <row r="1241">
      <c r="A1241" s="118" t="n">
        <v>46238</v>
      </c>
      <c r="B1241" s="119" t="n">
        <v>41.34999847412109</v>
      </c>
      <c r="C1241" s="119" t="n">
        <v>42.09000015258789</v>
      </c>
      <c r="D1241" s="119" t="n">
        <v>40.90999984741211</v>
      </c>
      <c r="E1241" s="119" t="n">
        <v>41.52999877929688</v>
      </c>
      <c r="F1241" s="120" t="n">
        <v>27802800</v>
      </c>
      <c r="G1241" s="121" t="n">
        <v>-0.02603190962101731</v>
      </c>
      <c r="H1241" s="122" t="n">
        <v>26.56131442744356</v>
      </c>
      <c r="I1241" s="119" t="n">
        <v>43.41054748535156</v>
      </c>
      <c r="J1241" s="119" t="n">
        <v>53.6509796333313</v>
      </c>
      <c r="K1241" s="121" t="n">
        <v>0.3285423159738541</v>
      </c>
      <c r="L1241" s="121" t="n">
        <v>-0.1154399156555865</v>
      </c>
      <c r="M1241" s="121" t="n">
        <v>-0.4610380262147195</v>
      </c>
      <c r="N1241" t="n">
        <v>43.87220268316146</v>
      </c>
      <c r="O1241" t="n">
        <v>-0.05946829649574753</v>
      </c>
      <c r="P1241" t="n">
        <v>183.8403556509848</v>
      </c>
      <c r="Q1241" t="n">
        <v>199.0023669747128</v>
      </c>
    </row>
    <row r="1242">
      <c r="A1242" s="118" t="n">
        <v>46239</v>
      </c>
      <c r="B1242" s="119" t="n">
        <v>41.65000152587891</v>
      </c>
      <c r="C1242" s="119" t="n">
        <v>42.47999954223633</v>
      </c>
      <c r="D1242" s="119" t="n">
        <v>41.36000061035156</v>
      </c>
      <c r="E1242" s="119" t="n">
        <v>42.45000076293945</v>
      </c>
      <c r="F1242" s="120" t="n">
        <v>22088600</v>
      </c>
      <c r="G1242" s="121" t="n">
        <v>0.02215270914241407</v>
      </c>
      <c r="H1242" s="122" t="n">
        <v>27.14971950039493</v>
      </c>
      <c r="I1242" s="119" t="n">
        <v>43.37407081604004</v>
      </c>
      <c r="J1242" s="119" t="n">
        <v>53.53626510620117</v>
      </c>
      <c r="K1242" s="121" t="n">
        <v>0.3384329069400205</v>
      </c>
      <c r="L1242" s="121" t="n">
        <v>-0.0958445133881155</v>
      </c>
      <c r="M1242" s="121" t="n">
        <v>-0.4490985583706326</v>
      </c>
      <c r="N1242" t="n">
        <v>48.61954457671342</v>
      </c>
      <c r="O1242" t="n">
        <v>-0.02301480705008008</v>
      </c>
      <c r="P1242" t="n">
        <v>183.4732996273717</v>
      </c>
      <c r="Q1242" t="n">
        <v>197.201630470714</v>
      </c>
    </row>
    <row r="1243">
      <c r="A1243" s="118" t="n">
        <v>46240</v>
      </c>
      <c r="B1243" s="119" t="n">
        <v>42.52000045776367</v>
      </c>
      <c r="C1243" s="119" t="n">
        <v>42.63999938964844</v>
      </c>
      <c r="D1243" s="119" t="n">
        <v>41.84999847412109</v>
      </c>
      <c r="E1243" s="119" t="n">
        <v>42</v>
      </c>
      <c r="F1243" s="120" t="n">
        <v>18150300</v>
      </c>
      <c r="G1243" s="121" t="n">
        <v>-0.01060072449591853</v>
      </c>
      <c r="H1243" s="122" t="n">
        <v>26.86191280382977</v>
      </c>
      <c r="I1243" s="119" t="n">
        <v>43.32324203491211</v>
      </c>
      <c r="J1243" s="119" t="n">
        <v>53.41670791625977</v>
      </c>
      <c r="K1243" s="121" t="n">
        <v>0.3403425615829428</v>
      </c>
      <c r="L1243" s="121" t="n">
        <v>-0.1054292166031612</v>
      </c>
      <c r="M1243" s="121" t="n">
        <v>-0.45493851277775</v>
      </c>
      <c r="N1243" t="n">
        <v>46.54576838328541</v>
      </c>
      <c r="O1243" t="n">
        <v>-0.02503636268694298</v>
      </c>
      <c r="P1243" t="n">
        <v>183.1801435958303</v>
      </c>
      <c r="Q1243" t="n">
        <v>196.473096931189</v>
      </c>
    </row>
    <row r="1244">
      <c r="A1244" s="118" t="n">
        <v>46241</v>
      </c>
      <c r="B1244" s="119" t="n">
        <v>42.02000045776367</v>
      </c>
      <c r="C1244" s="119" t="n">
        <v>42.36999893188477</v>
      </c>
      <c r="D1244" s="119" t="n">
        <v>41.61000061035156</v>
      </c>
      <c r="E1244" s="119" t="n">
        <v>41.70000076293945</v>
      </c>
      <c r="F1244" s="120" t="n">
        <v>22042300</v>
      </c>
      <c r="G1244" s="121" t="n">
        <v>-0.007142838977632016</v>
      </c>
      <c r="H1244" s="122" t="n">
        <v>26.67004248604082</v>
      </c>
      <c r="I1244" s="119" t="n">
        <v>43.24579772949219</v>
      </c>
      <c r="J1244" s="119" t="n">
        <v>53.29442777633667</v>
      </c>
      <c r="K1244" s="121" t="n">
        <v>0.3099358955158812</v>
      </c>
      <c r="L1244" s="121" t="n">
        <v>-0.111818991663059</v>
      </c>
      <c r="M1244" s="121" t="n">
        <v>-0.4588317992138872</v>
      </c>
      <c r="N1244" t="n">
        <v>45.16276542649747</v>
      </c>
      <c r="O1244" t="n">
        <v>-0.04143754802352873</v>
      </c>
      <c r="P1244" t="n">
        <v>184.3003540071464</v>
      </c>
      <c r="Q1244" t="n">
        <v>198.7769456058946</v>
      </c>
    </row>
    <row r="1245">
      <c r="A1245" s="118" t="n">
        <v>46244</v>
      </c>
      <c r="B1245" s="119" t="n">
        <v>41.7400016784668</v>
      </c>
      <c r="C1245" s="119" t="n">
        <v>42.22999954223633</v>
      </c>
      <c r="D1245" s="119" t="n">
        <v>41.13999938964844</v>
      </c>
      <c r="E1245" s="119" t="n">
        <v>42.11000061035156</v>
      </c>
      <c r="F1245" s="120" t="n">
        <v>21664600</v>
      </c>
      <c r="G1245" s="121" t="n">
        <v>0.009832130453496069</v>
      </c>
      <c r="H1245" s="122" t="n">
        <v>26.93226582296386</v>
      </c>
      <c r="I1245" s="119" t="n">
        <v>43.14899993896484</v>
      </c>
      <c r="J1245" s="119" t="n">
        <v>53.17057775497437</v>
      </c>
      <c r="K1245" s="121" t="n">
        <v>0.3103098407145439</v>
      </c>
      <c r="L1245" s="121" t="n">
        <v>-0.1030862801227727</v>
      </c>
      <c r="M1245" s="121" t="n">
        <v>-0.4535109628664743</v>
      </c>
      <c r="N1245" t="n">
        <v>47.46038447499141</v>
      </c>
      <c r="O1245" t="n">
        <v>-0.02058690200153546</v>
      </c>
      <c r="P1245" t="n">
        <v>184.2455399972789</v>
      </c>
      <c r="Q1245" t="n">
        <v>198.1831044385227</v>
      </c>
    </row>
    <row r="1246">
      <c r="A1246" s="118" t="n">
        <v>46245</v>
      </c>
      <c r="B1246" s="119" t="n">
        <v>41.47999954223633</v>
      </c>
      <c r="C1246" s="119" t="n">
        <v>41.52999877929688</v>
      </c>
      <c r="D1246" s="119" t="n">
        <v>40.83000183105469</v>
      </c>
      <c r="E1246" s="119" t="n">
        <v>41.31999969482422</v>
      </c>
      <c r="F1246" s="120" t="n">
        <v>25538000</v>
      </c>
      <c r="G1246" s="121" t="n">
        <v>-0.01876041092559722</v>
      </c>
      <c r="H1246" s="122" t="n">
        <v>26.42700544896764</v>
      </c>
      <c r="I1246" s="119" t="n">
        <v>43.05899993896485</v>
      </c>
      <c r="J1246" s="119" t="n">
        <v>53.03925569534302</v>
      </c>
      <c r="K1246" s="121" t="n">
        <v>0.3089194349937109</v>
      </c>
      <c r="L1246" s="121" t="n">
        <v>-0.1199127500724754</v>
      </c>
      <c r="M1246" s="121" t="n">
        <v>-0.4637633217694331</v>
      </c>
      <c r="N1246" t="n">
        <v>43.6641255355869</v>
      </c>
      <c r="O1246" t="n">
        <v>-0.05401487864666232</v>
      </c>
      <c r="P1246" t="n">
        <v>183.6568276391782</v>
      </c>
      <c r="Q1246" t="n">
        <v>197.5177976161116</v>
      </c>
    </row>
    <row r="1247">
      <c r="A1247" s="118" t="n">
        <v>46246</v>
      </c>
      <c r="B1247" s="119" t="n">
        <v>41.02999877929688</v>
      </c>
      <c r="C1247" s="119" t="n">
        <v>41.25</v>
      </c>
      <c r="D1247" s="119" t="n">
        <v>40.45000076293945</v>
      </c>
      <c r="E1247" s="119" t="n">
        <v>40.5099983215332</v>
      </c>
      <c r="F1247" s="120" t="n">
        <v>28760300</v>
      </c>
      <c r="G1247" s="121" t="n">
        <v>-0.01960313115376133</v>
      </c>
      <c r="H1247" s="122" t="n">
        <v>25.90895339515036</v>
      </c>
      <c r="I1247" s="119" t="n">
        <v>42.95059989929199</v>
      </c>
      <c r="J1247" s="119" t="n">
        <v>52.90094856262207</v>
      </c>
      <c r="K1247" s="121" t="n">
        <v>0.3154374242530586</v>
      </c>
      <c r="L1247" s="121" t="n">
        <v>-0.1371652158595578</v>
      </c>
      <c r="M1247" s="121" t="n">
        <v>-0.4742752397022443</v>
      </c>
      <c r="N1247" t="n">
        <v>40.12060545825337</v>
      </c>
      <c r="O1247" t="n">
        <v>-0.1208645663102635</v>
      </c>
      <c r="P1247" t="n">
        <v>184.1168259953398</v>
      </c>
      <c r="Q1247" t="n">
        <v>198.9611387252572</v>
      </c>
    </row>
    <row r="1248">
      <c r="A1248" s="118" t="n">
        <v>46247</v>
      </c>
      <c r="B1248" s="119" t="n">
        <v>40.7400016784668</v>
      </c>
      <c r="C1248" s="119" t="n">
        <v>41.47000122070312</v>
      </c>
      <c r="D1248" s="119" t="n">
        <v>40.47999954223633</v>
      </c>
      <c r="E1248" s="119" t="n">
        <v>41.22999954223633</v>
      </c>
      <c r="F1248" s="120" t="n">
        <v>23641700</v>
      </c>
      <c r="G1248" s="121" t="n">
        <v>0.01777342015638661</v>
      </c>
      <c r="H1248" s="122" t="n">
        <v>26.36944410965461</v>
      </c>
      <c r="I1248" s="119" t="n">
        <v>42.90059989929199</v>
      </c>
      <c r="J1248" s="119" t="n">
        <v>52.769029712677</v>
      </c>
      <c r="K1248" s="121" t="n">
        <v>0.2796052493154535</v>
      </c>
      <c r="L1248" s="121" t="n">
        <v>-0.1218296907154846</v>
      </c>
      <c r="M1248" s="121" t="n">
        <v>-0.4649313126508566</v>
      </c>
      <c r="N1248" t="n">
        <v>44.43706311453588</v>
      </c>
      <c r="O1248" t="n">
        <v>-0.1072412978842321</v>
      </c>
      <c r="P1248" t="n">
        <v>185.4014929835006</v>
      </c>
      <c r="Q1248" t="n">
        <v>201.2622354940162</v>
      </c>
    </row>
    <row r="1249">
      <c r="A1249" s="118" t="n">
        <v>46248</v>
      </c>
      <c r="B1249" s="119" t="n">
        <v>41.22999954223633</v>
      </c>
      <c r="C1249" s="119" t="n">
        <v>41.33000183105469</v>
      </c>
      <c r="D1249" s="119" t="n">
        <v>40.70999908447266</v>
      </c>
      <c r="E1249" s="119" t="n">
        <v>40.72999954223633</v>
      </c>
      <c r="F1249" s="120" t="n">
        <v>23639800</v>
      </c>
      <c r="G1249" s="121" t="n">
        <v>-0.012127092058</v>
      </c>
      <c r="H1249" s="122" t="n">
        <v>26.04965943341854</v>
      </c>
      <c r="I1249" s="119" t="n">
        <v>42.8389998626709</v>
      </c>
      <c r="J1249" s="119" t="n">
        <v>52.63715461730957</v>
      </c>
      <c r="K1249" s="121" t="n">
        <v>0.2762691546718018</v>
      </c>
      <c r="L1249" s="121" t="n">
        <v>-0.1324793428987803</v>
      </c>
      <c r="M1249" s="121" t="n">
        <v>-0.4714201398796929</v>
      </c>
      <c r="N1249" t="n">
        <v>42.16399081508614</v>
      </c>
      <c r="O1249" t="n">
        <v>-0.1215064969931312</v>
      </c>
      <c r="P1249" t="n">
        <v>185.03445150713</v>
      </c>
      <c r="Q1249" t="n">
        <v>200.9873133779885</v>
      </c>
    </row>
    <row r="1250">
      <c r="A1250" s="118" t="n">
        <v>46251</v>
      </c>
      <c r="B1250" s="119" t="n">
        <v>40.34999847412109</v>
      </c>
      <c r="C1250" s="119" t="n">
        <v>40.59999847412109</v>
      </c>
      <c r="D1250" s="119" t="n">
        <v>38.86000061035156</v>
      </c>
      <c r="E1250" s="119" t="n">
        <v>39.09000015258789</v>
      </c>
      <c r="F1250" s="120" t="n">
        <v>58659900</v>
      </c>
      <c r="G1250" s="121" t="n">
        <v>-0.040265146282356</v>
      </c>
      <c r="H1250" s="122" t="n">
        <v>25.00076608572638</v>
      </c>
      <c r="I1250" s="119" t="n">
        <v>42.74839988708496</v>
      </c>
      <c r="J1250" s="119" t="n">
        <v>52.50275392532349</v>
      </c>
      <c r="K1250" s="121" t="n">
        <v>0.305659844271905</v>
      </c>
      <c r="L1250" s="121" t="n">
        <v>-0.1674101890599266</v>
      </c>
      <c r="M1250" s="121" t="n">
        <v>-0.4927034852693444</v>
      </c>
      <c r="N1250" t="n">
        <v>35.71141236611714</v>
      </c>
      <c r="O1250" t="n">
        <v>-0.2249790018701588</v>
      </c>
      <c r="P1250" t="n">
        <v>184.159725813572</v>
      </c>
      <c r="Q1250" t="n">
        <v>200.6574034827724</v>
      </c>
    </row>
    <row r="1251">
      <c r="A1251" s="118" t="n">
        <v>46252</v>
      </c>
      <c r="B1251" s="119" t="n">
        <v>39.65000152587891</v>
      </c>
      <c r="C1251" s="119" t="n">
        <v>40.63999938964844</v>
      </c>
      <c r="D1251" s="119" t="n">
        <v>39.22999954223633</v>
      </c>
      <c r="E1251" s="119" t="n">
        <v>40.06000137329102</v>
      </c>
      <c r="F1251" s="120" t="n">
        <v>39173300</v>
      </c>
      <c r="G1251" s="121" t="n">
        <v>0.02481456170163021</v>
      </c>
      <c r="H1251" s="122" t="n">
        <v>25.62114913834866</v>
      </c>
      <c r="I1251" s="119" t="n">
        <v>42.68999992370605</v>
      </c>
      <c r="J1251" s="119" t="n">
        <v>52.3833780670166</v>
      </c>
      <c r="K1251" s="121" t="n">
        <v>0.3222521111788708</v>
      </c>
      <c r="L1251" s="121" t="n">
        <v>-0.1467498378242055</v>
      </c>
      <c r="M1251" s="121" t="n">
        <v>-0.4801151446035385</v>
      </c>
      <c r="N1251" t="n">
        <v>41.4215040032701</v>
      </c>
      <c r="O1251" t="n">
        <v>-0.2118638039149391</v>
      </c>
      <c r="P1251" t="n">
        <v>182.9155874431105</v>
      </c>
      <c r="Q1251" t="n">
        <v>197.259370155849</v>
      </c>
    </row>
    <row r="1252">
      <c r="A1252" s="118" t="n">
        <v>46253</v>
      </c>
      <c r="B1252" s="119" t="n">
        <v>40.52999877929688</v>
      </c>
      <c r="C1252" s="119" t="n">
        <v>41.31000137329102</v>
      </c>
      <c r="D1252" s="119" t="n">
        <v>40.36999893188477</v>
      </c>
      <c r="E1252" s="119" t="n">
        <v>41.04999923706055</v>
      </c>
      <c r="F1252" s="120" t="n">
        <v>22055700</v>
      </c>
      <c r="G1252" s="121" t="n">
        <v>0.02471287643114239</v>
      </c>
      <c r="H1252" s="122" t="n">
        <v>26.25432143102854</v>
      </c>
      <c r="I1252" s="119" t="n">
        <v>42.64639991760254</v>
      </c>
      <c r="J1252" s="119" t="n">
        <v>52.27115348815918</v>
      </c>
      <c r="K1252" s="121" t="n">
        <v>0.3322759738549271</v>
      </c>
      <c r="L1252" s="121" t="n">
        <v>-0.1256635720015029</v>
      </c>
      <c r="M1252" s="121" t="n">
        <v>-0.4672672944137035</v>
      </c>
      <c r="N1252" t="n">
        <v>46.63153781759964</v>
      </c>
      <c r="O1252" t="n">
        <v>-0.1246021933427882</v>
      </c>
      <c r="P1252" t="n">
        <v>183.2993146066673</v>
      </c>
      <c r="Q1252" t="n">
        <v>196.866233543519</v>
      </c>
    </row>
    <row r="1253">
      <c r="A1253" s="118" t="n">
        <v>46254</v>
      </c>
      <c r="B1253" s="119" t="n">
        <v>40.4900016784668</v>
      </c>
      <c r="C1253" s="119" t="n">
        <v>40.63999938964844</v>
      </c>
      <c r="D1253" s="119" t="n">
        <v>39.81000137329102</v>
      </c>
      <c r="E1253" s="119" t="n">
        <v>40.20999908447266</v>
      </c>
      <c r="F1253" s="120" t="n">
        <v>16662100</v>
      </c>
      <c r="G1253" s="121" t="n">
        <v>-0.0204628542801415</v>
      </c>
      <c r="H1253" s="122" t="n">
        <v>25.71708307736141</v>
      </c>
      <c r="I1253" s="119" t="n">
        <v>42.55759986877442</v>
      </c>
      <c r="J1253" s="119" t="n">
        <v>52.15624538421631</v>
      </c>
      <c r="K1253" s="121" t="n">
        <v>0.324189506683553</v>
      </c>
      <c r="L1253" s="121" t="n">
        <v>-0.1435549909194557</v>
      </c>
      <c r="M1253" s="121" t="n">
        <v>-0.4781685261383815</v>
      </c>
      <c r="N1253" t="n">
        <v>43.1266222480863</v>
      </c>
      <c r="O1253" t="n">
        <v>-0.1119436502080644</v>
      </c>
      <c r="P1253" t="n">
        <v>181.7596199096464</v>
      </c>
      <c r="Q1253" t="n">
        <v>195.4503779340104</v>
      </c>
    </row>
    <row r="1254">
      <c r="A1254" s="118" t="n">
        <v>46255</v>
      </c>
      <c r="B1254" s="119" t="n">
        <v>40.2599983215332</v>
      </c>
      <c r="C1254" s="119" t="n">
        <v>41.13000106811523</v>
      </c>
      <c r="D1254" s="119" t="n">
        <v>40.2400016784668</v>
      </c>
      <c r="E1254" s="119" t="n">
        <v>40.7599983215332</v>
      </c>
      <c r="F1254" s="120" t="n">
        <v>14691100</v>
      </c>
      <c r="G1254" s="121" t="n">
        <v>0.0136781708426581</v>
      </c>
      <c r="H1254" s="122" t="n">
        <v>26.06884573326839</v>
      </c>
      <c r="I1254" s="119" t="n">
        <v>42.49359985351563</v>
      </c>
      <c r="J1254" s="119" t="n">
        <v>52.05357725143433</v>
      </c>
      <c r="K1254" s="121" t="n">
        <v>0.3217430510658285</v>
      </c>
      <c r="L1254" s="121" t="n">
        <v>-0.1318403897679102</v>
      </c>
      <c r="M1254" s="121" t="n">
        <v>-0.4710308260878261</v>
      </c>
      <c r="N1254" t="n">
        <v>45.98912830791387</v>
      </c>
      <c r="O1254" t="n">
        <v>-0.05774679021186768</v>
      </c>
      <c r="P1254" t="n">
        <v>182.5032458534896</v>
      </c>
      <c r="Q1254" t="n">
        <v>196.1404351300264</v>
      </c>
    </row>
    <row r="1255">
      <c r="A1255" s="118" t="n">
        <v>46258</v>
      </c>
      <c r="B1255" s="119" t="n">
        <v>41</v>
      </c>
      <c r="C1255" s="119" t="n">
        <v>41.34000015258789</v>
      </c>
      <c r="D1255" s="119" t="n">
        <v>40.67499923706055</v>
      </c>
      <c r="E1255" s="119" t="n">
        <v>40.75</v>
      </c>
      <c r="F1255" s="120" t="n">
        <v>18808641</v>
      </c>
      <c r="G1255" s="121" t="n">
        <v>-0.0002452973980600071</v>
      </c>
      <c r="H1255" s="122" t="n">
        <v>26.06245111323959</v>
      </c>
      <c r="I1255" s="119" t="n">
        <v>42.38939987182617</v>
      </c>
      <c r="J1255" s="119" t="n">
        <v>51.95780540466308</v>
      </c>
      <c r="K1255" s="121" t="n">
        <v>0.3188968516611082</v>
      </c>
      <c r="L1255" s="121" t="n">
        <v>-0.113359425331948</v>
      </c>
      <c r="M1255" s="121" t="n">
        <v>-0.4711605808498407</v>
      </c>
      <c r="N1255" t="n">
        <v>45.94385788539691</v>
      </c>
      <c r="O1255" t="n">
        <v>-0.01596172621207348</v>
      </c>
      <c r="P1255" t="n">
        <v>181.9669763047233</v>
      </c>
      <c r="Q1255" t="n">
        <v>194.182991006302</v>
      </c>
    </row>
  </sheetData>
  <autoFilter ref="A1:Q1"/>
  <conditionalFormatting sqref="G2:G1255">
    <cfRule type="colorScale" priority="1">
      <colorScale>
        <cfvo type="num" val="-0.05"/>
        <cfvo type="num" val="0"/>
        <cfvo type="num" val="0.05"/>
        <color rgb="00FFAAAA"/>
        <color rgb="00FFFFFF"/>
        <color rgb="00AAFFAA"/>
      </colorScale>
    </cfRule>
  </conditionalFormatting>
  <conditionalFormatting sqref="N2:N1255">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11" customWidth="1" min="6" max="6"/>
    <col width="14" customWidth="1" min="7" max="7"/>
  </cols>
  <sheetData>
    <row r="1">
      <c r="A1" s="117" t="inlineStr">
        <is>
          <t>Date</t>
        </is>
      </c>
      <c r="B1" s="117" t="inlineStr">
        <is>
          <t>Headline</t>
        </is>
      </c>
      <c r="C1" s="117" t="inlineStr">
        <is>
          <t>Publisher</t>
        </is>
      </c>
      <c r="D1" s="117" t="inlineStr">
        <is>
          <t>Theme</t>
        </is>
      </c>
      <c r="E1" s="117" t="inlineStr">
        <is>
          <t>Sentiment</t>
        </is>
      </c>
      <c r="F1" s="117" t="inlineStr">
        <is>
          <t>Relevance</t>
        </is>
      </c>
      <c r="G1" s="117" t="inlineStr">
        <is>
          <t>URL</t>
        </is>
      </c>
    </row>
    <row r="2">
      <c r="A2" s="18" t="inlineStr">
        <is>
          <t>2026-08-10</t>
        </is>
      </c>
      <c r="B2" s="18" t="inlineStr">
        <is>
          <t>8-K filing — 8-K</t>
        </is>
      </c>
      <c r="C2" s="18" t="inlineStr">
        <is>
          <t>SEC EDGAR</t>
        </is>
      </c>
      <c r="D2" s="18" t="inlineStr">
        <is>
          <t>General</t>
        </is>
      </c>
      <c r="E2" s="123" t="inlineStr">
        <is>
          <t>Neutral</t>
        </is>
      </c>
      <c r="F2" s="124" t="inlineStr">
        <is>
          <t>High</t>
        </is>
      </c>
      <c r="G2" s="125" t="inlineStr">
        <is>
          <t>Open article</t>
        </is>
      </c>
    </row>
    <row r="3">
      <c r="A3" s="29" t="inlineStr">
        <is>
          <t>2026-08-19</t>
        </is>
      </c>
      <c r="B3" s="29" t="inlineStr">
        <is>
          <t>Nike Inc. Cl B stock outperforms competitors on strong trading day</t>
        </is>
      </c>
      <c r="C3" s="29" t="inlineStr">
        <is>
          <t>MarketWatch</t>
        </is>
      </c>
      <c r="D3" s="29" t="inlineStr">
        <is>
          <t>General</t>
        </is>
      </c>
      <c r="E3" s="126" t="inlineStr">
        <is>
          <t>Positive</t>
        </is>
      </c>
      <c r="F3" s="127" t="inlineStr">
        <is>
          <t>High</t>
        </is>
      </c>
      <c r="G3" s="128" t="inlineStr">
        <is>
          <t>Open article</t>
        </is>
      </c>
    </row>
    <row r="4">
      <c r="A4" s="18" t="inlineStr">
        <is>
          <t>2026-08-23</t>
        </is>
      </c>
      <c r="B4" s="18" t="inlineStr">
        <is>
          <t>Why Is Nike Stock Declining, and is it a Generational Buying Opportunity?</t>
        </is>
      </c>
      <c r="C4" s="18" t="inlineStr">
        <is>
          <t>The Motley Fool</t>
        </is>
      </c>
      <c r="D4" s="18" t="inlineStr">
        <is>
          <t>General</t>
        </is>
      </c>
      <c r="E4" s="129" t="inlineStr">
        <is>
          <t>Negative</t>
        </is>
      </c>
      <c r="F4" s="124" t="inlineStr">
        <is>
          <t>High</t>
        </is>
      </c>
      <c r="G4" s="125" t="inlineStr">
        <is>
          <t>Open article</t>
        </is>
      </c>
    </row>
    <row r="5">
      <c r="A5" s="29" t="inlineStr">
        <is>
          <t>2026-08-23</t>
        </is>
      </c>
      <c r="B5" s="29" t="inlineStr">
        <is>
          <t>NIKE, Inc. (NYSE:NKE) Vs On Holding (NYSE:ONON) – Here’s What Jim Cramer Thinks</t>
        </is>
      </c>
      <c r="C5" s="29" t="inlineStr">
        <is>
          <t>Yahoo</t>
        </is>
      </c>
      <c r="D5" s="29" t="inlineStr">
        <is>
          <t>General</t>
        </is>
      </c>
      <c r="E5" s="123" t="inlineStr">
        <is>
          <t>Neutral</t>
        </is>
      </c>
      <c r="F5" s="127" t="inlineStr">
        <is>
          <t>High</t>
        </is>
      </c>
      <c r="G5" s="128" t="inlineStr">
        <is>
          <t>Open article</t>
        </is>
      </c>
    </row>
    <row r="6">
      <c r="A6" s="18" t="inlineStr">
        <is>
          <t>2026-08-21</t>
        </is>
      </c>
      <c r="B6" s="18" t="inlineStr">
        <is>
          <t>Nike: More Pain Ahead Before A Revival, If At All (NYSE:NKE)</t>
        </is>
      </c>
      <c r="C6" s="18" t="inlineStr">
        <is>
          <t>Seeking Alpha</t>
        </is>
      </c>
      <c r="D6" s="18" t="inlineStr">
        <is>
          <t>General</t>
        </is>
      </c>
      <c r="E6" s="123" t="inlineStr">
        <is>
          <t>Neutral</t>
        </is>
      </c>
      <c r="F6" s="124" t="inlineStr">
        <is>
          <t>High</t>
        </is>
      </c>
      <c r="G6" s="125" t="inlineStr">
        <is>
          <t>Open article</t>
        </is>
      </c>
    </row>
    <row r="7">
      <c r="A7" s="29" t="inlineStr">
        <is>
          <t>2026-08-21</t>
        </is>
      </c>
      <c r="B7" s="29" t="inlineStr">
        <is>
          <t>Nike: More Pain Ahead Before A Revival, If At All</t>
        </is>
      </c>
      <c r="C7" s="29" t="inlineStr">
        <is>
          <t>SeekingAlpha</t>
        </is>
      </c>
      <c r="D7" s="29" t="inlineStr">
        <is>
          <t>General</t>
        </is>
      </c>
      <c r="E7" s="123" t="inlineStr">
        <is>
          <t>Neutral</t>
        </is>
      </c>
      <c r="F7" s="127" t="inlineStr">
        <is>
          <t>High</t>
        </is>
      </c>
      <c r="G7" s="128" t="inlineStr">
        <is>
          <t>Open article</t>
        </is>
      </c>
    </row>
    <row r="8">
      <c r="A8" s="18" t="inlineStr">
        <is>
          <t>2026-07-13</t>
        </is>
      </c>
      <c r="B8" s="18" t="inlineStr">
        <is>
          <t>Nike’s $40 Floor Reflects Deep Value but Not Yet a Confirmed Recovery</t>
        </is>
      </c>
      <c r="C8" s="18" t="inlineStr">
        <is>
          <t>Investing.com</t>
        </is>
      </c>
      <c r="D8" s="18" t="inlineStr">
        <is>
          <t>Earnings</t>
        </is>
      </c>
      <c r="E8" s="123" t="inlineStr">
        <is>
          <t>Neutral</t>
        </is>
      </c>
      <c r="F8" s="124" t="inlineStr">
        <is>
          <t>High</t>
        </is>
      </c>
      <c r="G8" s="125" t="inlineStr">
        <is>
          <t>Open article</t>
        </is>
      </c>
    </row>
    <row r="9">
      <c r="A9" s="29" t="inlineStr">
        <is>
          <t>2026-08-24</t>
        </is>
      </c>
      <c r="B9" s="29" t="inlineStr">
        <is>
          <t>Is NIKE (NKE) Fairly Valued After Its 74% Five Year Slide?</t>
        </is>
      </c>
      <c r="C9" s="29" t="inlineStr">
        <is>
          <t>simplywall.st</t>
        </is>
      </c>
      <c r="D9" s="29" t="inlineStr">
        <is>
          <t>General</t>
        </is>
      </c>
      <c r="E9" s="123" t="inlineStr">
        <is>
          <t>Neutral</t>
        </is>
      </c>
      <c r="F9" s="127" t="inlineStr">
        <is>
          <t>High</t>
        </is>
      </c>
      <c r="G9" s="128" t="inlineStr">
        <is>
          <t>Open article</t>
        </is>
      </c>
    </row>
    <row r="10">
      <c r="A10" s="18" t="inlineStr">
        <is>
          <t>2026-08-24</t>
        </is>
      </c>
      <c r="B10" s="18" t="inlineStr">
        <is>
          <t>How much will 100 NKE shares earn when Nike pays its next hiked dividend?</t>
        </is>
      </c>
      <c r="C10" s="18" t="inlineStr">
        <is>
          <t>Finbold</t>
        </is>
      </c>
      <c r="D10" s="18" t="inlineStr">
        <is>
          <t>Capital Return</t>
        </is>
      </c>
      <c r="E10" s="123" t="inlineStr">
        <is>
          <t>Neutral</t>
        </is>
      </c>
      <c r="F10" s="124" t="inlineStr">
        <is>
          <t>High</t>
        </is>
      </c>
      <c r="G10" s="125" t="inlineStr">
        <is>
          <t>Open article</t>
        </is>
      </c>
    </row>
    <row r="11">
      <c r="A11" s="29" t="inlineStr">
        <is>
          <t>2026-08-24</t>
        </is>
      </c>
      <c r="B11" s="29" t="inlineStr">
        <is>
          <t>NKE Stock Gains Pre-Market: Google AI Shopping Rollout Targets FIFA World Cup Demand</t>
        </is>
      </c>
      <c r="C11" s="29" t="inlineStr">
        <is>
          <t>Stocktwits</t>
        </is>
      </c>
      <c r="D11" s="29" t="inlineStr">
        <is>
          <t>Product</t>
        </is>
      </c>
      <c r="E11" s="126" t="inlineStr">
        <is>
          <t>Positive</t>
        </is>
      </c>
      <c r="F11" s="127" t="inlineStr">
        <is>
          <t>High</t>
        </is>
      </c>
      <c r="G11" s="128" t="inlineStr">
        <is>
          <t>Open article</t>
        </is>
      </c>
    </row>
    <row r="12">
      <c r="A12" s="18" t="inlineStr">
        <is>
          <t>2026-08-23</t>
        </is>
      </c>
      <c r="B12" s="18" t="inlineStr">
        <is>
          <t>Kiltearn Partners LLP Makes New Investment in NIKE, Inc. $NKE</t>
        </is>
      </c>
      <c r="C12" s="18" t="inlineStr">
        <is>
          <t>MarketBeat</t>
        </is>
      </c>
      <c r="D12" s="18" t="inlineStr">
        <is>
          <t>General</t>
        </is>
      </c>
      <c r="E12" s="123" t="inlineStr">
        <is>
          <t>Neutral</t>
        </is>
      </c>
      <c r="F12" s="124" t="inlineStr">
        <is>
          <t>High</t>
        </is>
      </c>
      <c r="G12" s="125" t="inlineStr">
        <is>
          <t>Open article</t>
        </is>
      </c>
    </row>
    <row r="13">
      <c r="A13" s="29" t="inlineStr">
        <is>
          <t>2026-08-21</t>
        </is>
      </c>
      <c r="B13" s="29" t="inlineStr">
        <is>
          <t>Nike Stock Price Forecast. Should You Buy NKE?</t>
        </is>
      </c>
      <c r="C13" s="29" t="inlineStr">
        <is>
          <t>StockInvest.us</t>
        </is>
      </c>
      <c r="D13" s="29" t="inlineStr">
        <is>
          <t>Earnings</t>
        </is>
      </c>
      <c r="E13" s="123" t="inlineStr">
        <is>
          <t>Neutral</t>
        </is>
      </c>
      <c r="F13" s="127" t="inlineStr">
        <is>
          <t>High</t>
        </is>
      </c>
      <c r="G13" s="128" t="inlineStr">
        <is>
          <t>Open article</t>
        </is>
      </c>
    </row>
    <row r="14">
      <c r="A14" s="18" t="inlineStr">
        <is>
          <t>2026-08-20</t>
        </is>
      </c>
      <c r="B14" s="18" t="inlineStr">
        <is>
          <t>Nike Stock (NKE) Opinions on Prolonged Stock Decline</t>
        </is>
      </c>
      <c r="C14" s="18" t="inlineStr">
        <is>
          <t>Quiver Quantitative</t>
        </is>
      </c>
      <c r="D14" s="18" t="inlineStr">
        <is>
          <t>General</t>
        </is>
      </c>
      <c r="E14" s="129" t="inlineStr">
        <is>
          <t>Negative</t>
        </is>
      </c>
      <c r="F14" s="124" t="inlineStr">
        <is>
          <t>High</t>
        </is>
      </c>
      <c r="G14" s="125" t="inlineStr">
        <is>
          <t>Open article</t>
        </is>
      </c>
    </row>
    <row r="15">
      <c r="A15" s="29" t="inlineStr">
        <is>
          <t>2026-08-19</t>
        </is>
      </c>
      <c r="B15" s="29" t="inlineStr">
        <is>
          <t>NKE Paid Holders $28 billion While The Stock Trailed The Market</t>
        </is>
      </c>
      <c r="C15" s="29" t="inlineStr">
        <is>
          <t>Trefis</t>
        </is>
      </c>
      <c r="D15" s="29" t="inlineStr">
        <is>
          <t>General</t>
        </is>
      </c>
      <c r="E15" s="123" t="inlineStr">
        <is>
          <t>Neutral</t>
        </is>
      </c>
      <c r="F15" s="127" t="inlineStr">
        <is>
          <t>High</t>
        </is>
      </c>
      <c r="G15" s="128" t="inlineStr">
        <is>
          <t>Open article</t>
        </is>
      </c>
    </row>
  </sheetData>
  <autoFilter ref="A1:G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31" t="inlineStr">
        <is>
          <t>Ticker</t>
        </is>
      </c>
      <c r="B1" s="31" t="inlineStr">
        <is>
          <t>Company</t>
        </is>
      </c>
      <c r="C1" s="31" t="inlineStr">
        <is>
          <t>Exchange</t>
        </is>
      </c>
      <c r="D1" s="31" t="inlineStr">
        <is>
          <t>Market Cap ($B)</t>
        </is>
      </c>
      <c r="E1" s="31" t="inlineStr">
        <is>
          <t>Employees</t>
        </is>
      </c>
      <c r="F1" s="31" t="inlineStr">
        <is>
          <t>Country</t>
        </is>
      </c>
    </row>
    <row r="2">
      <c r="A2" s="130" t="inlineStr">
        <is>
          <t>NKE</t>
        </is>
      </c>
      <c r="B2" s="130" t="inlineStr">
        <is>
          <t>Nike, Inc.</t>
        </is>
      </c>
      <c r="C2" s="130" t="inlineStr">
        <is>
          <t>XNYS</t>
        </is>
      </c>
      <c r="D2" s="130" t="n">
        <v>60.47</v>
      </c>
      <c r="E2" s="130" t="n">
        <v>73000</v>
      </c>
      <c r="F2" s="130" t="inlineStr">
        <is>
          <t>us</t>
        </is>
      </c>
    </row>
    <row r="3">
      <c r="A3" s="15" t="inlineStr">
        <is>
          <t>ADDYY</t>
        </is>
      </c>
      <c r="B3" s="15" t="inlineStr">
        <is>
          <t>ADIDAS AG S/ADR</t>
        </is>
      </c>
      <c r="C3" s="15" t="inlineStr">
        <is>
          <t>OTC Link</t>
        </is>
      </c>
      <c r="D3" s="15" t="inlineStr">
        <is>
          <t>N/A</t>
        </is>
      </c>
      <c r="E3" s="15" t="inlineStr">
        <is>
          <t>N/A</t>
        </is>
      </c>
      <c r="F3" s="15" t="inlineStr">
        <is>
          <t>us</t>
        </is>
      </c>
    </row>
    <row r="4">
      <c r="A4" s="18" t="inlineStr">
        <is>
          <t>UAA</t>
        </is>
      </c>
      <c r="B4" s="18" t="inlineStr">
        <is>
          <t>Under Armour, Inc.</t>
        </is>
      </c>
      <c r="C4" s="18" t="inlineStr">
        <is>
          <t>XNYS</t>
        </is>
      </c>
      <c r="D4" s="18" t="n">
        <v>2.32</v>
      </c>
      <c r="E4" s="18" t="n">
        <v>14100</v>
      </c>
      <c r="F4" s="18" t="inlineStr">
        <is>
          <t>us</t>
        </is>
      </c>
    </row>
    <row r="5">
      <c r="A5" s="15" t="inlineStr">
        <is>
          <t>LULU</t>
        </is>
      </c>
      <c r="B5" s="15" t="inlineStr">
        <is>
          <t>lululemon athletica inc.</t>
        </is>
      </c>
      <c r="C5" s="15" t="inlineStr">
        <is>
          <t>XNAS</t>
        </is>
      </c>
      <c r="D5" s="15" t="n">
        <v>13.75</v>
      </c>
      <c r="E5" s="15" t="n">
        <v>39000</v>
      </c>
      <c r="F5" s="15"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31" t="inlineStr">
        <is>
          <t>NKE</t>
        </is>
      </c>
      <c r="C2" s="31" t="inlineStr">
        <is>
          <t>SPY</t>
        </is>
      </c>
      <c r="D2" s="31" t="inlineStr">
        <is>
          <t>QQQ</t>
        </is>
      </c>
    </row>
    <row r="3">
      <c r="A3" s="31" t="inlineStr">
        <is>
          <t>NKE</t>
        </is>
      </c>
      <c r="B3" s="131" t="n">
        <v>1</v>
      </c>
      <c r="C3" s="131" t="n">
        <v>0.5145</v>
      </c>
      <c r="D3" s="131" t="n">
        <v>0.4527</v>
      </c>
    </row>
    <row r="4">
      <c r="A4" s="31" t="inlineStr">
        <is>
          <t>SPY</t>
        </is>
      </c>
      <c r="B4" s="131" t="n">
        <v>0.5145</v>
      </c>
      <c r="C4" s="131" t="n">
        <v>1</v>
      </c>
      <c r="D4" s="131" t="n">
        <v>0.9502</v>
      </c>
    </row>
    <row r="5">
      <c r="A5" s="31" t="inlineStr">
        <is>
          <t>QQQ</t>
        </is>
      </c>
      <c r="B5" s="131" t="n">
        <v>0.4527</v>
      </c>
      <c r="C5" s="131" t="n">
        <v>0.9502</v>
      </c>
      <c r="D5" s="131"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3"/>
  <sheetViews>
    <sheetView workbookViewId="0">
      <pane ySplit="20" topLeftCell="A21" activePane="bottomLeft" state="frozen"/>
      <selection pane="bottomLef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s>
  <sheetData>
    <row r="1">
      <c r="A1" s="132" t="inlineStr">
        <is>
          <t>Monte Carlo Simulation Summary</t>
        </is>
      </c>
    </row>
    <row r="2">
      <c r="A2" s="31" t="inlineStr">
        <is>
          <t>Field</t>
        </is>
      </c>
      <c r="B2" s="31" t="inlineStr">
        <is>
          <t>Value</t>
        </is>
      </c>
    </row>
    <row r="3">
      <c r="A3" s="133" t="inlineStr">
        <is>
          <t>Last Price</t>
        </is>
      </c>
      <c r="B3" s="134" t="n">
        <v>40.75</v>
      </c>
    </row>
    <row r="4">
      <c r="A4" s="133" t="inlineStr">
        <is>
          <t>Forecast Horizon (days)</t>
        </is>
      </c>
      <c r="B4" s="135" t="n">
        <v>252</v>
      </c>
    </row>
    <row r="5">
      <c r="A5" s="133" t="inlineStr">
        <is>
          <t>Simulations</t>
        </is>
      </c>
      <c r="B5" s="135" t="n">
        <v>1000</v>
      </c>
    </row>
    <row r="6">
      <c r="A6" s="133" t="inlineStr">
        <is>
          <t>Mean Forecast</t>
        </is>
      </c>
      <c r="B6" s="134" t="n">
        <v>45.17</v>
      </c>
    </row>
    <row r="7">
      <c r="A7" s="133" t="inlineStr">
        <is>
          <t>Median (P50)</t>
        </is>
      </c>
      <c r="B7" s="134" t="n">
        <v>41.89</v>
      </c>
    </row>
    <row r="8">
      <c r="A8" s="133" t="inlineStr">
        <is>
          <t>Bear Case (P5)</t>
        </is>
      </c>
      <c r="B8" s="134" t="n">
        <v>23.73</v>
      </c>
    </row>
    <row r="9">
      <c r="A9" s="133" t="inlineStr">
        <is>
          <t>Low Case (P25)</t>
        </is>
      </c>
      <c r="B9" s="134" t="n">
        <v>33.09</v>
      </c>
    </row>
    <row r="10">
      <c r="A10" s="133" t="inlineStr">
        <is>
          <t>Bull Case (P75)</t>
        </is>
      </c>
      <c r="B10" s="134" t="n">
        <v>54.86</v>
      </c>
    </row>
    <row r="11">
      <c r="A11" s="133" t="inlineStr">
        <is>
          <t>Best Case (P95)</t>
        </is>
      </c>
      <c r="B11" s="134" t="n">
        <v>75.02</v>
      </c>
    </row>
    <row r="12">
      <c r="A12" s="133" t="inlineStr">
        <is>
          <t>Prob. of Gain</t>
        </is>
      </c>
      <c r="B12" s="136" t="n">
        <v>0.532</v>
      </c>
    </row>
    <row r="13">
      <c r="A13" s="133" t="inlineStr">
        <is>
          <t>Ann. Volatility</t>
        </is>
      </c>
      <c r="B13" s="136" t="n">
        <v>0.3571</v>
      </c>
    </row>
    <row r="14">
      <c r="A14" s="133" t="inlineStr">
        <is>
          <t>Expected Return (CAPM)</t>
        </is>
      </c>
      <c r="B14" s="136" t="n">
        <v>0.1</v>
      </c>
    </row>
    <row r="15">
      <c r="A15" s="133" t="inlineStr">
        <is>
          <t>Beta (vs benchmark)</t>
        </is>
      </c>
      <c r="B15" s="134" t="n">
        <v>1.07</v>
      </c>
    </row>
    <row r="16">
      <c r="A16" s="133" t="inlineStr">
        <is>
          <t>Beta (adjusted, used)</t>
        </is>
      </c>
      <c r="B16" s="134" t="n">
        <v>1.05</v>
      </c>
    </row>
    <row r="19">
      <c r="A19" s="93" t="inlineStr">
        <is>
          <t>Percentile price paths across all 1,000 simulations — the bands the forecast chart draws.</t>
        </is>
      </c>
    </row>
    <row r="20">
      <c r="A20" s="31" t="inlineStr">
        <is>
          <t>Day</t>
        </is>
      </c>
      <c r="B20" s="31" t="inlineStr">
        <is>
          <t>P5 (Bear)</t>
        </is>
      </c>
      <c r="C20" s="31" t="inlineStr">
        <is>
          <t>P25 (Low)</t>
        </is>
      </c>
      <c r="D20" s="31" t="inlineStr">
        <is>
          <t>P50 (Median)</t>
        </is>
      </c>
      <c r="E20" s="31" t="inlineStr">
        <is>
          <t>P75 (Bull)</t>
        </is>
      </c>
      <c r="F20" s="31" t="inlineStr">
        <is>
          <t>P95 (Best)</t>
        </is>
      </c>
    </row>
    <row r="21">
      <c r="A21" t="n">
        <v>0</v>
      </c>
      <c r="B21" s="137" t="n">
        <v>40.75</v>
      </c>
      <c r="C21" s="137" t="n">
        <v>40.75</v>
      </c>
      <c r="D21" s="137" t="n">
        <v>40.75</v>
      </c>
      <c r="E21" s="137" t="n">
        <v>40.75</v>
      </c>
      <c r="F21" s="137" t="n">
        <v>40.75</v>
      </c>
    </row>
    <row r="22">
      <c r="A22" t="n">
        <v>1</v>
      </c>
      <c r="B22" s="137" t="n">
        <v>39.24</v>
      </c>
      <c r="C22" s="137" t="n">
        <v>40.12</v>
      </c>
      <c r="D22" s="137" t="n">
        <v>40.76</v>
      </c>
      <c r="E22" s="137" t="n">
        <v>41.3</v>
      </c>
      <c r="F22" s="137" t="n">
        <v>42.27</v>
      </c>
    </row>
    <row r="23">
      <c r="A23" t="n">
        <v>2</v>
      </c>
      <c r="B23" s="137" t="n">
        <v>38.51</v>
      </c>
      <c r="C23" s="137" t="n">
        <v>39.81</v>
      </c>
      <c r="D23" s="137" t="n">
        <v>40.69</v>
      </c>
      <c r="E23" s="137" t="n">
        <v>41.49</v>
      </c>
      <c r="F23" s="137" t="n">
        <v>42.81</v>
      </c>
    </row>
    <row r="24">
      <c r="A24" t="n">
        <v>3</v>
      </c>
      <c r="B24" s="137" t="n">
        <v>38.23</v>
      </c>
      <c r="C24" s="137" t="n">
        <v>39.62</v>
      </c>
      <c r="D24" s="137" t="n">
        <v>40.73</v>
      </c>
      <c r="E24" s="137" t="n">
        <v>41.74</v>
      </c>
      <c r="F24" s="137" t="n">
        <v>43.3</v>
      </c>
    </row>
    <row r="25">
      <c r="A25" t="n">
        <v>4</v>
      </c>
      <c r="B25" s="137" t="n">
        <v>37.69</v>
      </c>
      <c r="C25" s="137" t="n">
        <v>39.46</v>
      </c>
      <c r="D25" s="137" t="n">
        <v>40.66</v>
      </c>
      <c r="E25" s="137" t="n">
        <v>41.94</v>
      </c>
      <c r="F25" s="137" t="n">
        <v>43.93</v>
      </c>
    </row>
    <row r="26">
      <c r="A26" t="n">
        <v>5</v>
      </c>
      <c r="B26" s="137" t="n">
        <v>37.44</v>
      </c>
      <c r="C26" s="137" t="n">
        <v>39.36</v>
      </c>
      <c r="D26" s="137" t="n">
        <v>40.68</v>
      </c>
      <c r="E26" s="137" t="n">
        <v>42.07</v>
      </c>
      <c r="F26" s="137" t="n">
        <v>44.18</v>
      </c>
    </row>
    <row r="27">
      <c r="A27" t="n">
        <v>6</v>
      </c>
      <c r="B27" s="137" t="n">
        <v>37.19</v>
      </c>
      <c r="C27" s="137" t="n">
        <v>39.29</v>
      </c>
      <c r="D27" s="137" t="n">
        <v>40.75</v>
      </c>
      <c r="E27" s="137" t="n">
        <v>42.21</v>
      </c>
      <c r="F27" s="137" t="n">
        <v>44.72</v>
      </c>
    </row>
    <row r="28">
      <c r="A28" t="n">
        <v>7</v>
      </c>
      <c r="B28" s="137" t="n">
        <v>37.03</v>
      </c>
      <c r="C28" s="137" t="n">
        <v>39.16</v>
      </c>
      <c r="D28" s="137" t="n">
        <v>40.78</v>
      </c>
      <c r="E28" s="137" t="n">
        <v>42.23</v>
      </c>
      <c r="F28" s="137" t="n">
        <v>45.24</v>
      </c>
    </row>
    <row r="29">
      <c r="A29" t="n">
        <v>8</v>
      </c>
      <c r="B29" s="137" t="n">
        <v>36.58</v>
      </c>
      <c r="C29" s="137" t="n">
        <v>39.13</v>
      </c>
      <c r="D29" s="137" t="n">
        <v>40.69</v>
      </c>
      <c r="E29" s="137" t="n">
        <v>42.42</v>
      </c>
      <c r="F29" s="137" t="n">
        <v>45.4</v>
      </c>
    </row>
    <row r="30">
      <c r="A30" t="n">
        <v>9</v>
      </c>
      <c r="B30" s="137" t="n">
        <v>36.56</v>
      </c>
      <c r="C30" s="137" t="n">
        <v>38.98</v>
      </c>
      <c r="D30" s="137" t="n">
        <v>40.75</v>
      </c>
      <c r="E30" s="137" t="n">
        <v>42.48</v>
      </c>
      <c r="F30" s="137" t="n">
        <v>45.4</v>
      </c>
    </row>
    <row r="31">
      <c r="A31" t="n">
        <v>10</v>
      </c>
      <c r="B31" s="137" t="n">
        <v>36.22</v>
      </c>
      <c r="C31" s="137" t="n">
        <v>38.87</v>
      </c>
      <c r="D31" s="137" t="n">
        <v>40.73</v>
      </c>
      <c r="E31" s="137" t="n">
        <v>42.73</v>
      </c>
      <c r="F31" s="137" t="n">
        <v>45.58</v>
      </c>
    </row>
    <row r="32">
      <c r="A32" t="n">
        <v>11</v>
      </c>
      <c r="B32" s="137" t="n">
        <v>36.04</v>
      </c>
      <c r="C32" s="137" t="n">
        <v>38.77</v>
      </c>
      <c r="D32" s="137" t="n">
        <v>40.7</v>
      </c>
      <c r="E32" s="137" t="n">
        <v>42.79</v>
      </c>
      <c r="F32" s="137" t="n">
        <v>45.81</v>
      </c>
    </row>
    <row r="33">
      <c r="A33" t="n">
        <v>12</v>
      </c>
      <c r="B33" s="137" t="n">
        <v>35.9</v>
      </c>
      <c r="C33" s="137" t="n">
        <v>38.73</v>
      </c>
      <c r="D33" s="137" t="n">
        <v>40.72</v>
      </c>
      <c r="E33" s="137" t="n">
        <v>42.84</v>
      </c>
      <c r="F33" s="137" t="n">
        <v>46.07</v>
      </c>
    </row>
    <row r="34">
      <c r="A34" t="n">
        <v>13</v>
      </c>
      <c r="B34" s="137" t="n">
        <v>35.62</v>
      </c>
      <c r="C34" s="137" t="n">
        <v>38.54</v>
      </c>
      <c r="D34" s="137" t="n">
        <v>40.71</v>
      </c>
      <c r="E34" s="137" t="n">
        <v>42.85</v>
      </c>
      <c r="F34" s="137" t="n">
        <v>46.38</v>
      </c>
    </row>
    <row r="35">
      <c r="A35" t="n">
        <v>14</v>
      </c>
      <c r="B35" s="137" t="n">
        <v>35.58</v>
      </c>
      <c r="C35" s="137" t="n">
        <v>38.46</v>
      </c>
      <c r="D35" s="137" t="n">
        <v>40.66</v>
      </c>
      <c r="E35" s="137" t="n">
        <v>43.02</v>
      </c>
      <c r="F35" s="137" t="n">
        <v>46.89</v>
      </c>
    </row>
    <row r="36">
      <c r="A36" t="n">
        <v>15</v>
      </c>
      <c r="B36" s="137" t="n">
        <v>35.61</v>
      </c>
      <c r="C36" s="137" t="n">
        <v>38.34</v>
      </c>
      <c r="D36" s="137" t="n">
        <v>40.7</v>
      </c>
      <c r="E36" s="137" t="n">
        <v>43.03</v>
      </c>
      <c r="F36" s="137" t="n">
        <v>46.92</v>
      </c>
    </row>
    <row r="37">
      <c r="A37" t="n">
        <v>16</v>
      </c>
      <c r="B37" s="137" t="n">
        <v>35.2</v>
      </c>
      <c r="C37" s="137" t="n">
        <v>38.38</v>
      </c>
      <c r="D37" s="137" t="n">
        <v>40.73</v>
      </c>
      <c r="E37" s="137" t="n">
        <v>43.15</v>
      </c>
      <c r="F37" s="137" t="n">
        <v>46.97</v>
      </c>
    </row>
    <row r="38">
      <c r="A38" t="n">
        <v>17</v>
      </c>
      <c r="B38" s="137" t="n">
        <v>35.2</v>
      </c>
      <c r="C38" s="137" t="n">
        <v>38.37</v>
      </c>
      <c r="D38" s="137" t="n">
        <v>40.78</v>
      </c>
      <c r="E38" s="137" t="n">
        <v>43.27</v>
      </c>
      <c r="F38" s="137" t="n">
        <v>47.53</v>
      </c>
    </row>
    <row r="39">
      <c r="A39" t="n">
        <v>18</v>
      </c>
      <c r="B39" s="137" t="n">
        <v>35.09</v>
      </c>
      <c r="C39" s="137" t="n">
        <v>38.32</v>
      </c>
      <c r="D39" s="137" t="n">
        <v>40.83</v>
      </c>
      <c r="E39" s="137" t="n">
        <v>43.46</v>
      </c>
      <c r="F39" s="137" t="n">
        <v>47.73</v>
      </c>
    </row>
    <row r="40">
      <c r="A40" t="n">
        <v>19</v>
      </c>
      <c r="B40" s="137" t="n">
        <v>34.89</v>
      </c>
      <c r="C40" s="137" t="n">
        <v>38.3</v>
      </c>
      <c r="D40" s="137" t="n">
        <v>40.91</v>
      </c>
      <c r="E40" s="137" t="n">
        <v>43.59</v>
      </c>
      <c r="F40" s="137" t="n">
        <v>47.78</v>
      </c>
    </row>
    <row r="41">
      <c r="A41" t="n">
        <v>20</v>
      </c>
      <c r="B41" s="137" t="n">
        <v>34.66</v>
      </c>
      <c r="C41" s="137" t="n">
        <v>38.4</v>
      </c>
      <c r="D41" s="137" t="n">
        <v>40.95</v>
      </c>
      <c r="E41" s="137" t="n">
        <v>43.8</v>
      </c>
      <c r="F41" s="137" t="n">
        <v>48.16</v>
      </c>
    </row>
    <row r="42">
      <c r="A42" t="n">
        <v>21</v>
      </c>
      <c r="B42" s="137" t="n">
        <v>34.76</v>
      </c>
      <c r="C42" s="137" t="n">
        <v>38.12</v>
      </c>
      <c r="D42" s="137" t="n">
        <v>40.95</v>
      </c>
      <c r="E42" s="137" t="n">
        <v>43.84</v>
      </c>
      <c r="F42" s="137" t="n">
        <v>48.53</v>
      </c>
    </row>
    <row r="43">
      <c r="A43" t="n">
        <v>22</v>
      </c>
      <c r="B43" s="137" t="n">
        <v>34.68</v>
      </c>
      <c r="C43" s="137" t="n">
        <v>38.14</v>
      </c>
      <c r="D43" s="137" t="n">
        <v>41.01</v>
      </c>
      <c r="E43" s="137" t="n">
        <v>43.99</v>
      </c>
      <c r="F43" s="137" t="n">
        <v>48.4</v>
      </c>
    </row>
    <row r="44">
      <c r="A44" t="n">
        <v>23</v>
      </c>
      <c r="B44" s="137" t="n">
        <v>34.68</v>
      </c>
      <c r="C44" s="137" t="n">
        <v>38.11</v>
      </c>
      <c r="D44" s="137" t="n">
        <v>40.9</v>
      </c>
      <c r="E44" s="137" t="n">
        <v>43.89</v>
      </c>
      <c r="F44" s="137" t="n">
        <v>48.91</v>
      </c>
    </row>
    <row r="45">
      <c r="A45" t="n">
        <v>24</v>
      </c>
      <c r="B45" s="137" t="n">
        <v>34.78</v>
      </c>
      <c r="C45" s="137" t="n">
        <v>38.04</v>
      </c>
      <c r="D45" s="137" t="n">
        <v>40.88</v>
      </c>
      <c r="E45" s="137" t="n">
        <v>44.1</v>
      </c>
      <c r="F45" s="137" t="n">
        <v>49.06</v>
      </c>
    </row>
    <row r="46">
      <c r="A46" t="n">
        <v>25</v>
      </c>
      <c r="B46" s="137" t="n">
        <v>34.36</v>
      </c>
      <c r="C46" s="137" t="n">
        <v>38.16</v>
      </c>
      <c r="D46" s="137" t="n">
        <v>40.87</v>
      </c>
      <c r="E46" s="137" t="n">
        <v>44.39</v>
      </c>
      <c r="F46" s="137" t="n">
        <v>49.1</v>
      </c>
    </row>
    <row r="47">
      <c r="A47" t="n">
        <v>26</v>
      </c>
      <c r="B47" s="137" t="n">
        <v>34.16</v>
      </c>
      <c r="C47" s="137" t="n">
        <v>38.2</v>
      </c>
      <c r="D47" s="137" t="n">
        <v>40.81</v>
      </c>
      <c r="E47" s="137" t="n">
        <v>44.45</v>
      </c>
      <c r="F47" s="137" t="n">
        <v>49.21</v>
      </c>
    </row>
    <row r="48">
      <c r="A48" t="n">
        <v>27</v>
      </c>
      <c r="B48" s="137" t="n">
        <v>34.09</v>
      </c>
      <c r="C48" s="137" t="n">
        <v>38.16</v>
      </c>
      <c r="D48" s="137" t="n">
        <v>41.05</v>
      </c>
      <c r="E48" s="137" t="n">
        <v>44.52</v>
      </c>
      <c r="F48" s="137" t="n">
        <v>49.49</v>
      </c>
    </row>
    <row r="49">
      <c r="A49" t="n">
        <v>28</v>
      </c>
      <c r="B49" s="137" t="n">
        <v>34.09</v>
      </c>
      <c r="C49" s="137" t="n">
        <v>38.08</v>
      </c>
      <c r="D49" s="137" t="n">
        <v>41.03</v>
      </c>
      <c r="E49" s="137" t="n">
        <v>44.79</v>
      </c>
      <c r="F49" s="137" t="n">
        <v>49.75</v>
      </c>
    </row>
    <row r="50">
      <c r="A50" t="n">
        <v>29</v>
      </c>
      <c r="B50" s="137" t="n">
        <v>33.92</v>
      </c>
      <c r="C50" s="137" t="n">
        <v>38.15</v>
      </c>
      <c r="D50" s="137" t="n">
        <v>41.12</v>
      </c>
      <c r="E50" s="137" t="n">
        <v>44.71</v>
      </c>
      <c r="F50" s="137" t="n">
        <v>49.75</v>
      </c>
    </row>
    <row r="51">
      <c r="A51" t="n">
        <v>30</v>
      </c>
      <c r="B51" s="137" t="n">
        <v>33.94</v>
      </c>
      <c r="C51" s="137" t="n">
        <v>38.05</v>
      </c>
      <c r="D51" s="137" t="n">
        <v>41.15</v>
      </c>
      <c r="E51" s="137" t="n">
        <v>44.62</v>
      </c>
      <c r="F51" s="137" t="n">
        <v>49.98</v>
      </c>
    </row>
    <row r="52">
      <c r="A52" t="n">
        <v>31</v>
      </c>
      <c r="B52" s="137" t="n">
        <v>33.88</v>
      </c>
      <c r="C52" s="137" t="n">
        <v>38.04</v>
      </c>
      <c r="D52" s="137" t="n">
        <v>41.11</v>
      </c>
      <c r="E52" s="137" t="n">
        <v>44.8</v>
      </c>
      <c r="F52" s="137" t="n">
        <v>50.42</v>
      </c>
    </row>
    <row r="53">
      <c r="A53" t="n">
        <v>32</v>
      </c>
      <c r="B53" s="137" t="n">
        <v>33.59</v>
      </c>
      <c r="C53" s="137" t="n">
        <v>37.99</v>
      </c>
      <c r="D53" s="137" t="n">
        <v>41.04</v>
      </c>
      <c r="E53" s="137" t="n">
        <v>44.96</v>
      </c>
      <c r="F53" s="137" t="n">
        <v>50.19</v>
      </c>
    </row>
    <row r="54">
      <c r="A54" t="n">
        <v>33</v>
      </c>
      <c r="B54" s="137" t="n">
        <v>33.61</v>
      </c>
      <c r="C54" s="137" t="n">
        <v>37.8</v>
      </c>
      <c r="D54" s="137" t="n">
        <v>41.09</v>
      </c>
      <c r="E54" s="137" t="n">
        <v>45.13</v>
      </c>
      <c r="F54" s="137" t="n">
        <v>50.62</v>
      </c>
    </row>
    <row r="55">
      <c r="A55" t="n">
        <v>34</v>
      </c>
      <c r="B55" s="137" t="n">
        <v>33.37</v>
      </c>
      <c r="C55" s="137" t="n">
        <v>37.91</v>
      </c>
      <c r="D55" s="137" t="n">
        <v>41.15</v>
      </c>
      <c r="E55" s="137" t="n">
        <v>45.08</v>
      </c>
      <c r="F55" s="137" t="n">
        <v>50.84</v>
      </c>
    </row>
    <row r="56">
      <c r="A56" t="n">
        <v>35</v>
      </c>
      <c r="B56" s="137" t="n">
        <v>33.16</v>
      </c>
      <c r="C56" s="137" t="n">
        <v>37.95</v>
      </c>
      <c r="D56" s="137" t="n">
        <v>41.1</v>
      </c>
      <c r="E56" s="137" t="n">
        <v>45.01</v>
      </c>
      <c r="F56" s="137" t="n">
        <v>50.76</v>
      </c>
    </row>
    <row r="57">
      <c r="A57" t="n">
        <v>36</v>
      </c>
      <c r="B57" s="137" t="n">
        <v>33.04</v>
      </c>
      <c r="C57" s="137" t="n">
        <v>37.88</v>
      </c>
      <c r="D57" s="137" t="n">
        <v>41.17</v>
      </c>
      <c r="E57" s="137" t="n">
        <v>45.12</v>
      </c>
      <c r="F57" s="137" t="n">
        <v>51.01</v>
      </c>
    </row>
    <row r="58">
      <c r="A58" t="n">
        <v>37</v>
      </c>
      <c r="B58" s="137" t="n">
        <v>32.71</v>
      </c>
      <c r="C58" s="137" t="n">
        <v>37.84</v>
      </c>
      <c r="D58" s="137" t="n">
        <v>41.28</v>
      </c>
      <c r="E58" s="137" t="n">
        <v>45.31</v>
      </c>
      <c r="F58" s="137" t="n">
        <v>51.03</v>
      </c>
    </row>
    <row r="59">
      <c r="A59" t="n">
        <v>38</v>
      </c>
      <c r="B59" s="137" t="n">
        <v>32.9</v>
      </c>
      <c r="C59" s="137" t="n">
        <v>37.83</v>
      </c>
      <c r="D59" s="137" t="n">
        <v>41.32</v>
      </c>
      <c r="E59" s="137" t="n">
        <v>45.38</v>
      </c>
      <c r="F59" s="137" t="n">
        <v>51.06</v>
      </c>
    </row>
    <row r="60">
      <c r="A60" t="n">
        <v>39</v>
      </c>
      <c r="B60" s="137" t="n">
        <v>32.83</v>
      </c>
      <c r="C60" s="137" t="n">
        <v>37.77</v>
      </c>
      <c r="D60" s="137" t="n">
        <v>41.22</v>
      </c>
      <c r="E60" s="137" t="n">
        <v>45.43</v>
      </c>
      <c r="F60" s="137" t="n">
        <v>51.55</v>
      </c>
    </row>
    <row r="61">
      <c r="A61" t="n">
        <v>40</v>
      </c>
      <c r="B61" s="137" t="n">
        <v>32.63</v>
      </c>
      <c r="C61" s="137" t="n">
        <v>37.57</v>
      </c>
      <c r="D61" s="137" t="n">
        <v>41.06</v>
      </c>
      <c r="E61" s="137" t="n">
        <v>45.31</v>
      </c>
      <c r="F61" s="137" t="n">
        <v>51.89</v>
      </c>
    </row>
    <row r="62">
      <c r="A62" t="n">
        <v>41</v>
      </c>
      <c r="B62" s="137" t="n">
        <v>32.61</v>
      </c>
      <c r="C62" s="137" t="n">
        <v>37.43</v>
      </c>
      <c r="D62" s="137" t="n">
        <v>41.07</v>
      </c>
      <c r="E62" s="137" t="n">
        <v>45.51</v>
      </c>
      <c r="F62" s="137" t="n">
        <v>52.24</v>
      </c>
    </row>
    <row r="63">
      <c r="A63" t="n">
        <v>42</v>
      </c>
      <c r="B63" s="137" t="n">
        <v>32.49</v>
      </c>
      <c r="C63" s="137" t="n">
        <v>37.4</v>
      </c>
      <c r="D63" s="137" t="n">
        <v>41.04</v>
      </c>
      <c r="E63" s="137" t="n">
        <v>45.35</v>
      </c>
      <c r="F63" s="137" t="n">
        <v>52.23</v>
      </c>
    </row>
    <row r="64">
      <c r="A64" t="n">
        <v>43</v>
      </c>
      <c r="B64" s="137" t="n">
        <v>32.18</v>
      </c>
      <c r="C64" s="137" t="n">
        <v>37.32</v>
      </c>
      <c r="D64" s="137" t="n">
        <v>41.09</v>
      </c>
      <c r="E64" s="137" t="n">
        <v>45.5</v>
      </c>
      <c r="F64" s="137" t="n">
        <v>51.86</v>
      </c>
    </row>
    <row r="65">
      <c r="A65" t="n">
        <v>44</v>
      </c>
      <c r="B65" s="137" t="n">
        <v>32.28</v>
      </c>
      <c r="C65" s="137" t="n">
        <v>37.19</v>
      </c>
      <c r="D65" s="137" t="n">
        <v>41.09</v>
      </c>
      <c r="E65" s="137" t="n">
        <v>45.61</v>
      </c>
      <c r="F65" s="137" t="n">
        <v>51.89</v>
      </c>
    </row>
    <row r="66">
      <c r="A66" t="n">
        <v>45</v>
      </c>
      <c r="B66" s="137" t="n">
        <v>32.03</v>
      </c>
      <c r="C66" s="137" t="n">
        <v>37.1</v>
      </c>
      <c r="D66" s="137" t="n">
        <v>41.11</v>
      </c>
      <c r="E66" s="137" t="n">
        <v>45.5</v>
      </c>
      <c r="F66" s="137" t="n">
        <v>51.47</v>
      </c>
    </row>
    <row r="67">
      <c r="A67" t="n">
        <v>46</v>
      </c>
      <c r="B67" s="137" t="n">
        <v>31.86</v>
      </c>
      <c r="C67" s="137" t="n">
        <v>36.93</v>
      </c>
      <c r="D67" s="137" t="n">
        <v>41.3</v>
      </c>
      <c r="E67" s="137" t="n">
        <v>45.8</v>
      </c>
      <c r="F67" s="137" t="n">
        <v>51.87</v>
      </c>
    </row>
    <row r="68">
      <c r="A68" t="n">
        <v>47</v>
      </c>
      <c r="B68" s="137" t="n">
        <v>31.88</v>
      </c>
      <c r="C68" s="137" t="n">
        <v>37.05</v>
      </c>
      <c r="D68" s="137" t="n">
        <v>41.22</v>
      </c>
      <c r="E68" s="137" t="n">
        <v>45.82</v>
      </c>
      <c r="F68" s="137" t="n">
        <v>52.19</v>
      </c>
    </row>
    <row r="69">
      <c r="A69" t="n">
        <v>48</v>
      </c>
      <c r="B69" s="137" t="n">
        <v>31.98</v>
      </c>
      <c r="C69" s="137" t="n">
        <v>36.87</v>
      </c>
      <c r="D69" s="137" t="n">
        <v>41.17</v>
      </c>
      <c r="E69" s="137" t="n">
        <v>45.82</v>
      </c>
      <c r="F69" s="137" t="n">
        <v>52.55</v>
      </c>
    </row>
    <row r="70">
      <c r="A70" t="n">
        <v>49</v>
      </c>
      <c r="B70" s="137" t="n">
        <v>31.83</v>
      </c>
      <c r="C70" s="137" t="n">
        <v>36.9</v>
      </c>
      <c r="D70" s="137" t="n">
        <v>41.16</v>
      </c>
      <c r="E70" s="137" t="n">
        <v>45.81</v>
      </c>
      <c r="F70" s="137" t="n">
        <v>52.55</v>
      </c>
    </row>
    <row r="71">
      <c r="A71" t="n">
        <v>50</v>
      </c>
      <c r="B71" s="137" t="n">
        <v>31.4</v>
      </c>
      <c r="C71" s="137" t="n">
        <v>36.86</v>
      </c>
      <c r="D71" s="137" t="n">
        <v>41.17</v>
      </c>
      <c r="E71" s="137" t="n">
        <v>45.76</v>
      </c>
      <c r="F71" s="137" t="n">
        <v>52.62</v>
      </c>
    </row>
    <row r="72">
      <c r="A72" t="n">
        <v>51</v>
      </c>
      <c r="B72" s="137" t="n">
        <v>31.44</v>
      </c>
      <c r="C72" s="137" t="n">
        <v>36.93</v>
      </c>
      <c r="D72" s="137" t="n">
        <v>41.05</v>
      </c>
      <c r="E72" s="137" t="n">
        <v>45.77</v>
      </c>
      <c r="F72" s="137" t="n">
        <v>53.14</v>
      </c>
    </row>
    <row r="73">
      <c r="A73" t="n">
        <v>52</v>
      </c>
      <c r="B73" s="137" t="n">
        <v>31.34</v>
      </c>
      <c r="C73" s="137" t="n">
        <v>36.78</v>
      </c>
      <c r="D73" s="137" t="n">
        <v>41.09</v>
      </c>
      <c r="E73" s="137" t="n">
        <v>45.91</v>
      </c>
      <c r="F73" s="137" t="n">
        <v>53.05</v>
      </c>
    </row>
    <row r="74">
      <c r="A74" t="n">
        <v>53</v>
      </c>
      <c r="B74" s="137" t="n">
        <v>31.3</v>
      </c>
      <c r="C74" s="137" t="n">
        <v>36.69</v>
      </c>
      <c r="D74" s="137" t="n">
        <v>41.1</v>
      </c>
      <c r="E74" s="137" t="n">
        <v>46.17</v>
      </c>
      <c r="F74" s="137" t="n">
        <v>52.83</v>
      </c>
    </row>
    <row r="75">
      <c r="A75" t="n">
        <v>54</v>
      </c>
      <c r="B75" s="137" t="n">
        <v>31.44</v>
      </c>
      <c r="C75" s="137" t="n">
        <v>36.66</v>
      </c>
      <c r="D75" s="137" t="n">
        <v>41.18</v>
      </c>
      <c r="E75" s="137" t="n">
        <v>46.32</v>
      </c>
      <c r="F75" s="137" t="n">
        <v>52.83</v>
      </c>
    </row>
    <row r="76">
      <c r="A76" t="n">
        <v>55</v>
      </c>
      <c r="B76" s="137" t="n">
        <v>31.1</v>
      </c>
      <c r="C76" s="137" t="n">
        <v>36.43</v>
      </c>
      <c r="D76" s="137" t="n">
        <v>41.21</v>
      </c>
      <c r="E76" s="137" t="n">
        <v>46.28</v>
      </c>
      <c r="F76" s="137" t="n">
        <v>52.87</v>
      </c>
    </row>
    <row r="77">
      <c r="A77" t="n">
        <v>56</v>
      </c>
      <c r="B77" s="137" t="n">
        <v>31.19</v>
      </c>
      <c r="C77" s="137" t="n">
        <v>36.48</v>
      </c>
      <c r="D77" s="137" t="n">
        <v>41.21</v>
      </c>
      <c r="E77" s="137" t="n">
        <v>46.14</v>
      </c>
      <c r="F77" s="137" t="n">
        <v>53.15</v>
      </c>
    </row>
    <row r="78">
      <c r="A78" t="n">
        <v>57</v>
      </c>
      <c r="B78" s="137" t="n">
        <v>31.04</v>
      </c>
      <c r="C78" s="137" t="n">
        <v>36.52</v>
      </c>
      <c r="D78" s="137" t="n">
        <v>41.23</v>
      </c>
      <c r="E78" s="137" t="n">
        <v>46.2</v>
      </c>
      <c r="F78" s="137" t="n">
        <v>53.37</v>
      </c>
    </row>
    <row r="79">
      <c r="A79" t="n">
        <v>58</v>
      </c>
      <c r="B79" s="137" t="n">
        <v>30.68</v>
      </c>
      <c r="C79" s="137" t="n">
        <v>36.44</v>
      </c>
      <c r="D79" s="137" t="n">
        <v>41.37</v>
      </c>
      <c r="E79" s="137" t="n">
        <v>46.28</v>
      </c>
      <c r="F79" s="137" t="n">
        <v>53.47</v>
      </c>
    </row>
    <row r="80">
      <c r="A80" t="n">
        <v>59</v>
      </c>
      <c r="B80" s="137" t="n">
        <v>30.81</v>
      </c>
      <c r="C80" s="137" t="n">
        <v>36.56</v>
      </c>
      <c r="D80" s="137" t="n">
        <v>41.29</v>
      </c>
      <c r="E80" s="137" t="n">
        <v>46.31</v>
      </c>
      <c r="F80" s="137" t="n">
        <v>53.77</v>
      </c>
    </row>
    <row r="81">
      <c r="A81" t="n">
        <v>60</v>
      </c>
      <c r="B81" s="137" t="n">
        <v>30.53</v>
      </c>
      <c r="C81" s="137" t="n">
        <v>36.39</v>
      </c>
      <c r="D81" s="137" t="n">
        <v>41.46</v>
      </c>
      <c r="E81" s="137" t="n">
        <v>46.39</v>
      </c>
      <c r="F81" s="137" t="n">
        <v>53.81</v>
      </c>
    </row>
    <row r="82">
      <c r="A82" t="n">
        <v>61</v>
      </c>
      <c r="B82" s="137" t="n">
        <v>30.38</v>
      </c>
      <c r="C82" s="137" t="n">
        <v>36.43</v>
      </c>
      <c r="D82" s="137" t="n">
        <v>41.41</v>
      </c>
      <c r="E82" s="137" t="n">
        <v>46.36</v>
      </c>
      <c r="F82" s="137" t="n">
        <v>53.92</v>
      </c>
    </row>
    <row r="83">
      <c r="A83" t="n">
        <v>62</v>
      </c>
      <c r="B83" s="137" t="n">
        <v>30.52</v>
      </c>
      <c r="C83" s="137" t="n">
        <v>36.36</v>
      </c>
      <c r="D83" s="137" t="n">
        <v>41.47</v>
      </c>
      <c r="E83" s="137" t="n">
        <v>46.24</v>
      </c>
      <c r="F83" s="137" t="n">
        <v>53.74</v>
      </c>
    </row>
    <row r="84">
      <c r="A84" t="n">
        <v>63</v>
      </c>
      <c r="B84" s="137" t="n">
        <v>30.24</v>
      </c>
      <c r="C84" s="137" t="n">
        <v>36.21</v>
      </c>
      <c r="D84" s="137" t="n">
        <v>41.32</v>
      </c>
      <c r="E84" s="137" t="n">
        <v>46.51</v>
      </c>
      <c r="F84" s="137" t="n">
        <v>54.04</v>
      </c>
    </row>
    <row r="85">
      <c r="A85" t="n">
        <v>64</v>
      </c>
      <c r="B85" s="137" t="n">
        <v>30.06</v>
      </c>
      <c r="C85" s="137" t="n">
        <v>36.32</v>
      </c>
      <c r="D85" s="137" t="n">
        <v>41.19</v>
      </c>
      <c r="E85" s="137" t="n">
        <v>46.67</v>
      </c>
      <c r="F85" s="137" t="n">
        <v>54.4</v>
      </c>
    </row>
    <row r="86">
      <c r="A86" t="n">
        <v>65</v>
      </c>
      <c r="B86" s="137" t="n">
        <v>30.16</v>
      </c>
      <c r="C86" s="137" t="n">
        <v>36.32</v>
      </c>
      <c r="D86" s="137" t="n">
        <v>41.3</v>
      </c>
      <c r="E86" s="137" t="n">
        <v>46.56</v>
      </c>
      <c r="F86" s="137" t="n">
        <v>54.1</v>
      </c>
    </row>
    <row r="87">
      <c r="A87" t="n">
        <v>66</v>
      </c>
      <c r="B87" s="137" t="n">
        <v>30.3</v>
      </c>
      <c r="C87" s="137" t="n">
        <v>36.41</v>
      </c>
      <c r="D87" s="137" t="n">
        <v>41.26</v>
      </c>
      <c r="E87" s="137" t="n">
        <v>46.72</v>
      </c>
      <c r="F87" s="137" t="n">
        <v>54.49</v>
      </c>
    </row>
    <row r="88">
      <c r="A88" t="n">
        <v>67</v>
      </c>
      <c r="B88" s="137" t="n">
        <v>30.16</v>
      </c>
      <c r="C88" s="137" t="n">
        <v>36.26</v>
      </c>
      <c r="D88" s="137" t="n">
        <v>41.27</v>
      </c>
      <c r="E88" s="137" t="n">
        <v>46.72</v>
      </c>
      <c r="F88" s="137" t="n">
        <v>55.12</v>
      </c>
    </row>
    <row r="89">
      <c r="A89" t="n">
        <v>68</v>
      </c>
      <c r="B89" s="137" t="n">
        <v>30.02</v>
      </c>
      <c r="C89" s="137" t="n">
        <v>36.27</v>
      </c>
      <c r="D89" s="137" t="n">
        <v>41.2</v>
      </c>
      <c r="E89" s="137" t="n">
        <v>46.6</v>
      </c>
      <c r="F89" s="137" t="n">
        <v>55.07</v>
      </c>
    </row>
    <row r="90">
      <c r="A90" t="n">
        <v>69</v>
      </c>
      <c r="B90" s="137" t="n">
        <v>30.1</v>
      </c>
      <c r="C90" s="137" t="n">
        <v>36.36</v>
      </c>
      <c r="D90" s="137" t="n">
        <v>41.3</v>
      </c>
      <c r="E90" s="137" t="n">
        <v>46.63</v>
      </c>
      <c r="F90" s="137" t="n">
        <v>54.69</v>
      </c>
    </row>
    <row r="91">
      <c r="A91" t="n">
        <v>70</v>
      </c>
      <c r="B91" s="137" t="n">
        <v>29.68</v>
      </c>
      <c r="C91" s="137" t="n">
        <v>36.2</v>
      </c>
      <c r="D91" s="137" t="n">
        <v>41.27</v>
      </c>
      <c r="E91" s="137" t="n">
        <v>46.66</v>
      </c>
      <c r="F91" s="137" t="n">
        <v>55.19</v>
      </c>
    </row>
    <row r="92">
      <c r="A92" t="n">
        <v>71</v>
      </c>
      <c r="B92" s="137" t="n">
        <v>29.64</v>
      </c>
      <c r="C92" s="137" t="n">
        <v>36.18</v>
      </c>
      <c r="D92" s="137" t="n">
        <v>41.25</v>
      </c>
      <c r="E92" s="137" t="n">
        <v>46.77</v>
      </c>
      <c r="F92" s="137" t="n">
        <v>55.61</v>
      </c>
    </row>
    <row r="93">
      <c r="A93" t="n">
        <v>72</v>
      </c>
      <c r="B93" s="137" t="n">
        <v>29.64</v>
      </c>
      <c r="C93" s="137" t="n">
        <v>36.31</v>
      </c>
      <c r="D93" s="137" t="n">
        <v>41.21</v>
      </c>
      <c r="E93" s="137" t="n">
        <v>46.76</v>
      </c>
      <c r="F93" s="137" t="n">
        <v>55.43</v>
      </c>
    </row>
    <row r="94">
      <c r="A94" t="n">
        <v>73</v>
      </c>
      <c r="B94" s="137" t="n">
        <v>29.73</v>
      </c>
      <c r="C94" s="137" t="n">
        <v>36.3</v>
      </c>
      <c r="D94" s="137" t="n">
        <v>41.2</v>
      </c>
      <c r="E94" s="137" t="n">
        <v>46.76</v>
      </c>
      <c r="F94" s="137" t="n">
        <v>55.83</v>
      </c>
    </row>
    <row r="95">
      <c r="A95" t="n">
        <v>74</v>
      </c>
      <c r="B95" s="137" t="n">
        <v>29.82</v>
      </c>
      <c r="C95" s="137" t="n">
        <v>36.33</v>
      </c>
      <c r="D95" s="137" t="n">
        <v>41.18</v>
      </c>
      <c r="E95" s="137" t="n">
        <v>46.89</v>
      </c>
      <c r="F95" s="137" t="n">
        <v>56.06</v>
      </c>
    </row>
    <row r="96">
      <c r="A96" t="n">
        <v>75</v>
      </c>
      <c r="B96" s="137" t="n">
        <v>29.6</v>
      </c>
      <c r="C96" s="137" t="n">
        <v>36.21</v>
      </c>
      <c r="D96" s="137" t="n">
        <v>41.24</v>
      </c>
      <c r="E96" s="137" t="n">
        <v>47.1</v>
      </c>
      <c r="F96" s="137" t="n">
        <v>56.4</v>
      </c>
    </row>
    <row r="97">
      <c r="A97" t="n">
        <v>76</v>
      </c>
      <c r="B97" s="137" t="n">
        <v>29.53</v>
      </c>
      <c r="C97" s="137" t="n">
        <v>36.02</v>
      </c>
      <c r="D97" s="137" t="n">
        <v>41.32</v>
      </c>
      <c r="E97" s="137" t="n">
        <v>47.23</v>
      </c>
      <c r="F97" s="137" t="n">
        <v>55.94</v>
      </c>
    </row>
    <row r="98">
      <c r="A98" t="n">
        <v>77</v>
      </c>
      <c r="B98" s="137" t="n">
        <v>29.6</v>
      </c>
      <c r="C98" s="137" t="n">
        <v>35.99</v>
      </c>
      <c r="D98" s="137" t="n">
        <v>41.2</v>
      </c>
      <c r="E98" s="137" t="n">
        <v>47.07</v>
      </c>
      <c r="F98" s="137" t="n">
        <v>56.37</v>
      </c>
    </row>
    <row r="99">
      <c r="A99" t="n">
        <v>78</v>
      </c>
      <c r="B99" s="137" t="n">
        <v>29.54</v>
      </c>
      <c r="C99" s="137" t="n">
        <v>35.77</v>
      </c>
      <c r="D99" s="137" t="n">
        <v>41.15</v>
      </c>
      <c r="E99" s="137" t="n">
        <v>47.37</v>
      </c>
      <c r="F99" s="137" t="n">
        <v>56.37</v>
      </c>
    </row>
    <row r="100">
      <c r="A100" t="n">
        <v>79</v>
      </c>
      <c r="B100" s="137" t="n">
        <v>29.42</v>
      </c>
      <c r="C100" s="137" t="n">
        <v>35.79</v>
      </c>
      <c r="D100" s="137" t="n">
        <v>41.14</v>
      </c>
      <c r="E100" s="137" t="n">
        <v>47.47</v>
      </c>
      <c r="F100" s="137" t="n">
        <v>56.35</v>
      </c>
    </row>
    <row r="101">
      <c r="A101" t="n">
        <v>80</v>
      </c>
      <c r="B101" s="137" t="n">
        <v>29.32</v>
      </c>
      <c r="C101" s="137" t="n">
        <v>35.69</v>
      </c>
      <c r="D101" s="137" t="n">
        <v>41.08</v>
      </c>
      <c r="E101" s="137" t="n">
        <v>47.68</v>
      </c>
      <c r="F101" s="137" t="n">
        <v>56.65</v>
      </c>
    </row>
    <row r="102">
      <c r="A102" t="n">
        <v>81</v>
      </c>
      <c r="B102" s="137" t="n">
        <v>29.08</v>
      </c>
      <c r="C102" s="137" t="n">
        <v>35.84</v>
      </c>
      <c r="D102" s="137" t="n">
        <v>40.91</v>
      </c>
      <c r="E102" s="137" t="n">
        <v>47.46</v>
      </c>
      <c r="F102" s="137" t="n">
        <v>56.01</v>
      </c>
    </row>
    <row r="103">
      <c r="A103" t="n">
        <v>82</v>
      </c>
      <c r="B103" s="137" t="n">
        <v>29.03</v>
      </c>
      <c r="C103" s="137" t="n">
        <v>35.76</v>
      </c>
      <c r="D103" s="137" t="n">
        <v>40.95</v>
      </c>
      <c r="E103" s="137" t="n">
        <v>47.71</v>
      </c>
      <c r="F103" s="137" t="n">
        <v>55.99</v>
      </c>
    </row>
    <row r="104">
      <c r="A104" t="n">
        <v>83</v>
      </c>
      <c r="B104" s="137" t="n">
        <v>28.7</v>
      </c>
      <c r="C104" s="137" t="n">
        <v>35.59</v>
      </c>
      <c r="D104" s="137" t="n">
        <v>40.96</v>
      </c>
      <c r="E104" s="137" t="n">
        <v>47.65</v>
      </c>
      <c r="F104" s="137" t="n">
        <v>56.43</v>
      </c>
    </row>
    <row r="105">
      <c r="A105" t="n">
        <v>84</v>
      </c>
      <c r="B105" s="137" t="n">
        <v>28.82</v>
      </c>
      <c r="C105" s="137" t="n">
        <v>35.57</v>
      </c>
      <c r="D105" s="137" t="n">
        <v>41.07</v>
      </c>
      <c r="E105" s="137" t="n">
        <v>47.8</v>
      </c>
      <c r="F105" s="137" t="n">
        <v>56.48</v>
      </c>
    </row>
    <row r="106">
      <c r="A106" t="n">
        <v>85</v>
      </c>
      <c r="B106" s="137" t="n">
        <v>28.98</v>
      </c>
      <c r="C106" s="137" t="n">
        <v>35.81</v>
      </c>
      <c r="D106" s="137" t="n">
        <v>41.07</v>
      </c>
      <c r="E106" s="137" t="n">
        <v>47.67</v>
      </c>
      <c r="F106" s="137" t="n">
        <v>57.1</v>
      </c>
    </row>
    <row r="107">
      <c r="A107" t="n">
        <v>86</v>
      </c>
      <c r="B107" s="137" t="n">
        <v>28.72</v>
      </c>
      <c r="C107" s="137" t="n">
        <v>35.68</v>
      </c>
      <c r="D107" s="137" t="n">
        <v>41.05</v>
      </c>
      <c r="E107" s="137" t="n">
        <v>47.58</v>
      </c>
      <c r="F107" s="137" t="n">
        <v>56.99</v>
      </c>
    </row>
    <row r="108">
      <c r="A108" t="n">
        <v>87</v>
      </c>
      <c r="B108" s="137" t="n">
        <v>28.62</v>
      </c>
      <c r="C108" s="137" t="n">
        <v>35.49</v>
      </c>
      <c r="D108" s="137" t="n">
        <v>41.05</v>
      </c>
      <c r="E108" s="137" t="n">
        <v>47.96</v>
      </c>
      <c r="F108" s="137" t="n">
        <v>57.52</v>
      </c>
    </row>
    <row r="109">
      <c r="A109" t="n">
        <v>88</v>
      </c>
      <c r="B109" s="137" t="n">
        <v>28.46</v>
      </c>
      <c r="C109" s="137" t="n">
        <v>35.47</v>
      </c>
      <c r="D109" s="137" t="n">
        <v>41.15</v>
      </c>
      <c r="E109" s="137" t="n">
        <v>48.25</v>
      </c>
      <c r="F109" s="137" t="n">
        <v>57.88</v>
      </c>
    </row>
    <row r="110">
      <c r="A110" t="n">
        <v>89</v>
      </c>
      <c r="B110" s="137" t="n">
        <v>28.71</v>
      </c>
      <c r="C110" s="137" t="n">
        <v>35.39</v>
      </c>
      <c r="D110" s="137" t="n">
        <v>41.16</v>
      </c>
      <c r="E110" s="137" t="n">
        <v>48.25</v>
      </c>
      <c r="F110" s="137" t="n">
        <v>57.94</v>
      </c>
    </row>
    <row r="111">
      <c r="A111" t="n">
        <v>90</v>
      </c>
      <c r="B111" s="137" t="n">
        <v>28.66</v>
      </c>
      <c r="C111" s="137" t="n">
        <v>35.48</v>
      </c>
      <c r="D111" s="137" t="n">
        <v>41.14</v>
      </c>
      <c r="E111" s="137" t="n">
        <v>48.33</v>
      </c>
      <c r="F111" s="137" t="n">
        <v>58.16</v>
      </c>
    </row>
    <row r="112">
      <c r="A112" t="n">
        <v>91</v>
      </c>
      <c r="B112" s="137" t="n">
        <v>28.73</v>
      </c>
      <c r="C112" s="137" t="n">
        <v>35.35</v>
      </c>
      <c r="D112" s="137" t="n">
        <v>41.13</v>
      </c>
      <c r="E112" s="137" t="n">
        <v>48.26</v>
      </c>
      <c r="F112" s="137" t="n">
        <v>58.38</v>
      </c>
    </row>
    <row r="113">
      <c r="A113" t="n">
        <v>92</v>
      </c>
      <c r="B113" s="137" t="n">
        <v>28.51</v>
      </c>
      <c r="C113" s="137" t="n">
        <v>35.3</v>
      </c>
      <c r="D113" s="137" t="n">
        <v>41.15</v>
      </c>
      <c r="E113" s="137" t="n">
        <v>48.16</v>
      </c>
      <c r="F113" s="137" t="n">
        <v>58.83</v>
      </c>
    </row>
    <row r="114">
      <c r="A114" t="n">
        <v>93</v>
      </c>
      <c r="B114" s="137" t="n">
        <v>28.61</v>
      </c>
      <c r="C114" s="137" t="n">
        <v>35.32</v>
      </c>
      <c r="D114" s="137" t="n">
        <v>41.15</v>
      </c>
      <c r="E114" s="137" t="n">
        <v>48.31</v>
      </c>
      <c r="F114" s="137" t="n">
        <v>58.55</v>
      </c>
    </row>
    <row r="115">
      <c r="A115" t="n">
        <v>94</v>
      </c>
      <c r="B115" s="137" t="n">
        <v>28.14</v>
      </c>
      <c r="C115" s="137" t="n">
        <v>35.24</v>
      </c>
      <c r="D115" s="137" t="n">
        <v>41.33</v>
      </c>
      <c r="E115" s="137" t="n">
        <v>48.23</v>
      </c>
      <c r="F115" s="137" t="n">
        <v>58.64</v>
      </c>
    </row>
    <row r="116">
      <c r="A116" t="n">
        <v>95</v>
      </c>
      <c r="B116" s="137" t="n">
        <v>27.99</v>
      </c>
      <c r="C116" s="137" t="n">
        <v>35.2</v>
      </c>
      <c r="D116" s="137" t="n">
        <v>41.46</v>
      </c>
      <c r="E116" s="137" t="n">
        <v>48.52</v>
      </c>
      <c r="F116" s="137" t="n">
        <v>58.2</v>
      </c>
    </row>
    <row r="117">
      <c r="A117" t="n">
        <v>96</v>
      </c>
      <c r="B117" s="137" t="n">
        <v>27.87</v>
      </c>
      <c r="C117" s="137" t="n">
        <v>35.11</v>
      </c>
      <c r="D117" s="137" t="n">
        <v>41.37</v>
      </c>
      <c r="E117" s="137" t="n">
        <v>48.27</v>
      </c>
      <c r="F117" s="137" t="n">
        <v>58.23</v>
      </c>
    </row>
    <row r="118">
      <c r="A118" t="n">
        <v>97</v>
      </c>
      <c r="B118" s="137" t="n">
        <v>28.18</v>
      </c>
      <c r="C118" s="137" t="n">
        <v>35.25</v>
      </c>
      <c r="D118" s="137" t="n">
        <v>41.3</v>
      </c>
      <c r="E118" s="137" t="n">
        <v>48.41</v>
      </c>
      <c r="F118" s="137" t="n">
        <v>58.54</v>
      </c>
    </row>
    <row r="119">
      <c r="A119" t="n">
        <v>98</v>
      </c>
      <c r="B119" s="137" t="n">
        <v>27.87</v>
      </c>
      <c r="C119" s="137" t="n">
        <v>35.2</v>
      </c>
      <c r="D119" s="137" t="n">
        <v>41.19</v>
      </c>
      <c r="E119" s="137" t="n">
        <v>48.37</v>
      </c>
      <c r="F119" s="137" t="n">
        <v>58.23</v>
      </c>
    </row>
    <row r="120">
      <c r="A120" t="n">
        <v>99</v>
      </c>
      <c r="B120" s="137" t="n">
        <v>27.69</v>
      </c>
      <c r="C120" s="137" t="n">
        <v>35.03</v>
      </c>
      <c r="D120" s="137" t="n">
        <v>41.11</v>
      </c>
      <c r="E120" s="137" t="n">
        <v>48.48</v>
      </c>
      <c r="F120" s="137" t="n">
        <v>58.47</v>
      </c>
    </row>
    <row r="121">
      <c r="A121" t="n">
        <v>100</v>
      </c>
      <c r="B121" s="137" t="n">
        <v>27.7</v>
      </c>
      <c r="C121" s="137" t="n">
        <v>35.01</v>
      </c>
      <c r="D121" s="137" t="n">
        <v>41.13</v>
      </c>
      <c r="E121" s="137" t="n">
        <v>48.36</v>
      </c>
      <c r="F121" s="137" t="n">
        <v>58.45</v>
      </c>
    </row>
    <row r="122">
      <c r="A122" t="n">
        <v>101</v>
      </c>
      <c r="B122" s="137" t="n">
        <v>27.57</v>
      </c>
      <c r="C122" s="137" t="n">
        <v>34.97</v>
      </c>
      <c r="D122" s="137" t="n">
        <v>41.13</v>
      </c>
      <c r="E122" s="137" t="n">
        <v>48.48</v>
      </c>
      <c r="F122" s="137" t="n">
        <v>59.05</v>
      </c>
    </row>
    <row r="123">
      <c r="A123" t="n">
        <v>102</v>
      </c>
      <c r="B123" s="137" t="n">
        <v>27.54</v>
      </c>
      <c r="C123" s="137" t="n">
        <v>35.01</v>
      </c>
      <c r="D123" s="137" t="n">
        <v>40.96</v>
      </c>
      <c r="E123" s="137" t="n">
        <v>48.36</v>
      </c>
      <c r="F123" s="137" t="n">
        <v>59.06</v>
      </c>
    </row>
    <row r="124">
      <c r="A124" t="n">
        <v>103</v>
      </c>
      <c r="B124" s="137" t="n">
        <v>27.64</v>
      </c>
      <c r="C124" s="137" t="n">
        <v>34.99</v>
      </c>
      <c r="D124" s="137" t="n">
        <v>40.84</v>
      </c>
      <c r="E124" s="137" t="n">
        <v>48.41</v>
      </c>
      <c r="F124" s="137" t="n">
        <v>59.92</v>
      </c>
    </row>
    <row r="125">
      <c r="A125" t="n">
        <v>104</v>
      </c>
      <c r="B125" s="137" t="n">
        <v>27.43</v>
      </c>
      <c r="C125" s="137" t="n">
        <v>34.96</v>
      </c>
      <c r="D125" s="137" t="n">
        <v>41.11</v>
      </c>
      <c r="E125" s="137" t="n">
        <v>48.32</v>
      </c>
      <c r="F125" s="137" t="n">
        <v>60.07</v>
      </c>
    </row>
    <row r="126">
      <c r="A126" t="n">
        <v>105</v>
      </c>
      <c r="B126" s="137" t="n">
        <v>27.25</v>
      </c>
      <c r="C126" s="137" t="n">
        <v>34.91</v>
      </c>
      <c r="D126" s="137" t="n">
        <v>41.1</v>
      </c>
      <c r="E126" s="137" t="n">
        <v>48.41</v>
      </c>
      <c r="F126" s="137" t="n">
        <v>59.94</v>
      </c>
    </row>
    <row r="127">
      <c r="A127" t="n">
        <v>106</v>
      </c>
      <c r="B127" s="137" t="n">
        <v>27.38</v>
      </c>
      <c r="C127" s="137" t="n">
        <v>34.98</v>
      </c>
      <c r="D127" s="137" t="n">
        <v>41.14</v>
      </c>
      <c r="E127" s="137" t="n">
        <v>48.25</v>
      </c>
      <c r="F127" s="137" t="n">
        <v>59.77</v>
      </c>
    </row>
    <row r="128">
      <c r="A128" t="n">
        <v>107</v>
      </c>
      <c r="B128" s="137" t="n">
        <v>27.21</v>
      </c>
      <c r="C128" s="137" t="n">
        <v>35.09</v>
      </c>
      <c r="D128" s="137" t="n">
        <v>41.19</v>
      </c>
      <c r="E128" s="137" t="n">
        <v>48.09</v>
      </c>
      <c r="F128" s="137" t="n">
        <v>60.08</v>
      </c>
    </row>
    <row r="129">
      <c r="A129" t="n">
        <v>108</v>
      </c>
      <c r="B129" s="137" t="n">
        <v>27.15</v>
      </c>
      <c r="C129" s="137" t="n">
        <v>35.22</v>
      </c>
      <c r="D129" s="137" t="n">
        <v>41.27</v>
      </c>
      <c r="E129" s="137" t="n">
        <v>48.28</v>
      </c>
      <c r="F129" s="137" t="n">
        <v>59.49</v>
      </c>
    </row>
    <row r="130">
      <c r="A130" t="n">
        <v>109</v>
      </c>
      <c r="B130" s="137" t="n">
        <v>27.06</v>
      </c>
      <c r="C130" s="137" t="n">
        <v>35.3</v>
      </c>
      <c r="D130" s="137" t="n">
        <v>41.12</v>
      </c>
      <c r="E130" s="137" t="n">
        <v>48.23</v>
      </c>
      <c r="F130" s="137" t="n">
        <v>60.21</v>
      </c>
    </row>
    <row r="131">
      <c r="A131" t="n">
        <v>110</v>
      </c>
      <c r="B131" s="137" t="n">
        <v>26.98</v>
      </c>
      <c r="C131" s="137" t="n">
        <v>35.11</v>
      </c>
      <c r="D131" s="137" t="n">
        <v>41.11</v>
      </c>
      <c r="E131" s="137" t="n">
        <v>48.36</v>
      </c>
      <c r="F131" s="137" t="n">
        <v>60.6</v>
      </c>
    </row>
    <row r="132">
      <c r="A132" t="n">
        <v>111</v>
      </c>
      <c r="B132" s="137" t="n">
        <v>26.97</v>
      </c>
      <c r="C132" s="137" t="n">
        <v>35.08</v>
      </c>
      <c r="D132" s="137" t="n">
        <v>41.13</v>
      </c>
      <c r="E132" s="137" t="n">
        <v>48.34</v>
      </c>
      <c r="F132" s="137" t="n">
        <v>60.72</v>
      </c>
    </row>
    <row r="133">
      <c r="A133" t="n">
        <v>112</v>
      </c>
      <c r="B133" s="137" t="n">
        <v>26.99</v>
      </c>
      <c r="C133" s="137" t="n">
        <v>35.15</v>
      </c>
      <c r="D133" s="137" t="n">
        <v>41.14</v>
      </c>
      <c r="E133" s="137" t="n">
        <v>48.41</v>
      </c>
      <c r="F133" s="137" t="n">
        <v>60</v>
      </c>
    </row>
    <row r="134">
      <c r="A134" t="n">
        <v>113</v>
      </c>
      <c r="B134" s="137" t="n">
        <v>27.12</v>
      </c>
      <c r="C134" s="137" t="n">
        <v>35.01</v>
      </c>
      <c r="D134" s="137" t="n">
        <v>41.42</v>
      </c>
      <c r="E134" s="137" t="n">
        <v>48.38</v>
      </c>
      <c r="F134" s="137" t="n">
        <v>61.36</v>
      </c>
    </row>
    <row r="135">
      <c r="A135" t="n">
        <v>114</v>
      </c>
      <c r="B135" s="137" t="n">
        <v>26.87</v>
      </c>
      <c r="C135" s="137" t="n">
        <v>35.04</v>
      </c>
      <c r="D135" s="137" t="n">
        <v>41.2</v>
      </c>
      <c r="E135" s="137" t="n">
        <v>48.49</v>
      </c>
      <c r="F135" s="137" t="n">
        <v>61.48</v>
      </c>
    </row>
    <row r="136">
      <c r="A136" t="n">
        <v>115</v>
      </c>
      <c r="B136" s="137" t="n">
        <v>26.62</v>
      </c>
      <c r="C136" s="137" t="n">
        <v>34.97</v>
      </c>
      <c r="D136" s="137" t="n">
        <v>41.24</v>
      </c>
      <c r="E136" s="137" t="n">
        <v>48.46</v>
      </c>
      <c r="F136" s="137" t="n">
        <v>61.38</v>
      </c>
    </row>
    <row r="137">
      <c r="A137" t="n">
        <v>116</v>
      </c>
      <c r="B137" s="137" t="n">
        <v>26.74</v>
      </c>
      <c r="C137" s="137" t="n">
        <v>34.84</v>
      </c>
      <c r="D137" s="137" t="n">
        <v>41.38</v>
      </c>
      <c r="E137" s="137" t="n">
        <v>48.55</v>
      </c>
      <c r="F137" s="137" t="n">
        <v>61.82</v>
      </c>
    </row>
    <row r="138">
      <c r="A138" t="n">
        <v>117</v>
      </c>
      <c r="B138" s="137" t="n">
        <v>26.55</v>
      </c>
      <c r="C138" s="137" t="n">
        <v>34.98</v>
      </c>
      <c r="D138" s="137" t="n">
        <v>41.46</v>
      </c>
      <c r="E138" s="137" t="n">
        <v>49.11</v>
      </c>
      <c r="F138" s="137" t="n">
        <v>61.67</v>
      </c>
    </row>
    <row r="139">
      <c r="A139" t="n">
        <v>118</v>
      </c>
      <c r="B139" s="137" t="n">
        <v>26.3</v>
      </c>
      <c r="C139" s="137" t="n">
        <v>34.92</v>
      </c>
      <c r="D139" s="137" t="n">
        <v>41.27</v>
      </c>
      <c r="E139" s="137" t="n">
        <v>48.82</v>
      </c>
      <c r="F139" s="137" t="n">
        <v>61.31</v>
      </c>
    </row>
    <row r="140">
      <c r="A140" t="n">
        <v>119</v>
      </c>
      <c r="B140" s="137" t="n">
        <v>26.6</v>
      </c>
      <c r="C140" s="137" t="n">
        <v>34.79</v>
      </c>
      <c r="D140" s="137" t="n">
        <v>41.08</v>
      </c>
      <c r="E140" s="137" t="n">
        <v>49</v>
      </c>
      <c r="F140" s="137" t="n">
        <v>62.9</v>
      </c>
    </row>
    <row r="141">
      <c r="A141" t="n">
        <v>120</v>
      </c>
      <c r="B141" s="137" t="n">
        <v>26.36</v>
      </c>
      <c r="C141" s="137" t="n">
        <v>34.6</v>
      </c>
      <c r="D141" s="137" t="n">
        <v>41.18</v>
      </c>
      <c r="E141" s="137" t="n">
        <v>49.05</v>
      </c>
      <c r="F141" s="137" t="n">
        <v>62.15</v>
      </c>
    </row>
    <row r="142">
      <c r="A142" t="n">
        <v>121</v>
      </c>
      <c r="B142" s="137" t="n">
        <v>26.13</v>
      </c>
      <c r="C142" s="137" t="n">
        <v>34.46</v>
      </c>
      <c r="D142" s="137" t="n">
        <v>41.19</v>
      </c>
      <c r="E142" s="137" t="n">
        <v>49.18</v>
      </c>
      <c r="F142" s="137" t="n">
        <v>62.16</v>
      </c>
    </row>
    <row r="143">
      <c r="A143" t="n">
        <v>122</v>
      </c>
      <c r="B143" s="137" t="n">
        <v>26.24</v>
      </c>
      <c r="C143" s="137" t="n">
        <v>34.56</v>
      </c>
      <c r="D143" s="137" t="n">
        <v>41.25</v>
      </c>
      <c r="E143" s="137" t="n">
        <v>49.15</v>
      </c>
      <c r="F143" s="137" t="n">
        <v>62.04</v>
      </c>
    </row>
    <row r="144">
      <c r="A144" t="n">
        <v>123</v>
      </c>
      <c r="B144" s="137" t="n">
        <v>26.21</v>
      </c>
      <c r="C144" s="137" t="n">
        <v>34.55</v>
      </c>
      <c r="D144" s="137" t="n">
        <v>41.19</v>
      </c>
      <c r="E144" s="137" t="n">
        <v>49.11</v>
      </c>
      <c r="F144" s="137" t="n">
        <v>62.45</v>
      </c>
    </row>
    <row r="145">
      <c r="A145" t="n">
        <v>124</v>
      </c>
      <c r="B145" s="137" t="n">
        <v>26.08</v>
      </c>
      <c r="C145" s="137" t="n">
        <v>34.45</v>
      </c>
      <c r="D145" s="137" t="n">
        <v>41.22</v>
      </c>
      <c r="E145" s="137" t="n">
        <v>49.17</v>
      </c>
      <c r="F145" s="137" t="n">
        <v>62.56</v>
      </c>
    </row>
    <row r="146">
      <c r="A146" t="n">
        <v>125</v>
      </c>
      <c r="B146" s="137" t="n">
        <v>25.84</v>
      </c>
      <c r="C146" s="137" t="n">
        <v>34.58</v>
      </c>
      <c r="D146" s="137" t="n">
        <v>41.29</v>
      </c>
      <c r="E146" s="137" t="n">
        <v>49.32</v>
      </c>
      <c r="F146" s="137" t="n">
        <v>63</v>
      </c>
    </row>
    <row r="147">
      <c r="A147" t="n">
        <v>126</v>
      </c>
      <c r="B147" s="137" t="n">
        <v>26.19</v>
      </c>
      <c r="C147" s="137" t="n">
        <v>34.35</v>
      </c>
      <c r="D147" s="137" t="n">
        <v>41.42</v>
      </c>
      <c r="E147" s="137" t="n">
        <v>49.64</v>
      </c>
      <c r="F147" s="137" t="n">
        <v>63.21</v>
      </c>
    </row>
    <row r="148">
      <c r="A148" t="n">
        <v>127</v>
      </c>
      <c r="B148" s="137" t="n">
        <v>26.09</v>
      </c>
      <c r="C148" s="137" t="n">
        <v>34.31</v>
      </c>
      <c r="D148" s="137" t="n">
        <v>41.28</v>
      </c>
      <c r="E148" s="137" t="n">
        <v>49.83</v>
      </c>
      <c r="F148" s="137" t="n">
        <v>63.48</v>
      </c>
    </row>
    <row r="149">
      <c r="A149" t="n">
        <v>128</v>
      </c>
      <c r="B149" s="137" t="n">
        <v>26.09</v>
      </c>
      <c r="C149" s="137" t="n">
        <v>34.22</v>
      </c>
      <c r="D149" s="137" t="n">
        <v>41.03</v>
      </c>
      <c r="E149" s="137" t="n">
        <v>49.64</v>
      </c>
      <c r="F149" s="137" t="n">
        <v>63.03</v>
      </c>
    </row>
    <row r="150">
      <c r="A150" t="n">
        <v>129</v>
      </c>
      <c r="B150" s="137" t="n">
        <v>26.06</v>
      </c>
      <c r="C150" s="137" t="n">
        <v>34.12</v>
      </c>
      <c r="D150" s="137" t="n">
        <v>41.21</v>
      </c>
      <c r="E150" s="137" t="n">
        <v>49.68</v>
      </c>
      <c r="F150" s="137" t="n">
        <v>62.86</v>
      </c>
    </row>
    <row r="151">
      <c r="A151" t="n">
        <v>130</v>
      </c>
      <c r="B151" s="137" t="n">
        <v>26.02</v>
      </c>
      <c r="C151" s="137" t="n">
        <v>34.2</v>
      </c>
      <c r="D151" s="137" t="n">
        <v>41.22</v>
      </c>
      <c r="E151" s="137" t="n">
        <v>49.35</v>
      </c>
      <c r="F151" s="137" t="n">
        <v>63.01</v>
      </c>
    </row>
    <row r="152">
      <c r="A152" t="n">
        <v>131</v>
      </c>
      <c r="B152" s="137" t="n">
        <v>26.22</v>
      </c>
      <c r="C152" s="137" t="n">
        <v>34.04</v>
      </c>
      <c r="D152" s="137" t="n">
        <v>41.49</v>
      </c>
      <c r="E152" s="137" t="n">
        <v>49.48</v>
      </c>
      <c r="F152" s="137" t="n">
        <v>62.56</v>
      </c>
    </row>
    <row r="153">
      <c r="A153" t="n">
        <v>132</v>
      </c>
      <c r="B153" s="137" t="n">
        <v>26.44</v>
      </c>
      <c r="C153" s="137" t="n">
        <v>34.02</v>
      </c>
      <c r="D153" s="137" t="n">
        <v>41.24</v>
      </c>
      <c r="E153" s="137" t="n">
        <v>49.44</v>
      </c>
      <c r="F153" s="137" t="n">
        <v>63.52</v>
      </c>
    </row>
    <row r="154">
      <c r="A154" t="n">
        <v>133</v>
      </c>
      <c r="B154" s="137" t="n">
        <v>26.25</v>
      </c>
      <c r="C154" s="137" t="n">
        <v>34.09</v>
      </c>
      <c r="D154" s="137" t="n">
        <v>41.27</v>
      </c>
      <c r="E154" s="137" t="n">
        <v>49.34</v>
      </c>
      <c r="F154" s="137" t="n">
        <v>63.46</v>
      </c>
    </row>
    <row r="155">
      <c r="A155" t="n">
        <v>134</v>
      </c>
      <c r="B155" s="137" t="n">
        <v>25.94</v>
      </c>
      <c r="C155" s="137" t="n">
        <v>34.17</v>
      </c>
      <c r="D155" s="137" t="n">
        <v>41.31</v>
      </c>
      <c r="E155" s="137" t="n">
        <v>49.16</v>
      </c>
      <c r="F155" s="137" t="n">
        <v>64.12</v>
      </c>
    </row>
    <row r="156">
      <c r="A156" t="n">
        <v>135</v>
      </c>
      <c r="B156" s="137" t="n">
        <v>26.02</v>
      </c>
      <c r="C156" s="137" t="n">
        <v>34.18</v>
      </c>
      <c r="D156" s="137" t="n">
        <v>41.42</v>
      </c>
      <c r="E156" s="137" t="n">
        <v>49.35</v>
      </c>
      <c r="F156" s="137" t="n">
        <v>64</v>
      </c>
    </row>
    <row r="157">
      <c r="A157" t="n">
        <v>136</v>
      </c>
      <c r="B157" s="137" t="n">
        <v>25.91</v>
      </c>
      <c r="C157" s="137" t="n">
        <v>34.23</v>
      </c>
      <c r="D157" s="137" t="n">
        <v>41.5</v>
      </c>
      <c r="E157" s="137" t="n">
        <v>49.53</v>
      </c>
      <c r="F157" s="137" t="n">
        <v>64.11</v>
      </c>
    </row>
    <row r="158">
      <c r="A158" t="n">
        <v>137</v>
      </c>
      <c r="B158" s="137" t="n">
        <v>25.67</v>
      </c>
      <c r="C158" s="137" t="n">
        <v>34.19</v>
      </c>
      <c r="D158" s="137" t="n">
        <v>41.44</v>
      </c>
      <c r="E158" s="137" t="n">
        <v>49.57</v>
      </c>
      <c r="F158" s="137" t="n">
        <v>64.63</v>
      </c>
    </row>
    <row r="159">
      <c r="A159" t="n">
        <v>138</v>
      </c>
      <c r="B159" s="137" t="n">
        <v>25.84</v>
      </c>
      <c r="C159" s="137" t="n">
        <v>34.32</v>
      </c>
      <c r="D159" s="137" t="n">
        <v>41.36</v>
      </c>
      <c r="E159" s="137" t="n">
        <v>49.52</v>
      </c>
      <c r="F159" s="137" t="n">
        <v>64.87</v>
      </c>
    </row>
    <row r="160">
      <c r="A160" t="n">
        <v>139</v>
      </c>
      <c r="B160" s="137" t="n">
        <v>25.87</v>
      </c>
      <c r="C160" s="137" t="n">
        <v>34.03</v>
      </c>
      <c r="D160" s="137" t="n">
        <v>41.43</v>
      </c>
      <c r="E160" s="137" t="n">
        <v>49.51</v>
      </c>
      <c r="F160" s="137" t="n">
        <v>65.43000000000001</v>
      </c>
    </row>
    <row r="161">
      <c r="A161" t="n">
        <v>140</v>
      </c>
      <c r="B161" s="137" t="n">
        <v>25.96</v>
      </c>
      <c r="C161" s="137" t="n">
        <v>34.12</v>
      </c>
      <c r="D161" s="137" t="n">
        <v>41.53</v>
      </c>
      <c r="E161" s="137" t="n">
        <v>49.37</v>
      </c>
      <c r="F161" s="137" t="n">
        <v>65.40000000000001</v>
      </c>
    </row>
    <row r="162">
      <c r="A162" t="n">
        <v>141</v>
      </c>
      <c r="B162" s="137" t="n">
        <v>25.71</v>
      </c>
      <c r="C162" s="137" t="n">
        <v>33.96</v>
      </c>
      <c r="D162" s="137" t="n">
        <v>41.3</v>
      </c>
      <c r="E162" s="137" t="n">
        <v>49.33</v>
      </c>
      <c r="F162" s="137" t="n">
        <v>65.2</v>
      </c>
    </row>
    <row r="163">
      <c r="A163" t="n">
        <v>142</v>
      </c>
      <c r="B163" s="137" t="n">
        <v>25.69</v>
      </c>
      <c r="C163" s="137" t="n">
        <v>34.12</v>
      </c>
      <c r="D163" s="137" t="n">
        <v>41.42</v>
      </c>
      <c r="E163" s="137" t="n">
        <v>49.4</v>
      </c>
      <c r="F163" s="137" t="n">
        <v>65.05</v>
      </c>
    </row>
    <row r="164">
      <c r="A164" t="n">
        <v>143</v>
      </c>
      <c r="B164" s="137" t="n">
        <v>25.88</v>
      </c>
      <c r="C164" s="137" t="n">
        <v>34.04</v>
      </c>
      <c r="D164" s="137" t="n">
        <v>41.59</v>
      </c>
      <c r="E164" s="137" t="n">
        <v>49.4</v>
      </c>
      <c r="F164" s="137" t="n">
        <v>65.45</v>
      </c>
    </row>
    <row r="165">
      <c r="A165" t="n">
        <v>144</v>
      </c>
      <c r="B165" s="137" t="n">
        <v>25.86</v>
      </c>
      <c r="C165" s="137" t="n">
        <v>33.9</v>
      </c>
      <c r="D165" s="137" t="n">
        <v>41.51</v>
      </c>
      <c r="E165" s="137" t="n">
        <v>49.48</v>
      </c>
      <c r="F165" s="137" t="n">
        <v>65.2</v>
      </c>
    </row>
    <row r="166">
      <c r="A166" t="n">
        <v>145</v>
      </c>
      <c r="B166" s="137" t="n">
        <v>25.72</v>
      </c>
      <c r="C166" s="137" t="n">
        <v>33.87</v>
      </c>
      <c r="D166" s="137" t="n">
        <v>41.46</v>
      </c>
      <c r="E166" s="137" t="n">
        <v>49.5</v>
      </c>
      <c r="F166" s="137" t="n">
        <v>64.77</v>
      </c>
    </row>
    <row r="167">
      <c r="A167" t="n">
        <v>146</v>
      </c>
      <c r="B167" s="137" t="n">
        <v>25.9</v>
      </c>
      <c r="C167" s="137" t="n">
        <v>33.97</v>
      </c>
      <c r="D167" s="137" t="n">
        <v>41.39</v>
      </c>
      <c r="E167" s="137" t="n">
        <v>49.72</v>
      </c>
      <c r="F167" s="137" t="n">
        <v>65.56</v>
      </c>
    </row>
    <row r="168">
      <c r="A168" t="n">
        <v>147</v>
      </c>
      <c r="B168" s="137" t="n">
        <v>25.85</v>
      </c>
      <c r="C168" s="137" t="n">
        <v>33.79</v>
      </c>
      <c r="D168" s="137" t="n">
        <v>41.35</v>
      </c>
      <c r="E168" s="137" t="n">
        <v>49.69</v>
      </c>
      <c r="F168" s="137" t="n">
        <v>66.33</v>
      </c>
    </row>
    <row r="169">
      <c r="A169" t="n">
        <v>148</v>
      </c>
      <c r="B169" s="137" t="n">
        <v>25.73</v>
      </c>
      <c r="C169" s="137" t="n">
        <v>34.03</v>
      </c>
      <c r="D169" s="137" t="n">
        <v>41.21</v>
      </c>
      <c r="E169" s="137" t="n">
        <v>49.63</v>
      </c>
      <c r="F169" s="137" t="n">
        <v>65.79000000000001</v>
      </c>
    </row>
    <row r="170">
      <c r="A170" t="n">
        <v>149</v>
      </c>
      <c r="B170" s="137" t="n">
        <v>25.83</v>
      </c>
      <c r="C170" s="137" t="n">
        <v>33.88</v>
      </c>
      <c r="D170" s="137" t="n">
        <v>41.22</v>
      </c>
      <c r="E170" s="137" t="n">
        <v>49.58</v>
      </c>
      <c r="F170" s="137" t="n">
        <v>66.19</v>
      </c>
    </row>
    <row r="171">
      <c r="A171" t="n">
        <v>150</v>
      </c>
      <c r="B171" s="137" t="n">
        <v>25.76</v>
      </c>
      <c r="C171" s="137" t="n">
        <v>33.7</v>
      </c>
      <c r="D171" s="137" t="n">
        <v>41.28</v>
      </c>
      <c r="E171" s="137" t="n">
        <v>49.41</v>
      </c>
      <c r="F171" s="137" t="n">
        <v>66.17</v>
      </c>
    </row>
    <row r="172">
      <c r="A172" t="n">
        <v>151</v>
      </c>
      <c r="B172" s="137" t="n">
        <v>25.87</v>
      </c>
      <c r="C172" s="137" t="n">
        <v>33.73</v>
      </c>
      <c r="D172" s="137" t="n">
        <v>41.38</v>
      </c>
      <c r="E172" s="137" t="n">
        <v>49.61</v>
      </c>
      <c r="F172" s="137" t="n">
        <v>66.27</v>
      </c>
    </row>
    <row r="173">
      <c r="A173" t="n">
        <v>152</v>
      </c>
      <c r="B173" s="137" t="n">
        <v>25.8</v>
      </c>
      <c r="C173" s="137" t="n">
        <v>33.59</v>
      </c>
      <c r="D173" s="137" t="n">
        <v>41.32</v>
      </c>
      <c r="E173" s="137" t="n">
        <v>49.62</v>
      </c>
      <c r="F173" s="137" t="n">
        <v>65.78</v>
      </c>
    </row>
    <row r="174">
      <c r="A174" t="n">
        <v>153</v>
      </c>
      <c r="B174" s="137" t="n">
        <v>25.69</v>
      </c>
      <c r="C174" s="137" t="n">
        <v>33.95</v>
      </c>
      <c r="D174" s="137" t="n">
        <v>41.44</v>
      </c>
      <c r="E174" s="137" t="n">
        <v>49.91</v>
      </c>
      <c r="F174" s="137" t="n">
        <v>66.14</v>
      </c>
    </row>
    <row r="175">
      <c r="A175" t="n">
        <v>154</v>
      </c>
      <c r="B175" s="137" t="n">
        <v>25.4</v>
      </c>
      <c r="C175" s="137" t="n">
        <v>33.92</v>
      </c>
      <c r="D175" s="137" t="n">
        <v>41.33</v>
      </c>
      <c r="E175" s="137" t="n">
        <v>50.37</v>
      </c>
      <c r="F175" s="137" t="n">
        <v>65.66</v>
      </c>
    </row>
    <row r="176">
      <c r="A176" t="n">
        <v>155</v>
      </c>
      <c r="B176" s="137" t="n">
        <v>25.37</v>
      </c>
      <c r="C176" s="137" t="n">
        <v>33.84</v>
      </c>
      <c r="D176" s="137" t="n">
        <v>41.12</v>
      </c>
      <c r="E176" s="137" t="n">
        <v>49.92</v>
      </c>
      <c r="F176" s="137" t="n">
        <v>66.39</v>
      </c>
    </row>
    <row r="177">
      <c r="A177" t="n">
        <v>156</v>
      </c>
      <c r="B177" s="137" t="n">
        <v>25.56</v>
      </c>
      <c r="C177" s="137" t="n">
        <v>33.65</v>
      </c>
      <c r="D177" s="137" t="n">
        <v>41.23</v>
      </c>
      <c r="E177" s="137" t="n">
        <v>50.27</v>
      </c>
      <c r="F177" s="137" t="n">
        <v>66.44</v>
      </c>
    </row>
    <row r="178">
      <c r="A178" t="n">
        <v>157</v>
      </c>
      <c r="B178" s="137" t="n">
        <v>25.55</v>
      </c>
      <c r="C178" s="137" t="n">
        <v>33.57</v>
      </c>
      <c r="D178" s="137" t="n">
        <v>40.85</v>
      </c>
      <c r="E178" s="137" t="n">
        <v>50.84</v>
      </c>
      <c r="F178" s="137" t="n">
        <v>66.29000000000001</v>
      </c>
    </row>
    <row r="179">
      <c r="A179" t="n">
        <v>158</v>
      </c>
      <c r="B179" s="137" t="n">
        <v>25.59</v>
      </c>
      <c r="C179" s="137" t="n">
        <v>33.55</v>
      </c>
      <c r="D179" s="137" t="n">
        <v>41.09</v>
      </c>
      <c r="E179" s="137" t="n">
        <v>50.71</v>
      </c>
      <c r="F179" s="137" t="n">
        <v>66.09999999999999</v>
      </c>
    </row>
    <row r="180">
      <c r="A180" t="n">
        <v>159</v>
      </c>
      <c r="B180" s="137" t="n">
        <v>25.71</v>
      </c>
      <c r="C180" s="137" t="n">
        <v>33.62</v>
      </c>
      <c r="D180" s="137" t="n">
        <v>41.22</v>
      </c>
      <c r="E180" s="137" t="n">
        <v>50.86</v>
      </c>
      <c r="F180" s="137" t="n">
        <v>66.12</v>
      </c>
    </row>
    <row r="181">
      <c r="A181" t="n">
        <v>160</v>
      </c>
      <c r="B181" s="137" t="n">
        <v>25.64</v>
      </c>
      <c r="C181" s="137" t="n">
        <v>33.61</v>
      </c>
      <c r="D181" s="137" t="n">
        <v>41.16</v>
      </c>
      <c r="E181" s="137" t="n">
        <v>50.85</v>
      </c>
      <c r="F181" s="137" t="n">
        <v>66.91</v>
      </c>
    </row>
    <row r="182">
      <c r="A182" t="n">
        <v>161</v>
      </c>
      <c r="B182" s="137" t="n">
        <v>25.56</v>
      </c>
      <c r="C182" s="137" t="n">
        <v>33.55</v>
      </c>
      <c r="D182" s="137" t="n">
        <v>41.07</v>
      </c>
      <c r="E182" s="137" t="n">
        <v>51.03</v>
      </c>
      <c r="F182" s="137" t="n">
        <v>66.79000000000001</v>
      </c>
    </row>
    <row r="183">
      <c r="A183" t="n">
        <v>162</v>
      </c>
      <c r="B183" s="137" t="n">
        <v>25.58</v>
      </c>
      <c r="C183" s="137" t="n">
        <v>33.37</v>
      </c>
      <c r="D183" s="137" t="n">
        <v>41.21</v>
      </c>
      <c r="E183" s="137" t="n">
        <v>50.8</v>
      </c>
      <c r="F183" s="137" t="n">
        <v>66.87</v>
      </c>
    </row>
    <row r="184">
      <c r="A184" t="n">
        <v>163</v>
      </c>
      <c r="B184" s="137" t="n">
        <v>25.46</v>
      </c>
      <c r="C184" s="137" t="n">
        <v>33.41</v>
      </c>
      <c r="D184" s="137" t="n">
        <v>41.2</v>
      </c>
      <c r="E184" s="137" t="n">
        <v>50.83</v>
      </c>
      <c r="F184" s="137" t="n">
        <v>66.97</v>
      </c>
    </row>
    <row r="185">
      <c r="A185" t="n">
        <v>164</v>
      </c>
      <c r="B185" s="137" t="n">
        <v>25.49</v>
      </c>
      <c r="C185" s="137" t="n">
        <v>33.6</v>
      </c>
      <c r="D185" s="137" t="n">
        <v>40.95</v>
      </c>
      <c r="E185" s="137" t="n">
        <v>51.14</v>
      </c>
      <c r="F185" s="137" t="n">
        <v>66.81</v>
      </c>
    </row>
    <row r="186">
      <c r="A186" t="n">
        <v>165</v>
      </c>
      <c r="B186" s="137" t="n">
        <v>25.4</v>
      </c>
      <c r="C186" s="137" t="n">
        <v>33.57</v>
      </c>
      <c r="D186" s="137" t="n">
        <v>41.08</v>
      </c>
      <c r="E186" s="137" t="n">
        <v>51.17</v>
      </c>
      <c r="F186" s="137" t="n">
        <v>68.17</v>
      </c>
    </row>
    <row r="187">
      <c r="A187" t="n">
        <v>166</v>
      </c>
      <c r="B187" s="137" t="n">
        <v>25.21</v>
      </c>
      <c r="C187" s="137" t="n">
        <v>33.81</v>
      </c>
      <c r="D187" s="137" t="n">
        <v>41.06</v>
      </c>
      <c r="E187" s="137" t="n">
        <v>51.13</v>
      </c>
      <c r="F187" s="137" t="n">
        <v>67.27</v>
      </c>
    </row>
    <row r="188">
      <c r="A188" t="n">
        <v>167</v>
      </c>
      <c r="B188" s="137" t="n">
        <v>25.24</v>
      </c>
      <c r="C188" s="137" t="n">
        <v>33.64</v>
      </c>
      <c r="D188" s="137" t="n">
        <v>41.18</v>
      </c>
      <c r="E188" s="137" t="n">
        <v>51.09</v>
      </c>
      <c r="F188" s="137" t="n">
        <v>67.39</v>
      </c>
    </row>
    <row r="189">
      <c r="A189" t="n">
        <v>168</v>
      </c>
      <c r="B189" s="137" t="n">
        <v>25.06</v>
      </c>
      <c r="C189" s="137" t="n">
        <v>33.62</v>
      </c>
      <c r="D189" s="137" t="n">
        <v>41.23</v>
      </c>
      <c r="E189" s="137" t="n">
        <v>51.1</v>
      </c>
      <c r="F189" s="137" t="n">
        <v>67.36</v>
      </c>
    </row>
    <row r="190">
      <c r="A190" t="n">
        <v>169</v>
      </c>
      <c r="B190" s="137" t="n">
        <v>25.01</v>
      </c>
      <c r="C190" s="137" t="n">
        <v>33.55</v>
      </c>
      <c r="D190" s="137" t="n">
        <v>41.34</v>
      </c>
      <c r="E190" s="137" t="n">
        <v>51.1</v>
      </c>
      <c r="F190" s="137" t="n">
        <v>67.89</v>
      </c>
    </row>
    <row r="191">
      <c r="A191" t="n">
        <v>170</v>
      </c>
      <c r="B191" s="137" t="n">
        <v>24.95</v>
      </c>
      <c r="C191" s="137" t="n">
        <v>33.58</v>
      </c>
      <c r="D191" s="137" t="n">
        <v>41.2</v>
      </c>
      <c r="E191" s="137" t="n">
        <v>51.17</v>
      </c>
      <c r="F191" s="137" t="n">
        <v>67.29000000000001</v>
      </c>
    </row>
    <row r="192">
      <c r="A192" t="n">
        <v>171</v>
      </c>
      <c r="B192" s="137" t="n">
        <v>24.85</v>
      </c>
      <c r="C192" s="137" t="n">
        <v>33.71</v>
      </c>
      <c r="D192" s="137" t="n">
        <v>41.21</v>
      </c>
      <c r="E192" s="137" t="n">
        <v>51.5</v>
      </c>
      <c r="F192" s="137" t="n">
        <v>67.15000000000001</v>
      </c>
    </row>
    <row r="193">
      <c r="A193" t="n">
        <v>172</v>
      </c>
      <c r="B193" s="137" t="n">
        <v>25.04</v>
      </c>
      <c r="C193" s="137" t="n">
        <v>33.93</v>
      </c>
      <c r="D193" s="137" t="n">
        <v>41.35</v>
      </c>
      <c r="E193" s="137" t="n">
        <v>51.57</v>
      </c>
      <c r="F193" s="137" t="n">
        <v>66.91</v>
      </c>
    </row>
    <row r="194">
      <c r="A194" t="n">
        <v>173</v>
      </c>
      <c r="B194" s="137" t="n">
        <v>24.99</v>
      </c>
      <c r="C194" s="137" t="n">
        <v>33.88</v>
      </c>
      <c r="D194" s="137" t="n">
        <v>41.25</v>
      </c>
      <c r="E194" s="137" t="n">
        <v>51.77</v>
      </c>
      <c r="F194" s="137" t="n">
        <v>67.19</v>
      </c>
    </row>
    <row r="195">
      <c r="A195" t="n">
        <v>174</v>
      </c>
      <c r="B195" s="137" t="n">
        <v>25.13</v>
      </c>
      <c r="C195" s="137" t="n">
        <v>33.75</v>
      </c>
      <c r="D195" s="137" t="n">
        <v>41.21</v>
      </c>
      <c r="E195" s="137" t="n">
        <v>51.76</v>
      </c>
      <c r="F195" s="137" t="n">
        <v>67.28</v>
      </c>
    </row>
    <row r="196">
      <c r="A196" t="n">
        <v>175</v>
      </c>
      <c r="B196" s="137" t="n">
        <v>25.07</v>
      </c>
      <c r="C196" s="137" t="n">
        <v>33.82</v>
      </c>
      <c r="D196" s="137" t="n">
        <v>41.28</v>
      </c>
      <c r="E196" s="137" t="n">
        <v>52.01</v>
      </c>
      <c r="F196" s="137" t="n">
        <v>68.92</v>
      </c>
    </row>
    <row r="197">
      <c r="A197" t="n">
        <v>176</v>
      </c>
      <c r="B197" s="137" t="n">
        <v>25.2</v>
      </c>
      <c r="C197" s="137" t="n">
        <v>33.89</v>
      </c>
      <c r="D197" s="137" t="n">
        <v>41.43</v>
      </c>
      <c r="E197" s="137" t="n">
        <v>52.05</v>
      </c>
      <c r="F197" s="137" t="n">
        <v>67.89</v>
      </c>
    </row>
    <row r="198">
      <c r="A198" t="n">
        <v>177</v>
      </c>
      <c r="B198" s="137" t="n">
        <v>25.52</v>
      </c>
      <c r="C198" s="137" t="n">
        <v>33.81</v>
      </c>
      <c r="D198" s="137" t="n">
        <v>41.47</v>
      </c>
      <c r="E198" s="137" t="n">
        <v>51.68</v>
      </c>
      <c r="F198" s="137" t="n">
        <v>68.84999999999999</v>
      </c>
    </row>
    <row r="199">
      <c r="A199" t="n">
        <v>178</v>
      </c>
      <c r="B199" s="137" t="n">
        <v>25.25</v>
      </c>
      <c r="C199" s="137" t="n">
        <v>33.72</v>
      </c>
      <c r="D199" s="137" t="n">
        <v>41.42</v>
      </c>
      <c r="E199" s="137" t="n">
        <v>51.9</v>
      </c>
      <c r="F199" s="137" t="n">
        <v>68.2</v>
      </c>
    </row>
    <row r="200">
      <c r="A200" t="n">
        <v>179</v>
      </c>
      <c r="B200" s="137" t="n">
        <v>25.33</v>
      </c>
      <c r="C200" s="137" t="n">
        <v>33.6</v>
      </c>
      <c r="D200" s="137" t="n">
        <v>41.54</v>
      </c>
      <c r="E200" s="137" t="n">
        <v>51.76</v>
      </c>
      <c r="F200" s="137" t="n">
        <v>69.29000000000001</v>
      </c>
    </row>
    <row r="201">
      <c r="A201" t="n">
        <v>180</v>
      </c>
      <c r="B201" s="137" t="n">
        <v>25.27</v>
      </c>
      <c r="C201" s="137" t="n">
        <v>33.66</v>
      </c>
      <c r="D201" s="137" t="n">
        <v>41.43</v>
      </c>
      <c r="E201" s="137" t="n">
        <v>51.8</v>
      </c>
      <c r="F201" s="137" t="n">
        <v>68.56</v>
      </c>
    </row>
    <row r="202">
      <c r="A202" t="n">
        <v>181</v>
      </c>
      <c r="B202" s="137" t="n">
        <v>25.35</v>
      </c>
      <c r="C202" s="137" t="n">
        <v>33.67</v>
      </c>
      <c r="D202" s="137" t="n">
        <v>41.59</v>
      </c>
      <c r="E202" s="137" t="n">
        <v>52.05</v>
      </c>
      <c r="F202" s="137" t="n">
        <v>68.98999999999999</v>
      </c>
    </row>
    <row r="203">
      <c r="A203" t="n">
        <v>182</v>
      </c>
      <c r="B203" s="137" t="n">
        <v>25.14</v>
      </c>
      <c r="C203" s="137" t="n">
        <v>33.62</v>
      </c>
      <c r="D203" s="137" t="n">
        <v>41.95</v>
      </c>
      <c r="E203" s="137" t="n">
        <v>51.87</v>
      </c>
      <c r="F203" s="137" t="n">
        <v>69.15000000000001</v>
      </c>
    </row>
    <row r="204">
      <c r="A204" t="n">
        <v>183</v>
      </c>
      <c r="B204" s="137" t="n">
        <v>25.15</v>
      </c>
      <c r="C204" s="137" t="n">
        <v>33.65</v>
      </c>
      <c r="D204" s="137" t="n">
        <v>41.98</v>
      </c>
      <c r="E204" s="137" t="n">
        <v>51.74</v>
      </c>
      <c r="F204" s="137" t="n">
        <v>69.22</v>
      </c>
    </row>
    <row r="205">
      <c r="A205" t="n">
        <v>184</v>
      </c>
      <c r="B205" s="137" t="n">
        <v>25.34</v>
      </c>
      <c r="C205" s="137" t="n">
        <v>33.57</v>
      </c>
      <c r="D205" s="137" t="n">
        <v>41.99</v>
      </c>
      <c r="E205" s="137" t="n">
        <v>51.74</v>
      </c>
      <c r="F205" s="137" t="n">
        <v>69.05</v>
      </c>
    </row>
    <row r="206">
      <c r="A206" t="n">
        <v>185</v>
      </c>
      <c r="B206" s="137" t="n">
        <v>25.38</v>
      </c>
      <c r="C206" s="137" t="n">
        <v>33.68</v>
      </c>
      <c r="D206" s="137" t="n">
        <v>42.05</v>
      </c>
      <c r="E206" s="137" t="n">
        <v>51.92</v>
      </c>
      <c r="F206" s="137" t="n">
        <v>69.06</v>
      </c>
    </row>
    <row r="207">
      <c r="A207" t="n">
        <v>186</v>
      </c>
      <c r="B207" s="137" t="n">
        <v>25.32</v>
      </c>
      <c r="C207" s="137" t="n">
        <v>33.42</v>
      </c>
      <c r="D207" s="137" t="n">
        <v>42.18</v>
      </c>
      <c r="E207" s="137" t="n">
        <v>52.06</v>
      </c>
      <c r="F207" s="137" t="n">
        <v>69.04000000000001</v>
      </c>
    </row>
    <row r="208">
      <c r="A208" t="n">
        <v>187</v>
      </c>
      <c r="B208" s="137" t="n">
        <v>24.97</v>
      </c>
      <c r="C208" s="137" t="n">
        <v>33.57</v>
      </c>
      <c r="D208" s="137" t="n">
        <v>42.36</v>
      </c>
      <c r="E208" s="137" t="n">
        <v>51.84</v>
      </c>
      <c r="F208" s="137" t="n">
        <v>69.75</v>
      </c>
    </row>
    <row r="209">
      <c r="A209" t="n">
        <v>188</v>
      </c>
      <c r="B209" s="137" t="n">
        <v>24.81</v>
      </c>
      <c r="C209" s="137" t="n">
        <v>33.58</v>
      </c>
      <c r="D209" s="137" t="n">
        <v>42.04</v>
      </c>
      <c r="E209" s="137" t="n">
        <v>51.85</v>
      </c>
      <c r="F209" s="137" t="n">
        <v>70.31</v>
      </c>
    </row>
    <row r="210">
      <c r="A210" t="n">
        <v>189</v>
      </c>
      <c r="B210" s="137" t="n">
        <v>24.72</v>
      </c>
      <c r="C210" s="137" t="n">
        <v>33.7</v>
      </c>
      <c r="D210" s="137" t="n">
        <v>41.97</v>
      </c>
      <c r="E210" s="137" t="n">
        <v>52.24</v>
      </c>
      <c r="F210" s="137" t="n">
        <v>69.79000000000001</v>
      </c>
    </row>
    <row r="211">
      <c r="A211" t="n">
        <v>190</v>
      </c>
      <c r="B211" s="137" t="n">
        <v>25.05</v>
      </c>
      <c r="C211" s="137" t="n">
        <v>33.67</v>
      </c>
      <c r="D211" s="137" t="n">
        <v>41.44</v>
      </c>
      <c r="E211" s="137" t="n">
        <v>51.77</v>
      </c>
      <c r="F211" s="137" t="n">
        <v>70.29000000000001</v>
      </c>
    </row>
    <row r="212">
      <c r="A212" t="n">
        <v>191</v>
      </c>
      <c r="B212" s="137" t="n">
        <v>24.78</v>
      </c>
      <c r="C212" s="137" t="n">
        <v>33.75</v>
      </c>
      <c r="D212" s="137" t="n">
        <v>41.58</v>
      </c>
      <c r="E212" s="137" t="n">
        <v>51.67</v>
      </c>
      <c r="F212" s="137" t="n">
        <v>71.09999999999999</v>
      </c>
    </row>
    <row r="213">
      <c r="A213" t="n">
        <v>192</v>
      </c>
      <c r="B213" s="137" t="n">
        <v>24.82</v>
      </c>
      <c r="C213" s="137" t="n">
        <v>33.71</v>
      </c>
      <c r="D213" s="137" t="n">
        <v>41.35</v>
      </c>
      <c r="E213" s="137" t="n">
        <v>51.36</v>
      </c>
      <c r="F213" s="137" t="n">
        <v>70.88</v>
      </c>
    </row>
    <row r="214">
      <c r="A214" t="n">
        <v>193</v>
      </c>
      <c r="B214" s="137" t="n">
        <v>25</v>
      </c>
      <c r="C214" s="137" t="n">
        <v>33.59</v>
      </c>
      <c r="D214" s="137" t="n">
        <v>41.63</v>
      </c>
      <c r="E214" s="137" t="n">
        <v>51.77</v>
      </c>
      <c r="F214" s="137" t="n">
        <v>71.23999999999999</v>
      </c>
    </row>
    <row r="215">
      <c r="A215" t="n">
        <v>194</v>
      </c>
      <c r="B215" s="137" t="n">
        <v>25</v>
      </c>
      <c r="C215" s="137" t="n">
        <v>33.43</v>
      </c>
      <c r="D215" s="137" t="n">
        <v>41.56</v>
      </c>
      <c r="E215" s="137" t="n">
        <v>51.58</v>
      </c>
      <c r="F215" s="137" t="n">
        <v>71.17</v>
      </c>
    </row>
    <row r="216">
      <c r="A216" t="n">
        <v>195</v>
      </c>
      <c r="B216" s="137" t="n">
        <v>24.87</v>
      </c>
      <c r="C216" s="137" t="n">
        <v>33.45</v>
      </c>
      <c r="D216" s="137" t="n">
        <v>41.53</v>
      </c>
      <c r="E216" s="137" t="n">
        <v>51.45</v>
      </c>
      <c r="F216" s="137" t="n">
        <v>71.5</v>
      </c>
    </row>
    <row r="217">
      <c r="A217" t="n">
        <v>196</v>
      </c>
      <c r="B217" s="137" t="n">
        <v>24.78</v>
      </c>
      <c r="C217" s="137" t="n">
        <v>33.27</v>
      </c>
      <c r="D217" s="137" t="n">
        <v>41.77</v>
      </c>
      <c r="E217" s="137" t="n">
        <v>51.86</v>
      </c>
      <c r="F217" s="137" t="n">
        <v>71.87</v>
      </c>
    </row>
    <row r="218">
      <c r="A218" t="n">
        <v>197</v>
      </c>
      <c r="B218" s="137" t="n">
        <v>24.96</v>
      </c>
      <c r="C218" s="137" t="n">
        <v>33.37</v>
      </c>
      <c r="D218" s="137" t="n">
        <v>41.58</v>
      </c>
      <c r="E218" s="137" t="n">
        <v>51.8</v>
      </c>
      <c r="F218" s="137" t="n">
        <v>72.40000000000001</v>
      </c>
    </row>
    <row r="219">
      <c r="A219" t="n">
        <v>198</v>
      </c>
      <c r="B219" s="137" t="n">
        <v>24.74</v>
      </c>
      <c r="C219" s="137" t="n">
        <v>33.59</v>
      </c>
      <c r="D219" s="137" t="n">
        <v>41.71</v>
      </c>
      <c r="E219" s="137" t="n">
        <v>51.86</v>
      </c>
      <c r="F219" s="137" t="n">
        <v>72.20999999999999</v>
      </c>
    </row>
    <row r="220">
      <c r="A220" t="n">
        <v>199</v>
      </c>
      <c r="B220" s="137" t="n">
        <v>24.97</v>
      </c>
      <c r="C220" s="137" t="n">
        <v>33.29</v>
      </c>
      <c r="D220" s="137" t="n">
        <v>41.69</v>
      </c>
      <c r="E220" s="137" t="n">
        <v>52.03</v>
      </c>
      <c r="F220" s="137" t="n">
        <v>72.05</v>
      </c>
    </row>
    <row r="221">
      <c r="A221" t="n">
        <v>200</v>
      </c>
      <c r="B221" s="137" t="n">
        <v>24.72</v>
      </c>
      <c r="C221" s="137" t="n">
        <v>33.25</v>
      </c>
      <c r="D221" s="137" t="n">
        <v>41.72</v>
      </c>
      <c r="E221" s="137" t="n">
        <v>51.89</v>
      </c>
      <c r="F221" s="137" t="n">
        <v>73.02</v>
      </c>
    </row>
    <row r="222">
      <c r="A222" t="n">
        <v>201</v>
      </c>
      <c r="B222" s="137" t="n">
        <v>24.82</v>
      </c>
      <c r="C222" s="137" t="n">
        <v>33.18</v>
      </c>
      <c r="D222" s="137" t="n">
        <v>41.64</v>
      </c>
      <c r="E222" s="137" t="n">
        <v>51.67</v>
      </c>
      <c r="F222" s="137" t="n">
        <v>72.59999999999999</v>
      </c>
    </row>
    <row r="223">
      <c r="A223" t="n">
        <v>202</v>
      </c>
      <c r="B223" s="137" t="n">
        <v>24.74</v>
      </c>
      <c r="C223" s="137" t="n">
        <v>33.08</v>
      </c>
      <c r="D223" s="137" t="n">
        <v>41.71</v>
      </c>
      <c r="E223" s="137" t="n">
        <v>51.69</v>
      </c>
      <c r="F223" s="137" t="n">
        <v>72.20999999999999</v>
      </c>
    </row>
    <row r="224">
      <c r="A224" t="n">
        <v>203</v>
      </c>
      <c r="B224" s="137" t="n">
        <v>24.75</v>
      </c>
      <c r="C224" s="137" t="n">
        <v>33.15</v>
      </c>
      <c r="D224" s="137" t="n">
        <v>41.63</v>
      </c>
      <c r="E224" s="137" t="n">
        <v>52.01</v>
      </c>
      <c r="F224" s="137" t="n">
        <v>71.59999999999999</v>
      </c>
    </row>
    <row r="225">
      <c r="A225" t="n">
        <v>204</v>
      </c>
      <c r="B225" s="137" t="n">
        <v>24.93</v>
      </c>
      <c r="C225" s="137" t="n">
        <v>33.2</v>
      </c>
      <c r="D225" s="137" t="n">
        <v>41.69</v>
      </c>
      <c r="E225" s="137" t="n">
        <v>51.65</v>
      </c>
      <c r="F225" s="137" t="n">
        <v>71.70999999999999</v>
      </c>
    </row>
    <row r="226">
      <c r="A226" t="n">
        <v>205</v>
      </c>
      <c r="B226" s="137" t="n">
        <v>24.96</v>
      </c>
      <c r="C226" s="137" t="n">
        <v>33.2</v>
      </c>
      <c r="D226" s="137" t="n">
        <v>41.79</v>
      </c>
      <c r="E226" s="137" t="n">
        <v>51.76</v>
      </c>
      <c r="F226" s="137" t="n">
        <v>72.08</v>
      </c>
    </row>
    <row r="227">
      <c r="A227" t="n">
        <v>206</v>
      </c>
      <c r="B227" s="137" t="n">
        <v>24.86</v>
      </c>
      <c r="C227" s="137" t="n">
        <v>33.32</v>
      </c>
      <c r="D227" s="137" t="n">
        <v>41.76</v>
      </c>
      <c r="E227" s="137" t="n">
        <v>51.67</v>
      </c>
      <c r="F227" s="137" t="n">
        <v>73</v>
      </c>
    </row>
    <row r="228">
      <c r="A228" t="n">
        <v>207</v>
      </c>
      <c r="B228" s="137" t="n">
        <v>24.59</v>
      </c>
      <c r="C228" s="137" t="n">
        <v>33.31</v>
      </c>
      <c r="D228" s="137" t="n">
        <v>42.1</v>
      </c>
      <c r="E228" s="137" t="n">
        <v>51.84</v>
      </c>
      <c r="F228" s="137" t="n">
        <v>73.06</v>
      </c>
    </row>
    <row r="229">
      <c r="A229" t="n">
        <v>208</v>
      </c>
      <c r="B229" s="137" t="n">
        <v>24.61</v>
      </c>
      <c r="C229" s="137" t="n">
        <v>33.07</v>
      </c>
      <c r="D229" s="137" t="n">
        <v>41.87</v>
      </c>
      <c r="E229" s="137" t="n">
        <v>52</v>
      </c>
      <c r="F229" s="137" t="n">
        <v>72.42</v>
      </c>
    </row>
    <row r="230">
      <c r="A230" t="n">
        <v>209</v>
      </c>
      <c r="B230" s="137" t="n">
        <v>24.54</v>
      </c>
      <c r="C230" s="137" t="n">
        <v>33.35</v>
      </c>
      <c r="D230" s="137" t="n">
        <v>42.18</v>
      </c>
      <c r="E230" s="137" t="n">
        <v>51.98</v>
      </c>
      <c r="F230" s="137" t="n">
        <v>72.34</v>
      </c>
    </row>
    <row r="231">
      <c r="A231" t="n">
        <v>210</v>
      </c>
      <c r="B231" s="137" t="n">
        <v>24.6</v>
      </c>
      <c r="C231" s="137" t="n">
        <v>33.25</v>
      </c>
      <c r="D231" s="137" t="n">
        <v>41.99</v>
      </c>
      <c r="E231" s="137" t="n">
        <v>51.84</v>
      </c>
      <c r="F231" s="137" t="n">
        <v>72.77</v>
      </c>
    </row>
    <row r="232">
      <c r="A232" t="n">
        <v>211</v>
      </c>
      <c r="B232" s="137" t="n">
        <v>24.53</v>
      </c>
      <c r="C232" s="137" t="n">
        <v>33.29</v>
      </c>
      <c r="D232" s="137" t="n">
        <v>41.89</v>
      </c>
      <c r="E232" s="137" t="n">
        <v>51.63</v>
      </c>
      <c r="F232" s="137" t="n">
        <v>72.23999999999999</v>
      </c>
    </row>
    <row r="233">
      <c r="A233" t="n">
        <v>212</v>
      </c>
      <c r="B233" s="137" t="n">
        <v>24.72</v>
      </c>
      <c r="C233" s="137" t="n">
        <v>33.39</v>
      </c>
      <c r="D233" s="137" t="n">
        <v>41.9</v>
      </c>
      <c r="E233" s="137" t="n">
        <v>51.95</v>
      </c>
      <c r="F233" s="137" t="n">
        <v>73.09</v>
      </c>
    </row>
    <row r="234">
      <c r="A234" t="n">
        <v>213</v>
      </c>
      <c r="B234" s="137" t="n">
        <v>24.58</v>
      </c>
      <c r="C234" s="137" t="n">
        <v>33.66</v>
      </c>
      <c r="D234" s="137" t="n">
        <v>41.73</v>
      </c>
      <c r="E234" s="137" t="n">
        <v>51.9</v>
      </c>
      <c r="F234" s="137" t="n">
        <v>72.47</v>
      </c>
    </row>
    <row r="235">
      <c r="A235" t="n">
        <v>214</v>
      </c>
      <c r="B235" s="137" t="n">
        <v>24.7</v>
      </c>
      <c r="C235" s="137" t="n">
        <v>33.66</v>
      </c>
      <c r="D235" s="137" t="n">
        <v>41.92</v>
      </c>
      <c r="E235" s="137" t="n">
        <v>51.8</v>
      </c>
      <c r="F235" s="137" t="n">
        <v>72.65000000000001</v>
      </c>
    </row>
    <row r="236">
      <c r="A236" t="n">
        <v>215</v>
      </c>
      <c r="B236" s="137" t="n">
        <v>24.72</v>
      </c>
      <c r="C236" s="137" t="n">
        <v>33.52</v>
      </c>
      <c r="D236" s="137" t="n">
        <v>41.86</v>
      </c>
      <c r="E236" s="137" t="n">
        <v>51.94</v>
      </c>
      <c r="F236" s="137" t="n">
        <v>72.98999999999999</v>
      </c>
    </row>
    <row r="237">
      <c r="A237" t="n">
        <v>216</v>
      </c>
      <c r="B237" s="137" t="n">
        <v>24.44</v>
      </c>
      <c r="C237" s="137" t="n">
        <v>33.55</v>
      </c>
      <c r="D237" s="137" t="n">
        <v>42.05</v>
      </c>
      <c r="E237" s="137" t="n">
        <v>52.03</v>
      </c>
      <c r="F237" s="137" t="n">
        <v>73.23999999999999</v>
      </c>
    </row>
    <row r="238">
      <c r="A238" t="n">
        <v>217</v>
      </c>
      <c r="B238" s="137" t="n">
        <v>24.29</v>
      </c>
      <c r="C238" s="137" t="n">
        <v>33.42</v>
      </c>
      <c r="D238" s="137" t="n">
        <v>41.69</v>
      </c>
      <c r="E238" s="137" t="n">
        <v>52.13</v>
      </c>
      <c r="F238" s="137" t="n">
        <v>73.39</v>
      </c>
    </row>
    <row r="239">
      <c r="A239" t="n">
        <v>218</v>
      </c>
      <c r="B239" s="137" t="n">
        <v>23.93</v>
      </c>
      <c r="C239" s="137" t="n">
        <v>33.33</v>
      </c>
      <c r="D239" s="137" t="n">
        <v>41.86</v>
      </c>
      <c r="E239" s="137" t="n">
        <v>52.2</v>
      </c>
      <c r="F239" s="137" t="n">
        <v>73.09</v>
      </c>
    </row>
    <row r="240">
      <c r="A240" t="n">
        <v>219</v>
      </c>
      <c r="B240" s="137" t="n">
        <v>24.22</v>
      </c>
      <c r="C240" s="137" t="n">
        <v>33.13</v>
      </c>
      <c r="D240" s="137" t="n">
        <v>41.77</v>
      </c>
      <c r="E240" s="137" t="n">
        <v>52.38</v>
      </c>
      <c r="F240" s="137" t="n">
        <v>72.45</v>
      </c>
    </row>
    <row r="241">
      <c r="A241" t="n">
        <v>220</v>
      </c>
      <c r="B241" s="137" t="n">
        <v>24.08</v>
      </c>
      <c r="C241" s="137" t="n">
        <v>33.43</v>
      </c>
      <c r="D241" s="137" t="n">
        <v>41.73</v>
      </c>
      <c r="E241" s="137" t="n">
        <v>52.43</v>
      </c>
      <c r="F241" s="137" t="n">
        <v>72.93000000000001</v>
      </c>
    </row>
    <row r="242">
      <c r="A242" t="n">
        <v>221</v>
      </c>
      <c r="B242" s="137" t="n">
        <v>24.42</v>
      </c>
      <c r="C242" s="137" t="n">
        <v>33.39</v>
      </c>
      <c r="D242" s="137" t="n">
        <v>41.79</v>
      </c>
      <c r="E242" s="137" t="n">
        <v>52.51</v>
      </c>
      <c r="F242" s="137" t="n">
        <v>72.87</v>
      </c>
    </row>
    <row r="243">
      <c r="A243" t="n">
        <v>222</v>
      </c>
      <c r="B243" s="137" t="n">
        <v>24.22</v>
      </c>
      <c r="C243" s="137" t="n">
        <v>33.57</v>
      </c>
      <c r="D243" s="137" t="n">
        <v>41.63</v>
      </c>
      <c r="E243" s="137" t="n">
        <v>52.42</v>
      </c>
      <c r="F243" s="137" t="n">
        <v>72.73</v>
      </c>
    </row>
    <row r="244">
      <c r="A244" t="n">
        <v>223</v>
      </c>
      <c r="B244" s="137" t="n">
        <v>24.04</v>
      </c>
      <c r="C244" s="137" t="n">
        <v>33.47</v>
      </c>
      <c r="D244" s="137" t="n">
        <v>41.89</v>
      </c>
      <c r="E244" s="137" t="n">
        <v>52.67</v>
      </c>
      <c r="F244" s="137" t="n">
        <v>73.45</v>
      </c>
    </row>
    <row r="245">
      <c r="A245" t="n">
        <v>224</v>
      </c>
      <c r="B245" s="137" t="n">
        <v>23.92</v>
      </c>
      <c r="C245" s="137" t="n">
        <v>33.62</v>
      </c>
      <c r="D245" s="137" t="n">
        <v>41.85</v>
      </c>
      <c r="E245" s="137" t="n">
        <v>52.99</v>
      </c>
      <c r="F245" s="137" t="n">
        <v>73.64</v>
      </c>
    </row>
    <row r="246">
      <c r="A246" t="n">
        <v>225</v>
      </c>
      <c r="B246" s="137" t="n">
        <v>23.77</v>
      </c>
      <c r="C246" s="137" t="n">
        <v>33.52</v>
      </c>
      <c r="D246" s="137" t="n">
        <v>41.72</v>
      </c>
      <c r="E246" s="137" t="n">
        <v>52.96</v>
      </c>
      <c r="F246" s="137" t="n">
        <v>73.23999999999999</v>
      </c>
    </row>
    <row r="247">
      <c r="A247" t="n">
        <v>226</v>
      </c>
      <c r="B247" s="137" t="n">
        <v>24.06</v>
      </c>
      <c r="C247" s="137" t="n">
        <v>33.67</v>
      </c>
      <c r="D247" s="137" t="n">
        <v>41.7</v>
      </c>
      <c r="E247" s="137" t="n">
        <v>53.06</v>
      </c>
      <c r="F247" s="137" t="n">
        <v>73.73999999999999</v>
      </c>
    </row>
    <row r="248">
      <c r="A248" t="n">
        <v>227</v>
      </c>
      <c r="B248" s="137" t="n">
        <v>24.21</v>
      </c>
      <c r="C248" s="137" t="n">
        <v>33.72</v>
      </c>
      <c r="D248" s="137" t="n">
        <v>41.77</v>
      </c>
      <c r="E248" s="137" t="n">
        <v>52.88</v>
      </c>
      <c r="F248" s="137" t="n">
        <v>73.29000000000001</v>
      </c>
    </row>
    <row r="249">
      <c r="A249" t="n">
        <v>228</v>
      </c>
      <c r="B249" s="137" t="n">
        <v>24.28</v>
      </c>
      <c r="C249" s="137" t="n">
        <v>33.53</v>
      </c>
      <c r="D249" s="137" t="n">
        <v>41.76</v>
      </c>
      <c r="E249" s="137" t="n">
        <v>52.9</v>
      </c>
      <c r="F249" s="137" t="n">
        <v>74.11</v>
      </c>
    </row>
    <row r="250">
      <c r="A250" t="n">
        <v>229</v>
      </c>
      <c r="B250" s="137" t="n">
        <v>24.52</v>
      </c>
      <c r="C250" s="137" t="n">
        <v>33.57</v>
      </c>
      <c r="D250" s="137" t="n">
        <v>41.89</v>
      </c>
      <c r="E250" s="137" t="n">
        <v>53.11</v>
      </c>
      <c r="F250" s="137" t="n">
        <v>74.41</v>
      </c>
    </row>
    <row r="251">
      <c r="A251" t="n">
        <v>230</v>
      </c>
      <c r="B251" s="137" t="n">
        <v>24.36</v>
      </c>
      <c r="C251" s="137" t="n">
        <v>33.31</v>
      </c>
      <c r="D251" s="137" t="n">
        <v>41.75</v>
      </c>
      <c r="E251" s="137" t="n">
        <v>52.96</v>
      </c>
      <c r="F251" s="137" t="n">
        <v>74.31</v>
      </c>
    </row>
    <row r="252">
      <c r="A252" t="n">
        <v>231</v>
      </c>
      <c r="B252" s="137" t="n">
        <v>24.39</v>
      </c>
      <c r="C252" s="137" t="n">
        <v>33.4</v>
      </c>
      <c r="D252" s="137" t="n">
        <v>41.89</v>
      </c>
      <c r="E252" s="137" t="n">
        <v>53.19</v>
      </c>
      <c r="F252" s="137" t="n">
        <v>74.59</v>
      </c>
    </row>
    <row r="253">
      <c r="A253" t="n">
        <v>232</v>
      </c>
      <c r="B253" s="137" t="n">
        <v>24.25</v>
      </c>
      <c r="C253" s="137" t="n">
        <v>33.13</v>
      </c>
      <c r="D253" s="137" t="n">
        <v>42.06</v>
      </c>
      <c r="E253" s="137" t="n">
        <v>53.39</v>
      </c>
      <c r="F253" s="137" t="n">
        <v>74.88</v>
      </c>
    </row>
    <row r="254">
      <c r="A254" t="n">
        <v>233</v>
      </c>
      <c r="B254" s="137" t="n">
        <v>24.13</v>
      </c>
      <c r="C254" s="137" t="n">
        <v>33.48</v>
      </c>
      <c r="D254" s="137" t="n">
        <v>42.11</v>
      </c>
      <c r="E254" s="137" t="n">
        <v>53.74</v>
      </c>
      <c r="F254" s="137" t="n">
        <v>75.88</v>
      </c>
    </row>
    <row r="255">
      <c r="A255" t="n">
        <v>234</v>
      </c>
      <c r="B255" s="137" t="n">
        <v>23.74</v>
      </c>
      <c r="C255" s="137" t="n">
        <v>33.48</v>
      </c>
      <c r="D255" s="137" t="n">
        <v>42.07</v>
      </c>
      <c r="E255" s="137" t="n">
        <v>53.77</v>
      </c>
      <c r="F255" s="137" t="n">
        <v>75.58</v>
      </c>
    </row>
    <row r="256">
      <c r="A256" t="n">
        <v>235</v>
      </c>
      <c r="B256" s="137" t="n">
        <v>23.83</v>
      </c>
      <c r="C256" s="137" t="n">
        <v>33.47</v>
      </c>
      <c r="D256" s="137" t="n">
        <v>41.86</v>
      </c>
      <c r="E256" s="137" t="n">
        <v>53.66</v>
      </c>
      <c r="F256" s="137" t="n">
        <v>74.86</v>
      </c>
    </row>
    <row r="257">
      <c r="A257" t="n">
        <v>236</v>
      </c>
      <c r="B257" s="137" t="n">
        <v>23.46</v>
      </c>
      <c r="C257" s="137" t="n">
        <v>33.37</v>
      </c>
      <c r="D257" s="137" t="n">
        <v>41.74</v>
      </c>
      <c r="E257" s="137" t="n">
        <v>53.69</v>
      </c>
      <c r="F257" s="137" t="n">
        <v>75.52</v>
      </c>
    </row>
    <row r="258">
      <c r="A258" t="n">
        <v>237</v>
      </c>
      <c r="B258" s="137" t="n">
        <v>23.65</v>
      </c>
      <c r="C258" s="137" t="n">
        <v>33.3</v>
      </c>
      <c r="D258" s="137" t="n">
        <v>41.83</v>
      </c>
      <c r="E258" s="137" t="n">
        <v>53.64</v>
      </c>
      <c r="F258" s="137" t="n">
        <v>74.79000000000001</v>
      </c>
    </row>
    <row r="259">
      <c r="A259" t="n">
        <v>238</v>
      </c>
      <c r="B259" s="137" t="n">
        <v>23.49</v>
      </c>
      <c r="C259" s="137" t="n">
        <v>33.27</v>
      </c>
      <c r="D259" s="137" t="n">
        <v>41.72</v>
      </c>
      <c r="E259" s="137" t="n">
        <v>53.65</v>
      </c>
      <c r="F259" s="137" t="n">
        <v>75.13</v>
      </c>
    </row>
    <row r="260">
      <c r="A260" t="n">
        <v>239</v>
      </c>
      <c r="B260" s="137" t="n">
        <v>23.68</v>
      </c>
      <c r="C260" s="137" t="n">
        <v>33.25</v>
      </c>
      <c r="D260" s="137" t="n">
        <v>42.11</v>
      </c>
      <c r="E260" s="137" t="n">
        <v>53.41</v>
      </c>
      <c r="F260" s="137" t="n">
        <v>76.42</v>
      </c>
    </row>
    <row r="261">
      <c r="A261" t="n">
        <v>240</v>
      </c>
      <c r="B261" s="137" t="n">
        <v>23.66</v>
      </c>
      <c r="C261" s="137" t="n">
        <v>33.24</v>
      </c>
      <c r="D261" s="137" t="n">
        <v>41.99</v>
      </c>
      <c r="E261" s="137" t="n">
        <v>53.76</v>
      </c>
      <c r="F261" s="137" t="n">
        <v>76</v>
      </c>
    </row>
    <row r="262">
      <c r="A262" t="n">
        <v>241</v>
      </c>
      <c r="B262" s="137" t="n">
        <v>23.81</v>
      </c>
      <c r="C262" s="137" t="n">
        <v>33.35</v>
      </c>
      <c r="D262" s="137" t="n">
        <v>42.04</v>
      </c>
      <c r="E262" s="137" t="n">
        <v>53.53</v>
      </c>
      <c r="F262" s="137" t="n">
        <v>76.09</v>
      </c>
    </row>
    <row r="263">
      <c r="A263" t="n">
        <v>242</v>
      </c>
      <c r="B263" s="137" t="n">
        <v>23.7</v>
      </c>
      <c r="C263" s="137" t="n">
        <v>33.15</v>
      </c>
      <c r="D263" s="137" t="n">
        <v>42.12</v>
      </c>
      <c r="E263" s="137" t="n">
        <v>53.56</v>
      </c>
      <c r="F263" s="137" t="n">
        <v>75.79000000000001</v>
      </c>
    </row>
    <row r="264">
      <c r="A264" t="n">
        <v>243</v>
      </c>
      <c r="B264" s="137" t="n">
        <v>23.86</v>
      </c>
      <c r="C264" s="137" t="n">
        <v>33.04</v>
      </c>
      <c r="D264" s="137" t="n">
        <v>42</v>
      </c>
      <c r="E264" s="137" t="n">
        <v>53.61</v>
      </c>
      <c r="F264" s="137" t="n">
        <v>75.34999999999999</v>
      </c>
    </row>
    <row r="265">
      <c r="A265" t="n">
        <v>244</v>
      </c>
      <c r="B265" s="137" t="n">
        <v>23.7</v>
      </c>
      <c r="C265" s="137" t="n">
        <v>33.27</v>
      </c>
      <c r="D265" s="137" t="n">
        <v>42.2</v>
      </c>
      <c r="E265" s="137" t="n">
        <v>53.7</v>
      </c>
      <c r="F265" s="137" t="n">
        <v>75.42</v>
      </c>
    </row>
    <row r="266">
      <c r="A266" t="n">
        <v>245</v>
      </c>
      <c r="B266" s="137" t="n">
        <v>23.81</v>
      </c>
      <c r="C266" s="137" t="n">
        <v>33.38</v>
      </c>
      <c r="D266" s="137" t="n">
        <v>41.99</v>
      </c>
      <c r="E266" s="137" t="n">
        <v>53.97</v>
      </c>
      <c r="F266" s="137" t="n">
        <v>75.77</v>
      </c>
    </row>
    <row r="267">
      <c r="A267" t="n">
        <v>246</v>
      </c>
      <c r="B267" s="137" t="n">
        <v>23.78</v>
      </c>
      <c r="C267" s="137" t="n">
        <v>33.2</v>
      </c>
      <c r="D267" s="137" t="n">
        <v>41.96</v>
      </c>
      <c r="E267" s="137" t="n">
        <v>54.11</v>
      </c>
      <c r="F267" s="137" t="n">
        <v>76.12</v>
      </c>
    </row>
    <row r="268">
      <c r="A268" t="n">
        <v>247</v>
      </c>
      <c r="B268" s="137" t="n">
        <v>23.82</v>
      </c>
      <c r="C268" s="137" t="n">
        <v>33.04</v>
      </c>
      <c r="D268" s="137" t="n">
        <v>41.76</v>
      </c>
      <c r="E268" s="137" t="n">
        <v>54.65</v>
      </c>
      <c r="F268" s="137" t="n">
        <v>76.2</v>
      </c>
    </row>
    <row r="269">
      <c r="A269" t="n">
        <v>248</v>
      </c>
      <c r="B269" s="137" t="n">
        <v>23.87</v>
      </c>
      <c r="C269" s="137" t="n">
        <v>33.29</v>
      </c>
      <c r="D269" s="137" t="n">
        <v>41.67</v>
      </c>
      <c r="E269" s="137" t="n">
        <v>54.62</v>
      </c>
      <c r="F269" s="137" t="n">
        <v>75.79000000000001</v>
      </c>
    </row>
    <row r="270">
      <c r="A270" t="n">
        <v>249</v>
      </c>
      <c r="B270" s="137" t="n">
        <v>23.76</v>
      </c>
      <c r="C270" s="137" t="n">
        <v>33.16</v>
      </c>
      <c r="D270" s="137" t="n">
        <v>42.04</v>
      </c>
      <c r="E270" s="137" t="n">
        <v>54.38</v>
      </c>
      <c r="F270" s="137" t="n">
        <v>76.81</v>
      </c>
    </row>
    <row r="271">
      <c r="A271" t="n">
        <v>250</v>
      </c>
      <c r="B271" s="137" t="n">
        <v>23.86</v>
      </c>
      <c r="C271" s="137" t="n">
        <v>33.34</v>
      </c>
      <c r="D271" s="137" t="n">
        <v>41.69</v>
      </c>
      <c r="E271" s="137" t="n">
        <v>54.53</v>
      </c>
      <c r="F271" s="137" t="n">
        <v>75.88</v>
      </c>
    </row>
    <row r="272">
      <c r="A272" t="n">
        <v>251</v>
      </c>
      <c r="B272" s="137" t="n">
        <v>23.89</v>
      </c>
      <c r="C272" s="137" t="n">
        <v>32.97</v>
      </c>
      <c r="D272" s="137" t="n">
        <v>41.98</v>
      </c>
      <c r="E272" s="137" t="n">
        <v>54.35</v>
      </c>
      <c r="F272" s="137" t="n">
        <v>75</v>
      </c>
    </row>
    <row r="273">
      <c r="A273" t="n">
        <v>252</v>
      </c>
      <c r="B273" s="137" t="n">
        <v>23.73</v>
      </c>
      <c r="C273" s="137" t="n">
        <v>33.09</v>
      </c>
      <c r="D273" s="137" t="n">
        <v>41.89</v>
      </c>
      <c r="E273" s="137" t="n">
        <v>54.86</v>
      </c>
      <c r="F273" s="137" t="n">
        <v>75.02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3" customWidth="1" min="1" max="1"/>
  </cols>
  <sheetData>
    <row r="1">
      <c r="A1" s="59" t="inlineStr">
        <is>
          <t>NKE — Charts</t>
        </is>
      </c>
    </row>
    <row r="2">
      <c r="A2" s="93" t="inlineStr">
        <is>
          <t>Live charts, not images: every series points at the Price_Indicators sheet, so edits there redraw these.</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59" t="inlineStr">
        <is>
          <t>Methodology &amp; Definitions</t>
        </is>
      </c>
    </row>
    <row r="2">
      <c r="A2" s="60" t="inlineStr">
        <is>
          <t>Every metric in this report, in plain language and with its key assumptions — so nothing reads as a black box.</t>
        </is>
      </c>
    </row>
    <row r="4" ht="18" customHeight="1">
      <c r="A4" s="61" t="inlineStr">
        <is>
          <t>Risk &amp; Return</t>
        </is>
      </c>
    </row>
    <row r="5" ht="24" customHeight="1">
      <c r="A5" s="138" t="inlineStr">
        <is>
          <t>Annualised Volatility</t>
        </is>
      </c>
      <c r="B5" s="139" t="inlineStr">
        <is>
          <t>Standard deviation of daily returns × √252. How much the price swings; higher = riskier.</t>
        </is>
      </c>
    </row>
    <row r="6" ht="31" customHeight="1">
      <c r="A6" s="138" t="inlineStr">
        <is>
          <t>Sharpe Ratio</t>
        </is>
      </c>
      <c r="B6" s="139" t="inlineStr">
        <is>
          <t>(Annualised return − risk-free rate) ÷ annualised volatility — excess return per unit of total risk. Risk-free rate = current 3-month US Treasury yield via FRED (3.88% now). Above 1 is strong.</t>
        </is>
      </c>
    </row>
    <row r="7" ht="43.5" customHeight="1">
      <c r="A7" s="138" t="inlineStr">
        <is>
          <t>Sortino Ratio</t>
        </is>
      </c>
      <c r="B7" s="139" t="inlineStr">
        <is>
          <t>Like Sharpe, but the denominator is downside deviation about zero — √(mean of squared shortfalls below zero, over ALL days) × √252 — so upside volatility isn't penalised. Note this is not the standard deviation of the losing days, which would understate the denominator and flatter the ratio.</t>
        </is>
      </c>
    </row>
    <row r="8" ht="56" customHeight="1">
      <c r="A8" s="138" t="inlineStr">
        <is>
          <t>Max Drawdown (60d)</t>
        </is>
      </c>
      <c r="B8" s="139" t="inlineStr">
        <is>
          <t>Deepest fall from a rolling 60-day peak — how bad the worst quarter-ish stretch was. A decline that unfolds over longer than 60 trading days shows up here only in part, so this reads shallower than a full peak-to-trough figure. The Scorecard's risk factor and the PowerPoint deck use the full peak-to-trough drawdown over the whole window.</t>
        </is>
      </c>
    </row>
    <row r="10" ht="18" customHeight="1">
      <c r="A10" s="61" t="inlineStr">
        <is>
          <t>Technical Indicators</t>
        </is>
      </c>
    </row>
    <row r="11" ht="31" customHeight="1">
      <c r="A11" s="138" t="inlineStr">
        <is>
          <t>Moving Average (20/50/200-day)</t>
        </is>
      </c>
      <c r="B11" s="139" t="inlineStr">
        <is>
          <t>Average close over the last N sessions; smooths the trend. Price above the average is bullish, below is cautionary.</t>
        </is>
      </c>
    </row>
    <row r="12" ht="24" customHeight="1">
      <c r="A12" s="138" t="inlineStr">
        <is>
          <t>RSI (14)</t>
        </is>
      </c>
      <c r="B12" s="139" t="inlineStr">
        <is>
          <t>Relative Strength Index, 0–100. &gt;70 overbought (stretched up), &lt;30 oversold, 30–70 neutral.</t>
        </is>
      </c>
    </row>
    <row r="13" ht="31" customHeight="1">
      <c r="A13" s="138" t="inlineStr">
        <is>
          <t>MACD</t>
        </is>
      </c>
      <c r="B13" s="139" t="inlineStr">
        <is>
          <t>12-day minus 26-day exponential moving average vs a 9-day signal line. MACD above signal = bullish momentum.</t>
        </is>
      </c>
    </row>
    <row r="14" ht="31" customHeight="1">
      <c r="A14" s="138" t="inlineStr">
        <is>
          <t>Bollinger Bands (20, 2σ)</t>
        </is>
      </c>
      <c r="B14" s="139" t="inlineStr">
        <is>
          <t>20-day average ± 2 standard deviations. %B shows where price sits within the bands; near the upper band is relatively high.</t>
        </is>
      </c>
    </row>
    <row r="15" ht="31" customHeight="1">
      <c r="A15" s="138" t="inlineStr">
        <is>
          <t>Support / Resistance</t>
        </is>
      </c>
      <c r="B15" s="139" t="inlineStr">
        <is>
          <t>Recent levels where the stock repeatedly stalled (resistance) or bounced (support), detected from local highs/lows.</t>
        </is>
      </c>
    </row>
    <row r="17" ht="18" customHeight="1">
      <c r="A17" s="61" t="inlineStr">
        <is>
          <t>Valuation</t>
        </is>
      </c>
    </row>
    <row r="18" ht="31" customHeight="1">
      <c r="A18" s="138" t="inlineStr">
        <is>
          <t>P/E · P/S · P/B</t>
        </is>
      </c>
      <c r="B18" s="139" t="inlineStr">
        <is>
          <t>Market cap ÷ net income / revenue / book equity — dollars paid per dollar of earnings, sales, or book value.</t>
        </is>
      </c>
    </row>
    <row r="19" ht="24" customHeight="1">
      <c r="A19" s="138" t="inlineStr">
        <is>
          <t>EV / EBITDA</t>
        </is>
      </c>
      <c r="B19" s="139" t="inlineStr">
        <is>
          <t>Enterprise value (market cap + debt − cash) ÷ EBITDA — a capital-structure-neutral earnings multiple.</t>
        </is>
      </c>
    </row>
    <row r="20" ht="24" customHeight="1">
      <c r="A20" s="138" t="inlineStr">
        <is>
          <t>FCF / Earnings Yield</t>
        </is>
      </c>
      <c r="B20" s="139" t="inlineStr">
        <is>
          <t>Free cash flow / net income ÷ market cap — the cash or earnings return at today's price; higher = cheaper.</t>
        </is>
      </c>
    </row>
    <row r="21" ht="93.5" customHeight="1">
      <c r="A21" s="138" t="inlineStr">
        <is>
          <t>What a Reverse DCF Is</t>
        </is>
      </c>
      <c r="B21" s="139"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38" t="inlineStr">
        <is>
          <t>Reverse-DCF Implied Growth</t>
        </is>
      </c>
      <c r="B22" s="139" t="inlineStr">
        <is>
          <t>The stage-1 free-cash-flow growth rate the current price implies, solved numerically from the same 10-year two-stage DCF used for fair value (9.3%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38" t="inlineStr">
        <is>
          <t>DCF Fair Value</t>
        </is>
      </c>
      <c r="B23" s="139" t="inlineStr">
        <is>
          <t>Two-stage DCF on free cash flow: PV of 10-year of projected FCF + PV of terminal value − net debt, ÷ shares (market cap ÷ price). Discount rate 9.3%,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38" t="inlineStr">
        <is>
          <t>Sensitivity Grid</t>
        </is>
      </c>
      <c r="B24" s="139"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61" t="inlineStr">
        <is>
          <t>Quality Scores</t>
        </is>
      </c>
    </row>
    <row r="27" ht="31" customHeight="1">
      <c r="A27" s="138" t="inlineStr">
        <is>
          <t>Piotroski F-Score (0–9)</t>
        </is>
      </c>
      <c r="B27" s="139" t="inlineStr">
        <is>
          <t>Nine pass/fail fundamental-quality tests (profitability, leverage, efficiency) across the two latest fiscal years. Higher = higher quality.</t>
        </is>
      </c>
    </row>
    <row r="28" ht="24" customHeight="1">
      <c r="A28" s="138" t="inlineStr">
        <is>
          <t>Altman Z-Score</t>
        </is>
      </c>
      <c r="B28" s="139" t="inlineStr">
        <is>
          <t>Bankruptcy-risk score from five ratios. &gt;2.99 'safe', 1.81–2.99 'grey', &lt;1.81 'distress'.</t>
        </is>
      </c>
    </row>
    <row r="29" ht="31" customHeight="1">
      <c r="A29" s="138" t="inlineStr">
        <is>
          <t>Technical Posture (0–100)</t>
        </is>
      </c>
      <c r="B29" s="139" t="inlineStr">
        <is>
          <t>A blend of trend (vs 50/200-day MA), RSI, MACD, 52-week location and relative strength. Describes what the indicators say — not a recommendation.</t>
        </is>
      </c>
    </row>
    <row r="30" ht="31" customHeight="1">
      <c r="A30" s="138" t="inlineStr">
        <is>
          <t>Stock Scorecard (0–100)</t>
        </is>
      </c>
      <c r="B30" s="139" t="inlineStr">
        <is>
          <t>Weighted composite of seven factors — valuation, growth, profitability, financial health, momentum, risk, sentiment. Describes the stock's profile; not a buy/sell call.</t>
        </is>
      </c>
    </row>
    <row r="32" ht="18" customHeight="1">
      <c r="A32" s="61" t="inlineStr">
        <is>
          <t>Forecasting</t>
        </is>
      </c>
    </row>
    <row r="33" ht="56" customHeight="1">
      <c r="A33" s="138" t="inlineStr">
        <is>
          <t>Monte Carlo Simulation</t>
        </is>
      </c>
      <c r="B33" s="139"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38" t="inlineStr">
        <is>
          <t>Custom Forecast (GARCH + ML)</t>
        </is>
      </c>
      <c r="B34" s="139" t="inlineStr">
        <is>
          <t>Optional variant modelling time-varying volatility (GARCH) and a machine-learned drift before simulating; same percentile interpretation.</t>
        </is>
      </c>
    </row>
    <row r="36" ht="18" customHeight="1">
      <c r="A36" s="61" t="inlineStr">
        <is>
          <t>Sentiment &amp; Data Sources</t>
        </is>
      </c>
    </row>
    <row r="37" ht="31" customHeight="1">
      <c r="A37" s="138" t="inlineStr">
        <is>
          <t>Analyst Consensus</t>
        </is>
      </c>
      <c r="B37" s="139" t="inlineStr">
        <is>
          <t>Wall-Street Buy/Hold/Sell counts aggregated by Finnhub, scored into one verdict. Analysts' view, not QuantWizard's.</t>
        </is>
      </c>
    </row>
    <row r="38" ht="31" customHeight="1">
      <c r="A38" s="138" t="inlineStr">
        <is>
          <t>News Relevance &amp; Sentiment</t>
        </is>
      </c>
      <c r="B38" s="139" t="inlineStr">
        <is>
          <t>Headlines are ranked High/Medium/Low for how directly they concern the company (broad round-ups are dropped) and tagged with Polygon's per-article sentiment.</t>
        </is>
      </c>
    </row>
    <row r="39" ht="31" customHeight="1">
      <c r="A39" s="138" t="inlineStr">
        <is>
          <t>Data Sources</t>
        </is>
      </c>
      <c r="B39" s="139" t="inlineStr">
        <is>
          <t>Prices: Yahoo Finance (Polygon fallback), split/dividend-adjusted. Fundamentals: SEC EDGAR (Polygon fallback). News &amp; analyst data: Finnhub / Polygon. Risk-free rate: US Treasury via FRED.</t>
        </is>
      </c>
    </row>
    <row r="40" ht="31" customHeight="1">
      <c r="A40" s="138" t="inlineStr">
        <is>
          <t>Disclaimer</t>
        </is>
      </c>
      <c r="B40" s="139"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2026-08-25T00:29:34Z</dcterms:created>
  <dcterms:modified xmlns:dcterms="http://purl.org/dc/terms/" xmlns:xsi="http://www.w3.org/2001/XMLSchema-instance" xsi:type="dcterms:W3CDTF">2026-08-25T00:29:35Z</dcterms:modified>
</cp:coreProperties>
</file>
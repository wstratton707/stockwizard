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14">
    <numFmt numFmtId="164" formatCode="&quot;$&quot;#,##0.00"/>
    <numFmt numFmtId="165" formatCode="0.0000"/>
    <numFmt numFmtId="166" formatCode="+0.0&quot; pts&quot;;-0.0&quot; pts&quot;"/>
    <numFmt numFmtId="167" formatCode="+0.0%;-0.0%"/>
    <numFmt numFmtId="168" formatCode="0.0%"/>
    <numFmt numFmtId="169" formatCode="yyyy-mm-dd h:mm:ss"/>
    <numFmt numFmtId="170" formatCode="yyyy-mm-dd"/>
    <numFmt numFmtId="171" formatCode="_($* #,##0.00_)"/>
    <numFmt numFmtId="172" formatCode="$#,##0.0,,,&quot;B&quot;"/>
    <numFmt numFmtId="173" formatCode="#,##0.00,,,&quot;B&quot;"/>
    <numFmt numFmtId="174" formatCode="0.000"/>
    <numFmt numFmtId="175" formatCode="0.00&quot;x&quot;"/>
    <numFmt numFmtId="176" formatCode="&quot;$&quot;#,##0.0,,,&quot;B&quot;"/>
    <numFmt numFmtId="177" formatCode="0.0"/>
  </numFmts>
  <fonts count="33">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FF0000"/>
      <sz val="10"/>
    </font>
    <font>
      <name val="Calibri"/>
      <sz val="9"/>
    </font>
    <font>
      <name val="Calibri"/>
      <i val="1"/>
      <color rgb="00888888"/>
      <sz val="8"/>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color rgb="002E75B6"/>
      <sz val="10"/>
      <u val="single"/>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b val="1"/>
      <color rgb="00000000"/>
      <sz val="10"/>
    </font>
    <font>
      <name val="Calibri"/>
      <b val="1"/>
      <color rgb="00999999"/>
      <sz val="10"/>
    </font>
    <font>
      <name val="Calibri"/>
      <b val="1"/>
      <color rgb="00FFFFFF"/>
      <sz val="22"/>
    </font>
    <font>
      <name val="Calibri"/>
      <b val="1"/>
      <color rgb="001F4E79"/>
      <sz val="16"/>
    </font>
    <font>
      <name val="Calibri"/>
      <b val="1"/>
      <color rgb="00808080"/>
      <sz val="8"/>
    </font>
    <font>
      <name val="Calibri"/>
      <b val="1"/>
      <color rgb="00FF0000"/>
      <sz val="16"/>
    </font>
    <font>
      <name val="Calibri"/>
      <b val="1"/>
      <color rgb="002E75B6"/>
      <sz val="10"/>
      <u val="single"/>
    </font>
  </fonts>
  <fills count="16">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16a34a"/>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39">
    <xf numFmtId="0" fontId="0" fillId="0" borderId="0" pivotButton="0" quotePrefix="0" xfId="0"/>
    <xf numFmtId="0" fontId="0" fillId="2" borderId="0" pivotButton="0" quotePrefix="0" xfId="0"/>
    <xf numFmtId="0" fontId="28" fillId="2" borderId="0" applyAlignment="1" pivotButton="0" quotePrefix="0" xfId="0">
      <alignment horizontal="left" vertical="center" indent="1"/>
    </xf>
    <xf numFmtId="0" fontId="2" fillId="0" borderId="0" applyAlignment="1" pivotButton="0" quotePrefix="0" xfId="0">
      <alignment horizontal="left" indent="1"/>
    </xf>
    <xf numFmtId="0" fontId="29" fillId="6" borderId="1" applyAlignment="1" pivotButton="0" quotePrefix="0" xfId="0">
      <alignment horizontal="center" vertical="center"/>
    </xf>
    <xf numFmtId="0" fontId="31" fillId="6" borderId="1" applyAlignment="1" pivotButton="0" quotePrefix="0" xfId="0">
      <alignment horizontal="center" vertical="center"/>
    </xf>
    <xf numFmtId="0" fontId="30" fillId="6" borderId="1" applyAlignment="1" pivotButton="0" quotePrefix="0" xfId="0">
      <alignment horizontal="center" vertical="center"/>
    </xf>
    <xf numFmtId="0" fontId="22" fillId="0" borderId="0" pivotButton="0" quotePrefix="0" xfId="0"/>
    <xf numFmtId="0" fontId="20" fillId="0" borderId="0" pivotButton="0" quotePrefix="0" xfId="0"/>
    <xf numFmtId="0" fontId="32" fillId="0" borderId="0" pivotButton="0" quotePrefix="0" xfId="0"/>
    <xf numFmtId="0" fontId="14"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7" fontId="11" fillId="0" borderId="1" applyAlignment="1" pivotButton="0" quotePrefix="0" xfId="0">
      <alignment horizontal="right"/>
    </xf>
    <xf numFmtId="166" fontId="12" fillId="0" borderId="1" applyAlignment="1" pivotButton="0" quotePrefix="0" xfId="0">
      <alignment horizontal="right"/>
    </xf>
    <xf numFmtId="0" fontId="5" fillId="5" borderId="1" applyAlignment="1" pivotButton="0" quotePrefix="0" xfId="0">
      <alignment horizontal="right"/>
    </xf>
    <xf numFmtId="0" fontId="13" fillId="0" borderId="0" applyAlignment="1" pivotButton="0" quotePrefix="0" xfId="0">
      <alignment vertical="center" wrapText="1"/>
    </xf>
    <xf numFmtId="0" fontId="6" fillId="11" borderId="1" applyAlignment="1" pivotButton="0" quotePrefix="0" xfId="0">
      <alignment horizontal="right"/>
    </xf>
    <xf numFmtId="168" fontId="5" fillId="5" borderId="1" applyAlignment="1" pivotButton="0" quotePrefix="0" xfId="0">
      <alignment horizontal="right"/>
    </xf>
    <xf numFmtId="167" fontId="5" fillId="5" borderId="1" applyAlignment="1" pivotButton="0" quotePrefix="0" xfId="0">
      <alignment horizontal="right"/>
    </xf>
    <xf numFmtId="0" fontId="6" fillId="2" borderId="1" applyAlignment="1" pivotButton="0" quotePrefix="0" xfId="0">
      <alignment horizontal="right"/>
    </xf>
    <xf numFmtId="0" fontId="5" fillId="0" borderId="1" applyAlignment="1" pivotButton="0" quotePrefix="0" xfId="0">
      <alignment horizontal="left"/>
    </xf>
    <xf numFmtId="2" fontId="5" fillId="5" borderId="1" applyAlignment="1" pivotButton="0" quotePrefix="0" xfId="0">
      <alignment horizontal="right"/>
    </xf>
    <xf numFmtId="1" fontId="5" fillId="3" borderId="1" applyAlignment="1" pivotButton="0" quotePrefix="0" xfId="0">
      <alignment horizontal="right"/>
    </xf>
    <xf numFmtId="1" fontId="5" fillId="5" borderId="1" applyAlignment="1" pivotButton="0" quotePrefix="0" xfId="0">
      <alignment horizontal="right"/>
    </xf>
    <xf numFmtId="2" fontId="5" fillId="3" borderId="1" applyAlignment="1" pivotButton="0" quotePrefix="0" xfId="0">
      <alignment horizontal="right"/>
    </xf>
    <xf numFmtId="168" fontId="5" fillId="3"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8" fontId="24" fillId="6" borderId="1" applyAlignment="1" pivotButton="0" quotePrefix="0" xfId="0">
      <alignment horizontal="center" vertical="center"/>
    </xf>
    <xf numFmtId="0" fontId="25" fillId="6" borderId="1" applyAlignment="1" pivotButton="0" quotePrefix="0" xfId="0">
      <alignment vertical="center" wrapText="1"/>
    </xf>
    <xf numFmtId="171" fontId="5" fillId="0" borderId="1" applyAlignment="1" pivotButton="0" quotePrefix="0" xfId="0">
      <alignment horizontal="right"/>
    </xf>
    <xf numFmtId="0" fontId="2" fillId="0" borderId="0" applyAlignment="1" pivotButton="0" quotePrefix="0" xfId="0">
      <alignment vertical="center"/>
    </xf>
    <xf numFmtId="167" fontId="5" fillId="0" borderId="1" applyAlignment="1" pivotButton="0" quotePrefix="0" xfId="0">
      <alignment horizontal="right"/>
    </xf>
    <xf numFmtId="0" fontId="0" fillId="0" borderId="4" pivotButton="0" quotePrefix="0" xfId="0"/>
    <xf numFmtId="0" fontId="4" fillId="0" borderId="1" applyAlignment="1" pivotButton="0" quotePrefix="0" xfId="0">
      <alignment horizontal="left"/>
    </xf>
    <xf numFmtId="168" fontId="4" fillId="0" borderId="1" applyAlignment="1" pivotButton="0" quotePrefix="0" xfId="0">
      <alignment horizontal="right"/>
    </xf>
    <xf numFmtId="171" fontId="4" fillId="0" borderId="1" applyAlignment="1" pivotButton="0" quotePrefix="0" xfId="0">
      <alignment horizontal="right"/>
    </xf>
    <xf numFmtId="167" fontId="4" fillId="0" borderId="1" applyAlignment="1" pivotButton="0" quotePrefix="0" xfId="0">
      <alignment horizontal="right"/>
    </xf>
    <xf numFmtId="0" fontId="5" fillId="15" borderId="1" applyAlignment="1" pivotButton="0" quotePrefix="0" xfId="0">
      <alignment horizontal="left"/>
    </xf>
    <xf numFmtId="168" fontId="5" fillId="15" borderId="1" applyAlignment="1" pivotButton="0" quotePrefix="0" xfId="0">
      <alignment horizontal="right"/>
    </xf>
    <xf numFmtId="171" fontId="5" fillId="15" borderId="1" applyAlignment="1" pivotButton="0" quotePrefix="0" xfId="0">
      <alignment horizontal="right"/>
    </xf>
    <xf numFmtId="167" fontId="5" fillId="15" borderId="1" applyAlignment="1" pivotButton="0" quotePrefix="0" xfId="0">
      <alignment horizontal="right"/>
    </xf>
    <xf numFmtId="0" fontId="5" fillId="6" borderId="1" applyAlignment="1" pivotButton="0" quotePrefix="0" xfId="0">
      <alignment horizontal="left"/>
    </xf>
    <xf numFmtId="168" fontId="5" fillId="6" borderId="1" applyAlignment="1" pivotButton="0" quotePrefix="0" xfId="0">
      <alignment horizontal="right"/>
    </xf>
    <xf numFmtId="171" fontId="5" fillId="6" borderId="1" applyAlignment="1" pivotButton="0" quotePrefix="0" xfId="0">
      <alignment horizontal="right"/>
    </xf>
    <xf numFmtId="167" fontId="5" fillId="6" borderId="1" applyAlignment="1" pivotButton="0" quotePrefix="0" xfId="0">
      <alignment horizontal="right"/>
    </xf>
    <xf numFmtId="10" fontId="5" fillId="13" borderId="1" applyAlignment="1" pivotButton="0" quotePrefix="0" xfId="0">
      <alignment horizontal="right"/>
    </xf>
    <xf numFmtId="1" fontId="5" fillId="13" borderId="1" applyAlignment="1" pivotButton="0" quotePrefix="0" xfId="0">
      <alignment horizontal="right"/>
    </xf>
    <xf numFmtId="172" fontId="5" fillId="13" borderId="1" applyAlignment="1" pivotButton="0" quotePrefix="0" xfId="0">
      <alignment horizontal="right"/>
    </xf>
    <xf numFmtId="168" fontId="5" fillId="13" borderId="1" applyAlignment="1" pivotButton="0" quotePrefix="0" xfId="0">
      <alignment horizontal="right"/>
    </xf>
    <xf numFmtId="173" fontId="5" fillId="13" borderId="1" applyAlignment="1" pivotButton="0" quotePrefix="0" xfId="0">
      <alignment horizontal="right"/>
    </xf>
    <xf numFmtId="171" fontId="5" fillId="13" borderId="1" applyAlignment="1" pivotButton="0" quotePrefix="0" xfId="0">
      <alignment horizontal="right"/>
    </xf>
    <xf numFmtId="1" fontId="4" fillId="0" borderId="1" applyAlignment="1" pivotButton="0" quotePrefix="0" xfId="0">
      <alignment horizontal="right"/>
    </xf>
    <xf numFmtId="172" fontId="4" fillId="0" borderId="1" applyAlignment="1" pivotButton="0" quotePrefix="0" xfId="0">
      <alignment horizontal="right"/>
    </xf>
    <xf numFmtId="174" fontId="4" fillId="0" borderId="1" applyAlignment="1" pivotButton="0" quotePrefix="0" xfId="0">
      <alignment horizontal="right"/>
    </xf>
    <xf numFmtId="1" fontId="4" fillId="5" borderId="1" applyAlignment="1" pivotButton="0" quotePrefix="0" xfId="0">
      <alignment horizontal="right"/>
    </xf>
    <xf numFmtId="168" fontId="4" fillId="5" borderId="1" applyAlignment="1" pivotButton="0" quotePrefix="0" xfId="0">
      <alignment horizontal="right"/>
    </xf>
    <xf numFmtId="172" fontId="4" fillId="5" borderId="1" applyAlignment="1" pivotButton="0" quotePrefix="0" xfId="0">
      <alignment horizontal="right"/>
    </xf>
    <xf numFmtId="174" fontId="4" fillId="5" borderId="1" applyAlignment="1" pivotButton="0" quotePrefix="0" xfId="0">
      <alignment horizontal="right"/>
    </xf>
    <xf numFmtId="0" fontId="2" fillId="0" borderId="0" pivotButton="0" quotePrefix="0" xfId="0"/>
    <xf numFmtId="172" fontId="5" fillId="15" borderId="1" applyAlignment="1" pivotButton="0" quotePrefix="0" xfId="0">
      <alignment horizontal="right"/>
    </xf>
    <xf numFmtId="0" fontId="16" fillId="0" borderId="1" pivotButton="0" quotePrefix="0" xfId="0"/>
    <xf numFmtId="0" fontId="8" fillId="6" borderId="1" applyAlignment="1" pivotButton="0" quotePrefix="0" xfId="0">
      <alignment vertical="top" wrapText="1"/>
    </xf>
    <xf numFmtId="175" fontId="26" fillId="5" borderId="1" applyAlignment="1" pivotButton="0" quotePrefix="0" xfId="0">
      <alignment horizontal="right"/>
    </xf>
    <xf numFmtId="175" fontId="26" fillId="0" borderId="1" applyAlignment="1" pivotButton="0" quotePrefix="0" xfId="0">
      <alignment horizontal="right"/>
    </xf>
    <xf numFmtId="0" fontId="27" fillId="0" borderId="1" applyAlignment="1" pivotButton="0" quotePrefix="0" xfId="0">
      <alignment horizontal="right"/>
    </xf>
    <xf numFmtId="168" fontId="26" fillId="5" borderId="1" applyAlignment="1" pivotButton="0" quotePrefix="0" xfId="0">
      <alignment horizontal="right"/>
    </xf>
    <xf numFmtId="168" fontId="26" fillId="0" borderId="1" applyAlignment="1" pivotButton="0" quotePrefix="0" xfId="0">
      <alignment horizontal="right"/>
    </xf>
    <xf numFmtId="0" fontId="26" fillId="0" borderId="1" applyAlignment="1" pivotButton="0" quotePrefix="0" xfId="0">
      <alignment horizontal="right"/>
    </xf>
    <xf numFmtId="176" fontId="26" fillId="0" borderId="1" applyAlignment="1" pivotButton="0" quotePrefix="0" xfId="0">
      <alignment horizontal="right"/>
    </xf>
    <xf numFmtId="2" fontId="26" fillId="5" borderId="1" applyAlignment="1" pivotButton="0" quotePrefix="0" xfId="0">
      <alignment horizontal="right"/>
    </xf>
    <xf numFmtId="2" fontId="26" fillId="0" borderId="1" applyAlignment="1" pivotButton="0" quotePrefix="0" xfId="0">
      <alignment horizontal="right"/>
    </xf>
    <xf numFmtId="0" fontId="26" fillId="5" borderId="1" applyAlignment="1" pivotButton="0" quotePrefix="0" xfId="0">
      <alignment horizontal="right"/>
    </xf>
    <xf numFmtId="0" fontId="6" fillId="8" borderId="1" pivotButton="0" quotePrefix="0" xfId="0"/>
    <xf numFmtId="177" fontId="4" fillId="0" borderId="1" pivotButton="0" quotePrefix="0" xfId="0"/>
    <xf numFmtId="0" fontId="17" fillId="0" borderId="0" applyAlignment="1" pivotButton="0" quotePrefix="0" xfId="0">
      <alignment horizontal="center" vertical="center"/>
    </xf>
    <xf numFmtId="1" fontId="4" fillId="3" borderId="1" pivotButton="0" quotePrefix="0" xfId="0"/>
    <xf numFmtId="10" fontId="18" fillId="12"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70" fontId="0" fillId="0" borderId="0" pivotButton="0" quotePrefix="0" xfId="0"/>
    <xf numFmtId="171"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3" borderId="1" applyAlignment="1" pivotButton="0" quotePrefix="0" xfId="0">
      <alignment horizontal="center"/>
    </xf>
    <xf numFmtId="0" fontId="4" fillId="5" borderId="1" applyAlignment="1" pivotButton="0" quotePrefix="0" xfId="0">
      <alignment horizontal="center"/>
    </xf>
    <xf numFmtId="0" fontId="20" fillId="5" borderId="1" pivotButton="0" quotePrefix="0" xfId="0"/>
    <xf numFmtId="0" fontId="21" fillId="14" borderId="1" applyAlignment="1" pivotButton="0" quotePrefix="0" xfId="0">
      <alignment horizontal="center"/>
    </xf>
    <xf numFmtId="0" fontId="4" fillId="0" borderId="1" applyAlignment="1" pivotButton="0" quotePrefix="0" xfId="0">
      <alignment horizontal="center"/>
    </xf>
    <xf numFmtId="0" fontId="20" fillId="0" borderId="1" pivotButton="0" quotePrefix="0" xfId="0"/>
    <xf numFmtId="0" fontId="18" fillId="12" borderId="1" applyAlignment="1" pivotButton="0" quotePrefix="0" xfId="0">
      <alignment horizontal="center"/>
    </xf>
    <xf numFmtId="0" fontId="5" fillId="15" borderId="1" pivotButton="0" quotePrefix="0" xfId="0"/>
    <xf numFmtId="165" fontId="4" fillId="0" borderId="1" applyAlignment="1" pivotButton="0" quotePrefix="0" xfId="0">
      <alignment horizontal="center"/>
    </xf>
    <xf numFmtId="0" fontId="23" fillId="0" borderId="0" pivotButton="0" quotePrefix="0" xfId="0"/>
    <xf numFmtId="0" fontId="4" fillId="0" borderId="0" pivotButton="0" quotePrefix="0" xfId="0"/>
    <xf numFmtId="2" fontId="5" fillId="0" borderId="0" applyAlignment="1" pivotButton="0" quotePrefix="0" xfId="0">
      <alignment horizontal="right"/>
    </xf>
    <xf numFmtId="1" fontId="5" fillId="0" borderId="0" applyAlignment="1" pivotButton="0" quotePrefix="0" xfId="0">
      <alignment horizontal="right"/>
    </xf>
    <xf numFmtId="168" fontId="5" fillId="0" borderId="0" applyAlignment="1" pivotButton="0" quotePrefix="0" xfId="0">
      <alignment horizontal="right"/>
    </xf>
    <xf numFmtId="164" fontId="0" fillId="0" borderId="0" pivotButton="0" quotePrefix="0" xfId="0"/>
    <xf numFmtId="0" fontId="5" fillId="0" borderId="1" applyAlignment="1" pivotButton="0" quotePrefix="0" xfId="0">
      <alignment vertical="top" wrapText="1"/>
    </xf>
    <xf numFmtId="0" fontId="13"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varyColors val="0"/>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delete val="0"/>
        <axPos val="l"/>
        <majorTickMark val="none"/>
        <minorTickMark val="none"/>
        <spPr>
          <a:ln xmlns:a="http://schemas.openxmlformats.org/drawingml/2006/main" w="9525">
            <a:solidFill>
              <a:srgbClr val="D9D9D9"/>
            </a:solidFill>
            <a:prstDash val="solid"/>
          </a:ln>
        </sp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Price &amp; Moving Averages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'Price_Indicators'!$A$2:$A$1255</f>
            </numRef>
          </cat>
          <val>
            <numRef>
              <f>'Price_Indicators'!$E$2:$E$1255</f>
            </numRef>
          </val>
          <smooth val="0"/>
        </ser>
        <ser>
          <idx val="1"/>
          <order val="1"/>
          <tx>
            <v>MA 50</v>
          </tx>
          <spPr>
            <a:ln xmlns:a="http://schemas.openxmlformats.org/drawingml/2006/main" w="13970">
              <a:solidFill>
                <a:srgbClr val="70AD47"/>
              </a:solidFill>
              <a:prstDash val="dash"/>
            </a:ln>
          </spPr>
          <marker>
            <symbol val="none"/>
            <spPr>
              <a:ln xmlns:a="http://schemas.openxmlformats.org/drawingml/2006/main">
                <a:prstDash val="solid"/>
              </a:ln>
            </spPr>
          </marker>
          <cat>
            <numRef>
              <f>'Price_Indicators'!$A$2:$A$1255</f>
            </numRef>
          </cat>
          <val>
            <numRef>
              <f>'Price_Indicators'!$I$2:$I$1255</f>
            </numRef>
          </val>
          <smooth val="0"/>
        </ser>
        <ser>
          <idx val="2"/>
          <order val="2"/>
          <tx>
            <v>MA 200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'Price_Indicators'!$A$2:$A$1255</f>
            </numRef>
          </cat>
          <val>
            <numRef>
              <f>'Price_Indicators'!$J$2:$J$1255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Cumulative Return vs Benchmarks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'Price_Indicators'!$A$2:$A$1255</f>
            </numRef>
          </cat>
          <val>
            <numRef>
              <f>'Price_Indicators'!$H$2:$H$1255</f>
            </numRef>
          </val>
          <smooth val="0"/>
        </ser>
        <ser>
          <idx val="1"/>
          <order val="1"/>
          <tx>
            <v>S&amp;P 500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'Price_Indicators'!$A$2:$A$1255</f>
            </numRef>
          </cat>
          <val>
            <numRef>
              <f>'Price_Indicators'!$P$2:$P$1255</f>
            </numRef>
          </val>
          <smooth val="0"/>
        </ser>
        <ser>
          <idx val="2"/>
          <order val="2"/>
          <tx>
            <v>NASDAQ 100</v>
          </tx>
          <spPr>
            <a:ln xmlns:a="http://schemas.openxmlformats.org/drawingml/2006/main" w="13970">
              <a:solidFill>
                <a:srgbClr val="00B0F0"/>
              </a:solidFill>
              <a:prstDash val="dash"/>
            </a:ln>
          </spPr>
          <marker>
            <symbol val="none"/>
            <spPr>
              <a:ln xmlns:a="http://schemas.openxmlformats.org/drawingml/2006/main">
                <a:prstDash val="solid"/>
              </a:ln>
            </spPr>
          </marker>
          <cat>
            <numRef>
              <f>'Price_Indicators'!$A$2:$A$1255</f>
            </numRef>
          </cat>
          <val>
            <numRef>
              <f>'Price_Indicators'!$Q$2:$Q$1255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Volume</a:t>
            </a:r>
          </a:p>
        </rich>
      </tx>
    </title>
    <plotArea>
      <barChart>
        <barDir val="col"/>
        <grouping val="clustered"/>
        <varyColors val="0"/>
        <ser>
          <idx val="0"/>
          <order val="0"/>
          <tx>
            <strRef>
              <f>'Price_Indicators'!F1</f>
            </strRef>
          </tx>
          <spPr>
            <a:solidFill xmlns:a="http://schemas.openxmlformats.org/drawingml/2006/main">
              <a:srgbClr val="8FAADC"/>
            </a:solidFill>
            <a:ln xmlns:a="http://schemas.openxmlformats.org/drawingml/2006/main">
              <a:noFill/>
              <a:prstDash val="solid"/>
            </a:ln>
          </spPr>
          <cat>
            <numRef>
              <f>'Price_Indicators'!$A$2:$A$1255</f>
            </numRef>
          </cat>
          <val>
            <numRef>
              <f>'Price_Indicators'!$F$2:$F$1255</f>
            </numRef>
          </val>
        </ser>
        <gapWidth val="20"/>
        <axId val="10"/>
        <axId val="100"/>
      </barChart>
      <catAx>
        <axId val="10"/>
        <scaling>
          <orientation val="minMax"/>
        </scaling>
        <delete val="0"/>
        <axPos val="l"/>
        <numFmt formatCode="mmm yy" sourceLinked="0"/>
        <majorTickMark val="none"/>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quot;M&quot;"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5.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RSI (14)</a:t>
            </a:r>
          </a:p>
        </rich>
      </tx>
    </title>
    <plotArea>
      <lineChart>
        <grouping val="standard"/>
        <varyColors val="0"/>
        <ser>
          <idx val="0"/>
          <order val="0"/>
          <tx>
            <strRef>
              <f>'Price_Indicators'!N1</f>
            </strRef>
          </tx>
          <spPr>
            <a:ln xmlns:a="http://schemas.openxmlformats.org/drawingml/2006/main" w="16510">
              <a:solidFill>
                <a:srgbClr val="6C3483"/>
              </a:solidFill>
              <a:prstDash val="solid"/>
            </a:ln>
          </spPr>
          <marker>
            <symbol val="none"/>
            <spPr>
              <a:ln xmlns:a="http://schemas.openxmlformats.org/drawingml/2006/main">
                <a:prstDash val="solid"/>
              </a:ln>
            </spPr>
          </marker>
          <cat>
            <numRef>
              <f>'Price_Indicators'!$A$2:$A$1255</f>
            </numRef>
          </cat>
          <val>
            <numRef>
              <f>'Price_Indicators'!$N$2:$N$1255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max val="100"/>
          <min val="0"/>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Monte Carlo Forecast (252 trading days)</a:t>
            </a:r>
          </a:p>
        </rich>
      </tx>
    </title>
    <plotArea>
      <lineChart>
        <grouping val="standard"/>
        <varyColors val="0"/>
        <ser>
          <idx val="0"/>
          <order val="0"/>
          <tx>
            <strRef>
              <f>'Monte_Carlo'!B20</f>
            </strRef>
          </tx>
          <spPr>
            <a:ln xmlns:a="http://schemas.openxmlformats.org/drawingml/2006/main" w="12700">
              <a:solidFill>
                <a:srgbClr val="C00000"/>
              </a:solidFill>
              <a:prstDash val="dash"/>
            </a:ln>
          </spPr>
          <marker>
            <symbol val="none"/>
            <spPr>
              <a:ln xmlns:a="http://schemas.openxmlformats.org/drawingml/2006/main">
                <a:prstDash val="solid"/>
              </a:ln>
            </spPr>
          </marker>
          <cat>
            <numRef>
              <f>'Monte_Carlo'!$A$21:$A$273</f>
            </numRef>
          </cat>
          <val>
            <numRef>
              <f>'Monte_Carlo'!$B$21:$B$273</f>
            </numRef>
          </val>
          <smooth val="0"/>
        </ser>
        <ser>
          <idx val="1"/>
          <order val="1"/>
          <tx>
            <strRef>
              <f>'Monte_Carlo'!C20</f>
            </strRef>
          </tx>
          <spPr>
            <a:ln xmlns:a="http://schemas.openxmlformats.org/drawingml/2006/main" w="12700">
              <a:solidFill>
                <a:srgbClr val="E8A838"/>
              </a:solidFill>
              <a:prstDash val="dash"/>
            </a:ln>
          </spPr>
          <marker>
            <symbol val="none"/>
            <spPr>
              <a:ln xmlns:a="http://schemas.openxmlformats.org/drawingml/2006/main">
                <a:prstDash val="solid"/>
              </a:ln>
            </spPr>
          </marker>
          <cat>
            <numRef>
              <f>'Monte_Carlo'!$A$21:$A$273</f>
            </numRef>
          </cat>
          <val>
            <numRef>
              <f>'Monte_Carlo'!$C$21:$C$273</f>
            </numRef>
          </val>
          <smooth val="0"/>
        </ser>
        <ser>
          <idx val="2"/>
          <order val="2"/>
          <tx>
            <strRef>
              <f>'Monte_Carlo'!D20</f>
            </strRef>
          </tx>
          <spPr>
            <a:ln xmlns:a="http://schemas.openxmlformats.org/drawingml/2006/main" w="22860">
              <a:solidFill>
                <a:srgbClr val="1F4E79"/>
              </a:solidFill>
              <a:prstDash val="solid"/>
            </a:ln>
          </spPr>
          <marker>
            <symbol val="none"/>
            <spPr>
              <a:ln xmlns:a="http://schemas.openxmlformats.org/drawingml/2006/main">
                <a:prstDash val="solid"/>
              </a:ln>
            </spPr>
          </marker>
          <cat>
            <numRef>
              <f>'Monte_Carlo'!$A$21:$A$273</f>
            </numRef>
          </cat>
          <val>
            <numRef>
              <f>'Monte_Carlo'!$D$21:$D$273</f>
            </numRef>
          </val>
          <smooth val="0"/>
        </ser>
        <ser>
          <idx val="3"/>
          <order val="3"/>
          <tx>
            <strRef>
              <f>'Monte_Carlo'!E20</f>
            </strRef>
          </tx>
          <spPr>
            <a:ln xmlns:a="http://schemas.openxmlformats.org/drawingml/2006/main" w="12700">
              <a:solidFill>
                <a:srgbClr val="92D050"/>
              </a:solidFill>
              <a:prstDash val="dash"/>
            </a:ln>
          </spPr>
          <marker>
            <symbol val="none"/>
            <spPr>
              <a:ln xmlns:a="http://schemas.openxmlformats.org/drawingml/2006/main">
                <a:prstDash val="solid"/>
              </a:ln>
            </spPr>
          </marker>
          <cat>
            <numRef>
              <f>'Monte_Carlo'!$A$21:$A$273</f>
            </numRef>
          </cat>
          <val>
            <numRef>
              <f>'Monte_Carlo'!$E$21:$E$273</f>
            </numRef>
          </val>
          <smooth val="0"/>
        </ser>
        <ser>
          <idx val="4"/>
          <order val="4"/>
          <tx>
            <strRef>
              <f>'Monte_Carlo'!F20</f>
            </strRef>
          </tx>
          <spPr>
            <a:ln xmlns:a="http://schemas.openxmlformats.org/drawingml/2006/main" w="12700">
              <a:solidFill>
                <a:srgbClr val="375623"/>
              </a:solidFill>
              <a:prstDash val="dash"/>
            </a:ln>
          </spPr>
          <marker>
            <symbol val="none"/>
            <spPr>
              <a:ln xmlns:a="http://schemas.openxmlformats.org/drawingml/2006/main">
                <a:prstDash val="solid"/>
              </a:ln>
            </spPr>
          </marker>
          <cat>
            <numRef>
              <f>'Monte_Carlo'!$A$21:$A$273</f>
            </numRef>
          </cat>
          <val>
            <numRef>
              <f>'Monte_Carlo'!$F$21:$F$273</f>
            </numRef>
          </val>
          <smooth val="0"/>
        </ser>
        <axId val="10"/>
        <axId val="100"/>
      </lineChart>
      <catAx>
        <axId val="10"/>
        <scaling>
          <orientation val="minMax"/>
        </scaling>
        <delete val="0"/>
        <axPos val="l"/>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 Type="http://schemas.openxmlformats.org/officeDocument/2006/relationships/chart" Target="/xl/charts/chart5.xml" Id="rId4"/><Relationship Type="http://schemas.openxmlformats.org/officeDocument/2006/relationships/chart" Target="/xl/charts/chart6.xml" Id="rId5"/></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79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37</row>
      <rowOff>0</rowOff>
    </from>
    <ext cx="792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54</row>
      <rowOff>0</rowOff>
    </from>
    <ext cx="792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9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hyperlink" Target="https://quantwizard.co/?page=analysis&amp;ticker=NKE" TargetMode="External" Id="rId12"/><Relationship Type="http://schemas.openxmlformats.org/officeDocument/2006/relationships/drawing" Target="/xl/drawings/drawing1.xml" Id="rId13"/></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hyperlink" Target="https://www.sec.gov/Archives/edgar/data/320187/000032018726000112/nke-20260804.htm" TargetMode="External" Id="rId1"/><Relationship Type="http://schemas.openxmlformats.org/officeDocument/2006/relationships/hyperlink" Target="https://news.google.com/rss/articles/CBMi2wFBVV95cUxNMVd5RXRIek1ld3oyX01VeFI0S0hTTVN3MWt6b3FMNGtXaVBpd0RjSHhzMUVMWWJKZXczcnhYd20zTkpRcHhVeVh0blg4LXZ2bGZSN2tWTy1ON1JkZ01uWnBFUWltblg2Ykk3THpvQ0VibG9pZjBqUnpWMVI1RGcxM0ZsSWlxcjdMY2JHcEFlaDE1QjJkYXQ5TjRlSmtoWmdjT2p5RUFiakJpU0Q5ZjR2dTlyaHUwNjN2eG0xNkU4Ql9MNVlhVUFkTEYyMkhfSWRQa1F6SERGYUJPcjA?oc=5" TargetMode="External" Id="rId2"/><Relationship Type="http://schemas.openxmlformats.org/officeDocument/2006/relationships/hyperlink" Target="https://www.fool.com/investing/2026/08/23/why-is-nike-stock-declining-and-is-it-a-generation/?source=iedfolrf0000001" TargetMode="External" Id="rId3"/><Relationship Type="http://schemas.openxmlformats.org/officeDocument/2006/relationships/hyperlink" Target="https://finnhub.io/api/news?id=b98069670e23686794aec8c43b4043f2049d07f1574a3fa23171a4000627a54d" TargetMode="External" Id="rId4"/><Relationship Type="http://schemas.openxmlformats.org/officeDocument/2006/relationships/hyperlink" Target="https://news.google.com/rss/articles/CBMijwFBVV95cUxNYkxjNVV6WGJlMkV2V0phODlkeHF6TWJnY0NhLUVlWjZDdGdjdHU2UFJERTUzUk96WWN0N2RtbjRCXzRtQUh4LW9EV3pVWk5YanFocWtwa0g1WTkxS1UwZUd2NjIxb2wxQjZETGVLYUtoRUNpcTNrcnFmTDVodmZpMlNVVVJuT3VtNUhKNzljQQ?oc=5" TargetMode="External" Id="rId5"/><Relationship Type="http://schemas.openxmlformats.org/officeDocument/2006/relationships/hyperlink" Target="https://finnhub.io/api/news?id=74bc88ea47a3523e480c8b547b964668551023193fa5a13737ef1c9308cede37" TargetMode="External" Id="rId6"/><Relationship Type="http://schemas.openxmlformats.org/officeDocument/2006/relationships/hyperlink" Target="https://www.investing.com/analysis/nikes-40-floor-reflects-deep-value-but-not-yet-a-confirmed-recovery-200683845" TargetMode="External" Id="rId7"/><Relationship Type="http://schemas.openxmlformats.org/officeDocument/2006/relationships/hyperlink" Target="https://news.google.com/rss/articles/CBMivwFBVV95cUxNUkU4Z3VPUjB2YTVFN0hMMnRXZldpSnRDTUhtMFhDMnJueTVlR1hLM3dKUk0zblFqTV95eWFiMzk2SjZET0JmMWFFNE1aM3VWMGxqd3o1amJKZkdmUjFEX25EemctUnd4Mk43NnBiZnJhX0VpUjdNWkdrc0gxT29DZi02SFBhQnRsLVRicnJDY1NrRU5RVk02TjRET2pJUmgza3FvM3pPR1Fmemt2YWQtYWxxSFByVzZESEF0ZFJkMA?oc=5" TargetMode="External" Id="rId8"/><Relationship Type="http://schemas.openxmlformats.org/officeDocument/2006/relationships/hyperlink" Target="https://news.google.com/rss/articles/CBMiuwFBVV95cUxOX3lUWTVJWEdYYnM1X0JkeVg4Z0k4SGIwVmhMRmxhYmFEV2JYVTg5SmZ6eHJkTFJxb0IxZDRMSjFLMnFxdEZ1YVI0eGFyMTlQRGR5ZGJ4cUFTUkVHMWhuUkozMnFXUFJCcDJGa1lBeGtfZkZFTWFfVHYyVnZuVWpxbGVXYmNXeXJEajBsR25jOUNzTEdnRmJOamt0a2Z3eEtlY2xlajg4dFE1eU90NE5DQjhMd1VWZEp2UTVJ?oc=5" TargetMode="External" Id="rId9"/><Relationship Type="http://schemas.openxmlformats.org/officeDocument/2006/relationships/hyperlink" Target="https://news.google.com/rss/articles/CBMiR0FVX3lxTE1kZTQ1VWZFQ045QzZTbzBGVW1fX1QwSkpvU0xKUk5lVVV1Vkdrc1QzR2kzSXR0N3JuMWVqVU8yRGl4N01JdGIw?oc=5" TargetMode="External" Id="rId10"/><Relationship Type="http://schemas.openxmlformats.org/officeDocument/2006/relationships/hyperlink" Target="https://news.google.com/rss/articles/CBMikwFBVV95cUxQMDV2Z3k3elN0cXRiYk9oUWRCYUZNeEgycWxsSGV5bnNjMVlaMHNOaVdDZExLZjVPdXlPYmNtbVFONWNwZmdsU0c3V3prRGpfV21IWm02djZuVnp6T1BEUHZXVlpPS2VtT0JWVU05bU4xNjQtSGlkbUJMREROa3VrcEtwbEthWnQ5bjNGZDg1RnRFTm8?oc=5" TargetMode="External" Id="rId11"/><Relationship Type="http://schemas.openxmlformats.org/officeDocument/2006/relationships/hyperlink" Target="https://news.google.com/rss/articles/CBMivwFBVV95cUxORGZmQm5HdkVZUG1wZ05STTFCUWlUNkVBUmgwaUxjVGp5Z25VYzQ1Q3VJUVM4WkxicVFtcVl5NWtlUUlXZUtuN0hDVlJhNVpSeEhDM1JSazB5N2FuZ3B1U0VUSXhRX0NneEllNFVjQmNqRWRxaDJ5aG1jMXowRWtYejFwMl9WY3NyaFRaSjF6NS1KdHlQZTQ4YlJHbFZIa2lCQjlHdWY5T2VhYmpSdGR4UjB4VS1OY1l6a3NXU0c1Yw?oc=5" TargetMode="External" Id="rId12"/><Relationship Type="http://schemas.openxmlformats.org/officeDocument/2006/relationships/hyperlink" Target="https://news.google.com/rss/articles/CBMiugFBVV95cUxQOERoV2JSTEpZcjlqM1ZGQmhUQkpqTXd0NGgtNEhxRUVDeDdoR0xBNHZ2cngyOFlfLXltY1dvTFgwbUpwTTRMU3NONXVaMGdPTm85UVJSRGRiYWhyUDAyQVl5aFY1b2VKemZTbmFBaWNRS09rQU9MaEROU2Vpdk8xOWpfWWpHVzRxbmhNNTdaTGkzamVOaHN5TFQzTUtUZFE4X0dvWlBpUFRXSHZGUEpNWDh6VGhPdF9QVlE?oc=5" TargetMode="External" Id="rId13"/><Relationship Type="http://schemas.openxmlformats.org/officeDocument/2006/relationships/hyperlink" Target="https://news.google.com/rss/articles/CBMiyAFBVV95cUxPSmFCZjZUYUN0c2JrWkxPMXl4THRiMXVzZkFEQlpDTjF5X2tac2RxMmlEQjlSVG13dDJfc21RQTU2WXBILTBkMHFIck14MUlhTHpYRl9FSDRKNXJPTXpyVFFHUzR6Nlh2OURJbWZRSXBzanRfaGRqSGhXTkFiTGpSd1NLZTRDZFJGaVBaUHB3ZEZURF82RFFaN3l3YTN4cjhlaUMwc0Y1ODNFOEJUTkRKdUNVM3JMQ3NZaUQ2R0FPWE5uOXFkR05lUtIBzgFBVV95cUxNQm85TERZOFRSUU9mRU1haXl6cVFGUlBfUzVYV1Y4TExiNVM4Q3RwVUJRdmduQzdKWU9ySDh1UDNaYnhIbXpoQnZwMmEwQllUbldRR2tsa1pnbVZKb3R2Z3NGZ3lyZG9wd2NxdkVOaVpWTGUtVTFldXlMOEYzOUY1STZrTnlTNXQxWmRGZmZzYTJMQUlRTXl0ZDNtOVRCVGZ5U0hha3Q3NE83eU5GUmhVV01HdUJTN09ZejU4dXMtdk5XOGJhVU9EMWRrLXAtUQ?oc=5" TargetMode="External" Id="rId14"/></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3"/>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August 24, 2026 15:03    |    Multi-source data: Polygon · Yahoo Finance · Finnhub · SEC EDGAR</t>
        </is>
      </c>
    </row>
    <row r="6" ht="30" customHeight="1">
      <c r="B6" s="4" t="inlineStr">
        <is>
          <t>$40.99</t>
        </is>
      </c>
      <c r="C6" s="5" t="inlineStr">
        <is>
          <t>-73.8%</t>
        </is>
      </c>
      <c r="D6" s="4" t="inlineStr">
        <is>
          <t>-0.68</t>
        </is>
      </c>
      <c r="E6" s="4" t="inlineStr">
        <is>
          <t>35.7%</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row r="22">
      <c r="B22" s="9" t="inlineStr">
        <is>
          <t>↗  Open NKE live on QuantWizard (refreshes this analysis)</t>
        </is>
      </c>
    </row>
    <row r="23">
      <c r="B23" s="10" t="inlineStr">
        <is>
          <t>Figures below are as of the generation date above.</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2" r:id="rId12"/>
  </hyperlinks>
  <pageMargins left="0.75" right="0.75" top="1" bottom="1" header="0.5" footer="0.5"/>
  <drawing xmlns:r="http://schemas.openxmlformats.org/officeDocument/2006/relationships" r:id="rId13"/>
</worksheet>
</file>

<file path=xl/worksheets/sheet2.xml><?xml version="1.0" encoding="utf-8"?>
<worksheet xmlns="http://schemas.openxmlformats.org/spreadsheetml/2006/main">
  <sheetPr>
    <outlinePr summaryBelow="1" summaryRight="1"/>
    <pageSetUpPr/>
  </sheetPr>
  <dimension ref="A1:E123"/>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11" t="inlineStr">
        <is>
          <t>NKE — Equity Research Dashboard</t>
        </is>
      </c>
    </row>
    <row r="2">
      <c r="A2" s="12" t="inlineStr">
        <is>
          <t>Generated: August 24, 2026 15:03  |  Multi-source data: Polygon · Yahoo Finance · Finnhub · SEC EDGAR</t>
        </is>
      </c>
    </row>
    <row r="4" ht="20" customHeight="1">
      <c r="A4" s="13" t="inlineStr">
        <is>
          <t>Price &amp; Performance</t>
        </is>
      </c>
      <c r="E4" s="14" t="inlineStr">
        <is>
          <t>SPARKLINES</t>
        </is>
      </c>
    </row>
    <row r="5">
      <c r="A5" s="15" t="inlineStr">
        <is>
          <t>Current Price ($)</t>
        </is>
      </c>
      <c r="B5" s="16" t="n">
        <v>40.99499893188477</v>
      </c>
      <c r="E5" s="17" t="inlineStr">
        <is>
          <t>Price</t>
        </is>
      </c>
    </row>
    <row r="6">
      <c r="A6" s="18" t="inlineStr">
        <is>
          <t>Period Return</t>
        </is>
      </c>
      <c r="B6" s="19" t="n">
        <v>-0.7378086275475759</v>
      </c>
    </row>
    <row r="7">
      <c r="A7" s="15" t="inlineStr">
        <is>
          <t>52-Week High ($)</t>
        </is>
      </c>
      <c r="B7" s="16" t="n">
        <v>77.05551910400391</v>
      </c>
    </row>
    <row r="8">
      <c r="A8" s="18" t="inlineStr">
        <is>
          <t>52-Week Low ($)</t>
        </is>
      </c>
      <c r="B8" s="20" t="n">
        <v>39.09000015258789</v>
      </c>
      <c r="E8" s="17" t="inlineStr">
        <is>
          <t>Volume</t>
        </is>
      </c>
    </row>
    <row r="9">
      <c r="A9" s="15" t="inlineStr">
        <is>
          <t>% from 52W High</t>
        </is>
      </c>
      <c r="B9" s="19" t="n">
        <v>-0.4679810166932662</v>
      </c>
    </row>
    <row r="10">
      <c r="A10" s="18" t="inlineStr">
        <is>
          <t>20-Day MA ($)</t>
        </is>
      </c>
      <c r="B10" s="20" t="n">
        <v>41.43274974822998</v>
      </c>
    </row>
    <row r="11">
      <c r="A11" s="15" t="inlineStr">
        <is>
          <t>50-Day MA ($)</t>
        </is>
      </c>
      <c r="B11" s="16" t="n">
        <v>42.39429985046387</v>
      </c>
      <c r="E11" s="17" t="inlineStr">
        <is>
          <t>Daily Ret</t>
        </is>
      </c>
    </row>
    <row r="12">
      <c r="A12" s="18" t="inlineStr">
        <is>
          <t>200-Day MA ($)</t>
        </is>
      </c>
      <c r="B12" s="20" t="n">
        <v>51.9590301322937</v>
      </c>
    </row>
    <row r="13">
      <c r="A13" s="15" t="inlineStr">
        <is>
          <t>Price vs 50-Day MA</t>
        </is>
      </c>
      <c r="B13" s="19" t="n">
        <v>-0.03300681750883516</v>
      </c>
    </row>
    <row r="14">
      <c r="E14" s="17" t="inlineStr">
        <is>
          <t>Volatility</t>
        </is>
      </c>
    </row>
    <row r="15" ht="20" customHeight="1">
      <c r="A15" s="13" t="inlineStr">
        <is>
          <t>Bollinger Bands (20-day, 2σ)</t>
        </is>
      </c>
    </row>
    <row r="16">
      <c r="A16" s="18" t="inlineStr">
        <is>
          <t>BB Upper ($)</t>
        </is>
      </c>
      <c r="B16" s="20" t="n">
        <v>43.48374869069633</v>
      </c>
    </row>
    <row r="17">
      <c r="A17" s="15" t="inlineStr">
        <is>
          <t>BB Middle ($)</t>
        </is>
      </c>
      <c r="B17" s="16" t="n">
        <v>41.43274974822998</v>
      </c>
      <c r="E17" s="17" t="inlineStr">
        <is>
          <t>Drawdown</t>
        </is>
      </c>
    </row>
    <row r="18">
      <c r="A18" s="18" t="inlineStr">
        <is>
          <t>BB Lower ($)</t>
        </is>
      </c>
      <c r="B18" s="20" t="n">
        <v>39.38175080576363</v>
      </c>
    </row>
    <row r="19">
      <c r="A19" s="15" t="inlineStr">
        <is>
          <t>BB Width</t>
        </is>
      </c>
      <c r="B19" s="21" t="n">
        <v>0.09900375692800691</v>
      </c>
    </row>
    <row r="20">
      <c r="A20" s="18" t="inlineStr">
        <is>
          <t>BB %B</t>
        </is>
      </c>
      <c r="B20" s="22" t="n">
        <v>0.3932835099810402</v>
      </c>
    </row>
    <row r="22" ht="20" customHeight="1">
      <c r="A22" s="13" t="inlineStr">
        <is>
          <t>Risk &amp; Return Metrics</t>
        </is>
      </c>
    </row>
    <row r="23">
      <c r="A23" s="15" t="inlineStr">
        <is>
          <t>20-Day Ann. Volatility</t>
        </is>
      </c>
      <c r="B23" s="23" t="n">
        <v>0.3199184856964207</v>
      </c>
    </row>
    <row r="24">
      <c r="A24" s="18" t="inlineStr">
        <is>
          <t>60-Day Max Drawdown</t>
        </is>
      </c>
      <c r="B24" s="19" t="n">
        <v>-0.3553826303470417</v>
      </c>
    </row>
    <row r="25">
      <c r="A25" s="15" t="inlineStr">
        <is>
          <t>RSI (14)</t>
        </is>
      </c>
      <c r="B25" s="24" t="n">
        <v>47.2</v>
      </c>
    </row>
    <row r="26">
      <c r="A26" s="18" t="inlineStr">
        <is>
          <t>Sharpe Ratio</t>
        </is>
      </c>
      <c r="B26" s="25" t="n">
        <v>-0.68</v>
      </c>
    </row>
    <row r="27">
      <c r="A27" s="15" t="inlineStr">
        <is>
          <t>Sortino Ratio</t>
        </is>
      </c>
      <c r="B27" s="25" t="n">
        <v>-0.91</v>
      </c>
    </row>
    <row r="29" ht="20" customHeight="1">
      <c r="A29" s="13" t="inlineStr">
        <is>
          <t>Investor Takeaway</t>
        </is>
      </c>
    </row>
    <row r="30" ht="58" customHeight="1">
      <c r="A30" s="26" t="inlineStr">
        <is>
          <t>NKE is -73.8% over the period, last $40.99.  Technical posture: Bearish technicals (7/100).  Wall-Street consensus: Buy (46 analysts).  DCF fair value $42 (+2% vs price).</t>
        </is>
      </c>
    </row>
    <row r="31" ht="20" customHeight="1">
      <c r="A31" s="13" t="inlineStr">
        <is>
          <t>Stock Scorecard</t>
        </is>
      </c>
    </row>
    <row r="32">
      <c r="A32" s="27" t="inlineStr">
        <is>
          <t>Composite Score (0–100)</t>
        </is>
      </c>
      <c r="B32" s="28" t="n">
        <v>48</v>
      </c>
    </row>
    <row r="33">
      <c r="A33" s="29" t="inlineStr">
        <is>
          <t>Overall Profile</t>
        </is>
      </c>
      <c r="B33" s="30" t="inlineStr">
        <is>
          <t>Mixed profile</t>
        </is>
      </c>
    </row>
    <row r="34">
      <c r="A34" s="31" t="inlineStr">
        <is>
          <t>Factor</t>
        </is>
      </c>
      <c r="B34" s="31" t="inlineStr">
        <is>
          <t>Score</t>
        </is>
      </c>
      <c r="C34" s="31" t="inlineStr">
        <is>
          <t>Grade</t>
        </is>
      </c>
    </row>
    <row r="35">
      <c r="A35" s="29" t="inlineStr">
        <is>
          <t>Valuation</t>
        </is>
      </c>
      <c r="B35" s="32" t="n">
        <v>61</v>
      </c>
      <c r="C35" s="33" t="inlineStr">
        <is>
          <t>Average</t>
        </is>
      </c>
    </row>
    <row r="36">
      <c r="A36" s="29" t="inlineStr">
        <is>
          <t>Growth</t>
        </is>
      </c>
      <c r="B36" s="32" t="n">
        <v>30</v>
      </c>
      <c r="C36" s="34" t="inlineStr">
        <is>
          <t>Weak</t>
        </is>
      </c>
    </row>
    <row r="37">
      <c r="A37" s="29" t="inlineStr">
        <is>
          <t>Profitability</t>
        </is>
      </c>
      <c r="B37" s="32" t="n">
        <v>72</v>
      </c>
      <c r="C37" s="35" t="inlineStr">
        <is>
          <t>Above-avg</t>
        </is>
      </c>
    </row>
    <row r="38">
      <c r="A38" s="29" t="inlineStr">
        <is>
          <t>Financial Health</t>
        </is>
      </c>
      <c r="B38" s="32" t="n">
        <v>69</v>
      </c>
      <c r="C38" s="35" t="inlineStr">
        <is>
          <t>Above-avg</t>
        </is>
      </c>
    </row>
    <row r="39">
      <c r="A39" s="29" t="inlineStr">
        <is>
          <t>Momentum</t>
        </is>
      </c>
      <c r="B39" s="32" t="n">
        <v>7</v>
      </c>
      <c r="C39" s="34" t="inlineStr">
        <is>
          <t>Weak</t>
        </is>
      </c>
    </row>
    <row r="40">
      <c r="A40" s="29" t="inlineStr">
        <is>
          <t>Risk</t>
        </is>
      </c>
      <c r="B40" s="32" t="n">
        <v>24</v>
      </c>
      <c r="C40" s="34" t="inlineStr">
        <is>
          <t>Weak</t>
        </is>
      </c>
    </row>
    <row r="41">
      <c r="A41" s="29" t="inlineStr">
        <is>
          <t>Sentiment</t>
        </is>
      </c>
      <c r="B41" s="32" t="n">
        <v>62</v>
      </c>
      <c r="C41" s="33" t="inlineStr">
        <is>
          <t>Average</t>
        </is>
      </c>
    </row>
    <row r="42" ht="96" customHeight="1">
      <c r="A42" s="36" t="inlineStr">
        <is>
          <t>Weighted blend of valuation, growth, profitability, financial health, momentum, risk and sentiment — a descriptive profile of the stock's characteristics, not a recommendation.
Valuation: DCF +2%, FCF yield 3.6%   ·   Growth: Rev CAGR 3%, EPS CAGR -2%   ·   Profitability: Net margin 7%, ROE 21%   ·   Financial Health: F-Score 5/9, D/E 0.40   ·   Momentum: Technical posture 7/100   ·   Risk: Sharpe -0.68, Max DD (peak-to-trough) -76%   ·   Sentiment: Analysts: Buy (46)
For informational purposes only. Not investment advice. Past performance does not guarantee future results.</t>
        </is>
      </c>
    </row>
    <row r="44">
      <c r="A44" s="37" t="inlineStr">
        <is>
          <t>What changed recently</t>
        </is>
      </c>
    </row>
    <row r="45" ht="88" customHeight="1">
      <c r="A45" s="38" t="inlineStr">
        <is>
          <t>•  Price +4.9% over the last 5 sessions ($39.09 -&gt; $40.99).
•  Best day +2.5%, worst day -2.0% in that window.
•  Latest volume ran 0.5x its 20-day average (-51%) — lighter trading.
•  RSI moved 36 -&gt; 47.
•  Outpaced the S&amp;P 500 by 6.0 pts over the last 5 sessions.</t>
        </is>
      </c>
    </row>
    <row r="47" ht="20" customHeight="1">
      <c r="A47" s="13" t="inlineStr">
        <is>
          <t>Relative Performance</t>
        </is>
      </c>
    </row>
    <row r="48">
      <c r="A48" s="18" t="inlineStr">
        <is>
          <t>vs S&amp;P 500 (SPY) (difference)</t>
        </is>
      </c>
      <c r="B48" s="39" t="n">
        <v>-155.8622531220087</v>
      </c>
    </row>
    <row r="49">
      <c r="A49" s="15" t="inlineStr">
        <is>
          <t>vs NASDAQ 100 (QQQ) (difference)</t>
        </is>
      </c>
      <c r="B49" s="39" t="n">
        <v>-168.3487183313891</v>
      </c>
    </row>
    <row r="50" ht="26" customHeight="1">
      <c r="A50" s="38" t="inlineStr">
        <is>
          <t>Period return:    NKE -73.8%      |      S&amp;P 500 +82.1%      |      NASDAQ 100 +94.6%</t>
        </is>
      </c>
    </row>
    <row r="52">
      <c r="A52" s="40" t="inlineStr">
        <is>
          <t>Window</t>
        </is>
      </c>
      <c r="B52" s="41" t="inlineStr">
        <is>
          <t>NKE</t>
        </is>
      </c>
      <c r="C52" s="41" t="inlineStr">
        <is>
          <t>S&amp;P 500</t>
        </is>
      </c>
      <c r="D52" s="41" t="inlineStr">
        <is>
          <t>Relative</t>
        </is>
      </c>
    </row>
    <row r="53">
      <c r="A53" s="42" t="inlineStr">
        <is>
          <t>1 month</t>
        </is>
      </c>
      <c r="B53" s="43" t="n">
        <v>-0.01690651842100799</v>
      </c>
      <c r="C53" s="43" t="n">
        <v>0.0338597969756893</v>
      </c>
      <c r="D53" s="44" t="n">
        <v>-5.076631539669729</v>
      </c>
    </row>
    <row r="54">
      <c r="A54" s="42" t="inlineStr">
        <is>
          <t>3 months</t>
        </is>
      </c>
      <c r="B54" s="43" t="n">
        <v>-0.07405808314923501</v>
      </c>
      <c r="C54" s="43" t="n">
        <v>0.02719559031327656</v>
      </c>
      <c r="D54" s="44" t="n">
        <v>-10.12536734625116</v>
      </c>
    </row>
    <row r="55">
      <c r="A55" s="42" t="inlineStr">
        <is>
          <t>6 months</t>
        </is>
      </c>
      <c r="B55" s="43" t="n">
        <v>-0.3400481235949316</v>
      </c>
      <c r="C55" s="43" t="n">
        <v>0.1254705324805088</v>
      </c>
      <c r="D55" s="44" t="n">
        <v>-46.55186560754404</v>
      </c>
    </row>
    <row r="56">
      <c r="A56" s="42" t="inlineStr">
        <is>
          <t>1 year</t>
        </is>
      </c>
      <c r="B56" s="43" t="n">
        <v>-0.4470997387116767</v>
      </c>
      <c r="C56" s="43" t="n">
        <v>0.2153485004329145</v>
      </c>
      <c r="D56" s="44" t="n">
        <v>-66.24482391445913</v>
      </c>
    </row>
    <row r="57">
      <c r="A57" s="42" t="inlineStr">
        <is>
          <t>Full period</t>
        </is>
      </c>
      <c r="B57" s="43" t="n">
        <v>-0.7378086275475753</v>
      </c>
      <c r="C57" s="43" t="n">
        <v>0.8208139036725115</v>
      </c>
      <c r="D57" s="44" t="n">
        <v>-155.8622531220087</v>
      </c>
    </row>
    <row r="59" ht="20" customHeight="1">
      <c r="A59" s="13" t="inlineStr">
        <is>
          <t>Technical Posture</t>
        </is>
      </c>
    </row>
    <row r="60">
      <c r="A60" s="18" t="inlineStr">
        <is>
          <t>Technical Score (0–100)</t>
        </is>
      </c>
      <c r="B60" s="45" t="n">
        <v>7</v>
      </c>
    </row>
    <row r="61">
      <c r="A61" s="29" t="inlineStr">
        <is>
          <t>Reading</t>
        </is>
      </c>
      <c r="B61" s="25" t="inlineStr">
        <is>
          <t>Bearish technicals</t>
        </is>
      </c>
    </row>
    <row r="62">
      <c r="A62" s="46" t="inlineStr">
        <is>
          <t>•  Price is below the 50-day moving average</t>
        </is>
      </c>
    </row>
    <row r="63">
      <c r="A63" s="46" t="inlineStr">
        <is>
          <t>•  Price is below the 200-day moving average</t>
        </is>
      </c>
    </row>
    <row r="64">
      <c r="A64" s="46" t="inlineStr">
        <is>
          <t>•  50-day MA is below the 200-day MA (downtrend structure)</t>
        </is>
      </c>
    </row>
    <row r="65">
      <c r="A65" s="46" t="inlineStr">
        <is>
          <t>•  RSI is 47 — neutral</t>
        </is>
      </c>
    </row>
    <row r="66">
      <c r="A66" s="46" t="inlineStr">
        <is>
          <t>•  MACD is below its signal line (bearish momentum)</t>
        </is>
      </c>
    </row>
    <row r="67">
      <c r="A67" s="46" t="inlineStr">
        <is>
          <t>•  Trading 47% below the 52-week high</t>
        </is>
      </c>
    </row>
    <row r="68">
      <c r="A68" s="46" t="inlineStr">
        <is>
          <t>•  Lagging S&amp;P 500 by 155.9 pts over the period</t>
        </is>
      </c>
    </row>
    <row r="69" ht="40" customHeight="1">
      <c r="A69" s="36" t="inlineStr">
        <is>
          <t>Describes what the technical indicators say today — a signal, not a recommendation. For informational purposes only. Not investment advice. Past performance does not guarantee future results.</t>
        </is>
      </c>
    </row>
    <row r="71" ht="20" customHeight="1">
      <c r="A71" s="13" t="inlineStr">
        <is>
          <t>Analyst Consensus</t>
        </is>
      </c>
    </row>
    <row r="72">
      <c r="A72" s="29" t="inlineStr">
        <is>
          <t>Wall-Street Rating</t>
        </is>
      </c>
      <c r="B72" s="47" t="inlineStr">
        <is>
          <t>Buy</t>
        </is>
      </c>
    </row>
    <row r="73">
      <c r="A73" s="15" t="inlineStr">
        <is>
          <t>Buy (Strong Buy + Buy)</t>
        </is>
      </c>
      <c r="B73" s="24" t="n">
        <v>18</v>
      </c>
    </row>
    <row r="74">
      <c r="A74" s="18" t="inlineStr">
        <is>
          <t>Hold</t>
        </is>
      </c>
      <c r="B74" s="45" t="n">
        <v>26</v>
      </c>
    </row>
    <row r="75">
      <c r="A75" s="15" t="inlineStr">
        <is>
          <t>Sell (Sell + Strong Sell)</t>
        </is>
      </c>
      <c r="B75" s="24" t="n">
        <v>2</v>
      </c>
    </row>
    <row r="76">
      <c r="A76" s="18" t="inlineStr">
        <is>
          <t>Analysts covering</t>
        </is>
      </c>
      <c r="B76" s="45" t="n">
        <v>46</v>
      </c>
    </row>
    <row r="77" ht="40" customHeight="1">
      <c r="A77" s="36" t="inlineStr">
        <is>
          <t>Source: 46 Wall-Street analyst ratings aggregated by Finnhub (period 2026-08). This is analysts' consensus, not QuantWizard's opinion. For informational purposes only. Not investment advice. Past performance does not guarantee future results.</t>
        </is>
      </c>
    </row>
    <row r="79" ht="20" customHeight="1">
      <c r="A79" s="13" t="inlineStr">
        <is>
          <t>Valuation — Reverse DCF &amp; Fair Value</t>
        </is>
      </c>
    </row>
    <row r="80">
      <c r="A80" s="18" t="inlineStr">
        <is>
          <t>Market-Implied FCF Growth</t>
        </is>
      </c>
      <c r="B80" s="48" t="n">
        <v>0.02617001701960479</v>
      </c>
    </row>
    <row r="81">
      <c r="A81" s="15" t="inlineStr">
        <is>
          <t>DCF Fair Value / Share</t>
        </is>
      </c>
      <c r="B81" s="16" t="n">
        <v>41.65511243697523</v>
      </c>
    </row>
    <row r="82">
      <c r="A82" s="18" t="inlineStr">
        <is>
          <t>Upside / Downside</t>
        </is>
      </c>
      <c r="B82" s="49" t="n">
        <v>0.01610229350627068</v>
      </c>
    </row>
    <row r="83">
      <c r="A83" s="29" t="inlineStr">
        <is>
          <t>DCF Verdict</t>
        </is>
      </c>
      <c r="B83" s="50" t="inlineStr">
        <is>
          <t>Fairly valued vs DCF</t>
        </is>
      </c>
    </row>
    <row r="84" ht="70" customHeight="1">
      <c r="A84" s="36" t="inlineStr">
        <is>
          <t>Today's $40.99 price implies free cash flow compounding at ~2.6% a year for 10 years. That is the number to argue with. 2-stage FCF DCF at a 9.3% discount rate, 2.5% terminal growth, base case 3.0% stage-1 growth. Bear $37 / Bull $47. The Valuation sheet holds the full model as live formulas — change an assumption there and it recalculates. For informational purposes only. Not investment advice. Past performance does not guarantee future results.</t>
        </is>
      </c>
    </row>
    <row r="86" ht="20" customHeight="1">
      <c r="A86" s="13" t="inlineStr">
        <is>
          <t>Support &amp; Resistance Levels</t>
        </is>
      </c>
    </row>
    <row r="87">
      <c r="A87" s="29" t="inlineStr">
        <is>
          <t>Resistance (above price)</t>
        </is>
      </c>
      <c r="B87" s="51" t="inlineStr">
        <is>
          <t>$41.72   |   $47.23   |   $56.11</t>
        </is>
      </c>
    </row>
    <row r="88">
      <c r="A88" s="29" t="inlineStr">
        <is>
          <t>Support (below price)</t>
        </is>
      </c>
      <c r="B88" s="51" t="inlineStr">
        <is>
          <t>$40.98   |   $40.00</t>
        </is>
      </c>
    </row>
    <row r="89">
      <c r="A89" s="10" t="inlineStr">
        <is>
          <t>Swing highs/lows from the last 12 months, nearest to the current price first.</t>
        </is>
      </c>
    </row>
    <row r="91" ht="20" customHeight="1">
      <c r="A91" s="13" t="inlineStr">
        <is>
          <t>Monte Carlo Forecast</t>
        </is>
      </c>
    </row>
    <row r="92">
      <c r="A92" s="18" t="inlineStr">
        <is>
          <t>Last Price</t>
        </is>
      </c>
      <c r="B92" s="52" t="n">
        <v>40.99</v>
      </c>
    </row>
    <row r="93">
      <c r="A93" s="15" t="inlineStr">
        <is>
          <t>Forecast Horizon (days)</t>
        </is>
      </c>
      <c r="B93" s="53" t="n">
        <v>252</v>
      </c>
    </row>
    <row r="94">
      <c r="A94" s="18" t="inlineStr">
        <is>
          <t>Simulations</t>
        </is>
      </c>
      <c r="B94" s="54" t="n">
        <v>1000</v>
      </c>
    </row>
    <row r="95">
      <c r="A95" s="15" t="inlineStr">
        <is>
          <t>Mean Forecast</t>
        </is>
      </c>
      <c r="B95" s="55" t="n">
        <v>45.42</v>
      </c>
    </row>
    <row r="96">
      <c r="A96" s="18" t="inlineStr">
        <is>
          <t>Median (P50)</t>
        </is>
      </c>
      <c r="B96" s="52" t="n">
        <v>42.12</v>
      </c>
    </row>
    <row r="97">
      <c r="A97" s="15" t="inlineStr">
        <is>
          <t>Bear Case (P5)</t>
        </is>
      </c>
      <c r="B97" s="55" t="n">
        <v>23.86</v>
      </c>
    </row>
    <row r="98">
      <c r="A98" s="18" t="inlineStr">
        <is>
          <t>Low Case (P25)</t>
        </is>
      </c>
      <c r="B98" s="52" t="n">
        <v>33.27</v>
      </c>
    </row>
    <row r="99">
      <c r="A99" s="15" t="inlineStr">
        <is>
          <t>Bull Case (P75)</t>
        </is>
      </c>
      <c r="B99" s="55" t="n">
        <v>55.17</v>
      </c>
    </row>
    <row r="100">
      <c r="A100" s="18" t="inlineStr">
        <is>
          <t>Best Case (P95)</t>
        </is>
      </c>
      <c r="B100" s="52" t="n">
        <v>75.43000000000001</v>
      </c>
    </row>
    <row r="101">
      <c r="A101" s="15" t="inlineStr">
        <is>
          <t>Prob. of Gain</t>
        </is>
      </c>
      <c r="B101" s="56" t="n">
        <v>0.53</v>
      </c>
    </row>
    <row r="102">
      <c r="A102" s="18" t="inlineStr">
        <is>
          <t>Ann. Volatility</t>
        </is>
      </c>
      <c r="B102" s="48" t="n">
        <v>0.3572</v>
      </c>
    </row>
    <row r="103">
      <c r="A103" s="15" t="inlineStr">
        <is>
          <t>Expected Return (CAPM)</t>
        </is>
      </c>
      <c r="B103" s="56" t="n">
        <v>0.099</v>
      </c>
    </row>
    <row r="104">
      <c r="A104" s="18" t="inlineStr">
        <is>
          <t>Beta (vs benchmark)</t>
        </is>
      </c>
      <c r="B104" s="52" t="n">
        <v>1.07</v>
      </c>
    </row>
    <row r="105">
      <c r="A105" s="15" t="inlineStr">
        <is>
          <t>Beta (adjusted, used)</t>
        </is>
      </c>
      <c r="B105" s="55" t="n">
        <v>1.05</v>
      </c>
    </row>
    <row r="106" ht="166" customHeight="1">
      <c r="A106" s="57" t="inlineStr">
        <is>
          <t>Monte Carlo in plain English
From today's $40.99 over ~252 trading days:
Median outcome (P50): $42.12 (+2.8% vs today)
Bear case (P5, ~5% chance): $23.86 (-41.8% vs today)
Low case (P25, ~25% chance): $33.27 (-18.8% vs today)
Bull case (P75, ~25% chance): $55.17 (+34.6% vs today)
Best case (P95, ~5% chance): $75.43 (+84.0% vs today)
Probability of finishing above today's price: 53.0%.
Simulated from the historical return distribution — outcomes are probabilities, not guarantees.</t>
        </is>
      </c>
    </row>
    <row r="108" ht="20" customHeight="1">
      <c r="A108" s="13" t="inlineStr">
        <is>
          <t>Company Information</t>
        </is>
      </c>
    </row>
    <row r="109">
      <c r="A109" s="15" t="inlineStr">
        <is>
          <t>Ticker</t>
        </is>
      </c>
      <c r="B109" s="24" t="inlineStr">
        <is>
          <t>NKE</t>
        </is>
      </c>
    </row>
    <row r="110">
      <c r="A110" s="18" t="inlineStr">
        <is>
          <t>Name</t>
        </is>
      </c>
      <c r="B110" s="45" t="inlineStr">
        <is>
          <t>Nike, Inc.</t>
        </is>
      </c>
    </row>
    <row r="111">
      <c r="A111" s="15" t="inlineStr">
        <is>
          <t>Sector</t>
        </is>
      </c>
      <c r="B111" s="24" t="inlineStr">
        <is>
          <t>Rubber &amp; Plastics Footwear</t>
        </is>
      </c>
    </row>
    <row r="112">
      <c r="A112" s="18" t="inlineStr">
        <is>
          <t>Exchange</t>
        </is>
      </c>
      <c r="B112" s="45" t="inlineStr">
        <is>
          <t>XNYS</t>
        </is>
      </c>
    </row>
    <row r="113">
      <c r="A113" s="15" t="inlineStr">
        <is>
          <t>Market Cap</t>
        </is>
      </c>
      <c r="B113" s="24" t="inlineStr">
        <is>
          <t>$60.47B</t>
        </is>
      </c>
    </row>
    <row r="114">
      <c r="A114" s="18" t="inlineStr">
        <is>
          <t>Employees</t>
        </is>
      </c>
      <c r="B114" s="45" t="inlineStr">
        <is>
          <t>73,000</t>
        </is>
      </c>
    </row>
    <row r="115">
      <c r="A115" s="15" t="inlineStr">
        <is>
          <t>Website</t>
        </is>
      </c>
      <c r="B115" s="24" t="inlineStr">
        <is>
          <t>https://www.nike.com</t>
        </is>
      </c>
    </row>
    <row r="116">
      <c r="A116" s="18" t="inlineStr">
        <is>
          <t>Country</t>
        </is>
      </c>
      <c r="B116" s="45" t="inlineStr">
        <is>
          <t>US</t>
        </is>
      </c>
    </row>
    <row r="118" ht="20" customHeight="1">
      <c r="A118" s="13" t="inlineStr">
        <is>
          <t>Automated Analysis Summary</t>
        </is>
      </c>
    </row>
    <row r="119" ht="90" customHeight="1">
      <c r="A119" s="58" t="inlineStr">
        <is>
          <t>NKE delivered a cumulative return of -73.8% over the selected period, most recently closing at $40.99.  Price is currently below its 50-day moving average — cautionary.  RSI 47 — neutral territory  The stock sits 46.8% below its 52-week high of $77.06 (52-week low: $39.09).  20-day annualised volatility: 32.0%. Peak 60-day drawdown: -35.5%.  Sharpe ratio -0.68 (weak risk-adjusted return); Sortino -0.91 (elevated downside risk).  NKE (Nike, Inc.) trades on XNYS.  Monte Carlo (1,000 paths, 252 days): median $42.12 (bear $23.86 / bull $75.43), 53.0% probability of gain.  This report is generated programmatically and does not constitute investment advice.</t>
        </is>
      </c>
    </row>
    <row r="120"/>
    <row r="121"/>
    <row r="122"/>
    <row r="123"/>
  </sheetData>
  <mergeCells count="35">
    <mergeCell ref="A106:D106"/>
    <mergeCell ref="A22:D22"/>
    <mergeCell ref="A91:D91"/>
    <mergeCell ref="A4:D4"/>
    <mergeCell ref="A62:D62"/>
    <mergeCell ref="A29:D29"/>
    <mergeCell ref="B88:D88"/>
    <mergeCell ref="A63:D63"/>
    <mergeCell ref="B87:D87"/>
    <mergeCell ref="A68:D68"/>
    <mergeCell ref="A67:D67"/>
    <mergeCell ref="A31:D31"/>
    <mergeCell ref="A77:D77"/>
    <mergeCell ref="A30:D30"/>
    <mergeCell ref="A15:D15"/>
    <mergeCell ref="A59:D59"/>
    <mergeCell ref="A64:D64"/>
    <mergeCell ref="A1:D1"/>
    <mergeCell ref="A45:D45"/>
    <mergeCell ref="A79:D79"/>
    <mergeCell ref="A69:D69"/>
    <mergeCell ref="A65:D65"/>
    <mergeCell ref="A84:D84"/>
    <mergeCell ref="A108:D108"/>
    <mergeCell ref="A66:D66"/>
    <mergeCell ref="A118:D118"/>
    <mergeCell ref="A119:D123"/>
    <mergeCell ref="A89:D89"/>
    <mergeCell ref="B33:C33"/>
    <mergeCell ref="A50:D50"/>
    <mergeCell ref="A86:D86"/>
    <mergeCell ref="A2:D2"/>
    <mergeCell ref="A71:D71"/>
    <mergeCell ref="A47:D47"/>
    <mergeCell ref="A42:D4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9" t="inlineStr">
        <is>
          <t>NKE — Reverse DCF &amp; Fair Value</t>
        </is>
      </c>
    </row>
    <row r="2" ht="26" customHeight="1">
      <c r="A2" s="60"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61" t="inlineStr">
        <is>
          <t>The Headline — What Today's Price Already Assumes</t>
        </is>
      </c>
    </row>
    <row r="5" ht="30" customHeight="1">
      <c r="A5" s="62" t="n">
        <v>0.02617001701960479</v>
      </c>
      <c r="C5" s="63" t="inlineStr">
        <is>
          <t>At $40.99 the market is pricing NKE's free cash flow to compound at roughly 2.6% a year for 10 years, then 2.5% in perpetuity, discounted at 9.3%.
The reverse DCF asks one question: is that rate plausible for this business?  This model's own base case assumes 3.0%.</t>
        </is>
      </c>
    </row>
    <row r="6" ht="42" customHeight="1"/>
    <row r="8" ht="18" customHeight="1">
      <c r="A8" s="61" t="inlineStr">
        <is>
          <t>Conclusion — Fair Value vs Price</t>
        </is>
      </c>
    </row>
    <row r="9">
      <c r="A9" s="29" t="inlineStr">
        <is>
          <t>Base-case fair value / share</t>
        </is>
      </c>
      <c r="B9" s="64">
        <f>B52/B30</f>
        <v/>
      </c>
      <c r="C9" s="65" t="inlineStr">
        <is>
          <t>Equity value ÷ shares, both computed below</t>
        </is>
      </c>
    </row>
    <row r="10">
      <c r="A10" s="29" t="inlineStr">
        <is>
          <t>Current price</t>
        </is>
      </c>
      <c r="B10" s="64">
        <f>B31</f>
        <v/>
      </c>
    </row>
    <row r="11">
      <c r="A11" s="29" t="inlineStr">
        <is>
          <t>Upside / downside</t>
        </is>
      </c>
      <c r="B11" s="66">
        <f>IF(B10=0,"",B9/B10-1)</f>
        <v/>
      </c>
    </row>
    <row r="12">
      <c r="A12" s="29" t="inlineStr">
        <is>
          <t>Verdict</t>
        </is>
      </c>
      <c r="B12" s="50">
        <f>IF(B11&gt;0.15,"Undervalued vs DCF",IF(B11&lt;-0.15,"Overvalued vs DCF","Fairly valued vs DCF"))</f>
        <v/>
      </c>
      <c r="C12" s="67" t="n"/>
    </row>
    <row r="14" ht="18" customHeight="1">
      <c r="A14" s="61" t="inlineStr">
        <is>
          <t>Scenarios — and What the Market Is Assuming</t>
        </is>
      </c>
    </row>
    <row r="15">
      <c r="A15" s="31" t="inlineStr">
        <is>
          <t>Scenario</t>
        </is>
      </c>
      <c r="B15" s="31" t="inlineStr">
        <is>
          <t>Stage-1 FCF growth</t>
        </is>
      </c>
      <c r="C15" s="31" t="inlineStr">
        <is>
          <t>Fair value / share</t>
        </is>
      </c>
      <c r="D15" s="31" t="inlineStr">
        <is>
          <t>Upside / downside</t>
        </is>
      </c>
    </row>
    <row r="16">
      <c r="A16" s="68" t="inlineStr">
        <is>
          <t>Bear</t>
        </is>
      </c>
      <c r="B16" s="69">
        <f>B27</f>
        <v/>
      </c>
      <c r="C16" s="70">
        <f>((SUM(H35:H44)+G44*(1+B23)/(B22-B23)/(1+B22)^B24)-B29)/B30</f>
        <v/>
      </c>
      <c r="D16" s="71">
        <f>IF(B31=0,"",C16/B31-1)</f>
        <v/>
      </c>
    </row>
    <row r="17">
      <c r="A17" s="72" t="inlineStr">
        <is>
          <t>Base</t>
        </is>
      </c>
      <c r="B17" s="73">
        <f>B26</f>
        <v/>
      </c>
      <c r="C17" s="74">
        <f>B9</f>
        <v/>
      </c>
      <c r="D17" s="75">
        <f>IF(B31=0,"",C17/B31-1)</f>
        <v/>
      </c>
    </row>
    <row r="18">
      <c r="A18" s="68" t="inlineStr">
        <is>
          <t>Bull</t>
        </is>
      </c>
      <c r="B18" s="69">
        <f>B28</f>
        <v/>
      </c>
      <c r="C18" s="70">
        <f>((SUM(K35:K44)+J44*(1+B23)/(B22-B23)/(1+B22)^B24)-B29)/B30</f>
        <v/>
      </c>
      <c r="D18" s="71">
        <f>IF(B31=0,"",C18/B31-1)</f>
        <v/>
      </c>
    </row>
    <row r="19">
      <c r="A19" s="76" t="inlineStr">
        <is>
          <t>Market (today's price)</t>
        </is>
      </c>
      <c r="B19" s="77" t="n">
        <v>0.02617001701960479</v>
      </c>
      <c r="C19" s="78">
        <f>B31</f>
        <v/>
      </c>
      <c r="D19" s="79">
        <f>IF(B31=0,"",C19/B31-1)</f>
        <v/>
      </c>
    </row>
    <row r="21" ht="18" customHeight="1">
      <c r="A21" s="61" t="inlineStr">
        <is>
          <t>Model Inputs — every shaded cell is editable</t>
        </is>
      </c>
    </row>
    <row r="22">
      <c r="A22" s="29" t="inlineStr">
        <is>
          <t>Discount rate (WACC)</t>
        </is>
      </c>
      <c r="B22" s="80" t="n">
        <v>0.0931</v>
      </c>
      <c r="C22" s="65" t="inlineStr">
        <is>
          <t>Company-specific cost of capital. Raise it and fair value falls.</t>
        </is>
      </c>
    </row>
    <row r="23">
      <c r="A23" s="29" t="inlineStr">
        <is>
          <t>Terminal growth rate</t>
        </is>
      </c>
      <c r="B23" s="80" t="n">
        <v>0.025</v>
      </c>
      <c r="C23" s="65" t="inlineStr">
        <is>
          <t>Growth forever after the explicit horizon. Must stay below WACC.</t>
        </is>
      </c>
    </row>
    <row r="24">
      <c r="A24" s="29" t="inlineStr">
        <is>
          <t>Explicit forecast horizon (years)</t>
        </is>
      </c>
      <c r="B24" s="81" t="n">
        <v>10</v>
      </c>
      <c r="C24" s="65" t="inlineStr">
        <is>
          <t>Drives discounting and the terminal year; the projection table is fixed at 10 rows.</t>
        </is>
      </c>
    </row>
    <row r="25">
      <c r="A25" s="29" t="inlineStr">
        <is>
          <t>Normalised base free cash flow</t>
        </is>
      </c>
      <c r="B25" s="82" t="n">
        <v>4023000000</v>
      </c>
      <c r="C25" s="65" t="inlineStr">
        <is>
          <t>Mean of the last three positive annual FCF figures.</t>
        </is>
      </c>
    </row>
    <row r="26">
      <c r="A26" s="29" t="inlineStr">
        <is>
          <t>Stage-1 FCF growth — base case</t>
        </is>
      </c>
      <c r="B26" s="83" t="n">
        <v>0.03</v>
      </c>
      <c r="C26" s="65" t="inlineStr">
        <is>
          <t>Year-1 growth, fading linearly to the terminal rate.</t>
        </is>
      </c>
    </row>
    <row r="27">
      <c r="A27" s="29" t="inlineStr">
        <is>
          <t>Stage-1 FCF growth — bear case</t>
        </is>
      </c>
      <c r="B27" s="83" t="n">
        <v>3.469446951953614e-18</v>
      </c>
    </row>
    <row r="28">
      <c r="A28" s="29" t="inlineStr">
        <is>
          <t>Stage-1 FCF growth — bull case</t>
        </is>
      </c>
      <c r="B28" s="83" t="n">
        <v>0.06</v>
      </c>
    </row>
    <row r="29">
      <c r="A29" s="29" t="inlineStr">
        <is>
          <t>Net debt (total debt − cash)</t>
        </is>
      </c>
      <c r="B29" s="82" t="n">
        <v>379000000</v>
      </c>
      <c r="C29" s="65" t="inlineStr">
        <is>
          <t>Subtracted from enterprise value to reach equity value.</t>
        </is>
      </c>
    </row>
    <row r="30">
      <c r="A30" s="29" t="inlineStr">
        <is>
          <t>Shares outstanding</t>
        </is>
      </c>
      <c r="B30" s="84" t="n">
        <v>1474994723.984494</v>
      </c>
      <c r="C30" s="65" t="inlineStr">
        <is>
          <t>Derived as market cap ÷ price, so the model ties to the quoted price.</t>
        </is>
      </c>
    </row>
    <row r="31">
      <c r="A31" s="29" t="inlineStr">
        <is>
          <t>Current price</t>
        </is>
      </c>
      <c r="B31" s="85" t="n">
        <v>40.99499893188477</v>
      </c>
    </row>
    <row r="33" ht="18" customHeight="1">
      <c r="A33" s="61" t="inlineStr">
        <is>
          <t>Base-Case Projection  (bear and bull run alongside)</t>
        </is>
      </c>
    </row>
    <row r="34">
      <c r="A34" s="31" t="inlineStr">
        <is>
          <t>Year</t>
        </is>
      </c>
      <c r="B34" s="31" t="inlineStr">
        <is>
          <t>Growth</t>
        </is>
      </c>
      <c r="C34" s="31" t="inlineStr">
        <is>
          <t>Projected FCF</t>
        </is>
      </c>
      <c r="D34" s="31" t="inlineStr">
        <is>
          <t>Discount factor</t>
        </is>
      </c>
      <c r="E34" s="31" t="inlineStr">
        <is>
          <t>PV of FCF</t>
        </is>
      </c>
      <c r="F34" s="31" t="inlineStr">
        <is>
          <t>Bear growth</t>
        </is>
      </c>
      <c r="G34" s="31" t="inlineStr">
        <is>
          <t>Bear FCF</t>
        </is>
      </c>
      <c r="H34" s="31" t="inlineStr">
        <is>
          <t>Bear PV</t>
        </is>
      </c>
      <c r="I34" s="31" t="inlineStr">
        <is>
          <t>Bull growth</t>
        </is>
      </c>
      <c r="J34" s="31" t="inlineStr">
        <is>
          <t>Bull FCF</t>
        </is>
      </c>
      <c r="K34" s="31" t="inlineStr">
        <is>
          <t>Bull PV</t>
        </is>
      </c>
    </row>
    <row r="35">
      <c r="A35" s="86" t="n">
        <v>1</v>
      </c>
      <c r="B35" s="69">
        <f>IF($B$24&lt;=1,$B$23,$B$26+($B$23-$B$26)*(A35-1)/($B$24-1))</f>
        <v/>
      </c>
      <c r="C35" s="87">
        <f>$B$25*(1+B35)</f>
        <v/>
      </c>
      <c r="D35" s="88">
        <f>1/(1+$B$22)^A35</f>
        <v/>
      </c>
      <c r="E35" s="87">
        <f>C35*D35</f>
        <v/>
      </c>
      <c r="F35" s="69">
        <f>IF($B$24&lt;=1,$B$23,$B$27+($B$23-$B$27)*(A35-1)/($B$24-1))</f>
        <v/>
      </c>
      <c r="G35" s="87">
        <f>$B$25*(1+F35)</f>
        <v/>
      </c>
      <c r="H35" s="87">
        <f>G35*D35</f>
        <v/>
      </c>
      <c r="I35" s="69">
        <f>IF($B$24&lt;=1,$B$23,$B$28+($B$23-$B$28)*(A35-1)/($B$24-1))</f>
        <v/>
      </c>
      <c r="J35" s="87">
        <f>$B$25*(1+I35)</f>
        <v/>
      </c>
      <c r="K35" s="87">
        <f>J35*D35</f>
        <v/>
      </c>
    </row>
    <row r="36">
      <c r="A36" s="89" t="n">
        <v>2</v>
      </c>
      <c r="B36" s="90">
        <f>IF($B$24&lt;=1,$B$23,$B$26+($B$23-$B$26)*(A36-1)/($B$24-1))</f>
        <v/>
      </c>
      <c r="C36" s="91">
        <f>C35*(1+B36)</f>
        <v/>
      </c>
      <c r="D36" s="92">
        <f>1/(1+$B$22)^A36</f>
        <v/>
      </c>
      <c r="E36" s="91">
        <f>C36*D36</f>
        <v/>
      </c>
      <c r="F36" s="90">
        <f>IF($B$24&lt;=1,$B$23,$B$27+($B$23-$B$27)*(A36-1)/($B$24-1))</f>
        <v/>
      </c>
      <c r="G36" s="91">
        <f>G35*(1+F36)</f>
        <v/>
      </c>
      <c r="H36" s="91">
        <f>G36*D36</f>
        <v/>
      </c>
      <c r="I36" s="90">
        <f>IF($B$24&lt;=1,$B$23,$B$28+($B$23-$B$28)*(A36-1)/($B$24-1))</f>
        <v/>
      </c>
      <c r="J36" s="91">
        <f>J35*(1+I36)</f>
        <v/>
      </c>
      <c r="K36" s="91">
        <f>J36*D36</f>
        <v/>
      </c>
    </row>
    <row r="37">
      <c r="A37" s="86" t="n">
        <v>3</v>
      </c>
      <c r="B37" s="69">
        <f>IF($B$24&lt;=1,$B$23,$B$26+($B$23-$B$26)*(A37-1)/($B$24-1))</f>
        <v/>
      </c>
      <c r="C37" s="87">
        <f>C36*(1+B37)</f>
        <v/>
      </c>
      <c r="D37" s="88">
        <f>1/(1+$B$22)^A37</f>
        <v/>
      </c>
      <c r="E37" s="87">
        <f>C37*D37</f>
        <v/>
      </c>
      <c r="F37" s="69">
        <f>IF($B$24&lt;=1,$B$23,$B$27+($B$23-$B$27)*(A37-1)/($B$24-1))</f>
        <v/>
      </c>
      <c r="G37" s="87">
        <f>G36*(1+F37)</f>
        <v/>
      </c>
      <c r="H37" s="87">
        <f>G37*D37</f>
        <v/>
      </c>
      <c r="I37" s="69">
        <f>IF($B$24&lt;=1,$B$23,$B$28+($B$23-$B$28)*(A37-1)/($B$24-1))</f>
        <v/>
      </c>
      <c r="J37" s="87">
        <f>J36*(1+I37)</f>
        <v/>
      </c>
      <c r="K37" s="87">
        <f>J37*D37</f>
        <v/>
      </c>
    </row>
    <row r="38">
      <c r="A38" s="89" t="n">
        <v>4</v>
      </c>
      <c r="B38" s="90">
        <f>IF($B$24&lt;=1,$B$23,$B$26+($B$23-$B$26)*(A38-1)/($B$24-1))</f>
        <v/>
      </c>
      <c r="C38" s="91">
        <f>C37*(1+B38)</f>
        <v/>
      </c>
      <c r="D38" s="92">
        <f>1/(1+$B$22)^A38</f>
        <v/>
      </c>
      <c r="E38" s="91">
        <f>C38*D38</f>
        <v/>
      </c>
      <c r="F38" s="90">
        <f>IF($B$24&lt;=1,$B$23,$B$27+($B$23-$B$27)*(A38-1)/($B$24-1))</f>
        <v/>
      </c>
      <c r="G38" s="91">
        <f>G37*(1+F38)</f>
        <v/>
      </c>
      <c r="H38" s="91">
        <f>G38*D38</f>
        <v/>
      </c>
      <c r="I38" s="90">
        <f>IF($B$24&lt;=1,$B$23,$B$28+($B$23-$B$28)*(A38-1)/($B$24-1))</f>
        <v/>
      </c>
      <c r="J38" s="91">
        <f>J37*(1+I38)</f>
        <v/>
      </c>
      <c r="K38" s="91">
        <f>J38*D38</f>
        <v/>
      </c>
    </row>
    <row r="39">
      <c r="A39" s="86" t="n">
        <v>5</v>
      </c>
      <c r="B39" s="69">
        <f>IF($B$24&lt;=1,$B$23,$B$26+($B$23-$B$26)*(A39-1)/($B$24-1))</f>
        <v/>
      </c>
      <c r="C39" s="87">
        <f>C38*(1+B39)</f>
        <v/>
      </c>
      <c r="D39" s="88">
        <f>1/(1+$B$22)^A39</f>
        <v/>
      </c>
      <c r="E39" s="87">
        <f>C39*D39</f>
        <v/>
      </c>
      <c r="F39" s="69">
        <f>IF($B$24&lt;=1,$B$23,$B$27+($B$23-$B$27)*(A39-1)/($B$24-1))</f>
        <v/>
      </c>
      <c r="G39" s="87">
        <f>G38*(1+F39)</f>
        <v/>
      </c>
      <c r="H39" s="87">
        <f>G39*D39</f>
        <v/>
      </c>
      <c r="I39" s="69">
        <f>IF($B$24&lt;=1,$B$23,$B$28+($B$23-$B$28)*(A39-1)/($B$24-1))</f>
        <v/>
      </c>
      <c r="J39" s="87">
        <f>J38*(1+I39)</f>
        <v/>
      </c>
      <c r="K39" s="87">
        <f>J39*D39</f>
        <v/>
      </c>
    </row>
    <row r="40">
      <c r="A40" s="89" t="n">
        <v>6</v>
      </c>
      <c r="B40" s="90">
        <f>IF($B$24&lt;=1,$B$23,$B$26+($B$23-$B$26)*(A40-1)/($B$24-1))</f>
        <v/>
      </c>
      <c r="C40" s="91">
        <f>C39*(1+B40)</f>
        <v/>
      </c>
      <c r="D40" s="92">
        <f>1/(1+$B$22)^A40</f>
        <v/>
      </c>
      <c r="E40" s="91">
        <f>C40*D40</f>
        <v/>
      </c>
      <c r="F40" s="90">
        <f>IF($B$24&lt;=1,$B$23,$B$27+($B$23-$B$27)*(A40-1)/($B$24-1))</f>
        <v/>
      </c>
      <c r="G40" s="91">
        <f>G39*(1+F40)</f>
        <v/>
      </c>
      <c r="H40" s="91">
        <f>G40*D40</f>
        <v/>
      </c>
      <c r="I40" s="90">
        <f>IF($B$24&lt;=1,$B$23,$B$28+($B$23-$B$28)*(A40-1)/($B$24-1))</f>
        <v/>
      </c>
      <c r="J40" s="91">
        <f>J39*(1+I40)</f>
        <v/>
      </c>
      <c r="K40" s="91">
        <f>J40*D40</f>
        <v/>
      </c>
    </row>
    <row r="41">
      <c r="A41" s="86" t="n">
        <v>7</v>
      </c>
      <c r="B41" s="69">
        <f>IF($B$24&lt;=1,$B$23,$B$26+($B$23-$B$26)*(A41-1)/($B$24-1))</f>
        <v/>
      </c>
      <c r="C41" s="87">
        <f>C40*(1+B41)</f>
        <v/>
      </c>
      <c r="D41" s="88">
        <f>1/(1+$B$22)^A41</f>
        <v/>
      </c>
      <c r="E41" s="87">
        <f>C41*D41</f>
        <v/>
      </c>
      <c r="F41" s="69">
        <f>IF($B$24&lt;=1,$B$23,$B$27+($B$23-$B$27)*(A41-1)/($B$24-1))</f>
        <v/>
      </c>
      <c r="G41" s="87">
        <f>G40*(1+F41)</f>
        <v/>
      </c>
      <c r="H41" s="87">
        <f>G41*D41</f>
        <v/>
      </c>
      <c r="I41" s="69">
        <f>IF($B$24&lt;=1,$B$23,$B$28+($B$23-$B$28)*(A41-1)/($B$24-1))</f>
        <v/>
      </c>
      <c r="J41" s="87">
        <f>J40*(1+I41)</f>
        <v/>
      </c>
      <c r="K41" s="87">
        <f>J41*D41</f>
        <v/>
      </c>
    </row>
    <row r="42">
      <c r="A42" s="89" t="n">
        <v>8</v>
      </c>
      <c r="B42" s="90">
        <f>IF($B$24&lt;=1,$B$23,$B$26+($B$23-$B$26)*(A42-1)/($B$24-1))</f>
        <v/>
      </c>
      <c r="C42" s="91">
        <f>C41*(1+B42)</f>
        <v/>
      </c>
      <c r="D42" s="92">
        <f>1/(1+$B$22)^A42</f>
        <v/>
      </c>
      <c r="E42" s="91">
        <f>C42*D42</f>
        <v/>
      </c>
      <c r="F42" s="90">
        <f>IF($B$24&lt;=1,$B$23,$B$27+($B$23-$B$27)*(A42-1)/($B$24-1))</f>
        <v/>
      </c>
      <c r="G42" s="91">
        <f>G41*(1+F42)</f>
        <v/>
      </c>
      <c r="H42" s="91">
        <f>G42*D42</f>
        <v/>
      </c>
      <c r="I42" s="90">
        <f>IF($B$24&lt;=1,$B$23,$B$28+($B$23-$B$28)*(A42-1)/($B$24-1))</f>
        <v/>
      </c>
      <c r="J42" s="91">
        <f>J41*(1+I42)</f>
        <v/>
      </c>
      <c r="K42" s="91">
        <f>J42*D42</f>
        <v/>
      </c>
    </row>
    <row r="43">
      <c r="A43" s="86" t="n">
        <v>9</v>
      </c>
      <c r="B43" s="69">
        <f>IF($B$24&lt;=1,$B$23,$B$26+($B$23-$B$26)*(A43-1)/($B$24-1))</f>
        <v/>
      </c>
      <c r="C43" s="87">
        <f>C42*(1+B43)</f>
        <v/>
      </c>
      <c r="D43" s="88">
        <f>1/(1+$B$22)^A43</f>
        <v/>
      </c>
      <c r="E43" s="87">
        <f>C43*D43</f>
        <v/>
      </c>
      <c r="F43" s="69">
        <f>IF($B$24&lt;=1,$B$23,$B$27+($B$23-$B$27)*(A43-1)/($B$24-1))</f>
        <v/>
      </c>
      <c r="G43" s="87">
        <f>G42*(1+F43)</f>
        <v/>
      </c>
      <c r="H43" s="87">
        <f>G43*D43</f>
        <v/>
      </c>
      <c r="I43" s="69">
        <f>IF($B$24&lt;=1,$B$23,$B$28+($B$23-$B$28)*(A43-1)/($B$24-1))</f>
        <v/>
      </c>
      <c r="J43" s="87">
        <f>J42*(1+I43)</f>
        <v/>
      </c>
      <c r="K43" s="87">
        <f>J43*D43</f>
        <v/>
      </c>
    </row>
    <row r="44">
      <c r="A44" s="89" t="n">
        <v>10</v>
      </c>
      <c r="B44" s="90">
        <f>IF($B$24&lt;=1,$B$23,$B$26+($B$23-$B$26)*(A44-1)/($B$24-1))</f>
        <v/>
      </c>
      <c r="C44" s="91">
        <f>C43*(1+B44)</f>
        <v/>
      </c>
      <c r="D44" s="92">
        <f>1/(1+$B$22)^A44</f>
        <v/>
      </c>
      <c r="E44" s="91">
        <f>C44*D44</f>
        <v/>
      </c>
      <c r="F44" s="90">
        <f>IF($B$24&lt;=1,$B$23,$B$27+($B$23-$B$27)*(A44-1)/($B$24-1))</f>
        <v/>
      </c>
      <c r="G44" s="91">
        <f>G43*(1+F44)</f>
        <v/>
      </c>
      <c r="H44" s="91">
        <f>G44*D44</f>
        <v/>
      </c>
      <c r="I44" s="90">
        <f>IF($B$24&lt;=1,$B$23,$B$28+($B$23-$B$28)*(A44-1)/($B$24-1))</f>
        <v/>
      </c>
      <c r="J44" s="91">
        <f>J43*(1+I44)</f>
        <v/>
      </c>
      <c r="K44" s="91">
        <f>J44*D44</f>
        <v/>
      </c>
    </row>
    <row r="46" ht="18" customHeight="1">
      <c r="A46" s="61" t="inlineStr">
        <is>
          <t>Enterprise Value → Equity Bridge</t>
        </is>
      </c>
    </row>
    <row r="47">
      <c r="A47" s="29" t="inlineStr">
        <is>
          <t>PV of explicit FCF</t>
        </is>
      </c>
      <c r="B47" s="87">
        <f>SUM(E35:E44)</f>
        <v/>
      </c>
    </row>
    <row r="48">
      <c r="A48" s="29" t="inlineStr">
        <is>
          <t>Terminal value</t>
        </is>
      </c>
      <c r="B48" s="87">
        <f>C44*(1+B23)/(B22-B23)</f>
        <v/>
      </c>
    </row>
    <row r="49">
      <c r="A49" s="29" t="inlineStr">
        <is>
          <t>PV of terminal value</t>
        </is>
      </c>
      <c r="B49" s="87">
        <f>B48/(1+B22)^B24</f>
        <v/>
      </c>
      <c r="C49" s="93">
        <f>TEXT(B49/B50,"0%")&amp;" of enterprise value — above 85% the terminal assumption is doing nearly all the work"</f>
        <v/>
      </c>
    </row>
    <row r="50">
      <c r="A50" s="29" t="inlineStr">
        <is>
          <t>Enterprise value</t>
        </is>
      </c>
      <c r="B50" s="87">
        <f>B47+B49</f>
        <v/>
      </c>
    </row>
    <row r="51">
      <c r="A51" s="29" t="inlineStr">
        <is>
          <t>Less: net debt</t>
        </is>
      </c>
      <c r="B51" s="87">
        <f>B29</f>
        <v/>
      </c>
    </row>
    <row r="52">
      <c r="A52" s="29" t="inlineStr">
        <is>
          <t>Equity value</t>
        </is>
      </c>
      <c r="B52" s="94">
        <f>B50-B51</f>
        <v/>
      </c>
    </row>
    <row r="54" ht="18" customHeight="1">
      <c r="A54" s="61" t="inlineStr">
        <is>
          <t>Sensitivity — Fair Value / Share  (WACC × Terminal Growth)  ·  snapshot computed at generation</t>
        </is>
      </c>
    </row>
    <row r="55">
      <c r="A55" s="95" t="inlineStr">
        <is>
          <t>WACC ╲ Term. g</t>
        </is>
      </c>
      <c r="B55" s="31" t="inlineStr">
        <is>
          <t>1.5%</t>
        </is>
      </c>
      <c r="C55" s="31" t="inlineStr">
        <is>
          <t>2.0%</t>
        </is>
      </c>
      <c r="D55" s="31" t="inlineStr">
        <is>
          <t>2.5%</t>
        </is>
      </c>
      <c r="E55" s="31" t="inlineStr">
        <is>
          <t>3.0%</t>
        </is>
      </c>
      <c r="F55" s="31" t="inlineStr">
        <is>
          <t>3.5%</t>
        </is>
      </c>
    </row>
    <row r="56">
      <c r="A56" s="31" t="inlineStr">
        <is>
          <t>7.3%</t>
        </is>
      </c>
      <c r="B56" s="70" t="n">
        <v>50.54</v>
      </c>
      <c r="C56" s="70" t="n">
        <v>54.44</v>
      </c>
      <c r="D56" s="70" t="n">
        <v>59.14</v>
      </c>
      <c r="E56" s="70" t="n">
        <v>64.92</v>
      </c>
      <c r="F56" s="70" t="n">
        <v>72.22</v>
      </c>
    </row>
    <row r="57">
      <c r="A57" s="31" t="inlineStr">
        <is>
          <t>8.3%</t>
        </is>
      </c>
      <c r="B57" s="70" t="n">
        <v>43.02</v>
      </c>
      <c r="C57" s="70" t="n">
        <v>45.73</v>
      </c>
      <c r="D57" s="70" t="n">
        <v>48.89</v>
      </c>
      <c r="E57" s="70" t="n">
        <v>52.65</v>
      </c>
      <c r="F57" s="70" t="n">
        <v>57.18</v>
      </c>
    </row>
    <row r="58">
      <c r="A58" s="31" t="inlineStr">
        <is>
          <t>9.3%</t>
        </is>
      </c>
      <c r="B58" s="70" t="n">
        <v>37.43</v>
      </c>
      <c r="C58" s="70" t="n">
        <v>39.4</v>
      </c>
      <c r="D58" s="70" t="n">
        <v>41.66</v>
      </c>
      <c r="E58" s="70" t="n">
        <v>44.26</v>
      </c>
      <c r="F58" s="70" t="n">
        <v>47.32</v>
      </c>
    </row>
    <row r="59">
      <c r="A59" s="31" t="inlineStr">
        <is>
          <t>10.3%</t>
        </is>
      </c>
      <c r="B59" s="70" t="n">
        <v>33.11</v>
      </c>
      <c r="C59" s="70" t="n">
        <v>34.6</v>
      </c>
      <c r="D59" s="70" t="n">
        <v>36.27</v>
      </c>
      <c r="E59" s="70" t="n">
        <v>38.17</v>
      </c>
      <c r="F59" s="70" t="n">
        <v>40.35</v>
      </c>
    </row>
    <row r="60">
      <c r="A60" s="31" t="inlineStr">
        <is>
          <t>11.3%</t>
        </is>
      </c>
      <c r="B60" s="70" t="n">
        <v>29.67</v>
      </c>
      <c r="C60" s="70" t="n">
        <v>30.83</v>
      </c>
      <c r="D60" s="70" t="n">
        <v>32.11</v>
      </c>
      <c r="E60" s="70" t="n">
        <v>33.55</v>
      </c>
      <c r="F60" s="70" t="n">
        <v>35.17</v>
      </c>
    </row>
    <row r="62" ht="44" customHeight="1">
      <c r="A62" s="96" t="inlineStr">
        <is>
          <t>Each cell is base-case fair value per share at that discount rate and terminal growth rate. Green = above today's $40.99 price, red = below. These 25 values are computed once when the report is generated; the rest of this sheet is live formulas, so editing the inputs above moves everything except this grid.</t>
        </is>
      </c>
    </row>
    <row r="64" ht="76" customHeight="1">
      <c r="A64" s="36"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2">
    <mergeCell ref="C25:K25"/>
    <mergeCell ref="A62:D62"/>
    <mergeCell ref="C22:K22"/>
    <mergeCell ref="C9:K9"/>
    <mergeCell ref="A5:B6"/>
    <mergeCell ref="A1:K1"/>
    <mergeCell ref="B12:C12"/>
    <mergeCell ref="A54:K54"/>
    <mergeCell ref="C5:K6"/>
    <mergeCell ref="A64:D64"/>
    <mergeCell ref="C23:K23"/>
    <mergeCell ref="A46:K46"/>
    <mergeCell ref="A21:K21"/>
    <mergeCell ref="A2:K2"/>
    <mergeCell ref="A33:K33"/>
    <mergeCell ref="A14:K14"/>
    <mergeCell ref="A8:K8"/>
    <mergeCell ref="C24:K24"/>
    <mergeCell ref="C30:K30"/>
    <mergeCell ref="A4:K4"/>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rowBreaks count="1" manualBreakCount="1">
    <brk id="65" min="0" max="16383" man="1"/>
  </rowBreaks>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9" t="inlineStr">
        <is>
          <t>Fundamentals &amp; Valuation   ·   source: SEC EDGAR   ·   FY ending 2026-05-31</t>
        </is>
      </c>
    </row>
    <row r="3">
      <c r="A3" s="61" t="inlineStr">
        <is>
          <t>Valuation</t>
        </is>
      </c>
      <c r="B3" s="61" t="n"/>
    </row>
    <row r="4">
      <c r="A4" s="18" t="inlineStr">
        <is>
          <t>P/E</t>
        </is>
      </c>
      <c r="B4" s="97" t="n">
        <v>19.46</v>
      </c>
    </row>
    <row r="5">
      <c r="A5" s="29" t="inlineStr">
        <is>
          <t>P/S</t>
        </is>
      </c>
      <c r="B5" s="98" t="n">
        <v>1.3</v>
      </c>
    </row>
    <row r="6">
      <c r="A6" s="18" t="inlineStr">
        <is>
          <t>P/B</t>
        </is>
      </c>
      <c r="B6" s="97" t="n">
        <v>4.07</v>
      </c>
    </row>
    <row r="7">
      <c r="A7" s="29" t="inlineStr">
        <is>
          <t>EV / EBITDA</t>
        </is>
      </c>
      <c r="B7" s="99" t="inlineStr">
        <is>
          <t>N/A</t>
        </is>
      </c>
    </row>
    <row r="8">
      <c r="A8" s="18" t="inlineStr">
        <is>
          <t>Earnings Yield</t>
        </is>
      </c>
      <c r="B8" s="100" t="n">
        <v>0.051</v>
      </c>
    </row>
    <row r="9">
      <c r="A9" s="29" t="inlineStr">
        <is>
          <t>FCF Yield</t>
        </is>
      </c>
      <c r="B9" s="101" t="n">
        <v>0.036</v>
      </c>
    </row>
    <row r="10">
      <c r="A10" s="18" t="inlineStr">
        <is>
          <t>Implied growth — earnings basis, flat 9% discount</t>
        </is>
      </c>
      <c r="B10" s="100" t="n">
        <v>0.0529</v>
      </c>
    </row>
    <row r="11">
      <c r="A11" s="29" t="inlineStr">
        <is>
          <t xml:space="preserve">  (cross-check only; the headline reverse DCF is on the Valuation sheet)</t>
        </is>
      </c>
      <c r="B11" s="102" t="inlineStr"/>
    </row>
    <row r="13">
      <c r="A13" s="61" t="inlineStr">
        <is>
          <t>Profitability &amp; Returns</t>
        </is>
      </c>
      <c r="B13" s="61" t="n"/>
    </row>
    <row r="14">
      <c r="A14" s="18" t="inlineStr">
        <is>
          <t>Gross Margin</t>
        </is>
      </c>
      <c r="B14" s="100" t="n">
        <v>0.429</v>
      </c>
    </row>
    <row r="15">
      <c r="A15" s="29" t="inlineStr">
        <is>
          <t>Operating Margin</t>
        </is>
      </c>
      <c r="B15" s="99" t="inlineStr">
        <is>
          <t>N/A</t>
        </is>
      </c>
    </row>
    <row r="16">
      <c r="A16" s="18" t="inlineStr">
        <is>
          <t>Net Margin</t>
        </is>
      </c>
      <c r="B16" s="100" t="n">
        <v>0.067</v>
      </c>
    </row>
    <row r="17">
      <c r="A17" s="29" t="inlineStr">
        <is>
          <t>Return on Equity</t>
        </is>
      </c>
      <c r="B17" s="101" t="n">
        <v>0.209</v>
      </c>
    </row>
    <row r="18">
      <c r="A18" s="18" t="inlineStr">
        <is>
          <t>Return on Assets</t>
        </is>
      </c>
      <c r="B18" s="100" t="n">
        <v>0.081</v>
      </c>
    </row>
    <row r="19">
      <c r="A19" s="29" t="inlineStr">
        <is>
          <t>Free Cash Flow</t>
        </is>
      </c>
      <c r="B19" s="103" t="n">
        <v>2184000000</v>
      </c>
    </row>
    <row r="21">
      <c r="A21" s="61" t="inlineStr">
        <is>
          <t>Growth</t>
        </is>
      </c>
      <c r="B21" s="61" t="n"/>
    </row>
    <row r="22">
      <c r="A22" s="18" t="inlineStr">
        <is>
          <t>Revenue YoY</t>
        </is>
      </c>
      <c r="B22" s="100" t="n">
        <v>0.002</v>
      </c>
    </row>
    <row r="23">
      <c r="A23" s="29" t="inlineStr">
        <is>
          <t>EPS YoY</t>
        </is>
      </c>
      <c r="B23" s="101" t="n">
        <v>-0.028</v>
      </c>
    </row>
    <row r="24">
      <c r="A24" s="18" t="inlineStr">
        <is>
          <t>Revenue CAGR</t>
        </is>
      </c>
      <c r="B24" s="100" t="n">
        <v>0.034</v>
      </c>
    </row>
    <row r="25">
      <c r="A25" s="29" t="inlineStr">
        <is>
          <t>EPS CAGR</t>
        </is>
      </c>
      <c r="B25" s="101" t="n">
        <v>-0.02</v>
      </c>
    </row>
    <row r="27">
      <c r="A27" s="61" t="inlineStr">
        <is>
          <t>Balance Sheet &amp; Quality</t>
        </is>
      </c>
      <c r="B27" s="61" t="n"/>
    </row>
    <row r="28">
      <c r="A28" s="18" t="inlineStr">
        <is>
          <t>Current Ratio</t>
        </is>
      </c>
      <c r="B28" s="104" t="n">
        <v>1.96</v>
      </c>
    </row>
    <row r="29">
      <c r="A29" s="29" t="inlineStr">
        <is>
          <t>Debt / Equity</t>
        </is>
      </c>
      <c r="B29" s="105" t="n">
        <v>0.4</v>
      </c>
    </row>
    <row r="30">
      <c r="A30" s="18" t="inlineStr">
        <is>
          <t>Piotroski F-Score</t>
        </is>
      </c>
      <c r="B30" s="106" t="inlineStr">
        <is>
          <t>5 / 9</t>
        </is>
      </c>
    </row>
    <row r="31">
      <c r="A31" s="29" t="inlineStr">
        <is>
          <t>Altman Z-Score</t>
        </is>
      </c>
      <c r="B31" s="99" t="inlineStr">
        <is>
          <t>N/A</t>
        </is>
      </c>
    </row>
    <row r="33">
      <c r="A33" s="107" t="inlineStr">
        <is>
          <t>Fiscal Period</t>
        </is>
      </c>
      <c r="B33" s="107" t="inlineStr">
        <is>
          <t>2017-05</t>
        </is>
      </c>
      <c r="C33" s="107" t="inlineStr">
        <is>
          <t>2018-05</t>
        </is>
      </c>
      <c r="D33" s="107" t="inlineStr">
        <is>
          <t>2019-05</t>
        </is>
      </c>
      <c r="E33" s="107" t="inlineStr">
        <is>
          <t>2020-05</t>
        </is>
      </c>
      <c r="F33" s="107" t="inlineStr">
        <is>
          <t>2021-05</t>
        </is>
      </c>
      <c r="G33" s="107" t="inlineStr">
        <is>
          <t>2022-05</t>
        </is>
      </c>
      <c r="H33" s="107" t="inlineStr">
        <is>
          <t>2023-05</t>
        </is>
      </c>
      <c r="I33" s="107" t="inlineStr">
        <is>
          <t>2024-05</t>
        </is>
      </c>
      <c r="J33" s="107" t="inlineStr">
        <is>
          <t>2025-05</t>
        </is>
      </c>
      <c r="K33" s="107" t="inlineStr">
        <is>
          <t>2026-05</t>
        </is>
      </c>
    </row>
    <row r="34">
      <c r="A34" s="27" t="inlineStr">
        <is>
          <t>Revenue ($B)</t>
        </is>
      </c>
      <c r="B34" s="108" t="n">
        <v>34.4</v>
      </c>
      <c r="C34" s="108" t="n">
        <v>36.4</v>
      </c>
      <c r="D34" s="108" t="n">
        <v>39.1</v>
      </c>
      <c r="E34" s="108" t="n">
        <v>37.4</v>
      </c>
      <c r="F34" s="108" t="n">
        <v>44.5</v>
      </c>
      <c r="G34" s="108" t="n">
        <v>46.7</v>
      </c>
      <c r="H34" s="108" t="n">
        <v>51.2</v>
      </c>
      <c r="I34" s="108" t="n">
        <v>51.4</v>
      </c>
      <c r="J34" s="108" t="n">
        <v>46.3</v>
      </c>
      <c r="K34" s="108" t="n">
        <v>46.4</v>
      </c>
    </row>
    <row r="35">
      <c r="A35" s="27" t="inlineStr">
        <is>
          <t>Net Income ($B)</t>
        </is>
      </c>
      <c r="B35" s="108" t="n">
        <v>4.2</v>
      </c>
      <c r="C35" s="108" t="n">
        <v>1.9</v>
      </c>
      <c r="D35" s="108" t="n">
        <v>4</v>
      </c>
      <c r="E35" s="108" t="n">
        <v>2.5</v>
      </c>
      <c r="F35" s="108" t="n">
        <v>5.7</v>
      </c>
      <c r="G35" s="108" t="n">
        <v>6</v>
      </c>
      <c r="H35" s="108" t="n">
        <v>5.1</v>
      </c>
      <c r="I35" s="108" t="n">
        <v>5.7</v>
      </c>
      <c r="J35" s="108" t="n">
        <v>3.2</v>
      </c>
      <c r="K35" s="108" t="n">
        <v>3.1</v>
      </c>
    </row>
    <row r="36">
      <c r="A36" s="27" t="inlineStr">
        <is>
          <t>Free Cash Flow ($B)</t>
        </is>
      </c>
      <c r="B36" s="108" t="n">
        <v>2.5</v>
      </c>
      <c r="C36" s="108" t="n">
        <v>3.9</v>
      </c>
      <c r="D36" s="108" t="n">
        <v>4.8</v>
      </c>
      <c r="E36" s="108" t="n">
        <v>1.4</v>
      </c>
      <c r="F36" s="108" t="n">
        <v>6</v>
      </c>
      <c r="G36" s="108" t="n">
        <v>4.4</v>
      </c>
      <c r="H36" s="108" t="n">
        <v>4.9</v>
      </c>
      <c r="I36" s="108" t="n">
        <v>6.6</v>
      </c>
      <c r="J36" s="108" t="n">
        <v>3.3</v>
      </c>
      <c r="K36" s="108"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4" customWidth="1" min="2" max="2"/>
    <col width="23" customWidth="1" min="3" max="3"/>
    <col width="22" customWidth="1" min="4" max="4"/>
    <col width="9" customWidth="1" min="5" max="5"/>
    <col width="3" customWidth="1" min="6" max="6"/>
    <col width="3" customWidth="1" min="7" max="7"/>
    <col width="3" customWidth="1" min="8" max="8"/>
  </cols>
  <sheetData>
    <row r="1" ht="26" customHeight="1">
      <c r="A1" s="109" t="inlineStr">
        <is>
          <t>Annual Performance Summary</t>
        </is>
      </c>
    </row>
    <row r="2">
      <c r="A2" s="31" t="inlineStr">
        <is>
          <t>Year</t>
        </is>
      </c>
      <c r="B2" s="31" t="inlineStr">
        <is>
          <t>Annual Return</t>
        </is>
      </c>
      <c r="C2" s="31" t="inlineStr">
        <is>
          <t>Max Drawdown (60d)</t>
        </is>
      </c>
      <c r="D2" s="31" t="inlineStr">
        <is>
          <t>Ann. Volatility</t>
        </is>
      </c>
      <c r="E2" s="31" t="inlineStr">
        <is>
          <t>Sharpe</t>
        </is>
      </c>
    </row>
    <row r="3">
      <c r="A3" s="110" t="n">
        <v>2021</v>
      </c>
      <c r="B3" s="111" t="n">
        <v>-0.01527867262853577</v>
      </c>
      <c r="C3" s="112" t="n">
        <v>-0.1140659336971521</v>
      </c>
      <c r="D3" s="113" t="n">
        <v>0.2519890650038688</v>
      </c>
      <c r="E3" s="15" t="n">
        <v>-0.2</v>
      </c>
    </row>
    <row r="4">
      <c r="A4" s="114" t="n">
        <v>2022</v>
      </c>
      <c r="B4" s="111" t="n">
        <v>-0.2904111051174793</v>
      </c>
      <c r="C4" s="111" t="n">
        <v>-0.301823463185466</v>
      </c>
      <c r="D4" s="115" t="n">
        <v>0.422747385286865</v>
      </c>
      <c r="E4" s="18" t="n">
        <v>-0.6899999999999999</v>
      </c>
    </row>
    <row r="5">
      <c r="A5" s="110" t="n">
        <v>2023</v>
      </c>
      <c r="B5" s="111" t="n">
        <v>-0.06013714399840553</v>
      </c>
      <c r="C5" s="111" t="n">
        <v>-0.195953846001762</v>
      </c>
      <c r="D5" s="113" t="n">
        <v>0.2706321195483841</v>
      </c>
      <c r="E5" s="15" t="n">
        <v>-0.24</v>
      </c>
    </row>
    <row r="6">
      <c r="A6" s="114" t="n">
        <v>2024</v>
      </c>
      <c r="B6" s="111" t="n">
        <v>-0.2910747315032461</v>
      </c>
      <c r="C6" s="111" t="n">
        <v>-0.2684709281928858</v>
      </c>
      <c r="D6" s="115" t="n">
        <v>0.3199280049546971</v>
      </c>
      <c r="E6" s="18" t="n">
        <v>-1.03</v>
      </c>
    </row>
    <row r="7">
      <c r="A7" s="110" t="n">
        <v>2025</v>
      </c>
      <c r="B7" s="111" t="n">
        <v>-0.1382761927909394</v>
      </c>
      <c r="C7" s="111" t="n">
        <v>-0.3448406860497291</v>
      </c>
      <c r="D7" s="113" t="n">
        <v>0.4204946529247488</v>
      </c>
      <c r="E7" s="15" t="n">
        <v>-0.24</v>
      </c>
    </row>
    <row r="8">
      <c r="A8" s="114" t="inlineStr">
        <is>
          <t>2026 (YTD)</t>
        </is>
      </c>
      <c r="B8" s="111" t="n">
        <v>-0.3464704815984061</v>
      </c>
      <c r="C8" s="111" t="n">
        <v>-0.3553826303470417</v>
      </c>
      <c r="D8" s="115" t="n">
        <v>0.3649792148228644</v>
      </c>
      <c r="E8" s="18" t="n">
        <v>-1.74</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5"/>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4" customWidth="1" min="13" max="13"/>
    <col width="21" customWidth="1" min="14" max="14"/>
    <col width="26" customWidth="1" min="15" max="15"/>
    <col width="21" customWidth="1" min="16" max="16"/>
    <col width="21" customWidth="1" min="17" max="17"/>
  </cols>
  <sheetData>
    <row r="1">
      <c r="A1" s="116" t="inlineStr">
        <is>
          <t>Date</t>
        </is>
      </c>
      <c r="B1" s="116" t="inlineStr">
        <is>
          <t>Open</t>
        </is>
      </c>
      <c r="C1" s="116" t="inlineStr">
        <is>
          <t>High</t>
        </is>
      </c>
      <c r="D1" s="116" t="inlineStr">
        <is>
          <t>Low</t>
        </is>
      </c>
      <c r="E1" s="116" t="inlineStr">
        <is>
          <t>Close</t>
        </is>
      </c>
      <c r="F1" s="116" t="inlineStr">
        <is>
          <t>Volume</t>
        </is>
      </c>
      <c r="G1" s="116" t="inlineStr">
        <is>
          <t>Daily_Return</t>
        </is>
      </c>
      <c r="H1" s="116" t="inlineStr">
        <is>
          <t>Cumulative_Index</t>
        </is>
      </c>
      <c r="I1" s="116" t="inlineStr">
        <is>
          <t>MA50</t>
        </is>
      </c>
      <c r="J1" s="116" t="inlineStr">
        <is>
          <t>MA200</t>
        </is>
      </c>
      <c r="K1" s="116" t="inlineStr">
        <is>
          <t>Volatility_20d</t>
        </is>
      </c>
      <c r="L1" s="116" t="inlineStr">
        <is>
          <t>Drawdown_60d</t>
        </is>
      </c>
      <c r="M1" s="116" t="inlineStr">
        <is>
          <t>Pct_From_52W_High</t>
        </is>
      </c>
      <c r="N1" s="116" t="inlineStr">
        <is>
          <t>RSI14</t>
        </is>
      </c>
      <c r="O1" s="116" t="inlineStr">
        <is>
          <t>MACD_Hist</t>
        </is>
      </c>
      <c r="P1" s="116" t="inlineStr">
        <is>
          <t>SPY_Cumulative</t>
        </is>
      </c>
      <c r="Q1" s="116" t="inlineStr">
        <is>
          <t>QQQ_Cumulative</t>
        </is>
      </c>
    </row>
    <row r="2">
      <c r="A2" s="117" t="n">
        <v>44433</v>
      </c>
      <c r="B2" s="118" t="n">
        <v>156.5025550206754</v>
      </c>
      <c r="C2" s="118" t="n">
        <v>157.1377735209729</v>
      </c>
      <c r="D2" s="118" t="n">
        <v>156.0698703624232</v>
      </c>
      <c r="E2" s="118" t="n">
        <v>156.3552551269531</v>
      </c>
      <c r="F2" s="119" t="n">
        <v>3003800</v>
      </c>
      <c r="G2" s="120" t="n">
        <v/>
      </c>
      <c r="H2" s="121" t="n">
        <v>100</v>
      </c>
      <c r="I2" s="118" t="n">
        <v/>
      </c>
      <c r="J2" s="118" t="n">
        <v/>
      </c>
      <c r="K2" s="120" t="n">
        <v/>
      </c>
      <c r="L2" s="120" t="n">
        <v/>
      </c>
      <c r="M2" s="120" t="n">
        <v/>
      </c>
      <c r="N2" t="n">
        <v/>
      </c>
      <c r="O2" t="n">
        <v/>
      </c>
      <c r="P2" t="n">
        <v>100</v>
      </c>
      <c r="Q2" t="n">
        <v>100</v>
      </c>
    </row>
    <row r="3">
      <c r="A3" s="117" t="n">
        <v>44434</v>
      </c>
      <c r="B3" s="118" t="n">
        <v>155.9317582987914</v>
      </c>
      <c r="C3" s="118" t="n">
        <v>156.0606421714997</v>
      </c>
      <c r="D3" s="118" t="n">
        <v>153.068682082576</v>
      </c>
      <c r="E3" s="118" t="n">
        <v>153.6670684814453</v>
      </c>
      <c r="F3" s="119" t="n">
        <v>4069600</v>
      </c>
      <c r="G3" s="120" t="n">
        <v>-0.01719281288834928</v>
      </c>
      <c r="H3" s="121" t="n">
        <v>98.28071871116506</v>
      </c>
      <c r="I3" s="118" t="n">
        <v/>
      </c>
      <c r="J3" s="118" t="n">
        <v/>
      </c>
      <c r="K3" s="120" t="n">
        <v/>
      </c>
      <c r="L3" s="120" t="n">
        <v/>
      </c>
      <c r="M3" s="120" t="n">
        <v/>
      </c>
      <c r="N3" t="n">
        <v/>
      </c>
      <c r="O3" t="n">
        <v/>
      </c>
      <c r="P3" t="n">
        <v>99.40968744522054</v>
      </c>
      <c r="Q3" t="n">
        <v>99.36501453601905</v>
      </c>
    </row>
    <row r="4">
      <c r="A4" s="117" t="n">
        <v>44435</v>
      </c>
      <c r="B4" s="118" t="n">
        <v>154.2434259084364</v>
      </c>
      <c r="C4" s="118" t="n">
        <v>154.9811266813696</v>
      </c>
      <c r="D4" s="118" t="n">
        <v>153.3305196190035</v>
      </c>
      <c r="E4" s="118" t="n">
        <v>154.5292816162109</v>
      </c>
      <c r="F4" s="119" t="n">
        <v>3012400</v>
      </c>
      <c r="G4" s="120" t="n">
        <v>0.005610916790995679</v>
      </c>
      <c r="H4" s="121" t="n">
        <v>98.83216364601267</v>
      </c>
      <c r="I4" s="118" t="n">
        <v/>
      </c>
      <c r="J4" s="118" t="n">
        <v/>
      </c>
      <c r="K4" s="120" t="n">
        <v/>
      </c>
      <c r="L4" s="120" t="n">
        <v/>
      </c>
      <c r="M4" s="120" t="n">
        <v/>
      </c>
      <c r="N4" t="n">
        <v/>
      </c>
      <c r="O4" t="n">
        <v/>
      </c>
      <c r="P4" t="n">
        <v>100.2984948695512</v>
      </c>
      <c r="Q4" t="n">
        <v>100.3308579326157</v>
      </c>
    </row>
    <row r="5">
      <c r="A5" s="117" t="n">
        <v>44438</v>
      </c>
      <c r="B5" s="118" t="n">
        <v>154.8151782882068</v>
      </c>
      <c r="C5" s="118" t="n">
        <v>155.2946860280622</v>
      </c>
      <c r="D5" s="118" t="n">
        <v>153.5979836506975</v>
      </c>
      <c r="E5" s="118" t="n">
        <v>154.9442749023438</v>
      </c>
      <c r="F5" s="119" t="n">
        <v>3537100</v>
      </c>
      <c r="G5" s="120" t="n">
        <v>0.002685531711481559</v>
      </c>
      <c r="H5" s="121" t="n">
        <v>99.09758055559837</v>
      </c>
      <c r="I5" s="118" t="n">
        <v/>
      </c>
      <c r="J5" s="118" t="n">
        <v/>
      </c>
      <c r="K5" s="120" t="n">
        <v/>
      </c>
      <c r="L5" s="120" t="n">
        <v/>
      </c>
      <c r="M5" s="120" t="n">
        <v/>
      </c>
      <c r="N5" t="n">
        <v/>
      </c>
      <c r="O5" t="n">
        <v/>
      </c>
      <c r="P5" t="n">
        <v>100.7395745367976</v>
      </c>
      <c r="Q5" t="n">
        <v>101.4567733083268</v>
      </c>
    </row>
    <row r="6">
      <c r="A6" s="117" t="n">
        <v>44439</v>
      </c>
      <c r="B6" s="118" t="n">
        <v>154.5016078072766</v>
      </c>
      <c r="C6" s="118" t="n">
        <v>154.6214741489304</v>
      </c>
      <c r="D6" s="118" t="n">
        <v>151.412492201606</v>
      </c>
      <c r="E6" s="118" t="n">
        <v>151.9104461669922</v>
      </c>
      <c r="F6" s="119" t="n">
        <v>7545600</v>
      </c>
      <c r="G6" s="120" t="n">
        <v>-0.01958012799933195</v>
      </c>
      <c r="H6" s="121" t="n">
        <v>97.15723724389565</v>
      </c>
      <c r="I6" s="118" t="n">
        <v/>
      </c>
      <c r="J6" s="118" t="n">
        <v/>
      </c>
      <c r="K6" s="120" t="n">
        <v/>
      </c>
      <c r="L6" s="120" t="n">
        <v/>
      </c>
      <c r="M6" s="120" t="n">
        <v/>
      </c>
      <c r="N6" t="n">
        <v/>
      </c>
      <c r="O6" t="n">
        <v/>
      </c>
      <c r="P6" t="n">
        <v>100.5902907339157</v>
      </c>
      <c r="Q6" t="n">
        <v>101.3740567276837</v>
      </c>
    </row>
    <row r="7">
      <c r="A7" s="117" t="n">
        <v>44440</v>
      </c>
      <c r="B7" s="118" t="n">
        <v>152.0764409811119</v>
      </c>
      <c r="C7" s="118" t="n">
        <v>153.6440464167036</v>
      </c>
      <c r="D7" s="118" t="n">
        <v>151.3018614581803</v>
      </c>
      <c r="E7" s="118" t="n">
        <v>151.7444763183594</v>
      </c>
      <c r="F7" s="119" t="n">
        <v>4706500</v>
      </c>
      <c r="G7" s="120" t="n">
        <v>-0.001092550596884956</v>
      </c>
      <c r="H7" s="121" t="n">
        <v>97.05108804635313</v>
      </c>
      <c r="I7" s="118" t="n">
        <v/>
      </c>
      <c r="J7" s="118" t="n">
        <v/>
      </c>
      <c r="K7" s="120" t="n">
        <v/>
      </c>
      <c r="L7" s="120" t="n">
        <v/>
      </c>
      <c r="M7" s="120" t="n">
        <v/>
      </c>
      <c r="N7" t="n">
        <v/>
      </c>
      <c r="O7" t="n">
        <v/>
      </c>
      <c r="P7" t="n">
        <v>100.6437736710912</v>
      </c>
      <c r="Q7" t="n">
        <v>101.5421495051645</v>
      </c>
    </row>
    <row r="8">
      <c r="A8" s="117" t="n">
        <v>44441</v>
      </c>
      <c r="B8" s="118" t="n">
        <v>152.3714905640187</v>
      </c>
      <c r="C8" s="118" t="n">
        <v>152.5466819779686</v>
      </c>
      <c r="D8" s="118" t="n">
        <v>150.112279722363</v>
      </c>
      <c r="E8" s="118" t="n">
        <v>150.9237518310547</v>
      </c>
      <c r="F8" s="119" t="n">
        <v>4632100</v>
      </c>
      <c r="G8" s="120" t="n">
        <v>-0.005408595470604238</v>
      </c>
      <c r="H8" s="121" t="n">
        <v>96.52617797112842</v>
      </c>
      <c r="I8" s="118" t="n">
        <v/>
      </c>
      <c r="J8" s="118" t="n">
        <v/>
      </c>
      <c r="K8" s="120" t="n">
        <v/>
      </c>
      <c r="L8" s="120" t="n">
        <v/>
      </c>
      <c r="M8" s="120" t="n">
        <v/>
      </c>
      <c r="N8" t="n">
        <v/>
      </c>
      <c r="O8" t="n">
        <v/>
      </c>
      <c r="P8" t="n">
        <v>100.9534190020446</v>
      </c>
      <c r="Q8" t="n">
        <v>101.4941253944433</v>
      </c>
    </row>
    <row r="9">
      <c r="A9" s="117" t="n">
        <v>44442</v>
      </c>
      <c r="B9" s="118" t="n">
        <v>150.4903918670365</v>
      </c>
      <c r="C9" s="118" t="n">
        <v>151.38485183361</v>
      </c>
      <c r="D9" s="118" t="n">
        <v>149.586715740669</v>
      </c>
      <c r="E9" s="118" t="n">
        <v>150.5733795166016</v>
      </c>
      <c r="F9" s="119" t="n">
        <v>4254500</v>
      </c>
      <c r="G9" s="120" t="n">
        <v>-0.00232151871526054</v>
      </c>
      <c r="H9" s="121" t="n">
        <v>96.30209064245588</v>
      </c>
      <c r="I9" s="118" t="n">
        <v/>
      </c>
      <c r="J9" s="118" t="n">
        <v/>
      </c>
      <c r="K9" s="120" t="n">
        <v/>
      </c>
      <c r="L9" s="120" t="n">
        <v/>
      </c>
      <c r="M9" s="120" t="n">
        <v/>
      </c>
      <c r="N9" t="n">
        <v/>
      </c>
      <c r="O9" t="n">
        <v/>
      </c>
      <c r="P9" t="n">
        <v>100.9288923511326</v>
      </c>
      <c r="Q9" t="n">
        <v>101.8062905040879</v>
      </c>
    </row>
    <row r="10">
      <c r="A10" s="117" t="n">
        <v>44446</v>
      </c>
      <c r="B10" s="118" t="n">
        <v>150.9514005225938</v>
      </c>
      <c r="C10" s="118" t="n">
        <v>151.098943450721</v>
      </c>
      <c r="D10" s="118" t="n">
        <v>149.3008079843837</v>
      </c>
      <c r="E10" s="118" t="n">
        <v>149.9739532470703</v>
      </c>
      <c r="F10" s="119" t="n">
        <v>5648800</v>
      </c>
      <c r="G10" s="120" t="n">
        <v>-0.003980957799151752</v>
      </c>
      <c r="H10" s="121" t="n">
        <v>95.91871608363817</v>
      </c>
      <c r="I10" s="118" t="n">
        <v/>
      </c>
      <c r="J10" s="118" t="n">
        <v/>
      </c>
      <c r="K10" s="120" t="n">
        <v/>
      </c>
      <c r="L10" s="120" t="n">
        <v/>
      </c>
      <c r="M10" s="120" t="n">
        <v/>
      </c>
      <c r="N10" t="n">
        <v/>
      </c>
      <c r="O10" t="n">
        <v/>
      </c>
      <c r="P10" t="n">
        <v>100.5680407264602</v>
      </c>
      <c r="Q10" t="n">
        <v>101.9503963960774</v>
      </c>
    </row>
    <row r="11">
      <c r="A11" s="117" t="n">
        <v>44447</v>
      </c>
      <c r="B11" s="118" t="n">
        <v>149.3838218104684</v>
      </c>
      <c r="C11" s="118" t="n">
        <v>149.4668094456724</v>
      </c>
      <c r="D11" s="118" t="n">
        <v>147.3090465075452</v>
      </c>
      <c r="E11" s="118" t="n">
        <v>148.1942901611328</v>
      </c>
      <c r="F11" s="119" t="n">
        <v>6591700</v>
      </c>
      <c r="G11" s="120" t="n">
        <v>-0.01186648112826394</v>
      </c>
      <c r="H11" s="121" t="n">
        <v>94.78049844938437</v>
      </c>
      <c r="I11" s="118" t="n">
        <v/>
      </c>
      <c r="J11" s="118" t="n">
        <v/>
      </c>
      <c r="K11" s="120" t="n">
        <v/>
      </c>
      <c r="L11" s="120" t="n">
        <v/>
      </c>
      <c r="M11" s="120" t="n">
        <v/>
      </c>
      <c r="N11" t="n">
        <v/>
      </c>
      <c r="O11" t="n">
        <v/>
      </c>
      <c r="P11" t="n">
        <v>100.4455238498405</v>
      </c>
      <c r="Q11" t="n">
        <v>101.5955096281881</v>
      </c>
    </row>
    <row r="12">
      <c r="A12" s="117" t="n">
        <v>44448</v>
      </c>
      <c r="B12" s="118" t="n">
        <v>152.3899342806158</v>
      </c>
      <c r="C12" s="118" t="n">
        <v>153.2106226081391</v>
      </c>
      <c r="D12" s="118" t="n">
        <v>150.4903644935713</v>
      </c>
      <c r="E12" s="118" t="n">
        <v>150.6194610595703</v>
      </c>
      <c r="F12" s="119" t="n">
        <v>8414800</v>
      </c>
      <c r="G12" s="120" t="n">
        <v>0.01636480660490092</v>
      </c>
      <c r="H12" s="121" t="n">
        <v>96.33156297642465</v>
      </c>
      <c r="I12" s="118" t="n">
        <v/>
      </c>
      <c r="J12" s="118" t="n">
        <v/>
      </c>
      <c r="K12" s="120" t="n">
        <v/>
      </c>
      <c r="L12" s="120" t="n">
        <v/>
      </c>
      <c r="M12" s="120" t="n">
        <v/>
      </c>
      <c r="N12" t="n">
        <v/>
      </c>
      <c r="O12" t="n">
        <v/>
      </c>
      <c r="P12" t="n">
        <v>100.0155946439963</v>
      </c>
      <c r="Q12" t="n">
        <v>101.2459840424706</v>
      </c>
    </row>
    <row r="13">
      <c r="A13" s="117" t="n">
        <v>44449</v>
      </c>
      <c r="B13" s="118" t="n">
        <v>151.4586256092463</v>
      </c>
      <c r="C13" s="118" t="n">
        <v>152.758821753947</v>
      </c>
      <c r="D13" s="118" t="n">
        <v>150.7117086109421</v>
      </c>
      <c r="E13" s="118" t="n">
        <v>150.8500213623047</v>
      </c>
      <c r="F13" s="119" t="n">
        <v>4252100</v>
      </c>
      <c r="G13" s="120" t="n">
        <v>0.001530747096772478</v>
      </c>
      <c r="H13" s="121" t="n">
        <v>96.47902223677838</v>
      </c>
      <c r="I13" s="118" t="n">
        <v/>
      </c>
      <c r="J13" s="118" t="n">
        <v/>
      </c>
      <c r="K13" s="120" t="n">
        <v/>
      </c>
      <c r="L13" s="120" t="n">
        <v/>
      </c>
      <c r="M13" s="120" t="n">
        <v/>
      </c>
      <c r="N13" t="n">
        <v/>
      </c>
      <c r="O13" t="n">
        <v/>
      </c>
      <c r="P13" t="n">
        <v>99.22700317348097</v>
      </c>
      <c r="Q13" t="n">
        <v>100.4775647111048</v>
      </c>
    </row>
    <row r="14">
      <c r="A14" s="117" t="n">
        <v>44452</v>
      </c>
      <c r="B14" s="118" t="n">
        <v>148.9781085687379</v>
      </c>
      <c r="C14" s="118" t="n">
        <v>150.2321957291999</v>
      </c>
      <c r="D14" s="118" t="n">
        <v>145.9996568390679</v>
      </c>
      <c r="E14" s="118" t="n">
        <v>147.0969848632812</v>
      </c>
      <c r="F14" s="119" t="n">
        <v>8814500</v>
      </c>
      <c r="G14" s="120" t="n">
        <v>-0.02487925732545682</v>
      </c>
      <c r="H14" s="121" t="n">
        <v>94.0786958160411</v>
      </c>
      <c r="I14" s="118" t="n">
        <v/>
      </c>
      <c r="J14" s="118" t="n">
        <v/>
      </c>
      <c r="K14" s="120" t="n">
        <v/>
      </c>
      <c r="L14" s="120" t="n">
        <v/>
      </c>
      <c r="M14" s="120" t="n">
        <v/>
      </c>
      <c r="N14" t="n">
        <v/>
      </c>
      <c r="O14" t="n">
        <v/>
      </c>
      <c r="P14" t="n">
        <v>99.48095438639368</v>
      </c>
      <c r="Q14" t="n">
        <v>100.4081965511741</v>
      </c>
    </row>
    <row r="15">
      <c r="A15" s="117" t="n">
        <v>44453</v>
      </c>
      <c r="B15" s="118" t="n">
        <v>146.7742069482915</v>
      </c>
      <c r="C15" s="118" t="n">
        <v>146.9770749828949</v>
      </c>
      <c r="D15" s="118" t="n">
        <v>144.8377585322636</v>
      </c>
      <c r="E15" s="118" t="n">
        <v>146.3961334228516</v>
      </c>
      <c r="F15" s="119" t="n">
        <v>5323900</v>
      </c>
      <c r="G15" s="120" t="n">
        <v>-0.004764553407271332</v>
      </c>
      <c r="H15" s="121" t="n">
        <v>93.63045284533914</v>
      </c>
      <c r="I15" s="118" t="n">
        <v/>
      </c>
      <c r="J15" s="118" t="n">
        <v/>
      </c>
      <c r="K15" s="120" t="n">
        <v/>
      </c>
      <c r="L15" s="120" t="n">
        <v/>
      </c>
      <c r="M15" s="120" t="n">
        <v/>
      </c>
      <c r="N15" t="n">
        <v>22.46102764153821</v>
      </c>
      <c r="O15" t="n">
        <v/>
      </c>
      <c r="P15" t="n">
        <v>98.94410294792597</v>
      </c>
      <c r="Q15" t="n">
        <v>100.1227366729107</v>
      </c>
    </row>
    <row r="16">
      <c r="A16" s="117" t="n">
        <v>44454</v>
      </c>
      <c r="B16" s="118" t="n">
        <v>145.2342921249731</v>
      </c>
      <c r="C16" s="118" t="n">
        <v>145.9904393203394</v>
      </c>
      <c r="D16" s="118" t="n">
        <v>143.5468062803976</v>
      </c>
      <c r="E16" s="118" t="n">
        <v>145.6123657226562</v>
      </c>
      <c r="F16" s="119" t="n">
        <v>6827100</v>
      </c>
      <c r="G16" s="120" t="n">
        <v>-0.00535374590756077</v>
      </c>
      <c r="H16" s="121" t="n">
        <v>93.12917919159534</v>
      </c>
      <c r="I16" s="118" t="n">
        <v/>
      </c>
      <c r="J16" s="118" t="n">
        <v/>
      </c>
      <c r="K16" s="120" t="n">
        <v/>
      </c>
      <c r="L16" s="120" t="n">
        <v/>
      </c>
      <c r="M16" s="120" t="n">
        <v/>
      </c>
      <c r="N16" t="n">
        <v>20.99744660165641</v>
      </c>
      <c r="O16" t="n">
        <v/>
      </c>
      <c r="P16" t="n">
        <v>99.7705317962717</v>
      </c>
      <c r="Q16" t="n">
        <v>100.8671103890901</v>
      </c>
    </row>
    <row r="17">
      <c r="A17" s="117" t="n">
        <v>44455</v>
      </c>
      <c r="B17" s="118" t="n">
        <v>145.3172925963346</v>
      </c>
      <c r="C17" s="118" t="n">
        <v>146.6267049587821</v>
      </c>
      <c r="D17" s="118" t="n">
        <v>144.9576653564404</v>
      </c>
      <c r="E17" s="118" t="n">
        <v>145.3265228271484</v>
      </c>
      <c r="F17" s="119" t="n">
        <v>5085900</v>
      </c>
      <c r="G17" s="120" t="n">
        <v>-0.001963039980081405</v>
      </c>
      <c r="H17" s="121" t="n">
        <v>92.94636288953008</v>
      </c>
      <c r="I17" s="118" t="n">
        <v/>
      </c>
      <c r="J17" s="118" t="n">
        <v/>
      </c>
      <c r="K17" s="120" t="n">
        <v/>
      </c>
      <c r="L17" s="120" t="n">
        <v/>
      </c>
      <c r="M17" s="120" t="n">
        <v/>
      </c>
      <c r="N17" t="n">
        <v>20.47348007094227</v>
      </c>
      <c r="O17" t="n">
        <v/>
      </c>
      <c r="P17" t="n">
        <v>99.6123814490654</v>
      </c>
      <c r="Q17" t="n">
        <v>100.9364869389772</v>
      </c>
    </row>
    <row r="18">
      <c r="A18" s="117" t="n">
        <v>44456</v>
      </c>
      <c r="B18" s="118" t="n">
        <v>145.6584952938316</v>
      </c>
      <c r="C18" s="118" t="n">
        <v>148.4617418685393</v>
      </c>
      <c r="D18" s="118" t="n">
        <v>143.9156841042808</v>
      </c>
      <c r="E18" s="118" t="n">
        <v>144.2384185791016</v>
      </c>
      <c r="F18" s="119" t="n">
        <v>7944800</v>
      </c>
      <c r="G18" s="120" t="n">
        <v>-0.007487306699968777</v>
      </c>
      <c r="H18" s="121" t="n">
        <v>92.25044496392957</v>
      </c>
      <c r="I18" s="118" t="n">
        <v/>
      </c>
      <c r="J18" s="118" t="n">
        <v/>
      </c>
      <c r="K18" s="120" t="n">
        <v/>
      </c>
      <c r="L18" s="120" t="n">
        <v/>
      </c>
      <c r="M18" s="120" t="n">
        <v/>
      </c>
      <c r="N18" t="n">
        <v>18.57346208797308</v>
      </c>
      <c r="O18" t="n">
        <v/>
      </c>
      <c r="P18" t="n">
        <v>98.64207309843903</v>
      </c>
      <c r="Q18" t="n">
        <v>99.74119501337903</v>
      </c>
    </row>
    <row r="19">
      <c r="A19" s="117" t="n">
        <v>44459</v>
      </c>
      <c r="B19" s="118" t="n">
        <v>141.75785818373</v>
      </c>
      <c r="C19" s="118" t="n">
        <v>143.1779344146543</v>
      </c>
      <c r="D19" s="118" t="n">
        <v>140.4576764256245</v>
      </c>
      <c r="E19" s="118" t="n">
        <v>142.2373657226562</v>
      </c>
      <c r="F19" s="119" t="n">
        <v>7041200</v>
      </c>
      <c r="G19" s="120" t="n">
        <v>-0.01387323069788038</v>
      </c>
      <c r="H19" s="121" t="n">
        <v>90.97063325896285</v>
      </c>
      <c r="I19" s="118" t="n">
        <v/>
      </c>
      <c r="J19" s="118" t="n">
        <v/>
      </c>
      <c r="K19" s="120" t="n">
        <v/>
      </c>
      <c r="L19" s="120" t="n">
        <v/>
      </c>
      <c r="M19" s="120" t="n">
        <v/>
      </c>
      <c r="N19" t="n">
        <v>15.68973370589727</v>
      </c>
      <c r="O19" t="n">
        <v/>
      </c>
      <c r="P19" t="n">
        <v>96.99727457411132</v>
      </c>
      <c r="Q19" t="n">
        <v>97.68021060133081</v>
      </c>
    </row>
    <row r="20">
      <c r="A20" s="117" t="n">
        <v>44460</v>
      </c>
      <c r="B20" s="118" t="n">
        <v>143.0119747298451</v>
      </c>
      <c r="C20" s="118" t="n">
        <v>143.9709900065052</v>
      </c>
      <c r="D20" s="118" t="n">
        <v>141.6195748242874</v>
      </c>
      <c r="E20" s="118" t="n">
        <v>142.9474334716797</v>
      </c>
      <c r="F20" s="119" t="n">
        <v>5857900</v>
      </c>
      <c r="G20" s="120" t="n">
        <v>0.004992132309367792</v>
      </c>
      <c r="H20" s="121" t="n">
        <v>91.42477069645857</v>
      </c>
      <c r="I20" s="118" t="n">
        <v/>
      </c>
      <c r="J20" s="118" t="n">
        <v/>
      </c>
      <c r="K20" s="120" t="n">
        <v/>
      </c>
      <c r="L20" s="120" t="n">
        <v/>
      </c>
      <c r="M20" s="120" t="n">
        <v/>
      </c>
      <c r="N20" t="n">
        <v>20.41184107148275</v>
      </c>
      <c r="O20" t="n">
        <v/>
      </c>
      <c r="P20" t="n">
        <v>96.90564876701211</v>
      </c>
      <c r="Q20" t="n">
        <v>97.80039672748069</v>
      </c>
    </row>
    <row r="21">
      <c r="A21" s="117" t="n">
        <v>44461</v>
      </c>
      <c r="B21" s="118" t="n">
        <v>144.5795670668797</v>
      </c>
      <c r="C21" s="118" t="n">
        <v>145.6953413785711</v>
      </c>
      <c r="D21" s="118" t="n">
        <v>143.4822532136674</v>
      </c>
      <c r="E21" s="118" t="n">
        <v>145.178955078125</v>
      </c>
      <c r="F21" s="119" t="n">
        <v>6844800</v>
      </c>
      <c r="G21" s="120" t="n">
        <v>0.01561078469371346</v>
      </c>
      <c r="H21" s="121" t="n">
        <v>92.8519831074731</v>
      </c>
      <c r="I21" s="118" t="n">
        <v/>
      </c>
      <c r="J21" s="118" t="n">
        <v/>
      </c>
      <c r="K21" s="120" t="n">
        <v/>
      </c>
      <c r="L21" s="120" t="n">
        <v/>
      </c>
      <c r="M21" s="120" t="n">
        <v/>
      </c>
      <c r="N21" t="n">
        <v>33.09432559365709</v>
      </c>
      <c r="O21" t="n">
        <v/>
      </c>
      <c r="P21" t="n">
        <v>97.85095768134413</v>
      </c>
      <c r="Q21" t="n">
        <v>98.71389518578422</v>
      </c>
    </row>
    <row r="22">
      <c r="A22" s="117" t="n">
        <v>44462</v>
      </c>
      <c r="B22" s="118" t="n">
        <v>146.3500559680492</v>
      </c>
      <c r="C22" s="118" t="n">
        <v>147.8069970146004</v>
      </c>
      <c r="D22" s="118" t="n">
        <v>145.9443198505908</v>
      </c>
      <c r="E22" s="118" t="n">
        <v>147.1522979736328</v>
      </c>
      <c r="F22" s="119" t="n">
        <v>11981500</v>
      </c>
      <c r="G22" s="120" t="n">
        <v>0.0135924858699108</v>
      </c>
      <c r="H22" s="121" t="n">
        <v>94.11407237585463</v>
      </c>
      <c r="I22" s="118" t="n">
        <v/>
      </c>
      <c r="J22" s="118" t="n">
        <v/>
      </c>
      <c r="K22" s="120" t="n">
        <v>0.1776739941708182</v>
      </c>
      <c r="L22" s="120" t="n">
        <v/>
      </c>
      <c r="M22" s="120" t="n">
        <v>-0.05885927624145371</v>
      </c>
      <c r="N22" t="n">
        <v>41.90978605794352</v>
      </c>
      <c r="O22" t="n">
        <v/>
      </c>
      <c r="P22" t="n">
        <v>99.03983107741972</v>
      </c>
      <c r="Q22" t="n">
        <v>99.62473402789306</v>
      </c>
    </row>
    <row r="23">
      <c r="A23" s="117" t="n">
        <v>44463</v>
      </c>
      <c r="B23" s="118" t="n">
        <v>139.2773516749862</v>
      </c>
      <c r="C23" s="118" t="n">
        <v>140.0242825876099</v>
      </c>
      <c r="D23" s="118" t="n">
        <v>136.474105959792</v>
      </c>
      <c r="E23" s="118" t="n">
        <v>137.9402770996094</v>
      </c>
      <c r="F23" s="119" t="n">
        <v>26913300</v>
      </c>
      <c r="G23" s="120" t="n">
        <v>-0.062601950502153</v>
      </c>
      <c r="H23" s="121" t="n">
        <v>88.22234787542533</v>
      </c>
      <c r="I23" s="118" t="n">
        <v/>
      </c>
      <c r="J23" s="118" t="n">
        <v/>
      </c>
      <c r="K23" s="120" t="n">
        <v>0.2732808526174704</v>
      </c>
      <c r="L23" s="120" t="n">
        <v/>
      </c>
      <c r="M23" s="120" t="n">
        <v>-0.1177765212457468</v>
      </c>
      <c r="N23" t="n">
        <v>25.21043883157515</v>
      </c>
      <c r="O23" t="n">
        <v/>
      </c>
      <c r="P23" t="n">
        <v>99.20298567605768</v>
      </c>
      <c r="Q23" t="n">
        <v>99.71823170257468</v>
      </c>
    </row>
    <row r="24">
      <c r="A24" s="117" t="n">
        <v>44466</v>
      </c>
      <c r="B24" s="118" t="n">
        <v>137.8665073065262</v>
      </c>
      <c r="C24" s="118" t="n">
        <v>138.235364688336</v>
      </c>
      <c r="D24" s="118" t="n">
        <v>135.8193945665109</v>
      </c>
      <c r="E24" s="118" t="n">
        <v>136.510986328125</v>
      </c>
      <c r="F24" s="119" t="n">
        <v>11479300</v>
      </c>
      <c r="G24" s="120" t="n">
        <v>-0.01036166376882264</v>
      </c>
      <c r="H24" s="121" t="n">
        <v>87.30821756984408</v>
      </c>
      <c r="I24" s="118" t="n">
        <v/>
      </c>
      <c r="J24" s="118" t="n">
        <v/>
      </c>
      <c r="K24" s="120" t="n">
        <v>0.2707393794292409</v>
      </c>
      <c r="L24" s="120" t="n">
        <v/>
      </c>
      <c r="M24" s="120" t="n">
        <v>-0.1269178243015594</v>
      </c>
      <c r="N24" t="n">
        <v>23.63673875502403</v>
      </c>
      <c r="O24" t="n">
        <v/>
      </c>
      <c r="P24" t="n">
        <v>98.91916170060178</v>
      </c>
      <c r="Q24" t="n">
        <v>98.92225136426983</v>
      </c>
    </row>
    <row r="25">
      <c r="A25" s="117" t="n">
        <v>44467</v>
      </c>
      <c r="B25" s="118" t="n">
        <v>135.8655292750566</v>
      </c>
      <c r="C25" s="118" t="n">
        <v>136.0407348058482</v>
      </c>
      <c r="D25" s="118" t="n">
        <v>133.7077659463531</v>
      </c>
      <c r="E25" s="118" t="n">
        <v>133.9844055175781</v>
      </c>
      <c r="F25" s="119" t="n">
        <v>10692300</v>
      </c>
      <c r="G25" s="120" t="n">
        <v>-0.01850825987348637</v>
      </c>
      <c r="H25" s="121" t="n">
        <v>85.69229438997051</v>
      </c>
      <c r="I25" s="118" t="n">
        <v/>
      </c>
      <c r="J25" s="118" t="n">
        <v/>
      </c>
      <c r="K25" s="120" t="n">
        <v>0.272130798315977</v>
      </c>
      <c r="L25" s="120" t="n">
        <v/>
      </c>
      <c r="M25" s="120" t="n">
        <v>-0.143077056100295</v>
      </c>
      <c r="N25" t="n">
        <v>21.12623459306674</v>
      </c>
      <c r="O25" t="n">
        <v/>
      </c>
      <c r="P25" t="n">
        <v>96.92574578257258</v>
      </c>
      <c r="Q25" t="n">
        <v>96.12300112433805</v>
      </c>
    </row>
    <row r="26">
      <c r="A26" s="117" t="n">
        <v>44468</v>
      </c>
      <c r="B26" s="118" t="n">
        <v>134.362444513451</v>
      </c>
      <c r="C26" s="118" t="n">
        <v>136.4187732719493</v>
      </c>
      <c r="D26" s="118" t="n">
        <v>134.3439981279956</v>
      </c>
      <c r="E26" s="118" t="n">
        <v>134.6483001708984</v>
      </c>
      <c r="F26" s="119" t="n">
        <v>7794900</v>
      </c>
      <c r="G26" s="120" t="n">
        <v>0.00495501435973611</v>
      </c>
      <c r="H26" s="121" t="n">
        <v>86.11690093919155</v>
      </c>
      <c r="I26" s="118" t="n">
        <v/>
      </c>
      <c r="J26" s="118" t="n">
        <v/>
      </c>
      <c r="K26" s="120" t="n">
        <v>0.2711384842399773</v>
      </c>
      <c r="L26" s="120" t="n">
        <v/>
      </c>
      <c r="M26" s="120" t="n">
        <v>-0.1388309906080846</v>
      </c>
      <c r="N26" t="n">
        <v>23.42765520220414</v>
      </c>
      <c r="O26" t="n">
        <v/>
      </c>
      <c r="P26" t="n">
        <v>97.08890038121052</v>
      </c>
      <c r="Q26" t="n">
        <v>95.9654041823765</v>
      </c>
    </row>
    <row r="27">
      <c r="A27" s="117" t="n">
        <v>44469</v>
      </c>
      <c r="B27" s="118" t="n">
        <v>134.5192183160892</v>
      </c>
      <c r="C27" s="118" t="n">
        <v>135.9946056929844</v>
      </c>
      <c r="D27" s="118" t="n">
        <v>133.1729134400822</v>
      </c>
      <c r="E27" s="118" t="n">
        <v>133.9198303222656</v>
      </c>
      <c r="F27" s="119" t="n">
        <v>10133600</v>
      </c>
      <c r="G27" s="120" t="n">
        <v>-0.005410167434035329</v>
      </c>
      <c r="H27" s="121" t="n">
        <v>85.6509940862103</v>
      </c>
      <c r="I27" s="118" t="n">
        <v/>
      </c>
      <c r="J27" s="118" t="n">
        <v/>
      </c>
      <c r="K27" s="120" t="n">
        <v>0.2705618281177726</v>
      </c>
      <c r="L27" s="120" t="n">
        <v/>
      </c>
      <c r="M27" s="120" t="n">
        <v>-0.1434900591378971</v>
      </c>
      <c r="N27" t="n">
        <v>22.64680546869756</v>
      </c>
      <c r="O27" t="n">
        <v/>
      </c>
      <c r="P27" t="n">
        <v>95.90226726048513</v>
      </c>
      <c r="Q27" t="n">
        <v>95.61281626255462</v>
      </c>
    </row>
    <row r="28">
      <c r="A28" s="117" t="n">
        <v>44470</v>
      </c>
      <c r="B28" s="118" t="n">
        <v>133.9106132597888</v>
      </c>
      <c r="C28" s="118" t="n">
        <v>136.4741123526675</v>
      </c>
      <c r="D28" s="118" t="n">
        <v>133.1268036079534</v>
      </c>
      <c r="E28" s="118" t="n">
        <v>135.6073150634766</v>
      </c>
      <c r="F28" s="119" t="n">
        <v>8112300</v>
      </c>
      <c r="G28" s="120" t="n">
        <v>0.01260070847722972</v>
      </c>
      <c r="H28" s="121" t="n">
        <v>86.73025729347556</v>
      </c>
      <c r="I28" s="118" t="n">
        <v/>
      </c>
      <c r="J28" s="118" t="n">
        <v/>
      </c>
      <c r="K28" s="120" t="n">
        <v>0.2785934075312538</v>
      </c>
      <c r="L28" s="120" t="n">
        <v/>
      </c>
      <c r="M28" s="120" t="n">
        <v>-0.1326974270652446</v>
      </c>
      <c r="N28" t="n">
        <v>28.5848310920408</v>
      </c>
      <c r="O28" t="n">
        <v/>
      </c>
      <c r="P28" t="n">
        <v>97.04196370317517</v>
      </c>
      <c r="Q28" t="n">
        <v>96.20580999450205</v>
      </c>
    </row>
    <row r="29">
      <c r="A29" s="117" t="n">
        <v>44473</v>
      </c>
      <c r="B29" s="118" t="n">
        <v>135.6073045765922</v>
      </c>
      <c r="C29" s="118" t="n">
        <v>136.1236908186096</v>
      </c>
      <c r="D29" s="118" t="n">
        <v>134.4085427602119</v>
      </c>
      <c r="E29" s="118" t="n">
        <v>135.6810760498047</v>
      </c>
      <c r="F29" s="119" t="n">
        <v>7951000</v>
      </c>
      <c r="G29" s="120" t="n">
        <v>0.0005439307333354737</v>
      </c>
      <c r="H29" s="121" t="n">
        <v>86.77743254592757</v>
      </c>
      <c r="I29" s="118" t="n">
        <v/>
      </c>
      <c r="J29" s="118" t="n">
        <v/>
      </c>
      <c r="K29" s="120" t="n">
        <v>0.2791692895575171</v>
      </c>
      <c r="L29" s="120" t="n">
        <v/>
      </c>
      <c r="M29" s="120" t="n">
        <v>-0.1322256745407244</v>
      </c>
      <c r="N29" t="n">
        <v>28.84196497292578</v>
      </c>
      <c r="O29" t="n">
        <v/>
      </c>
      <c r="P29" t="n">
        <v>95.79050079609786</v>
      </c>
      <c r="Q29" t="n">
        <v>94.18648171622934</v>
      </c>
    </row>
    <row r="30">
      <c r="A30" s="117" t="n">
        <v>44474</v>
      </c>
      <c r="B30" s="118" t="n">
        <v>136.4741144241696</v>
      </c>
      <c r="C30" s="118" t="n">
        <v>139.2404816084433</v>
      </c>
      <c r="D30" s="118" t="n">
        <v>136.3081391469393</v>
      </c>
      <c r="E30" s="118" t="n">
        <v>137.8204193115234</v>
      </c>
      <c r="F30" s="119" t="n">
        <v>10881900</v>
      </c>
      <c r="G30" s="120" t="n">
        <v>0.01576744026509247</v>
      </c>
      <c r="H30" s="121" t="n">
        <v>88.14569052995357</v>
      </c>
      <c r="I30" s="118" t="n">
        <v/>
      </c>
      <c r="J30" s="118" t="n">
        <v/>
      </c>
      <c r="K30" s="120" t="n">
        <v>0.2888006852227788</v>
      </c>
      <c r="L30" s="120" t="n">
        <v/>
      </c>
      <c r="M30" s="120" t="n">
        <v>-0.1185430947004644</v>
      </c>
      <c r="N30" t="n">
        <v>36.03555844313352</v>
      </c>
      <c r="O30" t="n">
        <v/>
      </c>
      <c r="P30" t="n">
        <v>96.78720511830183</v>
      </c>
      <c r="Q30" t="n">
        <v>95.45792088657004</v>
      </c>
    </row>
    <row r="31">
      <c r="A31" s="117" t="n">
        <v>44475</v>
      </c>
      <c r="B31" s="118" t="n">
        <v>136.4741065635659</v>
      </c>
      <c r="C31" s="118" t="n">
        <v>137.8204113733756</v>
      </c>
      <c r="D31" s="118" t="n">
        <v>136.0222615507902</v>
      </c>
      <c r="E31" s="118" t="n">
        <v>137.2118072509766</v>
      </c>
      <c r="F31" s="119" t="n">
        <v>7610700</v>
      </c>
      <c r="G31" s="120" t="n">
        <v>-0.004415978877347571</v>
      </c>
      <c r="H31" s="121" t="n">
        <v>87.75644102244408</v>
      </c>
      <c r="I31" s="118" t="n">
        <v/>
      </c>
      <c r="J31" s="118" t="n">
        <v/>
      </c>
      <c r="K31" s="120" t="n">
        <v>0.2873352729421735</v>
      </c>
      <c r="L31" s="120" t="n">
        <v/>
      </c>
      <c r="M31" s="120" t="n">
        <v>-0.1224355897755594</v>
      </c>
      <c r="N31" t="n">
        <v>34.95300045046882</v>
      </c>
      <c r="O31" t="n">
        <v/>
      </c>
      <c r="P31" t="n">
        <v>97.18944364798294</v>
      </c>
      <c r="Q31" t="n">
        <v>96.06955710174992</v>
      </c>
    </row>
    <row r="32">
      <c r="A32" s="117" t="n">
        <v>44476</v>
      </c>
      <c r="B32" s="118" t="n">
        <v>138.5949843558335</v>
      </c>
      <c r="C32" s="118" t="n">
        <v>141.6933158433378</v>
      </c>
      <c r="D32" s="118" t="n">
        <v>138.5580915844099</v>
      </c>
      <c r="E32" s="118" t="n">
        <v>140.0242767333984</v>
      </c>
      <c r="F32" s="119" t="n">
        <v>7958000</v>
      </c>
      <c r="G32" s="120" t="n">
        <v>0.02049728473641865</v>
      </c>
      <c r="H32" s="121" t="n">
        <v>89.55520978153584</v>
      </c>
      <c r="I32" s="118" t="n">
        <v/>
      </c>
      <c r="J32" s="118" t="n">
        <v/>
      </c>
      <c r="K32" s="120" t="n">
        <v>0.2915036346085277</v>
      </c>
      <c r="L32" s="120" t="n">
        <v/>
      </c>
      <c r="M32" s="120" t="n">
        <v>-0.1044479021846416</v>
      </c>
      <c r="N32" t="n">
        <v>43.41296936249736</v>
      </c>
      <c r="O32" t="n">
        <v/>
      </c>
      <c r="P32" t="n">
        <v>98.02973601846338</v>
      </c>
      <c r="Q32" t="n">
        <v>96.95101431636996</v>
      </c>
    </row>
    <row r="33">
      <c r="A33" s="117" t="n">
        <v>44477</v>
      </c>
      <c r="B33" s="118" t="n">
        <v>140.3654626094528</v>
      </c>
      <c r="C33" s="118" t="n">
        <v>140.9648364975207</v>
      </c>
      <c r="D33" s="118" t="n">
        <v>138.9361701796715</v>
      </c>
      <c r="E33" s="118" t="n">
        <v>140.6052093505859</v>
      </c>
      <c r="F33" s="119" t="n">
        <v>6333700</v>
      </c>
      <c r="G33" s="120" t="n">
        <v>0.004148799270669246</v>
      </c>
      <c r="H33" s="121" t="n">
        <v>89.92675637056212</v>
      </c>
      <c r="I33" s="118" t="n">
        <v/>
      </c>
      <c r="J33" s="118" t="n">
        <v/>
      </c>
      <c r="K33" s="120" t="n">
        <v>0.2922472699410443</v>
      </c>
      <c r="L33" s="120" t="n">
        <v/>
      </c>
      <c r="M33" s="120" t="n">
        <v>-0.100732436294379</v>
      </c>
      <c r="N33" t="n">
        <v>45.00405940810741</v>
      </c>
      <c r="O33" t="n">
        <v/>
      </c>
      <c r="P33" t="n">
        <v>97.85095768134411</v>
      </c>
      <c r="Q33" t="n">
        <v>96.46755985583704</v>
      </c>
    </row>
    <row r="34">
      <c r="A34" s="117" t="n">
        <v>44480</v>
      </c>
      <c r="B34" s="118" t="n">
        <v>140.1533579771594</v>
      </c>
      <c r="C34" s="118" t="n">
        <v>141.6287450520761</v>
      </c>
      <c r="D34" s="118" t="n">
        <v>138.3736548178963</v>
      </c>
      <c r="E34" s="118" t="n">
        <v>138.5765228271484</v>
      </c>
      <c r="F34" s="119" t="n">
        <v>5551200</v>
      </c>
      <c r="G34" s="120" t="n">
        <v>-0.01442824581541047</v>
      </c>
      <c r="H34" s="121" t="n">
        <v>88.62927102426511</v>
      </c>
      <c r="I34" s="118" t="n">
        <v/>
      </c>
      <c r="J34" s="118" t="n">
        <v/>
      </c>
      <c r="K34" s="120" t="n">
        <v>0.2842797166673579</v>
      </c>
      <c r="L34" s="120" t="n">
        <v/>
      </c>
      <c r="M34" s="120" t="n">
        <v>-0.113707289757349</v>
      </c>
      <c r="N34" t="n">
        <v>40.70028794493928</v>
      </c>
      <c r="O34" t="n">
        <v/>
      </c>
      <c r="P34" t="n">
        <v>97.14255061167519</v>
      </c>
      <c r="Q34" t="n">
        <v>95.72767476635856</v>
      </c>
    </row>
    <row r="35">
      <c r="A35" s="117" t="n">
        <v>44481</v>
      </c>
      <c r="B35" s="118" t="n">
        <v>140.5499047508416</v>
      </c>
      <c r="C35" s="118" t="n">
        <v>141.6380165786955</v>
      </c>
      <c r="D35" s="118" t="n">
        <v>139.517132090212</v>
      </c>
      <c r="E35" s="118" t="n">
        <v>141.4074859619141</v>
      </c>
      <c r="F35" s="119" t="n">
        <v>7408600</v>
      </c>
      <c r="G35" s="120" t="n">
        <v>0.02042887984927133</v>
      </c>
      <c r="H35" s="121" t="n">
        <v>90.43986775314833</v>
      </c>
      <c r="I35" s="118" t="n">
        <v/>
      </c>
      <c r="J35" s="118" t="n">
        <v/>
      </c>
      <c r="K35" s="120" t="n">
        <v>0.2958289342848305</v>
      </c>
      <c r="L35" s="120" t="n">
        <v/>
      </c>
      <c r="M35" s="120" t="n">
        <v>-0.09560132246851683</v>
      </c>
      <c r="N35" t="n">
        <v>48.15166109566896</v>
      </c>
      <c r="O35" t="n">
        <v>1.033820019633187</v>
      </c>
      <c r="P35" t="n">
        <v>96.90341576528316</v>
      </c>
      <c r="Q35" t="n">
        <v>95.39378805946428</v>
      </c>
    </row>
    <row r="36">
      <c r="A36" s="117" t="n">
        <v>44482</v>
      </c>
      <c r="B36" s="118" t="n">
        <v>142.3019630750321</v>
      </c>
      <c r="C36" s="118" t="n">
        <v>144.4689426923306</v>
      </c>
      <c r="D36" s="118" t="n">
        <v>141.2322975070051</v>
      </c>
      <c r="E36" s="118" t="n">
        <v>144.1277618408203</v>
      </c>
      <c r="F36" s="119" t="n">
        <v>8456300</v>
      </c>
      <c r="G36" s="120" t="n">
        <v>0.01923714194055415</v>
      </c>
      <c r="H36" s="121" t="n">
        <v>92.17967232620059</v>
      </c>
      <c r="I36" s="118" t="n">
        <v/>
      </c>
      <c r="J36" s="118" t="n">
        <v/>
      </c>
      <c r="K36" s="120" t="n">
        <v>0.3044036818135729</v>
      </c>
      <c r="L36" s="120" t="n">
        <v/>
      </c>
      <c r="M36" s="120" t="n">
        <v>-0.07820327673799432</v>
      </c>
      <c r="N36" t="n">
        <v>54.117775945125</v>
      </c>
      <c r="O36" t="n">
        <v>1.294504076408332</v>
      </c>
      <c r="P36" t="n">
        <v>97.25202588536337</v>
      </c>
      <c r="Q36" t="n">
        <v>96.15771037417272</v>
      </c>
    </row>
    <row r="37">
      <c r="A37" s="117" t="n">
        <v>44483</v>
      </c>
      <c r="B37" s="118" t="n">
        <v>145.8613296962587</v>
      </c>
      <c r="C37" s="118" t="n">
        <v>146.1195369400316</v>
      </c>
      <c r="D37" s="118" t="n">
        <v>144.0816400324053</v>
      </c>
      <c r="E37" s="118" t="n">
        <v>144.9023284912109</v>
      </c>
      <c r="F37" s="119" t="n">
        <v>6024500</v>
      </c>
      <c r="G37" s="120" t="n">
        <v>0.005374166923136414</v>
      </c>
      <c r="H37" s="121" t="n">
        <v>92.6750612722016</v>
      </c>
      <c r="I37" s="118" t="n">
        <v/>
      </c>
      <c r="J37" s="118" t="n">
        <v/>
      </c>
      <c r="K37" s="120" t="n">
        <v>0.3049964142147938</v>
      </c>
      <c r="L37" s="120" t="n">
        <v/>
      </c>
      <c r="M37" s="120" t="n">
        <v>-0.07324938727798402</v>
      </c>
      <c r="N37" t="n">
        <v>55.68154251786111</v>
      </c>
      <c r="O37" t="n">
        <v>1.470396163445697</v>
      </c>
      <c r="P37" t="n">
        <v>98.88788512915406</v>
      </c>
      <c r="Q37" t="n">
        <v>97.92859526204055</v>
      </c>
    </row>
    <row r="38">
      <c r="A38" s="117" t="n">
        <v>44484</v>
      </c>
      <c r="B38" s="118" t="n">
        <v>145.510921496363</v>
      </c>
      <c r="C38" s="118" t="n">
        <v>145.9996452560333</v>
      </c>
      <c r="D38" s="118" t="n">
        <v>144.3674846238575</v>
      </c>
      <c r="E38" s="118" t="n">
        <v>145.7045593261719</v>
      </c>
      <c r="F38" s="119" t="n">
        <v>5532100</v>
      </c>
      <c r="G38" s="120" t="n">
        <v>0.005536355718463115</v>
      </c>
      <c r="H38" s="121" t="n">
        <v>93.18814337763487</v>
      </c>
      <c r="I38" s="118" t="n">
        <v/>
      </c>
      <c r="J38" s="118" t="n">
        <v/>
      </c>
      <c r="K38" s="120" t="n">
        <v>0.3042398706201097</v>
      </c>
      <c r="L38" s="120" t="n">
        <v/>
      </c>
      <c r="M38" s="120" t="n">
        <v>-0.06811856622365131</v>
      </c>
      <c r="N38" t="n">
        <v>57.30459960252283</v>
      </c>
      <c r="O38" t="n">
        <v>1.582335866038112</v>
      </c>
      <c r="P38" t="n">
        <v>99.64098132788683</v>
      </c>
      <c r="Q38" t="n">
        <v>98.54565977904376</v>
      </c>
    </row>
    <row r="39">
      <c r="A39" s="117" t="n">
        <v>44487</v>
      </c>
      <c r="B39" s="118" t="n">
        <v>145.0590969939295</v>
      </c>
      <c r="C39" s="118" t="n">
        <v>147.0508850912656</v>
      </c>
      <c r="D39" s="118" t="n">
        <v>143.8050097552891</v>
      </c>
      <c r="E39" s="118" t="n">
        <v>147.0139923095703</v>
      </c>
      <c r="F39" s="119" t="n">
        <v>5765300</v>
      </c>
      <c r="G39" s="120" t="n">
        <v>0.008986904661419493</v>
      </c>
      <c r="H39" s="121" t="n">
        <v>94.02561633774438</v>
      </c>
      <c r="I39" s="118" t="n">
        <v/>
      </c>
      <c r="J39" s="118" t="n">
        <v/>
      </c>
      <c r="K39" s="120" t="n">
        <v>0.3005309880693545</v>
      </c>
      <c r="L39" s="120" t="n">
        <v/>
      </c>
      <c r="M39" s="120" t="n">
        <v>-0.05974383662255645</v>
      </c>
      <c r="N39" t="n">
        <v>59.88688453379546</v>
      </c>
      <c r="O39" t="n">
        <v>1.677085381526767</v>
      </c>
      <c r="P39" t="n">
        <v>99.93597758560868</v>
      </c>
      <c r="Q39" t="n">
        <v>99.5366059253396</v>
      </c>
    </row>
    <row r="40">
      <c r="A40" s="117" t="n">
        <v>44488</v>
      </c>
      <c r="B40" s="118" t="n">
        <v>147.2444765570322</v>
      </c>
      <c r="C40" s="118" t="n">
        <v>147.475007123338</v>
      </c>
      <c r="D40" s="118" t="n">
        <v>144.5887740011081</v>
      </c>
      <c r="E40" s="118" t="n">
        <v>145.5293426513672</v>
      </c>
      <c r="F40" s="119" t="n">
        <v>6198200</v>
      </c>
      <c r="G40" s="120" t="n">
        <v>-0.01009869628651994</v>
      </c>
      <c r="H40" s="121" t="n">
        <v>93.07608019519665</v>
      </c>
      <c r="I40" s="118" t="n">
        <v/>
      </c>
      <c r="J40" s="118" t="n">
        <v/>
      </c>
      <c r="K40" s="120" t="n">
        <v>0.3031854414593577</v>
      </c>
      <c r="L40" s="120" t="n">
        <v/>
      </c>
      <c r="M40" s="120" t="n">
        <v>-0.06923919804803369</v>
      </c>
      <c r="N40" t="n">
        <v>55.76840701748931</v>
      </c>
      <c r="O40" t="n">
        <v>1.573959251075497</v>
      </c>
      <c r="P40" t="n">
        <v>100.7070032607644</v>
      </c>
      <c r="Q40" t="n">
        <v>100.2898226556175</v>
      </c>
    </row>
    <row r="41">
      <c r="A41" s="117" t="n">
        <v>44489</v>
      </c>
      <c r="B41" s="118" t="n">
        <v>146.1564299883505</v>
      </c>
      <c r="C41" s="118" t="n">
        <v>146.4330695784485</v>
      </c>
      <c r="D41" s="118" t="n">
        <v>145.0683320898989</v>
      </c>
      <c r="E41" s="118" t="n">
        <v>146.1103210449219</v>
      </c>
      <c r="F41" s="119" t="n">
        <v>4487000</v>
      </c>
      <c r="G41" s="120" t="n">
        <v>0.003992173557373135</v>
      </c>
      <c r="H41" s="121" t="n">
        <v>93.44765606137587</v>
      </c>
      <c r="I41" s="118" t="n">
        <v/>
      </c>
      <c r="J41" s="118" t="n">
        <v/>
      </c>
      <c r="K41" s="120" t="n">
        <v>0.2985660809316883</v>
      </c>
      <c r="L41" s="120" t="n">
        <v/>
      </c>
      <c r="M41" s="120" t="n">
        <v>-0.06552343938624161</v>
      </c>
      <c r="N41" t="n">
        <v>57.01421336589378</v>
      </c>
      <c r="O41" t="n">
        <v>1.480450726470477</v>
      </c>
      <c r="P41" t="n">
        <v>101.1025136907736</v>
      </c>
      <c r="Q41" t="n">
        <v>100.1589393349936</v>
      </c>
    </row>
    <row r="42">
      <c r="A42" s="117" t="n">
        <v>44490</v>
      </c>
      <c r="B42" s="118" t="n">
        <v>146.1102771533675</v>
      </c>
      <c r="C42" s="118" t="n">
        <v>149.6973323751712</v>
      </c>
      <c r="D42" s="118" t="n">
        <v>145.9535180491797</v>
      </c>
      <c r="E42" s="118" t="n">
        <v>149.5497894287109</v>
      </c>
      <c r="F42" s="119" t="n">
        <v>6121700</v>
      </c>
      <c r="G42" s="120" t="n">
        <v>0.02354021508673299</v>
      </c>
      <c r="H42" s="121" t="n">
        <v>95.64743398441171</v>
      </c>
      <c r="I42" s="118" t="n">
        <v/>
      </c>
      <c r="J42" s="118" t="n">
        <v/>
      </c>
      <c r="K42" s="120" t="n">
        <v>0.3063421732815766</v>
      </c>
      <c r="L42" s="120" t="n">
        <v/>
      </c>
      <c r="M42" s="120" t="n">
        <v>-0.04352566015588333</v>
      </c>
      <c r="N42" t="n">
        <v>63.5580901349877</v>
      </c>
      <c r="O42" t="n">
        <v>1.5769201088141</v>
      </c>
      <c r="P42" t="n">
        <v>101.366211556184</v>
      </c>
      <c r="Q42" t="n">
        <v>100.7706174999557</v>
      </c>
    </row>
    <row r="43">
      <c r="A43" s="117" t="n">
        <v>44491</v>
      </c>
      <c r="B43" s="118" t="n">
        <v>149.6420216104066</v>
      </c>
      <c r="C43" s="118" t="n">
        <v>151.7997846446492</v>
      </c>
      <c r="D43" s="118" t="n">
        <v>149.6420216104066</v>
      </c>
      <c r="E43" s="118" t="n">
        <v>150.7485656738281</v>
      </c>
      <c r="F43" s="119" t="n">
        <v>5323000</v>
      </c>
      <c r="G43" s="120" t="n">
        <v>0.008015900588670632</v>
      </c>
      <c r="H43" s="121" t="n">
        <v>96.41413430679218</v>
      </c>
      <c r="I43" s="118" t="n">
        <v/>
      </c>
      <c r="J43" s="118" t="n">
        <v/>
      </c>
      <c r="K43" s="120" t="n">
        <v>0.1938021680972794</v>
      </c>
      <c r="L43" s="120" t="n">
        <v/>
      </c>
      <c r="M43" s="120" t="n">
        <v>-0.03585865693207835</v>
      </c>
      <c r="N43" t="n">
        <v>65.52783631535087</v>
      </c>
      <c r="O43" t="n">
        <v>1.640817020788148</v>
      </c>
      <c r="P43" t="n">
        <v>101.2611804650899</v>
      </c>
      <c r="Q43" t="n">
        <v>99.92389470503974</v>
      </c>
    </row>
    <row r="44">
      <c r="A44" s="117" t="n">
        <v>44494</v>
      </c>
      <c r="B44" s="118" t="n">
        <v>150.5180476638158</v>
      </c>
      <c r="C44" s="118" t="n">
        <v>151.9012313764012</v>
      </c>
      <c r="D44" s="118" t="n">
        <v>149.9924451696789</v>
      </c>
      <c r="E44" s="118" t="n">
        <v>151.4309539794922</v>
      </c>
      <c r="F44" s="119" t="n">
        <v>3878200</v>
      </c>
      <c r="G44" s="120" t="n">
        <v>0.00452666532921131</v>
      </c>
      <c r="H44" s="121" t="n">
        <v>96.85056882580466</v>
      </c>
      <c r="I44" s="118" t="n">
        <v/>
      </c>
      <c r="J44" s="118" t="n">
        <v/>
      </c>
      <c r="K44" s="120" t="n">
        <v>0.1856742721079009</v>
      </c>
      <c r="L44" s="120" t="n">
        <v/>
      </c>
      <c r="M44" s="120" t="n">
        <v>-0.0314943117419535</v>
      </c>
      <c r="N44" t="n">
        <v>66.63343809008933</v>
      </c>
      <c r="O44" t="n">
        <v>1.644254131844809</v>
      </c>
      <c r="P44" t="n">
        <v>101.8042435761195</v>
      </c>
      <c r="Q44" t="n">
        <v>100.946898874932</v>
      </c>
    </row>
    <row r="45">
      <c r="A45" s="117" t="n">
        <v>44495</v>
      </c>
      <c r="B45" s="118" t="n">
        <v>151.9842535678019</v>
      </c>
      <c r="C45" s="118" t="n">
        <v>152.5651812374282</v>
      </c>
      <c r="D45" s="118" t="n">
        <v>150.4166338926398</v>
      </c>
      <c r="E45" s="118" t="n">
        <v>151.0344543457031</v>
      </c>
      <c r="F45" s="119" t="n">
        <v>4711200</v>
      </c>
      <c r="G45" s="120" t="n">
        <v>-0.002618352611334362</v>
      </c>
      <c r="H45" s="121" t="n">
        <v>96.59697988601039</v>
      </c>
      <c r="I45" s="118" t="n">
        <v/>
      </c>
      <c r="J45" s="118" t="n">
        <v/>
      </c>
      <c r="K45" s="120" t="n">
        <v>0.1662409662370923</v>
      </c>
      <c r="L45" s="120" t="n">
        <v/>
      </c>
      <c r="M45" s="120" t="n">
        <v>-0.03403020113989619</v>
      </c>
      <c r="N45" t="n">
        <v>65.32248018093352</v>
      </c>
      <c r="O45" t="n">
        <v>1.53701633636445</v>
      </c>
      <c r="P45" t="n">
        <v>101.8958475623549</v>
      </c>
      <c r="Q45" t="n">
        <v>101.2647607650063</v>
      </c>
    </row>
    <row r="46">
      <c r="A46" s="117" t="n">
        <v>44496</v>
      </c>
      <c r="B46" s="118" t="n">
        <v>150.9053367006396</v>
      </c>
      <c r="C46" s="118" t="n">
        <v>151.2834102905369</v>
      </c>
      <c r="D46" s="118" t="n">
        <v>149.0703219890638</v>
      </c>
      <c r="E46" s="118" t="n">
        <v>149.7065887451172</v>
      </c>
      <c r="F46" s="119" t="n">
        <v>4163900</v>
      </c>
      <c r="G46" s="120" t="n">
        <v>-0.008791805858725299</v>
      </c>
      <c r="H46" s="121" t="n">
        <v>95.74771799231338</v>
      </c>
      <c r="I46" s="118" t="n">
        <v/>
      </c>
      <c r="J46" s="118" t="n">
        <v/>
      </c>
      <c r="K46" s="120" t="n">
        <v>0.1744124948707058</v>
      </c>
      <c r="L46" s="120" t="n">
        <v/>
      </c>
      <c r="M46" s="120" t="n">
        <v>-0.04252282007686614</v>
      </c>
      <c r="N46" t="n">
        <v>60.99451906438366</v>
      </c>
      <c r="O46" t="n">
        <v>1.303090464739788</v>
      </c>
      <c r="P46" t="n">
        <v>101.4444393529096</v>
      </c>
      <c r="Q46" t="n">
        <v>101.4997970050037</v>
      </c>
    </row>
    <row r="47">
      <c r="A47" s="117" t="n">
        <v>44497</v>
      </c>
      <c r="B47" s="118" t="n">
        <v>150.3151786195096</v>
      </c>
      <c r="C47" s="118" t="n">
        <v>151.7813640389071</v>
      </c>
      <c r="D47" s="118" t="n">
        <v>150.1307569397878</v>
      </c>
      <c r="E47" s="118" t="n">
        <v>151.6522674560547</v>
      </c>
      <c r="F47" s="119" t="n">
        <v>3762000</v>
      </c>
      <c r="G47" s="120" t="n">
        <v>0.0129966137579296</v>
      </c>
      <c r="H47" s="121" t="n">
        <v>96.99211410126264</v>
      </c>
      <c r="I47" s="118" t="n">
        <v/>
      </c>
      <c r="J47" s="118" t="n">
        <v/>
      </c>
      <c r="K47" s="120" t="n">
        <v>0.1715352358759347</v>
      </c>
      <c r="L47" s="120" t="n">
        <v/>
      </c>
      <c r="M47" s="120" t="n">
        <v>-0.0300788589873735</v>
      </c>
      <c r="N47" t="n">
        <v>64.68652838769316</v>
      </c>
      <c r="O47" t="n">
        <v>1.207961685686308</v>
      </c>
      <c r="P47" t="n">
        <v>102.4232651140395</v>
      </c>
      <c r="Q47" t="n">
        <v>102.6269960440516</v>
      </c>
    </row>
    <row r="48">
      <c r="A48" s="117" t="n">
        <v>44498</v>
      </c>
      <c r="B48" s="118" t="n">
        <v>150.3612821157757</v>
      </c>
      <c r="C48" s="118" t="n">
        <v>154.5753884008019</v>
      </c>
      <c r="D48" s="118" t="n">
        <v>150.3059570209085</v>
      </c>
      <c r="E48" s="118" t="n">
        <v>154.2618560791016</v>
      </c>
      <c r="F48" s="119" t="n">
        <v>6740600</v>
      </c>
      <c r="G48" s="120" t="n">
        <v>0.01720771253092579</v>
      </c>
      <c r="H48" s="121" t="n">
        <v>98.66112651848394</v>
      </c>
      <c r="I48" s="118" t="n">
        <v/>
      </c>
      <c r="J48" s="118" t="n">
        <v/>
      </c>
      <c r="K48" s="120" t="n">
        <v>0.1745357625537668</v>
      </c>
      <c r="L48" s="120" t="n">
        <v/>
      </c>
      <c r="M48" s="120" t="n">
        <v>-0.01338873481516067</v>
      </c>
      <c r="N48" t="n">
        <v>68.93380737806199</v>
      </c>
      <c r="O48" t="n">
        <v>1.244431033649739</v>
      </c>
      <c r="P48" t="n">
        <v>102.6311088417413</v>
      </c>
      <c r="Q48" t="n">
        <v>103.1318113337069</v>
      </c>
    </row>
    <row r="49">
      <c r="A49" s="117" t="n">
        <v>44501</v>
      </c>
      <c r="B49" s="118" t="n">
        <v>154.7321230646892</v>
      </c>
      <c r="C49" s="118" t="n">
        <v>155.6542453546213</v>
      </c>
      <c r="D49" s="118" t="n">
        <v>152.9708661140064</v>
      </c>
      <c r="E49" s="118" t="n">
        <v>153.3766021728516</v>
      </c>
      <c r="F49" s="119" t="n">
        <v>3610800</v>
      </c>
      <c r="G49" s="120" t="n">
        <v>-0.005738644203762577</v>
      </c>
      <c r="H49" s="121" t="n">
        <v>98.09494541665195</v>
      </c>
      <c r="I49" s="118" t="n">
        <v/>
      </c>
      <c r="J49" s="118" t="n">
        <v/>
      </c>
      <c r="K49" s="120" t="n">
        <v>0.1787635018857037</v>
      </c>
      <c r="L49" s="120" t="n">
        <v/>
      </c>
      <c r="M49" s="120" t="n">
        <v>-0.01905054583348054</v>
      </c>
      <c r="N49" t="n">
        <v>66.03240492138831</v>
      </c>
      <c r="O49" t="n">
        <v>1.13560275898647</v>
      </c>
      <c r="P49" t="n">
        <v>102.8076469035103</v>
      </c>
      <c r="Q49" t="n">
        <v>103.4843824736159</v>
      </c>
    </row>
    <row r="50">
      <c r="A50" s="117" t="n">
        <v>44502</v>
      </c>
      <c r="B50" s="118" t="n">
        <v>153.7731487943722</v>
      </c>
      <c r="C50" s="118" t="n">
        <v>155.064128785011</v>
      </c>
      <c r="D50" s="118" t="n">
        <v>153.1737747751111</v>
      </c>
      <c r="E50" s="118" t="n">
        <v>154.7598266601562</v>
      </c>
      <c r="F50" s="119" t="n">
        <v>5038000</v>
      </c>
      <c r="G50" s="120" t="n">
        <v>0.009018484356211109</v>
      </c>
      <c r="H50" s="121" t="n">
        <v>98.9796131473154</v>
      </c>
      <c r="I50" s="118" t="n">
        <v/>
      </c>
      <c r="J50" s="118" t="n">
        <v/>
      </c>
      <c r="K50" s="120" t="n">
        <v>0.175553302150054</v>
      </c>
      <c r="L50" s="120" t="n">
        <v/>
      </c>
      <c r="M50" s="120" t="n">
        <v>-0.01020386852684585</v>
      </c>
      <c r="N50" t="n">
        <v>68.27903514542383</v>
      </c>
      <c r="O50" t="n">
        <v>1.083590430432518</v>
      </c>
      <c r="P50" t="n">
        <v>103.2233125380501</v>
      </c>
      <c r="Q50" t="n">
        <v>103.9170944775377</v>
      </c>
    </row>
    <row r="51">
      <c r="A51" s="117" t="n">
        <v>44503</v>
      </c>
      <c r="B51" s="118" t="n">
        <v>155.8386878856714</v>
      </c>
      <c r="C51" s="118" t="n">
        <v>159.4072971234611</v>
      </c>
      <c r="D51" s="118" t="n">
        <v>155.5159394127492</v>
      </c>
      <c r="E51" s="118" t="n">
        <v>159.0661163330078</v>
      </c>
      <c r="F51" s="119" t="n">
        <v>7176700</v>
      </c>
      <c r="G51" s="120" t="n">
        <v>0.02782562998282456</v>
      </c>
      <c r="H51" s="121" t="n">
        <v>101.7337832385957</v>
      </c>
      <c r="I51" s="118" t="n">
        <v>146.2677075195313</v>
      </c>
      <c r="J51" s="118" t="n">
        <v/>
      </c>
      <c r="K51" s="120" t="n">
        <v>0.1874010940759789</v>
      </c>
      <c r="L51" s="120" t="n">
        <v/>
      </c>
      <c r="M51" s="120" t="n">
        <v>0</v>
      </c>
      <c r="N51" t="n">
        <v>74.03643482895536</v>
      </c>
      <c r="O51" t="n">
        <v>1.253989277950776</v>
      </c>
      <c r="P51" t="n">
        <v>103.8535209054786</v>
      </c>
      <c r="Q51" t="n">
        <v>105.0202395114427</v>
      </c>
    </row>
    <row r="52">
      <c r="A52" s="117" t="n">
        <v>44504</v>
      </c>
      <c r="B52" s="118" t="n">
        <v>158.7986941708664</v>
      </c>
      <c r="C52" s="118" t="n">
        <v>161.9523508814061</v>
      </c>
      <c r="D52" s="118" t="n">
        <v>158.6050422886931</v>
      </c>
      <c r="E52" s="118" t="n">
        <v>161.7771453857422</v>
      </c>
      <c r="F52" s="119" t="n">
        <v>5460100</v>
      </c>
      <c r="G52" s="120" t="n">
        <v>0.01704341009406929</v>
      </c>
      <c r="H52" s="121" t="n">
        <v>103.4676738267523</v>
      </c>
      <c r="I52" s="118" t="n">
        <v>146.376145324707</v>
      </c>
      <c r="J52" s="118" t="n">
        <v/>
      </c>
      <c r="K52" s="120" t="n">
        <v>0.1845998796294907</v>
      </c>
      <c r="L52" s="120" t="n">
        <v/>
      </c>
      <c r="M52" s="120" t="n">
        <v>0</v>
      </c>
      <c r="N52" t="n">
        <v>76.88128440687115</v>
      </c>
      <c r="O52" t="n">
        <v>1.450194651476314</v>
      </c>
      <c r="P52" t="n">
        <v>104.342919238801</v>
      </c>
      <c r="Q52" t="n">
        <v>106.3664499736681</v>
      </c>
    </row>
    <row r="53">
      <c r="A53" s="117" t="n">
        <v>44505</v>
      </c>
      <c r="B53" s="118" t="n">
        <v>162.0445668426646</v>
      </c>
      <c r="C53" s="118" t="n">
        <v>165.152128926016</v>
      </c>
      <c r="D53" s="118" t="n">
        <v>161.8324826285244</v>
      </c>
      <c r="E53" s="118" t="n">
        <v>163.6859436035156</v>
      </c>
      <c r="F53" s="119" t="n">
        <v>5892200</v>
      </c>
      <c r="G53" s="120" t="n">
        <v>0.01179893620462935</v>
      </c>
      <c r="H53" s="121" t="n">
        <v>104.6884823094755</v>
      </c>
      <c r="I53" s="118" t="n">
        <v>146.5765228271484</v>
      </c>
      <c r="J53" s="118" t="n">
        <v/>
      </c>
      <c r="K53" s="120" t="n">
        <v>0.1848593778634366</v>
      </c>
      <c r="L53" s="120" t="n">
        <v/>
      </c>
      <c r="M53" s="120" t="n">
        <v>0</v>
      </c>
      <c r="N53" t="n">
        <v>78.65468964534188</v>
      </c>
      <c r="O53" t="n">
        <v>1.597787860968872</v>
      </c>
      <c r="P53" t="n">
        <v>104.7049346428761</v>
      </c>
      <c r="Q53" t="n">
        <v>106.4679600567597</v>
      </c>
    </row>
    <row r="54">
      <c r="A54" s="117" t="n">
        <v>44508</v>
      </c>
      <c r="B54" s="118" t="n">
        <v>162.6162865291219</v>
      </c>
      <c r="C54" s="118" t="n">
        <v>162.7914779612515</v>
      </c>
      <c r="D54" s="118" t="n">
        <v>157.0927684351355</v>
      </c>
      <c r="E54" s="118" t="n">
        <v>158.4667358398438</v>
      </c>
      <c r="F54" s="119" t="n">
        <v>8301100</v>
      </c>
      <c r="G54" s="120" t="n">
        <v>-0.03188549761068049</v>
      </c>
      <c r="H54" s="121" t="n">
        <v>101.350437956931</v>
      </c>
      <c r="I54" s="118" t="n">
        <v>146.6552719116211</v>
      </c>
      <c r="J54" s="118" t="n">
        <v/>
      </c>
      <c r="K54" s="120" t="n">
        <v>0.2196738255228997</v>
      </c>
      <c r="L54" s="120" t="n">
        <v/>
      </c>
      <c r="M54" s="120" t="n">
        <v>-0.03188549761068049</v>
      </c>
      <c r="N54" t="n">
        <v>64.16193375679433</v>
      </c>
      <c r="O54" t="n">
        <v>1.248640456743323</v>
      </c>
      <c r="P54" t="n">
        <v>104.7943492691102</v>
      </c>
      <c r="Q54" t="n">
        <v>106.3236947555976</v>
      </c>
    </row>
    <row r="55">
      <c r="A55" s="117" t="n">
        <v>44509</v>
      </c>
      <c r="B55" s="118" t="n">
        <v>157.9134938973625</v>
      </c>
      <c r="C55" s="118" t="n">
        <v>160.3847756903666</v>
      </c>
      <c r="D55" s="118" t="n">
        <v>157.6368543056373</v>
      </c>
      <c r="E55" s="118" t="n">
        <v>160.2833557128906</v>
      </c>
      <c r="F55" s="119" t="n">
        <v>4343000</v>
      </c>
      <c r="G55" s="120" t="n">
        <v>0.01146372999619838</v>
      </c>
      <c r="H55" s="121" t="n">
        <v>102.5122920126657</v>
      </c>
      <c r="I55" s="118" t="n">
        <v>146.762053527832</v>
      </c>
      <c r="J55" s="118" t="n">
        <v/>
      </c>
      <c r="K55" s="120" t="n">
        <v>0.2145527798208458</v>
      </c>
      <c r="L55" s="120" t="n">
        <v/>
      </c>
      <c r="M55" s="120" t="n">
        <v>-0.02078729434988524</v>
      </c>
      <c r="N55" t="n">
        <v>66.47724917178937</v>
      </c>
      <c r="O55" t="n">
        <v>1.052612721796599</v>
      </c>
      <c r="P55" t="n">
        <v>104.4479503298951</v>
      </c>
      <c r="Q55" t="n">
        <v>105.5918472443985</v>
      </c>
    </row>
    <row r="56">
      <c r="A56" s="117" t="n">
        <v>44510</v>
      </c>
      <c r="B56" s="118" t="n">
        <v>157.8949846515441</v>
      </c>
      <c r="C56" s="118" t="n">
        <v>158.7617817943439</v>
      </c>
      <c r="D56" s="118" t="n">
        <v>154.5015816172717</v>
      </c>
      <c r="E56" s="118" t="n">
        <v>155.1562805175781</v>
      </c>
      <c r="F56" s="119" t="n">
        <v>8185200</v>
      </c>
      <c r="G56" s="120" t="n">
        <v>-0.03198757083983461</v>
      </c>
      <c r="H56" s="121" t="n">
        <v>99.23317280995674</v>
      </c>
      <c r="I56" s="118" t="n">
        <v>146.8269702148438</v>
      </c>
      <c r="J56" s="118" t="n">
        <v/>
      </c>
      <c r="K56" s="120" t="n">
        <v>0.2482199260878056</v>
      </c>
      <c r="L56" s="120" t="n">
        <v/>
      </c>
      <c r="M56" s="120" t="n">
        <v>-0.05210993013913445</v>
      </c>
      <c r="N56" t="n">
        <v>55.56619811797864</v>
      </c>
      <c r="O56" t="n">
        <v>0.5173040120797112</v>
      </c>
      <c r="P56" t="n">
        <v>103.6076797802785</v>
      </c>
      <c r="Q56" t="n">
        <v>104.0399989495774</v>
      </c>
    </row>
    <row r="57">
      <c r="A57" s="117" t="n">
        <v>44511</v>
      </c>
      <c r="B57" s="118" t="n">
        <v>156.3919525845911</v>
      </c>
      <c r="C57" s="118" t="n">
        <v>156.3919525845911</v>
      </c>
      <c r="D57" s="118" t="n">
        <v>153.6532481425589</v>
      </c>
      <c r="E57" s="118" t="n">
        <v>153.9667663574219</v>
      </c>
      <c r="F57" s="119" t="n">
        <v>4994900</v>
      </c>
      <c r="G57" s="120" t="n">
        <v>-0.00766655501271496</v>
      </c>
      <c r="H57" s="121" t="n">
        <v>98.47239623152295</v>
      </c>
      <c r="I57" s="118" t="n">
        <v>146.871416015625</v>
      </c>
      <c r="J57" s="118" t="n">
        <v/>
      </c>
      <c r="K57" s="120" t="n">
        <v>0.2514257790746098</v>
      </c>
      <c r="L57" s="120" t="n">
        <v/>
      </c>
      <c r="M57" s="120" t="n">
        <v>-0.05937698150572901</v>
      </c>
      <c r="N57" t="n">
        <v>53.37725538613161</v>
      </c>
      <c r="O57" t="n">
        <v>0.04750923338045121</v>
      </c>
      <c r="P57" t="n">
        <v>103.6411966270764</v>
      </c>
      <c r="Q57" t="n">
        <v>104.3284540422936</v>
      </c>
    </row>
    <row r="58">
      <c r="A58" s="117" t="n">
        <v>44512</v>
      </c>
      <c r="B58" s="118" t="n">
        <v>154.4555204800224</v>
      </c>
      <c r="C58" s="118" t="n">
        <v>156.4657407987116</v>
      </c>
      <c r="D58" s="118" t="n">
        <v>154.3633026008004</v>
      </c>
      <c r="E58" s="118" t="n">
        <v>155.9216918945312</v>
      </c>
      <c r="F58" s="119" t="n">
        <v>5126300</v>
      </c>
      <c r="G58" s="120" t="n">
        <v>0.01269706173195306</v>
      </c>
      <c r="H58" s="121" t="n">
        <v>99.72270632536794</v>
      </c>
      <c r="I58" s="118" t="n">
        <v>146.9713748168945</v>
      </c>
      <c r="J58" s="118" t="n">
        <v/>
      </c>
      <c r="K58" s="120" t="n">
        <v>0.2535994971409027</v>
      </c>
      <c r="L58" s="120" t="n">
        <v/>
      </c>
      <c r="M58" s="120" t="n">
        <v>-0.04743383297341131</v>
      </c>
      <c r="N58" t="n">
        <v>56.41601234382902</v>
      </c>
      <c r="O58" t="n">
        <v>-0.1560327516321891</v>
      </c>
      <c r="P58" t="n">
        <v>104.423365490013</v>
      </c>
      <c r="Q58" t="n">
        <v>105.4262546739398</v>
      </c>
    </row>
    <row r="59">
      <c r="A59" s="117" t="n">
        <v>44515</v>
      </c>
      <c r="B59" s="118" t="n">
        <v>156.4841740436236</v>
      </c>
      <c r="C59" s="118" t="n">
        <v>157.0927782262298</v>
      </c>
      <c r="D59" s="118" t="n">
        <v>155.3960763266657</v>
      </c>
      <c r="E59" s="118" t="n">
        <v>155.7003784179688</v>
      </c>
      <c r="F59" s="119" t="n">
        <v>3856700</v>
      </c>
      <c r="G59" s="120" t="n">
        <v>-0.001419388629467888</v>
      </c>
      <c r="H59" s="121" t="n">
        <v>99.58116104990995</v>
      </c>
      <c r="I59" s="118" t="n">
        <v>147.0739147949219</v>
      </c>
      <c r="J59" s="118" t="n">
        <v/>
      </c>
      <c r="K59" s="120" t="n">
        <v>0.2533121908537143</v>
      </c>
      <c r="L59" s="120" t="n">
        <v/>
      </c>
      <c r="M59" s="120" t="n">
        <v>-0.04878589455970461</v>
      </c>
      <c r="N59" t="n">
        <v>55.97125259100864</v>
      </c>
      <c r="O59" t="n">
        <v>-0.320549496102609</v>
      </c>
      <c r="P59" t="n">
        <v>104.4591153385398</v>
      </c>
      <c r="Q59" t="n">
        <v>105.402200668797</v>
      </c>
    </row>
    <row r="60">
      <c r="A60" s="117" t="n">
        <v>44516</v>
      </c>
      <c r="B60" s="118" t="n">
        <v>156.069225598925</v>
      </c>
      <c r="C60" s="118" t="n">
        <v>160.4493072627058</v>
      </c>
      <c r="D60" s="118" t="n">
        <v>156.069225598925</v>
      </c>
      <c r="E60" s="118" t="n">
        <v>158.4483032226562</v>
      </c>
      <c r="F60" s="119" t="n">
        <v>4401000</v>
      </c>
      <c r="G60" s="120" t="n">
        <v>0.01764879978204581</v>
      </c>
      <c r="H60" s="121" t="n">
        <v>101.3386490233435</v>
      </c>
      <c r="I60" s="118" t="n">
        <v>147.2434017944336</v>
      </c>
      <c r="J60" s="118" t="n">
        <v/>
      </c>
      <c r="K60" s="120" t="n">
        <v>0.25343617873924</v>
      </c>
      <c r="L60" s="120" t="n">
        <v/>
      </c>
      <c r="M60" s="120" t="n">
        <v>-0.03199810726293106</v>
      </c>
      <c r="N60" t="n">
        <v>60.16995906331584</v>
      </c>
      <c r="O60" t="n">
        <v>-0.2617612886800043</v>
      </c>
      <c r="P60" t="n">
        <v>104.8725625185932</v>
      </c>
      <c r="Q60" t="n">
        <v>106.1527661728366</v>
      </c>
    </row>
    <row r="61">
      <c r="A61" s="117" t="n">
        <v>44517</v>
      </c>
      <c r="B61" s="118" t="n">
        <v>158.2361988456415</v>
      </c>
      <c r="C61" s="118" t="n">
        <v>159.2874177482533</v>
      </c>
      <c r="D61" s="118" t="n">
        <v>156.9913280610224</v>
      </c>
      <c r="E61" s="118" t="n">
        <v>158.3652954101562</v>
      </c>
      <c r="F61" s="119" t="n">
        <v>3940200</v>
      </c>
      <c r="G61" s="120" t="n">
        <v>-0.000523879466120647</v>
      </c>
      <c r="H61" s="121" t="n">
        <v>101.2855597859957</v>
      </c>
      <c r="I61" s="118" t="n">
        <v>147.4468218994141</v>
      </c>
      <c r="J61" s="118" t="n">
        <v/>
      </c>
      <c r="K61" s="120" t="n">
        <v>0.2540349073373824</v>
      </c>
      <c r="L61" s="120" t="n">
        <v>-0.03250522357770202</v>
      </c>
      <c r="M61" s="120" t="n">
        <v>-0.03250522357770191</v>
      </c>
      <c r="N61" t="n">
        <v>59.98387357767128</v>
      </c>
      <c r="O61" t="n">
        <v>-0.2461585376510684</v>
      </c>
      <c r="P61" t="n">
        <v>104.6178039337199</v>
      </c>
      <c r="Q61" t="n">
        <v>106.2088865915323</v>
      </c>
    </row>
    <row r="62">
      <c r="A62" s="117" t="n">
        <v>44518</v>
      </c>
      <c r="B62" s="118" t="n">
        <v>158.9093522669369</v>
      </c>
      <c r="C62" s="118" t="n">
        <v>159.9513550643503</v>
      </c>
      <c r="D62" s="118" t="n">
        <v>157.0927700431758</v>
      </c>
      <c r="E62" s="118" t="n">
        <v>158.0056762695312</v>
      </c>
      <c r="F62" s="119" t="n">
        <v>4044200</v>
      </c>
      <c r="G62" s="120" t="n">
        <v>-0.002270820382038963</v>
      </c>
      <c r="H62" s="121" t="n">
        <v>101.0555584724274</v>
      </c>
      <c r="I62" s="118" t="n">
        <v>147.5945462036133</v>
      </c>
      <c r="J62" s="118" t="n">
        <v/>
      </c>
      <c r="K62" s="120" t="n">
        <v>0.2442482929383728</v>
      </c>
      <c r="L62" s="120" t="n">
        <v>-0.03470223043551812</v>
      </c>
      <c r="M62" s="120" t="n">
        <v>-0.03470223043551779</v>
      </c>
      <c r="N62" t="n">
        <v>59.13066723170485</v>
      </c>
      <c r="O62" t="n">
        <v>-0.2755331596860051</v>
      </c>
      <c r="P62" t="n">
        <v>104.9731203326082</v>
      </c>
      <c r="Q62" t="n">
        <v>107.3093468393733</v>
      </c>
    </row>
    <row r="63">
      <c r="A63" s="117" t="n">
        <v>44519</v>
      </c>
      <c r="B63" s="118" t="n">
        <v>158.7433383360402</v>
      </c>
      <c r="C63" s="118" t="n">
        <v>163.4000584723492</v>
      </c>
      <c r="D63" s="118" t="n">
        <v>157.2495048065132</v>
      </c>
      <c r="E63" s="118" t="n">
        <v>161.2607421875</v>
      </c>
      <c r="F63" s="119" t="n">
        <v>6145600</v>
      </c>
      <c r="G63" s="120" t="n">
        <v>0.02060094292065906</v>
      </c>
      <c r="H63" s="121" t="n">
        <v>103.1373982643332</v>
      </c>
      <c r="I63" s="118" t="n">
        <v>147.8027606201172</v>
      </c>
      <c r="J63" s="118" t="n">
        <v/>
      </c>
      <c r="K63" s="120" t="n">
        <v>0.2517374289321818</v>
      </c>
      <c r="L63" s="120" t="n">
        <v>-0.01481618618328084</v>
      </c>
      <c r="M63" s="120" t="n">
        <v>-0.0148161861832804</v>
      </c>
      <c r="N63" t="n">
        <v>64.10721723395022</v>
      </c>
      <c r="O63" t="n">
        <v>-0.1002501098929081</v>
      </c>
      <c r="P63" t="n">
        <v>104.7854027149519</v>
      </c>
      <c r="Q63" t="n">
        <v>107.9076514137538</v>
      </c>
    </row>
    <row r="64">
      <c r="A64" s="117" t="n">
        <v>44522</v>
      </c>
      <c r="B64" s="118" t="n">
        <v>161.3529854000458</v>
      </c>
      <c r="C64" s="118" t="n">
        <v>163.907268574383</v>
      </c>
      <c r="D64" s="118" t="n">
        <v>160.661393549521</v>
      </c>
      <c r="E64" s="118" t="n">
        <v>160.6706237792969</v>
      </c>
      <c r="F64" s="119" t="n">
        <v>5906400</v>
      </c>
      <c r="G64" s="120" t="n">
        <v>-0.003659405260066251</v>
      </c>
      <c r="H64" s="121" t="n">
        <v>102.7599767266152</v>
      </c>
      <c r="I64" s="118" t="n">
        <v>148.0742333984375</v>
      </c>
      <c r="J64" s="118" t="n">
        <v/>
      </c>
      <c r="K64" s="120" t="n">
        <v>0.2529670639680505</v>
      </c>
      <c r="L64" s="120" t="n">
        <v>-0.01842137301369373</v>
      </c>
      <c r="M64" s="120" t="n">
        <v>-0.0184213730136934</v>
      </c>
      <c r="N64" t="n">
        <v>62.61854913057041</v>
      </c>
      <c r="O64" t="n">
        <v>-0.0510424137532568</v>
      </c>
      <c r="P64" t="n">
        <v>104.4904137308513</v>
      </c>
      <c r="Q64" t="n">
        <v>106.6549302362536</v>
      </c>
    </row>
    <row r="65">
      <c r="A65" s="117" t="n">
        <v>44523</v>
      </c>
      <c r="B65" s="118" t="n">
        <v>159.5733116899328</v>
      </c>
      <c r="C65" s="118" t="n">
        <v>159.9237086945205</v>
      </c>
      <c r="D65" s="118" t="n">
        <v>157.1389086963679</v>
      </c>
      <c r="E65" s="118" t="n">
        <v>158.7433929443359</v>
      </c>
      <c r="F65" s="119" t="n">
        <v>5302100</v>
      </c>
      <c r="G65" s="120" t="n">
        <v>-0.01199491723893631</v>
      </c>
      <c r="H65" s="121" t="n">
        <v>101.5273793103044</v>
      </c>
      <c r="I65" s="118" t="n">
        <v>148.3211785888672</v>
      </c>
      <c r="J65" s="118" t="n">
        <v/>
      </c>
      <c r="K65" s="120" t="n">
        <v>0.257913139374812</v>
      </c>
      <c r="L65" s="120" t="n">
        <v>-0.03019532740790321</v>
      </c>
      <c r="M65" s="120" t="n">
        <v>-0.03019532740790287</v>
      </c>
      <c r="N65" t="n">
        <v>57.89054494673172</v>
      </c>
      <c r="O65" t="n">
        <v>-0.1686509108930685</v>
      </c>
      <c r="P65" t="n">
        <v>104.6289689423646</v>
      </c>
      <c r="Q65" t="n">
        <v>106.168799379613</v>
      </c>
    </row>
    <row r="66">
      <c r="A66" s="117" t="n">
        <v>44524</v>
      </c>
      <c r="B66" s="118" t="n">
        <v>155.3684286718161</v>
      </c>
      <c r="C66" s="118" t="n">
        <v>159.0015795863679</v>
      </c>
      <c r="D66" s="118" t="n">
        <v>154.612281450559</v>
      </c>
      <c r="E66" s="118" t="n">
        <v>158.6327362060547</v>
      </c>
      <c r="F66" s="119" t="n">
        <v>4637600</v>
      </c>
      <c r="G66" s="120" t="n">
        <v>-0.0006970793317996327</v>
      </c>
      <c r="H66" s="121" t="n">
        <v>101.4566066725754</v>
      </c>
      <c r="I66" s="118" t="n">
        <v>148.5815859985352</v>
      </c>
      <c r="J66" s="118" t="n">
        <v/>
      </c>
      <c r="K66" s="120" t="n">
        <v>0.2547446095337316</v>
      </c>
      <c r="L66" s="120" t="n">
        <v>-0.0308713582010498</v>
      </c>
      <c r="M66" s="120" t="n">
        <v>-0.03087135820104958</v>
      </c>
      <c r="N66" t="n">
        <v>57.62152257711968</v>
      </c>
      <c r="O66" t="n">
        <v>-0.2683374299125982</v>
      </c>
      <c r="P66" t="n">
        <v>104.9082978198775</v>
      </c>
      <c r="Q66" t="n">
        <v>106.5106817150044</v>
      </c>
    </row>
    <row r="67">
      <c r="A67" s="117" t="n">
        <v>44526</v>
      </c>
      <c r="B67" s="118" t="n">
        <v>154.9718915231442</v>
      </c>
      <c r="C67" s="118" t="n">
        <v>156.4657253397327</v>
      </c>
      <c r="D67" s="118" t="n">
        <v>154.4923839254169</v>
      </c>
      <c r="E67" s="118" t="n">
        <v>154.9350128173828</v>
      </c>
      <c r="F67" s="119" t="n">
        <v>4751100</v>
      </c>
      <c r="G67" s="120" t="n">
        <v>-0.02330996411654118</v>
      </c>
      <c r="H67" s="121" t="n">
        <v>99.09165681165166</v>
      </c>
      <c r="I67" s="118" t="n">
        <v>148.7737557983398</v>
      </c>
      <c r="J67" s="118" t="n">
        <v/>
      </c>
      <c r="K67" s="120" t="n">
        <v>0.2681384437773451</v>
      </c>
      <c r="L67" s="120" t="n">
        <v>-0.05346171206569572</v>
      </c>
      <c r="M67" s="120" t="n">
        <v>-0.05346171206569539</v>
      </c>
      <c r="N67" t="n">
        <v>49.36591263969665</v>
      </c>
      <c r="O67" t="n">
        <v>-0.5798716865059022</v>
      </c>
      <c r="P67" t="n">
        <v>102.5685266043609</v>
      </c>
      <c r="Q67" t="n">
        <v>104.4913953865139</v>
      </c>
    </row>
    <row r="68">
      <c r="A68" s="117" t="n">
        <v>44529</v>
      </c>
      <c r="B68" s="118" t="n">
        <v>156.6040514701787</v>
      </c>
      <c r="C68" s="118" t="n">
        <v>157.8212457416621</v>
      </c>
      <c r="D68" s="118" t="n">
        <v>156.0507723928408</v>
      </c>
      <c r="E68" s="118" t="n">
        <v>156.6409301757812</v>
      </c>
      <c r="F68" s="119" t="n">
        <v>5448700</v>
      </c>
      <c r="G68" s="120" t="n">
        <v>0.01101053485185521</v>
      </c>
      <c r="H68" s="121" t="n">
        <v>100.1827089525044</v>
      </c>
      <c r="I68" s="118" t="n">
        <v>149.0218060302734</v>
      </c>
      <c r="J68" s="118" t="n">
        <v/>
      </c>
      <c r="K68" s="120" t="n">
        <v>0.2641058285253904</v>
      </c>
      <c r="L68" s="120" t="n">
        <v>-0.04303981925777967</v>
      </c>
      <c r="M68" s="120" t="n">
        <v>-0.04303981925777933</v>
      </c>
      <c r="N68" t="n">
        <v>52.7306582945231</v>
      </c>
      <c r="O68" t="n">
        <v>-0.6616874868637117</v>
      </c>
      <c r="P68" t="n">
        <v>103.8266812430037</v>
      </c>
      <c r="Q68" t="n">
        <v>106.7590915455834</v>
      </c>
    </row>
    <row r="69">
      <c r="A69" s="117" t="n">
        <v>44530</v>
      </c>
      <c r="B69" s="118" t="n">
        <v>155.6450921016812</v>
      </c>
      <c r="C69" s="118" t="n">
        <v>158.1901598856701</v>
      </c>
      <c r="D69" s="118" t="n">
        <v>154.4832225071275</v>
      </c>
      <c r="E69" s="118" t="n">
        <v>156.06005859375</v>
      </c>
      <c r="F69" s="119" t="n">
        <v>11033700</v>
      </c>
      <c r="G69" s="120" t="n">
        <v>-0.003708300131896602</v>
      </c>
      <c r="H69" s="121" t="n">
        <v>99.81120139968209</v>
      </c>
      <c r="I69" s="118" t="n">
        <v>149.2982598876953</v>
      </c>
      <c r="J69" s="118" t="n">
        <v/>
      </c>
      <c r="K69" s="120" t="n">
        <v>0.263526873192913</v>
      </c>
      <c r="L69" s="120" t="n">
        <v>-0.04658851482224591</v>
      </c>
      <c r="M69" s="120" t="n">
        <v>-0.04658851482224546</v>
      </c>
      <c r="N69" t="n">
        <v>51.47629493402018</v>
      </c>
      <c r="O69" t="n">
        <v>-0.7396606979842768</v>
      </c>
      <c r="P69" t="n">
        <v>101.8064693042272</v>
      </c>
      <c r="Q69" t="n">
        <v>105.1911932640731</v>
      </c>
    </row>
    <row r="70">
      <c r="A70" s="117" t="n">
        <v>44531</v>
      </c>
      <c r="B70" s="118" t="n">
        <v>157.5815304145829</v>
      </c>
      <c r="C70" s="118" t="n">
        <v>159.8683905208678</v>
      </c>
      <c r="D70" s="118" t="n">
        <v>153.6993880809395</v>
      </c>
      <c r="E70" s="118" t="n">
        <v>153.7178344726562</v>
      </c>
      <c r="F70" s="119" t="n">
        <v>6618200</v>
      </c>
      <c r="G70" s="120" t="n">
        <v>-0.01500847905735414</v>
      </c>
      <c r="H70" s="121" t="n">
        <v>98.31318707378561</v>
      </c>
      <c r="I70" s="118" t="n">
        <v>149.5136679077148</v>
      </c>
      <c r="J70" s="118" t="n">
        <v/>
      </c>
      <c r="K70" s="120" t="n">
        <v>0.2675990825725896</v>
      </c>
      <c r="L70" s="120" t="n">
        <v>-0.06089777113057704</v>
      </c>
      <c r="M70" s="120" t="n">
        <v>-0.06089777113057671</v>
      </c>
      <c r="N70" t="n">
        <v>46.65673371298338</v>
      </c>
      <c r="O70" t="n">
        <v>-0.9218575318963298</v>
      </c>
      <c r="P70" t="n">
        <v>100.6756685003466</v>
      </c>
      <c r="Q70" t="n">
        <v>103.4015987733212</v>
      </c>
    </row>
    <row r="71">
      <c r="A71" s="117" t="n">
        <v>44532</v>
      </c>
      <c r="B71" s="118" t="n">
        <v>154.2526142308078</v>
      </c>
      <c r="C71" s="118" t="n">
        <v>157.2679580331383</v>
      </c>
      <c r="D71" s="118" t="n">
        <v>153.994421117446</v>
      </c>
      <c r="E71" s="118" t="n">
        <v>156.7607879638672</v>
      </c>
      <c r="F71" s="119" t="n">
        <v>4398900</v>
      </c>
      <c r="G71" s="120" t="n">
        <v>0.01979570881706794</v>
      </c>
      <c r="H71" s="121" t="n">
        <v>100.2593662979762</v>
      </c>
      <c r="I71" s="118" t="n">
        <v>149.7453045654297</v>
      </c>
      <c r="J71" s="118" t="n">
        <v/>
      </c>
      <c r="K71" s="120" t="n">
        <v>0.2577822314394503</v>
      </c>
      <c r="L71" s="120" t="n">
        <v>-0.04230757685841846</v>
      </c>
      <c r="M71" s="120" t="n">
        <v>-0.04230757685841813</v>
      </c>
      <c r="N71" t="n">
        <v>52.83506271140767</v>
      </c>
      <c r="O71" t="n">
        <v>-0.8140581000790186</v>
      </c>
      <c r="P71" t="n">
        <v>102.2176616616879</v>
      </c>
      <c r="Q71" t="n">
        <v>104.146819875102</v>
      </c>
    </row>
    <row r="72">
      <c r="A72" s="117" t="n">
        <v>44533</v>
      </c>
      <c r="B72" s="118" t="n">
        <v>157.6153242672214</v>
      </c>
      <c r="C72" s="118" t="n">
        <v>158.954816417867</v>
      </c>
      <c r="D72" s="118" t="n">
        <v>154.0495332387176</v>
      </c>
      <c r="E72" s="118" t="n">
        <v>157.2642974853516</v>
      </c>
      <c r="F72" s="119" t="n">
        <v>4878500</v>
      </c>
      <c r="G72" s="120" t="n">
        <v>0.003211960899306199</v>
      </c>
      <c r="H72" s="121" t="n">
        <v>100.5813954623145</v>
      </c>
      <c r="I72" s="118" t="n">
        <v>149.9475445556641</v>
      </c>
      <c r="J72" s="118" t="n">
        <v/>
      </c>
      <c r="K72" s="120" t="n">
        <v>0.2497749321067272</v>
      </c>
      <c r="L72" s="120" t="n">
        <v>-0.03923150624172578</v>
      </c>
      <c r="M72" s="120" t="n">
        <v>-0.03923150624172556</v>
      </c>
      <c r="N72" t="n">
        <v>53.78881498894852</v>
      </c>
      <c r="O72" t="n">
        <v>-0.6903516298765187</v>
      </c>
      <c r="P72" t="n">
        <v>101.3282214323069</v>
      </c>
      <c r="Q72" t="n">
        <v>102.3358477753149</v>
      </c>
    </row>
    <row r="73">
      <c r="A73" s="117" t="n">
        <v>44536</v>
      </c>
      <c r="B73" s="118" t="n">
        <v>157.8093462971111</v>
      </c>
      <c r="C73" s="118" t="n">
        <v>158.1603872237843</v>
      </c>
      <c r="D73" s="118" t="n">
        <v>155.2504716334582</v>
      </c>
      <c r="E73" s="118" t="n">
        <v>156.0356903076172</v>
      </c>
      <c r="F73" s="119" t="n">
        <v>5636900</v>
      </c>
      <c r="G73" s="120" t="n">
        <v>-0.007812371894827641</v>
      </c>
      <c r="H73" s="121" t="n">
        <v>99.7956161952622</v>
      </c>
      <c r="I73" s="118" t="n">
        <v>150.3094528198242</v>
      </c>
      <c r="J73" s="118" t="n">
        <v/>
      </c>
      <c r="K73" s="120" t="n">
        <v>0.2458083378925384</v>
      </c>
      <c r="L73" s="120" t="n">
        <v>-0.04673738701979879</v>
      </c>
      <c r="M73" s="120" t="n">
        <v>-0.04673738701979857</v>
      </c>
      <c r="N73" t="n">
        <v>51.07479523169606</v>
      </c>
      <c r="O73" t="n">
        <v>-0.6721260239634164</v>
      </c>
      <c r="P73" t="n">
        <v>102.5282889315123</v>
      </c>
      <c r="Q73" t="n">
        <v>103.1558737288062</v>
      </c>
    </row>
    <row r="74">
      <c r="A74" s="117" t="n">
        <v>44537</v>
      </c>
      <c r="B74" s="118" t="n">
        <v>158.0679640708346</v>
      </c>
      <c r="C74" s="118" t="n">
        <v>160.1372359225613</v>
      </c>
      <c r="D74" s="118" t="n">
        <v>157.4120742026955</v>
      </c>
      <c r="E74" s="118" t="n">
        <v>158.2342376708984</v>
      </c>
      <c r="F74" s="119" t="n">
        <v>5898700</v>
      </c>
      <c r="G74" s="120" t="n">
        <v>0.01409002875526055</v>
      </c>
      <c r="H74" s="121" t="n">
        <v>101.2017392971024</v>
      </c>
      <c r="I74" s="118" t="n">
        <v>150.7439178466797</v>
      </c>
      <c r="J74" s="118" t="n">
        <v/>
      </c>
      <c r="K74" s="120" t="n">
        <v>0.2257080046423158</v>
      </c>
      <c r="L74" s="120" t="n">
        <v>-0.03330588939159296</v>
      </c>
      <c r="M74" s="120" t="n">
        <v>-0.03330588939159285</v>
      </c>
      <c r="N74" t="n">
        <v>55.4105126466</v>
      </c>
      <c r="O74" t="n">
        <v>-0.5007242891459114</v>
      </c>
      <c r="P74" t="n">
        <v>104.6490732315463</v>
      </c>
      <c r="Q74" t="n">
        <v>106.2622802743817</v>
      </c>
    </row>
    <row r="75">
      <c r="A75" s="117" t="n">
        <v>44538</v>
      </c>
      <c r="B75" s="118" t="n">
        <v>158.1695659980834</v>
      </c>
      <c r="C75" s="118" t="n">
        <v>158.6961131127231</v>
      </c>
      <c r="D75" s="118" t="n">
        <v>156.8947454640715</v>
      </c>
      <c r="E75" s="118" t="n">
        <v>157.2734985351562</v>
      </c>
      <c r="F75" s="119" t="n">
        <v>5614400</v>
      </c>
      <c r="G75" s="120" t="n">
        <v>-0.006071626152997056</v>
      </c>
      <c r="H75" s="121" t="n">
        <v>100.5872801700573</v>
      </c>
      <c r="I75" s="118" t="n">
        <v>151.2096997070313</v>
      </c>
      <c r="J75" s="118" t="n">
        <v/>
      </c>
      <c r="K75" s="120" t="n">
        <v>0.2224788188270284</v>
      </c>
      <c r="L75" s="120" t="n">
        <v>-0.03917529463551117</v>
      </c>
      <c r="M75" s="120" t="n">
        <v>-0.03917529463551106</v>
      </c>
      <c r="N75" t="n">
        <v>53.19216148884348</v>
      </c>
      <c r="O75" t="n">
        <v>-0.4427769181702308</v>
      </c>
      <c r="P75" t="n">
        <v>104.9261982018153</v>
      </c>
      <c r="Q75" t="n">
        <v>106.7377558863305</v>
      </c>
    </row>
    <row r="76">
      <c r="A76" s="117" t="n">
        <v>44539</v>
      </c>
      <c r="B76" s="118" t="n">
        <v>156.3866547455883</v>
      </c>
      <c r="C76" s="118" t="n">
        <v>158.1233650426434</v>
      </c>
      <c r="D76" s="118" t="n">
        <v>155.1857524464851</v>
      </c>
      <c r="E76" s="118" t="n">
        <v>155.2873687744141</v>
      </c>
      <c r="F76" s="119" t="n">
        <v>5171600</v>
      </c>
      <c r="G76" s="120" t="n">
        <v>-0.01262850880307853</v>
      </c>
      <c r="H76" s="121" t="n">
        <v>99.31701281695202</v>
      </c>
      <c r="I76" s="118" t="n">
        <v>151.6224810791016</v>
      </c>
      <c r="J76" s="118" t="n">
        <v/>
      </c>
      <c r="K76" s="120" t="n">
        <v>0.1955274756328594</v>
      </c>
      <c r="L76" s="120" t="n">
        <v>-0.05130907788542205</v>
      </c>
      <c r="M76" s="120" t="n">
        <v>-0.05130907788542194</v>
      </c>
      <c r="N76" t="n">
        <v>48.83912027175033</v>
      </c>
      <c r="O76" t="n">
        <v>-0.5234070974412979</v>
      </c>
      <c r="P76" t="n">
        <v>104.2177620376613</v>
      </c>
      <c r="Q76" t="n">
        <v>105.1671476488867</v>
      </c>
    </row>
    <row r="77">
      <c r="A77" s="117" t="n">
        <v>44540</v>
      </c>
      <c r="B77" s="118" t="n">
        <v>155.6568951658177</v>
      </c>
      <c r="C77" s="118" t="n">
        <v>157.2642770805797</v>
      </c>
      <c r="D77" s="118" t="n">
        <v>154.5760744991844</v>
      </c>
      <c r="E77" s="118" t="n">
        <v>156.1742095947266</v>
      </c>
      <c r="F77" s="119" t="n">
        <v>4791100</v>
      </c>
      <c r="G77" s="120" t="n">
        <v>0.005710965594380113</v>
      </c>
      <c r="H77" s="121" t="n">
        <v>99.88420886008625</v>
      </c>
      <c r="I77" s="118" t="n">
        <v>152.0675686645508</v>
      </c>
      <c r="J77" s="118" t="n">
        <v/>
      </c>
      <c r="K77" s="120" t="n">
        <v>0.1942287816204691</v>
      </c>
      <c r="L77" s="120" t="n">
        <v>-0.04589113666952482</v>
      </c>
      <c r="M77" s="120" t="n">
        <v>-0.04589113666952482</v>
      </c>
      <c r="N77" t="n">
        <v>50.77618078103875</v>
      </c>
      <c r="O77" t="n">
        <v>-0.5021290119320878</v>
      </c>
      <c r="P77" t="n">
        <v>105.1988062532777</v>
      </c>
      <c r="Q77" t="n">
        <v>106.3103715047546</v>
      </c>
    </row>
    <row r="78">
      <c r="A78" s="117" t="n">
        <v>44543</v>
      </c>
      <c r="B78" s="118" t="n">
        <v>155.9432449173119</v>
      </c>
      <c r="C78" s="118" t="n">
        <v>156.4790388211135</v>
      </c>
      <c r="D78" s="118" t="n">
        <v>152.6638242469496</v>
      </c>
      <c r="E78" s="118" t="n">
        <v>154.1233978271484</v>
      </c>
      <c r="F78" s="119" t="n">
        <v>5972300</v>
      </c>
      <c r="G78" s="120" t="n">
        <v>-0.01313156489089973</v>
      </c>
      <c r="H78" s="121" t="n">
        <v>98.57257288986384</v>
      </c>
      <c r="I78" s="118" t="n">
        <v>152.4378903198242</v>
      </c>
      <c r="J78" s="118" t="n">
        <v/>
      </c>
      <c r="K78" s="120" t="n">
        <v>0.1948531986084364</v>
      </c>
      <c r="L78" s="120" t="n">
        <v>-0.05842007912133163</v>
      </c>
      <c r="M78" s="120" t="n">
        <v>-0.05842007912133151</v>
      </c>
      <c r="N78" t="n">
        <v>46.40098775281191</v>
      </c>
      <c r="O78" t="n">
        <v>-0.6044219044312091</v>
      </c>
      <c r="P78" t="n">
        <v>104.2669389910469</v>
      </c>
      <c r="Q78" t="n">
        <v>104.7745144669277</v>
      </c>
    </row>
    <row r="79">
      <c r="A79" s="117" t="n">
        <v>44544</v>
      </c>
      <c r="B79" s="118" t="n">
        <v>153.6152998574512</v>
      </c>
      <c r="C79" s="118" t="n">
        <v>154.3450936178568</v>
      </c>
      <c r="D79" s="118" t="n">
        <v>151.6938507390531</v>
      </c>
      <c r="E79" s="118" t="n">
        <v>152.7931365966797</v>
      </c>
      <c r="F79" s="119" t="n">
        <v>4872200</v>
      </c>
      <c r="G79" s="120" t="n">
        <v>-0.008631143935463048</v>
      </c>
      <c r="H79" s="121" t="n">
        <v>97.7217788251625</v>
      </c>
      <c r="I79" s="118" t="n">
        <v>152.7801315307617</v>
      </c>
      <c r="J79" s="118" t="n">
        <v/>
      </c>
      <c r="K79" s="120" t="n">
        <v>0.1969704724713724</v>
      </c>
      <c r="L79" s="120" t="n">
        <v>-0.06654699094517724</v>
      </c>
      <c r="M79" s="120" t="n">
        <v>-0.06654699094517713</v>
      </c>
      <c r="N79" t="n">
        <v>43.76662223028693</v>
      </c>
      <c r="O79" t="n">
        <v>-0.731442877799398</v>
      </c>
      <c r="P79" t="n">
        <v>103.5495708199771</v>
      </c>
      <c r="Q79" t="n">
        <v>103.6900874258632</v>
      </c>
    </row>
    <row r="80">
      <c r="A80" s="117" t="n">
        <v>44545</v>
      </c>
      <c r="B80" s="118" t="n">
        <v>152.4236646231619</v>
      </c>
      <c r="C80" s="118" t="n">
        <v>153.0425953880192</v>
      </c>
      <c r="D80" s="118" t="n">
        <v>149.4860516709353</v>
      </c>
      <c r="E80" s="118" t="n">
        <v>151.4075012207031</v>
      </c>
      <c r="F80" s="119" t="n">
        <v>7144600</v>
      </c>
      <c r="G80" s="120" t="n">
        <v>-0.009068701689357694</v>
      </c>
      <c r="H80" s="121" t="n">
        <v>96.83556916444371</v>
      </c>
      <c r="I80" s="118" t="n">
        <v>153.0518731689453</v>
      </c>
      <c r="J80" s="118" t="n">
        <v/>
      </c>
      <c r="K80" s="120" t="n">
        <v>0.1861926810739026</v>
      </c>
      <c r="L80" s="120" t="n">
        <v>-0.07501219782532875</v>
      </c>
      <c r="M80" s="120" t="n">
        <v>-0.07501219782532864</v>
      </c>
      <c r="N80" t="n">
        <v>41.14617743599633</v>
      </c>
      <c r="O80" t="n">
        <v>-0.8691710262056425</v>
      </c>
      <c r="P80" t="n">
        <v>105.1675369554512</v>
      </c>
      <c r="Q80" t="n">
        <v>106.0539324858526</v>
      </c>
    </row>
    <row r="81">
      <c r="A81" s="117" t="n">
        <v>44546</v>
      </c>
      <c r="B81" s="118" t="n">
        <v>150.2989948194485</v>
      </c>
      <c r="C81" s="118" t="n">
        <v>153.2920469274148</v>
      </c>
      <c r="D81" s="118" t="n">
        <v>150.1419539196766</v>
      </c>
      <c r="E81" s="118" t="n">
        <v>150.3174743652344</v>
      </c>
      <c r="F81" s="119" t="n">
        <v>7138100</v>
      </c>
      <c r="G81" s="120" t="n">
        <v>-0.007199292285260284</v>
      </c>
      <c r="H81" s="121" t="n">
        <v>96.13842159841934</v>
      </c>
      <c r="I81" s="118" t="n">
        <v>153.3139865112305</v>
      </c>
      <c r="J81" s="118" t="n">
        <v/>
      </c>
      <c r="K81" s="120" t="n">
        <v>0.1868997908082473</v>
      </c>
      <c r="L81" s="120" t="n">
        <v>-0.08167145537348475</v>
      </c>
      <c r="M81" s="120" t="n">
        <v>-0.08167145537348464</v>
      </c>
      <c r="N81" t="n">
        <v>39.15987141024353</v>
      </c>
      <c r="O81" t="n">
        <v>-0.985544225601513</v>
      </c>
      <c r="P81" t="n">
        <v>104.2401066021933</v>
      </c>
      <c r="Q81" t="n">
        <v>103.3268023115672</v>
      </c>
    </row>
    <row r="82">
      <c r="A82" s="117" t="n">
        <v>44547</v>
      </c>
      <c r="B82" s="118" t="n">
        <v>149.310520662633</v>
      </c>
      <c r="C82" s="118" t="n">
        <v>150.4467657714841</v>
      </c>
      <c r="D82" s="118" t="n">
        <v>148.3128368734858</v>
      </c>
      <c r="E82" s="118" t="n">
        <v>149.0610961914062</v>
      </c>
      <c r="F82" s="119" t="n">
        <v>7705100</v>
      </c>
      <c r="G82" s="120" t="n">
        <v>-0.008358164472451413</v>
      </c>
      <c r="H82" s="121" t="n">
        <v>95.33488085857788</v>
      </c>
      <c r="I82" s="118" t="n">
        <v>153.4947229003906</v>
      </c>
      <c r="J82" s="118" t="n">
        <v/>
      </c>
      <c r="K82" s="120" t="n">
        <v>0.1880297700456546</v>
      </c>
      <c r="L82" s="120" t="n">
        <v>-0.08934699638922006</v>
      </c>
      <c r="M82" s="120" t="n">
        <v>-0.08934699638921995</v>
      </c>
      <c r="N82" t="n">
        <v>36.9460020774121</v>
      </c>
      <c r="O82" t="n">
        <v>-1.090801979127296</v>
      </c>
      <c r="P82" t="n">
        <v>103.1306902448373</v>
      </c>
      <c r="Q82" t="n">
        <v>102.811273047525</v>
      </c>
    </row>
    <row r="83">
      <c r="A83" s="117" t="n">
        <v>44550</v>
      </c>
      <c r="B83" s="118" t="n">
        <v>147.195074573607</v>
      </c>
      <c r="C83" s="118" t="n">
        <v>147.4352663504404</v>
      </c>
      <c r="D83" s="118" t="n">
        <v>143.6200511459301</v>
      </c>
      <c r="E83" s="118" t="n">
        <v>145.0149536132812</v>
      </c>
      <c r="F83" s="119" t="n">
        <v>8411900</v>
      </c>
      <c r="G83" s="120" t="n">
        <v>-0.02714418907083194</v>
      </c>
      <c r="H83" s="121" t="n">
        <v>92.7470928275074</v>
      </c>
      <c r="I83" s="118" t="n">
        <v>153.5829177856445</v>
      </c>
      <c r="J83" s="118" t="n">
        <v/>
      </c>
      <c r="K83" s="120" t="n">
        <v>0.1854355760309669</v>
      </c>
      <c r="L83" s="120" t="n">
        <v>-0.1140659336971521</v>
      </c>
      <c r="M83" s="120" t="n">
        <v>-0.114065933697152</v>
      </c>
      <c r="N83" t="n">
        <v>30.88943916045361</v>
      </c>
      <c r="O83" t="n">
        <v>-1.359125089680609</v>
      </c>
      <c r="P83" t="n">
        <v>102.0340754609111</v>
      </c>
      <c r="Q83" t="n">
        <v>101.8139924841092</v>
      </c>
    </row>
    <row r="84">
      <c r="A84" s="117" t="n">
        <v>44551</v>
      </c>
      <c r="B84" s="118" t="n">
        <v>153.9848373673664</v>
      </c>
      <c r="C84" s="118" t="n">
        <v>158.1418459341922</v>
      </c>
      <c r="D84" s="118" t="n">
        <v>152.1557575447756</v>
      </c>
      <c r="E84" s="118" t="n">
        <v>153.9294128417969</v>
      </c>
      <c r="F84" s="119" t="n">
        <v>13862900</v>
      </c>
      <c r="G84" s="120" t="n">
        <v>0.06147268958405672</v>
      </c>
      <c r="H84" s="121" t="n">
        <v>98.44850607471646</v>
      </c>
      <c r="I84" s="118" t="n">
        <v>153.8899755859375</v>
      </c>
      <c r="J84" s="118" t="n">
        <v/>
      </c>
      <c r="K84" s="120" t="n">
        <v>0.300918382539734</v>
      </c>
      <c r="L84" s="120" t="n">
        <v>-0.05960518384737601</v>
      </c>
      <c r="M84" s="120" t="n">
        <v>-0.0596051838473759</v>
      </c>
      <c r="N84" t="n">
        <v>50.24269816633361</v>
      </c>
      <c r="O84" t="n">
        <v>-0.8853754161067788</v>
      </c>
      <c r="P84" t="n">
        <v>103.846094538165</v>
      </c>
      <c r="Q84" t="n">
        <v>104.0926291463899</v>
      </c>
    </row>
    <row r="85">
      <c r="A85" s="117" t="n">
        <v>44552</v>
      </c>
      <c r="B85" s="118" t="n">
        <v>154.492930268409</v>
      </c>
      <c r="C85" s="118" t="n">
        <v>156.1187775518719</v>
      </c>
      <c r="D85" s="118" t="n">
        <v>151.5830156021457</v>
      </c>
      <c r="E85" s="118" t="n">
        <v>152.8301239013672</v>
      </c>
      <c r="F85" s="119" t="n">
        <v>5811300</v>
      </c>
      <c r="G85" s="120" t="n">
        <v>-0.007141513243862585</v>
      </c>
      <c r="H85" s="121" t="n">
        <v>97.74543476474538</v>
      </c>
      <c r="I85" s="118" t="n">
        <v>154.1184283447266</v>
      </c>
      <c r="J85" s="118" t="n">
        <v/>
      </c>
      <c r="K85" s="120" t="n">
        <v>0.2992632646805207</v>
      </c>
      <c r="L85" s="120" t="n">
        <v>-0.06632102588138966</v>
      </c>
      <c r="M85" s="120" t="n">
        <v>-0.06632102588138955</v>
      </c>
      <c r="N85" t="n">
        <v>48.44123079791373</v>
      </c>
      <c r="O85" t="n">
        <v>-0.6083797030379939</v>
      </c>
      <c r="P85" t="n">
        <v>104.8844257948795</v>
      </c>
      <c r="Q85" t="n">
        <v>105.3603180061973</v>
      </c>
    </row>
    <row r="86">
      <c r="A86" s="117" t="n">
        <v>44553</v>
      </c>
      <c r="B86" s="118" t="n">
        <v>153.578381219025</v>
      </c>
      <c r="C86" s="118" t="n">
        <v>154.4190241623642</v>
      </c>
      <c r="D86" s="118" t="n">
        <v>152.8301218876554</v>
      </c>
      <c r="E86" s="118" t="n">
        <v>153.0425872802734</v>
      </c>
      <c r="F86" s="119" t="n">
        <v>3876900</v>
      </c>
      <c r="G86" s="120" t="n">
        <v>0.001390193068503853</v>
      </c>
      <c r="H86" s="121" t="n">
        <v>97.88131979063324</v>
      </c>
      <c r="I86" s="118" t="n">
        <v>154.2967248535156</v>
      </c>
      <c r="J86" s="118" t="n">
        <v/>
      </c>
      <c r="K86" s="120" t="n">
        <v>0.2994505620282966</v>
      </c>
      <c r="L86" s="120" t="n">
        <v>-0.06502303184336211</v>
      </c>
      <c r="M86" s="120" t="n">
        <v>-0.06502303184336222</v>
      </c>
      <c r="N86" t="n">
        <v>48.82316083353412</v>
      </c>
      <c r="O86" t="n">
        <v>-0.3841265447157615</v>
      </c>
      <c r="P86" t="n">
        <v>105.5370223685674</v>
      </c>
      <c r="Q86" t="n">
        <v>106.1546623029944</v>
      </c>
    </row>
    <row r="87">
      <c r="A87" s="117" t="n">
        <v>44557</v>
      </c>
      <c r="B87" s="118" t="n">
        <v>153.8278177524387</v>
      </c>
      <c r="C87" s="118" t="n">
        <v>154.9086384375543</v>
      </c>
      <c r="D87" s="118" t="n">
        <v>152.867078857384</v>
      </c>
      <c r="E87" s="118" t="n">
        <v>154.8070220947266</v>
      </c>
      <c r="F87" s="119" t="n">
        <v>3769300</v>
      </c>
      <c r="G87" s="120" t="n">
        <v>0.01152904459999649</v>
      </c>
      <c r="H87" s="121" t="n">
        <v>99.00979789200596</v>
      </c>
      <c r="I87" s="118" t="n">
        <v>154.4948187255859</v>
      </c>
      <c r="J87" s="118" t="n">
        <v/>
      </c>
      <c r="K87" s="120" t="n">
        <v>0.2914193995751063</v>
      </c>
      <c r="L87" s="120" t="n">
        <v>-0.05424364067751475</v>
      </c>
      <c r="M87" s="120" t="n">
        <v>-0.05424364067751486</v>
      </c>
      <c r="N87" t="n">
        <v>52.00297547481786</v>
      </c>
      <c r="O87" t="n">
        <v>-0.1047684256110122</v>
      </c>
      <c r="P87" t="n">
        <v>107.0305950331349</v>
      </c>
      <c r="Q87" t="n">
        <v>107.9090777063503</v>
      </c>
    </row>
    <row r="88">
      <c r="A88" s="117" t="n">
        <v>44558</v>
      </c>
      <c r="B88" s="118" t="n">
        <v>155.0102484515506</v>
      </c>
      <c r="C88" s="118" t="n">
        <v>155.4259465295057</v>
      </c>
      <c r="D88" s="118" t="n">
        <v>153.6245787945268</v>
      </c>
      <c r="E88" s="118" t="n">
        <v>153.7354278564453</v>
      </c>
      <c r="F88" s="119" t="n">
        <v>2658600</v>
      </c>
      <c r="G88" s="120" t="n">
        <v>-0.006922129395561583</v>
      </c>
      <c r="H88" s="121" t="n">
        <v>98.3244392595691</v>
      </c>
      <c r="I88" s="118" t="n">
        <v>154.6554360961914</v>
      </c>
      <c r="J88" s="118" t="n">
        <v/>
      </c>
      <c r="K88" s="120" t="n">
        <v>0.2894727674765746</v>
      </c>
      <c r="L88" s="120" t="n">
        <v>-0.06079028857342017</v>
      </c>
      <c r="M88" s="120" t="n">
        <v>-0.06079028857342028</v>
      </c>
      <c r="N88" t="n">
        <v>49.97218049820437</v>
      </c>
      <c r="O88" t="n">
        <v>0.01373404090077279</v>
      </c>
      <c r="P88" t="n">
        <v>106.9431224637791</v>
      </c>
      <c r="Q88" t="n">
        <v>107.4089524023507</v>
      </c>
    </row>
    <row r="89">
      <c r="A89" s="117" t="n">
        <v>44559</v>
      </c>
      <c r="B89" s="118" t="n">
        <v>154.335932461323</v>
      </c>
      <c r="C89" s="118" t="n">
        <v>156.8578479324076</v>
      </c>
      <c r="D89" s="118" t="n">
        <v>153.9017547305804</v>
      </c>
      <c r="E89" s="118" t="n">
        <v>155.9155883789062</v>
      </c>
      <c r="F89" s="119" t="n">
        <v>3830900</v>
      </c>
      <c r="G89" s="120" t="n">
        <v>0.01418124991005154</v>
      </c>
      <c r="H89" s="121" t="n">
        <v>99.71880270497473</v>
      </c>
      <c r="I89" s="118" t="n">
        <v>154.8334680175781</v>
      </c>
      <c r="J89" s="118" t="n">
        <v/>
      </c>
      <c r="K89" s="120" t="n">
        <v>0.2940032863953008</v>
      </c>
      <c r="L89" s="120" t="n">
        <v>-0.04747112093773254</v>
      </c>
      <c r="M89" s="120" t="n">
        <v>-0.04747112093773265</v>
      </c>
      <c r="N89" t="n">
        <v>53.91527906800936</v>
      </c>
      <c r="O89" t="n">
        <v>0.2326912950297362</v>
      </c>
      <c r="P89" t="n">
        <v>107.0799392798096</v>
      </c>
      <c r="Q89" t="n">
        <v>107.3929191955743</v>
      </c>
    </row>
    <row r="90">
      <c r="A90" s="117" t="n">
        <v>44560</v>
      </c>
      <c r="B90" s="118" t="n">
        <v>155.4813843594162</v>
      </c>
      <c r="C90" s="118" t="n">
        <v>157.1534236332529</v>
      </c>
      <c r="D90" s="118" t="n">
        <v>154.4559881616819</v>
      </c>
      <c r="E90" s="118" t="n">
        <v>154.7238922119141</v>
      </c>
      <c r="F90" s="119" t="n">
        <v>2666800</v>
      </c>
      <c r="G90" s="120" t="n">
        <v>-0.007643213737526522</v>
      </c>
      <c r="H90" s="121" t="n">
        <v>98.95663058225038</v>
      </c>
      <c r="I90" s="118" t="n">
        <v>155.0173590087891</v>
      </c>
      <c r="J90" s="118" t="n">
        <v/>
      </c>
      <c r="K90" s="120" t="n">
        <v>0.2901156176613582</v>
      </c>
      <c r="L90" s="120" t="n">
        <v>-0.05475150275157192</v>
      </c>
      <c r="M90" s="120" t="n">
        <v>-0.05475150275157215</v>
      </c>
      <c r="N90" t="n">
        <v>51.52469908844633</v>
      </c>
      <c r="O90" t="n">
        <v>0.2874191956545342</v>
      </c>
      <c r="P90" t="n">
        <v>106.7838956206253</v>
      </c>
      <c r="Q90" t="n">
        <v>107.0719530216134</v>
      </c>
    </row>
    <row r="91">
      <c r="A91" s="117" t="n">
        <v>44561</v>
      </c>
      <c r="B91" s="118" t="n">
        <v>154.7885177043779</v>
      </c>
      <c r="C91" s="118" t="n">
        <v>154.9363258330842</v>
      </c>
      <c r="D91" s="118" t="n">
        <v>153.5414236197851</v>
      </c>
      <c r="E91" s="118" t="n">
        <v>153.9663543701172</v>
      </c>
      <c r="F91" s="119" t="n">
        <v>2752000</v>
      </c>
      <c r="G91" s="120" t="n">
        <v>-0.004896062469520457</v>
      </c>
      <c r="H91" s="121" t="n">
        <v>98.47213273714642</v>
      </c>
      <c r="I91" s="118" t="n">
        <v>155.174479675293</v>
      </c>
      <c r="J91" s="118" t="n">
        <v/>
      </c>
      <c r="K91" s="120" t="n">
        <v>0.2814224793489645</v>
      </c>
      <c r="L91" s="120" t="n">
        <v>-0.05937949844332058</v>
      </c>
      <c r="M91" s="120" t="n">
        <v>-0.05937949844332069</v>
      </c>
      <c r="N91" t="n">
        <v>50.00679641097758</v>
      </c>
      <c r="O91" t="n">
        <v>0.2633942757249983</v>
      </c>
      <c r="P91" t="n">
        <v>106.5147934546136</v>
      </c>
      <c r="Q91" t="n">
        <v>106.4033573920928</v>
      </c>
    </row>
    <row r="92">
      <c r="A92" s="117" t="n">
        <v>44564</v>
      </c>
      <c r="B92" s="118" t="n">
        <v>154.7608310207464</v>
      </c>
      <c r="C92" s="118" t="n">
        <v>155.1118718605036</v>
      </c>
      <c r="D92" s="118" t="n">
        <v>150.8624790802981</v>
      </c>
      <c r="E92" s="118" t="n">
        <v>152.1188201904297</v>
      </c>
      <c r="F92" s="119" t="n">
        <v>5670500</v>
      </c>
      <c r="G92" s="120" t="n">
        <v>-0.01199959684208829</v>
      </c>
      <c r="H92" s="121" t="n">
        <v>97.29050684412006</v>
      </c>
      <c r="I92" s="118" t="n">
        <v>155.2258602905274</v>
      </c>
      <c r="J92" s="118" t="n">
        <v/>
      </c>
      <c r="K92" s="120" t="n">
        <v>0.2837502588710585</v>
      </c>
      <c r="L92" s="120" t="n">
        <v>-0.07066656524340365</v>
      </c>
      <c r="M92" s="120" t="n">
        <v>-0.07066656524340376</v>
      </c>
      <c r="N92" t="n">
        <v>46.41539962542654</v>
      </c>
      <c r="O92" t="n">
        <v>0.1211066908821692</v>
      </c>
      <c r="P92" t="n">
        <v>107.1315019809707</v>
      </c>
      <c r="Q92" t="n">
        <v>107.4276787851477</v>
      </c>
    </row>
    <row r="93">
      <c r="A93" s="117" t="n">
        <v>44565</v>
      </c>
      <c r="B93" s="118" t="n">
        <v>153.23661049155</v>
      </c>
      <c r="C93" s="118" t="n">
        <v>154.437513054916</v>
      </c>
      <c r="D93" s="118" t="n">
        <v>152.4236796892302</v>
      </c>
      <c r="E93" s="118" t="n">
        <v>153.7077331542969</v>
      </c>
      <c r="F93" s="119" t="n">
        <v>6064200</v>
      </c>
      <c r="G93" s="120" t="n">
        <v>0.0104452096188894</v>
      </c>
      <c r="H93" s="121" t="n">
        <v>98.30672658203488</v>
      </c>
      <c r="I93" s="118" t="n">
        <v>155.2850436401367</v>
      </c>
      <c r="J93" s="118" t="n">
        <v/>
      </c>
      <c r="K93" s="120" t="n">
        <v>0.285768779242967</v>
      </c>
      <c r="L93" s="120" t="n">
        <v>-0.06095948271152851</v>
      </c>
      <c r="M93" s="120" t="n">
        <v>-0.06095948271152851</v>
      </c>
      <c r="N93" t="n">
        <v>49.75734428318575</v>
      </c>
      <c r="O93" t="n">
        <v>0.1311833110054159</v>
      </c>
      <c r="P93" t="n">
        <v>107.0956284808823</v>
      </c>
      <c r="Q93" t="n">
        <v>106.0342664279332</v>
      </c>
    </row>
    <row r="94">
      <c r="A94" s="117" t="n">
        <v>44566</v>
      </c>
      <c r="B94" s="118" t="n">
        <v>153.8001016303983</v>
      </c>
      <c r="C94" s="118" t="n">
        <v>154.2804569701229</v>
      </c>
      <c r="D94" s="118" t="n">
        <v>149.7447089340899</v>
      </c>
      <c r="E94" s="118" t="n">
        <v>149.8832702636719</v>
      </c>
      <c r="F94" s="119" t="n">
        <v>5021000</v>
      </c>
      <c r="G94" s="120" t="n">
        <v>-0.02488139543887413</v>
      </c>
      <c r="H94" s="121" t="n">
        <v>95.860718043646</v>
      </c>
      <c r="I94" s="118" t="n">
        <v>155.2540899658203</v>
      </c>
      <c r="J94" s="118" t="n">
        <v/>
      </c>
      <c r="K94" s="120" t="n">
        <v>0.2925976609498597</v>
      </c>
      <c r="L94" s="120" t="n">
        <v>-0.08432412115530785</v>
      </c>
      <c r="M94" s="120" t="n">
        <v>-0.08432412115530796</v>
      </c>
      <c r="N94" t="n">
        <v>42.83280614691452</v>
      </c>
      <c r="O94" t="n">
        <v>-0.1095373637635356</v>
      </c>
      <c r="P94" t="n">
        <v>105.0391575400903</v>
      </c>
      <c r="Q94" t="n">
        <v>102.776781936558</v>
      </c>
    </row>
    <row r="95">
      <c r="A95" s="117" t="n">
        <v>44567</v>
      </c>
      <c r="B95" s="118" t="n">
        <v>149.7354592466743</v>
      </c>
      <c r="C95" s="118" t="n">
        <v>150.7516226300129</v>
      </c>
      <c r="D95" s="118" t="n">
        <v>146.9364076766495</v>
      </c>
      <c r="E95" s="118" t="n">
        <v>148.7654876708984</v>
      </c>
      <c r="F95" s="119" t="n">
        <v>4144600</v>
      </c>
      <c r="G95" s="120" t="n">
        <v>-0.007457687511134847</v>
      </c>
      <c r="H95" s="121" t="n">
        <v>95.14581876388348</v>
      </c>
      <c r="I95" s="118" t="n">
        <v>155.2087106323242</v>
      </c>
      <c r="J95" s="118" t="n">
        <v/>
      </c>
      <c r="K95" s="120" t="n">
        <v>0.2928602062269125</v>
      </c>
      <c r="L95" s="120" t="n">
        <v>-0.09115294572121535</v>
      </c>
      <c r="M95" s="120" t="n">
        <v>-0.09115294572121546</v>
      </c>
      <c r="N95" t="n">
        <v>41.03533004945417</v>
      </c>
      <c r="O95" t="n">
        <v>-0.3218502775571319</v>
      </c>
      <c r="P95" t="n">
        <v>104.940498141226</v>
      </c>
      <c r="Q95" t="n">
        <v>102.7045695813907</v>
      </c>
    </row>
    <row r="96">
      <c r="A96" s="117" t="n">
        <v>44568</v>
      </c>
      <c r="B96" s="118" t="n">
        <v>148.5160257306114</v>
      </c>
      <c r="C96" s="118" t="n">
        <v>148.8578196155658</v>
      </c>
      <c r="D96" s="118" t="n">
        <v>144.9040447076806</v>
      </c>
      <c r="E96" s="118" t="n">
        <v>145.0056610107422</v>
      </c>
      <c r="F96" s="119" t="n">
        <v>5108000</v>
      </c>
      <c r="G96" s="120" t="n">
        <v>-0.02527351416663115</v>
      </c>
      <c r="H96" s="121" t="n">
        <v>92.74114956545876</v>
      </c>
      <c r="I96" s="118" t="n">
        <v>155.1146920776367</v>
      </c>
      <c r="J96" s="118" t="n">
        <v/>
      </c>
      <c r="K96" s="120" t="n">
        <v>0.301892926969749</v>
      </c>
      <c r="L96" s="120" t="n">
        <v>-0.1141227046228311</v>
      </c>
      <c r="M96" s="120" t="n">
        <v>-0.1141227046228314</v>
      </c>
      <c r="N96" t="n">
        <v>35.62053310128292</v>
      </c>
      <c r="O96" t="n">
        <v>-0.6731034815471272</v>
      </c>
      <c r="P96" t="n">
        <v>104.5255962369192</v>
      </c>
      <c r="Q96" t="n">
        <v>101.5919774565226</v>
      </c>
    </row>
    <row r="97">
      <c r="A97" s="117" t="n">
        <v>44571</v>
      </c>
      <c r="B97" s="118" t="n">
        <v>139.0473385232448</v>
      </c>
      <c r="C97" s="118" t="n">
        <v>139.7955979009745</v>
      </c>
      <c r="D97" s="118" t="n">
        <v>137.4399566074009</v>
      </c>
      <c r="E97" s="118" t="n">
        <v>138.9734344482422</v>
      </c>
      <c r="F97" s="119" t="n">
        <v>10439000</v>
      </c>
      <c r="G97" s="120" t="n">
        <v>-0.04159993837794462</v>
      </c>
      <c r="H97" s="121" t="n">
        <v>88.88312345843593</v>
      </c>
      <c r="I97" s="118" t="n">
        <v>154.8611154174805</v>
      </c>
      <c r="J97" s="118" t="n">
        <v/>
      </c>
      <c r="K97" s="120" t="n">
        <v>0.3287782580342397</v>
      </c>
      <c r="L97" s="120" t="n">
        <v>-0.1509751455209416</v>
      </c>
      <c r="M97" s="120" t="n">
        <v>-0.1509751455209417</v>
      </c>
      <c r="N97" t="n">
        <v>29.00714839915265</v>
      </c>
      <c r="O97" t="n">
        <v>-1.236513608377786</v>
      </c>
      <c r="P97" t="n">
        <v>104.3955220678032</v>
      </c>
      <c r="Q97" t="n">
        <v>101.6588537993876</v>
      </c>
    </row>
    <row r="98">
      <c r="A98" s="117" t="n">
        <v>44572</v>
      </c>
      <c r="B98" s="118" t="n">
        <v>139.0103898202912</v>
      </c>
      <c r="C98" s="118" t="n">
        <v>139.3429511347607</v>
      </c>
      <c r="D98" s="118" t="n">
        <v>136.3499134002974</v>
      </c>
      <c r="E98" s="118" t="n">
        <v>138.8441162109375</v>
      </c>
      <c r="F98" s="119" t="n">
        <v>8175400</v>
      </c>
      <c r="G98" s="120" t="n">
        <v>-0.0009305248720240522</v>
      </c>
      <c r="H98" s="121" t="n">
        <v>88.80041550135466</v>
      </c>
      <c r="I98" s="118" t="n">
        <v>154.5527606201172</v>
      </c>
      <c r="J98" s="118" t="n">
        <v/>
      </c>
      <c r="K98" s="120" t="n">
        <v>0.3279307879093334</v>
      </c>
      <c r="L98" s="120" t="n">
        <v>-0.1517651842650011</v>
      </c>
      <c r="M98" s="120" t="n">
        <v>-0.1517651842650011</v>
      </c>
      <c r="N98" t="n">
        <v>28.88334355082152</v>
      </c>
      <c r="O98" t="n">
        <v>-1.523836610764472</v>
      </c>
      <c r="P98" t="n">
        <v>105.3464025760256</v>
      </c>
      <c r="Q98" t="n">
        <v>103.1859936724626</v>
      </c>
    </row>
    <row r="99">
      <c r="A99" s="117" t="n">
        <v>44573</v>
      </c>
      <c r="B99" s="118" t="n">
        <v>140.5346316878481</v>
      </c>
      <c r="C99" s="118" t="n">
        <v>141.7632605675712</v>
      </c>
      <c r="D99" s="118" t="n">
        <v>139.2505782730004</v>
      </c>
      <c r="E99" s="118" t="n">
        <v>140.6085357666016</v>
      </c>
      <c r="F99" s="119" t="n">
        <v>6351200</v>
      </c>
      <c r="G99" s="120" t="n">
        <v>0.0127079173667215</v>
      </c>
      <c r="H99" s="121" t="n">
        <v>89.92888384367642</v>
      </c>
      <c r="I99" s="118" t="n">
        <v>154.2973992919922</v>
      </c>
      <c r="J99" s="118" t="n">
        <v/>
      </c>
      <c r="K99" s="120" t="n">
        <v>0.3335031130716145</v>
      </c>
      <c r="L99" s="120" t="n">
        <v>-0.1409858863190644</v>
      </c>
      <c r="M99" s="120" t="n">
        <v>-0.1409858863190645</v>
      </c>
      <c r="N99" t="n">
        <v>33.08010820371145</v>
      </c>
      <c r="O99" t="n">
        <v>-1.498724551975416</v>
      </c>
      <c r="P99" t="n">
        <v>105.6312012167313</v>
      </c>
      <c r="Q99" t="n">
        <v>103.5951718485415</v>
      </c>
    </row>
    <row r="100">
      <c r="A100" s="117" t="n">
        <v>44574</v>
      </c>
      <c r="B100" s="118" t="n">
        <v>141.5230471842652</v>
      </c>
      <c r="C100" s="118" t="n">
        <v>141.8925675216254</v>
      </c>
      <c r="D100" s="118" t="n">
        <v>137.661654805228</v>
      </c>
      <c r="E100" s="118" t="n">
        <v>138.1882019042969</v>
      </c>
      <c r="F100" s="119" t="n">
        <v>4990900</v>
      </c>
      <c r="G100" s="120" t="n">
        <v>-0.01721327833412789</v>
      </c>
      <c r="H100" s="121" t="n">
        <v>88.38091293579777</v>
      </c>
      <c r="I100" s="118" t="n">
        <v>153.965966796875</v>
      </c>
      <c r="J100" s="118" t="n">
        <v/>
      </c>
      <c r="K100" s="120" t="n">
        <v>0.3364049376566143</v>
      </c>
      <c r="L100" s="120" t="n">
        <v>-0.1557723353507985</v>
      </c>
      <c r="M100" s="120" t="n">
        <v>-0.1557723353507986</v>
      </c>
      <c r="N100" t="n">
        <v>30.42753064213728</v>
      </c>
      <c r="O100" t="n">
        <v>-1.542745955704778</v>
      </c>
      <c r="P100" t="n">
        <v>104.1757496012236</v>
      </c>
      <c r="Q100" t="n">
        <v>101.0036233704922</v>
      </c>
    </row>
    <row r="101">
      <c r="A101" s="117" t="n">
        <v>44575</v>
      </c>
      <c r="B101" s="118" t="n">
        <v>137.0796811084456</v>
      </c>
      <c r="C101" s="118" t="n">
        <v>137.4953791906515</v>
      </c>
      <c r="D101" s="118" t="n">
        <v>135.657066448155</v>
      </c>
      <c r="E101" s="118" t="n">
        <v>136.8856811523438</v>
      </c>
      <c r="F101" s="119" t="n">
        <v>6030500</v>
      </c>
      <c r="G101" s="120" t="n">
        <v>-0.009425701572231104</v>
      </c>
      <c r="H101" s="121" t="n">
        <v>87.5478608257836</v>
      </c>
      <c r="I101" s="118" t="n">
        <v>153.5223580932617</v>
      </c>
      <c r="J101" s="118" t="n">
        <v/>
      </c>
      <c r="K101" s="120" t="n">
        <v>0.3367479889441438</v>
      </c>
      <c r="L101" s="120" t="n">
        <v>-0.1637297733768034</v>
      </c>
      <c r="M101" s="120" t="n">
        <v>-0.1637297733768036</v>
      </c>
      <c r="N101" t="n">
        <v>29.07628548002026</v>
      </c>
      <c r="O101" t="n">
        <v>-1.552938748291687</v>
      </c>
      <c r="P101" t="n">
        <v>104.2183730218477</v>
      </c>
      <c r="Q101" t="n">
        <v>101.6321233981371</v>
      </c>
    </row>
    <row r="102">
      <c r="A102" s="117" t="n">
        <v>44579</v>
      </c>
      <c r="B102" s="118" t="n">
        <v>136.7748622893049</v>
      </c>
      <c r="C102" s="118" t="n">
        <v>137.4861768243896</v>
      </c>
      <c r="D102" s="118" t="n">
        <v>135.1490145905897</v>
      </c>
      <c r="E102" s="118" t="n">
        <v>135.7494659423828</v>
      </c>
      <c r="F102" s="119" t="n">
        <v>6931000</v>
      </c>
      <c r="G102" s="120" t="n">
        <v>-0.008300467955420499</v>
      </c>
      <c r="H102" s="121" t="n">
        <v>86.82117261243356</v>
      </c>
      <c r="I102" s="118" t="n">
        <v>153.0018045043945</v>
      </c>
      <c r="J102" s="118" t="n">
        <v/>
      </c>
      <c r="K102" s="120" t="n">
        <v>0.3367391883045366</v>
      </c>
      <c r="L102" s="120" t="n">
        <v>-0.1706712075949616</v>
      </c>
      <c r="M102" s="120" t="n">
        <v>-0.1706712075949617</v>
      </c>
      <c r="N102" t="n">
        <v>27.9118467387089</v>
      </c>
      <c r="O102" t="n">
        <v>-1.527241407048967</v>
      </c>
      <c r="P102" t="n">
        <v>102.3727134462344</v>
      </c>
      <c r="Q102" t="n">
        <v>99.10209008078104</v>
      </c>
    </row>
    <row r="103">
      <c r="A103" s="117" t="n">
        <v>44580</v>
      </c>
      <c r="B103" s="118" t="n">
        <v>136.4976933626018</v>
      </c>
      <c r="C103" s="118" t="n">
        <v>137.7355689637508</v>
      </c>
      <c r="D103" s="118" t="n">
        <v>133.9665458211004</v>
      </c>
      <c r="E103" s="118" t="n">
        <v>134.0496826171875</v>
      </c>
      <c r="F103" s="119" t="n">
        <v>4823800</v>
      </c>
      <c r="G103" s="120" t="n">
        <v>-0.01252147338772414</v>
      </c>
      <c r="H103" s="121" t="n">
        <v>85.73404361007597</v>
      </c>
      <c r="I103" s="118" t="n">
        <v>152.409079284668</v>
      </c>
      <c r="J103" s="118" t="n">
        <v/>
      </c>
      <c r="K103" s="120" t="n">
        <v>0.3275464563378159</v>
      </c>
      <c r="L103" s="120" t="n">
        <v>-0.1810556259987346</v>
      </c>
      <c r="M103" s="120" t="n">
        <v>-0.1810556259987348</v>
      </c>
      <c r="N103" t="n">
        <v>26.22012061310575</v>
      </c>
      <c r="O103" t="n">
        <v>-1.5128806307406</v>
      </c>
      <c r="P103" t="n">
        <v>101.3097027925614</v>
      </c>
      <c r="Q103" t="n">
        <v>98.01356874096876</v>
      </c>
    </row>
    <row r="104">
      <c r="A104" s="117" t="n">
        <v>44581</v>
      </c>
      <c r="B104" s="118" t="n">
        <v>134.3730340802959</v>
      </c>
      <c r="C104" s="118" t="n">
        <v>136.1466898446415</v>
      </c>
      <c r="D104" s="118" t="n">
        <v>131.6386393004113</v>
      </c>
      <c r="E104" s="118" t="n">
        <v>131.8511047363281</v>
      </c>
      <c r="F104" s="119" t="n">
        <v>5366500</v>
      </c>
      <c r="G104" s="120" t="n">
        <v>-0.01640121660815841</v>
      </c>
      <c r="H104" s="121" t="n">
        <v>84.32790099013381</v>
      </c>
      <c r="I104" s="118" t="n">
        <v>151.8767666625976</v>
      </c>
      <c r="J104" s="118" t="n">
        <v/>
      </c>
      <c r="K104" s="120" t="n">
        <v>0.2214048316114754</v>
      </c>
      <c r="L104" s="120" t="n">
        <v>-0.1944873100667621</v>
      </c>
      <c r="M104" s="120" t="n">
        <v>-0.1944873100667622</v>
      </c>
      <c r="N104" t="n">
        <v>24.17880875743536</v>
      </c>
      <c r="O104" t="n">
        <v>-1.534761951617159</v>
      </c>
      <c r="P104" t="n">
        <v>100.1883867908128</v>
      </c>
      <c r="Q104" t="n">
        <v>96.74054386885896</v>
      </c>
    </row>
    <row r="105">
      <c r="A105" s="117" t="n">
        <v>44582</v>
      </c>
      <c r="B105" s="118" t="n">
        <v>133.3198938114286</v>
      </c>
      <c r="C105" s="118" t="n">
        <v>135.2043982077751</v>
      </c>
      <c r="D105" s="118" t="n">
        <v>131.9619365172155</v>
      </c>
      <c r="E105" s="118" t="n">
        <v>132.0543060302734</v>
      </c>
      <c r="F105" s="119" t="n">
        <v>7553400</v>
      </c>
      <c r="G105" s="120" t="n">
        <v>0.001541142141749052</v>
      </c>
      <c r="H105" s="121" t="n">
        <v>84.45786227207496</v>
      </c>
      <c r="I105" s="118" t="n">
        <v>151.3121856689453</v>
      </c>
      <c r="J105" s="118" t="n">
        <v/>
      </c>
      <c r="K105" s="120" t="n">
        <v>0.223784875611485</v>
      </c>
      <c r="L105" s="120" t="n">
        <v>-0.1932459005145922</v>
      </c>
      <c r="M105" s="120" t="n">
        <v>-0.1932459005145926</v>
      </c>
      <c r="N105" t="n">
        <v>24.76182709058199</v>
      </c>
      <c r="O105" t="n">
        <v>-1.421438093005533</v>
      </c>
      <c r="P105" t="n">
        <v>98.22163596834805</v>
      </c>
      <c r="Q105" t="n">
        <v>94.05805665284535</v>
      </c>
    </row>
    <row r="106">
      <c r="A106" s="117" t="n">
        <v>44585</v>
      </c>
      <c r="B106" s="118" t="n">
        <v>130.0774370627733</v>
      </c>
      <c r="C106" s="118" t="n">
        <v>135.1582261846362</v>
      </c>
      <c r="D106" s="118" t="n">
        <v>128.9227122623499</v>
      </c>
      <c r="E106" s="118" t="n">
        <v>134.8718566894531</v>
      </c>
      <c r="F106" s="119" t="n">
        <v>9733200</v>
      </c>
      <c r="G106" s="120" t="n">
        <v>0.02133630279753063</v>
      </c>
      <c r="H106" s="121" t="n">
        <v>86.25988079514408</v>
      </c>
      <c r="I106" s="118" t="n">
        <v>150.9064971923828</v>
      </c>
      <c r="J106" s="118" t="n">
        <v/>
      </c>
      <c r="K106" s="120" t="n">
        <v>0.2441902910877531</v>
      </c>
      <c r="L106" s="120" t="n">
        <v>-0.1760327507648225</v>
      </c>
      <c r="M106" s="120" t="n">
        <v>-0.1760327507648227</v>
      </c>
      <c r="N106" t="n">
        <v>32.51098715151655</v>
      </c>
      <c r="O106" t="n">
        <v>-1.059229457343724</v>
      </c>
      <c r="P106" t="n">
        <v>98.63875632714124</v>
      </c>
      <c r="Q106" t="n">
        <v>94.48862921787233</v>
      </c>
    </row>
    <row r="107">
      <c r="A107" s="117" t="n">
        <v>44586</v>
      </c>
      <c r="B107" s="118" t="n">
        <v>133.9203568751994</v>
      </c>
      <c r="C107" s="118" t="n">
        <v>136.6824635133427</v>
      </c>
      <c r="D107" s="118" t="n">
        <v>131.6478523966009</v>
      </c>
      <c r="E107" s="118" t="n">
        <v>134.3914794921875</v>
      </c>
      <c r="F107" s="119" t="n">
        <v>8195400</v>
      </c>
      <c r="G107" s="120" t="n">
        <v>-0.003561730438483623</v>
      </c>
      <c r="H107" s="121" t="n">
        <v>85.95264635209605</v>
      </c>
      <c r="I107" s="118" t="n">
        <v>150.5149914550781</v>
      </c>
      <c r="J107" s="118" t="n">
        <v/>
      </c>
      <c r="K107" s="120" t="n">
        <v>0.235386551732669</v>
      </c>
      <c r="L107" s="120" t="n">
        <v>-0.178967499996737</v>
      </c>
      <c r="M107" s="120" t="n">
        <v>-0.1789674999967373</v>
      </c>
      <c r="N107" t="n">
        <v>31.90758662902937</v>
      </c>
      <c r="O107" t="n">
        <v>-0.7680640933732361</v>
      </c>
      <c r="P107" t="n">
        <v>97.43449194846488</v>
      </c>
      <c r="Q107" t="n">
        <v>92.29824650749187</v>
      </c>
    </row>
    <row r="108">
      <c r="A108" s="117" t="n">
        <v>44587</v>
      </c>
      <c r="B108" s="118" t="n">
        <v>136.5161797159522</v>
      </c>
      <c r="C108" s="118" t="n">
        <v>137.615479949376</v>
      </c>
      <c r="D108" s="118" t="n">
        <v>131.8510888384684</v>
      </c>
      <c r="E108" s="118" t="n">
        <v>133.0150604248047</v>
      </c>
      <c r="F108" s="119" t="n">
        <v>7444600</v>
      </c>
      <c r="G108" s="120" t="n">
        <v>-0.01024186259860937</v>
      </c>
      <c r="H108" s="121" t="n">
        <v>85.07233115817102</v>
      </c>
      <c r="I108" s="118" t="n">
        <v>150.0568588256836</v>
      </c>
      <c r="J108" s="118" t="n">
        <v/>
      </c>
      <c r="K108" s="120" t="n">
        <v>0.2356778395102082</v>
      </c>
      <c r="L108" s="120" t="n">
        <v>-0.1873764020507632</v>
      </c>
      <c r="M108" s="120" t="n">
        <v>-0.1873764020507634</v>
      </c>
      <c r="N108" t="n">
        <v>30.17921757732351</v>
      </c>
      <c r="O108" t="n">
        <v>-0.59212337067075</v>
      </c>
      <c r="P108" t="n">
        <v>97.19004008492675</v>
      </c>
      <c r="Q108" t="n">
        <v>92.15386374693946</v>
      </c>
    </row>
    <row r="109">
      <c r="A109" s="117" t="n">
        <v>44588</v>
      </c>
      <c r="B109" s="118" t="n">
        <v>133.9388681913001</v>
      </c>
      <c r="C109" s="118" t="n">
        <v>136.1189895700539</v>
      </c>
      <c r="D109" s="118" t="n">
        <v>132.6363349994008</v>
      </c>
      <c r="E109" s="118" t="n">
        <v>133.6155395507812</v>
      </c>
      <c r="F109" s="119" t="n">
        <v>6396400</v>
      </c>
      <c r="G109" s="120" t="n">
        <v>0.004514369456051437</v>
      </c>
      <c r="H109" s="121" t="n">
        <v>85.45637909150656</v>
      </c>
      <c r="I109" s="118" t="n">
        <v>149.6151620483398</v>
      </c>
      <c r="J109" s="118" t="n">
        <v/>
      </c>
      <c r="K109" s="120" t="n">
        <v>0.2264126172374447</v>
      </c>
      <c r="L109" s="120" t="n">
        <v>-0.1837079189009145</v>
      </c>
      <c r="M109" s="120" t="n">
        <v>-0.1837079189009149</v>
      </c>
      <c r="N109" t="n">
        <v>31.91200383618416</v>
      </c>
      <c r="O109" t="n">
        <v>-0.3701157310135397</v>
      </c>
      <c r="P109" t="n">
        <v>96.71011928011509</v>
      </c>
      <c r="Q109" t="n">
        <v>91.22580871419471</v>
      </c>
    </row>
    <row r="110">
      <c r="A110" s="117" t="n">
        <v>44589</v>
      </c>
      <c r="B110" s="118" t="n">
        <v>133.1350926275326</v>
      </c>
      <c r="C110" s="118" t="n">
        <v>134.8995147971773</v>
      </c>
      <c r="D110" s="118" t="n">
        <v>129.8926317642099</v>
      </c>
      <c r="E110" s="118" t="n">
        <v>134.7886657714844</v>
      </c>
      <c r="F110" s="119" t="n">
        <v>6130200</v>
      </c>
      <c r="G110" s="120" t="n">
        <v>0.008779863664415188</v>
      </c>
      <c r="H110" s="121" t="n">
        <v>86.20667444918458</v>
      </c>
      <c r="I110" s="118" t="n">
        <v>149.1419692993164</v>
      </c>
      <c r="J110" s="118" t="n">
        <v/>
      </c>
      <c r="K110" s="120" t="n">
        <v>0.2337477068618753</v>
      </c>
      <c r="L110" s="120" t="n">
        <v>-0.1765409857185228</v>
      </c>
      <c r="M110" s="120" t="n">
        <v>-0.1765409857185233</v>
      </c>
      <c r="N110" t="n">
        <v>35.29076918668402</v>
      </c>
      <c r="O110" t="n">
        <v>-0.09348367919957212</v>
      </c>
      <c r="P110" t="n">
        <v>99.11195630590225</v>
      </c>
      <c r="Q110" t="n">
        <v>94.08746345020347</v>
      </c>
    </row>
    <row r="111">
      <c r="A111" s="117" t="n">
        <v>44592</v>
      </c>
      <c r="B111" s="118" t="n">
        <v>135.1212514514281</v>
      </c>
      <c r="C111" s="118" t="n">
        <v>136.8856598453297</v>
      </c>
      <c r="D111" s="118" t="n">
        <v>134.1512800134219</v>
      </c>
      <c r="E111" s="118" t="n">
        <v>136.7840576171875</v>
      </c>
      <c r="F111" s="119" t="n">
        <v>6932200</v>
      </c>
      <c r="G111" s="120" t="n">
        <v>0.01480385486629898</v>
      </c>
      <c r="H111" s="121" t="n">
        <v>87.48286554623658</v>
      </c>
      <c r="I111" s="118" t="n">
        <v>148.710344543457</v>
      </c>
      <c r="J111" s="118" t="n">
        <v/>
      </c>
      <c r="K111" s="120" t="n">
        <v>0.245980909960104</v>
      </c>
      <c r="L111" s="120" t="n">
        <v>-0.1643506179827542</v>
      </c>
      <c r="M111" s="120" t="n">
        <v>-0.1643506179827547</v>
      </c>
      <c r="N111" t="n">
        <v>40.68261665973551</v>
      </c>
      <c r="O111" t="n">
        <v>0.2555725260744399</v>
      </c>
      <c r="P111" t="n">
        <v>100.8970629844686</v>
      </c>
      <c r="Q111" t="n">
        <v>97.09624446252387</v>
      </c>
    </row>
    <row r="112">
      <c r="A112" s="117" t="n">
        <v>44593</v>
      </c>
      <c r="B112" s="118" t="n">
        <v>138.1050903019288</v>
      </c>
      <c r="C112" s="118" t="n">
        <v>138.2713639122463</v>
      </c>
      <c r="D112" s="118" t="n">
        <v>135.6108874768324</v>
      </c>
      <c r="E112" s="118" t="n">
        <v>136.9226531982422</v>
      </c>
      <c r="F112" s="119" t="n">
        <v>6695000</v>
      </c>
      <c r="G112" s="120" t="n">
        <v>0.001013243673780861</v>
      </c>
      <c r="H112" s="121" t="n">
        <v>87.57150700631553</v>
      </c>
      <c r="I112" s="118" t="n">
        <v>148.2886840820312</v>
      </c>
      <c r="J112" s="118" t="n">
        <v/>
      </c>
      <c r="K112" s="120" t="n">
        <v>0.2459566941543809</v>
      </c>
      <c r="L112" s="120" t="n">
        <v>-0.1635039015329264</v>
      </c>
      <c r="M112" s="120" t="n">
        <v>-0.1635039015329268</v>
      </c>
      <c r="N112" t="n">
        <v>41.05003496226027</v>
      </c>
      <c r="O112" t="n">
        <v>0.5126457833005551</v>
      </c>
      <c r="P112" t="n">
        <v>101.5788195058156</v>
      </c>
      <c r="Q112" t="n">
        <v>97.75681929367809</v>
      </c>
    </row>
    <row r="113">
      <c r="A113" s="117" t="n">
        <v>44594</v>
      </c>
      <c r="B113" s="118" t="n">
        <v>137.0427286502007</v>
      </c>
      <c r="C113" s="118" t="n">
        <v>138.0681247148279</v>
      </c>
      <c r="D113" s="118" t="n">
        <v>136.2852225052688</v>
      </c>
      <c r="E113" s="118" t="n">
        <v>137.3752899169922</v>
      </c>
      <c r="F113" s="119" t="n">
        <v>5491700</v>
      </c>
      <c r="G113" s="120" t="n">
        <v>0.003305784018767577</v>
      </c>
      <c r="H113" s="121" t="n">
        <v>87.86099949467641</v>
      </c>
      <c r="I113" s="118" t="n">
        <v>147.8109750366211</v>
      </c>
      <c r="J113" s="118" t="n">
        <v/>
      </c>
      <c r="K113" s="120" t="n">
        <v>0.2412190437085847</v>
      </c>
      <c r="L113" s="120" t="n">
        <v>-0.1481169684977373</v>
      </c>
      <c r="M113" s="120" t="n">
        <v>-0.160738626098853</v>
      </c>
      <c r="N113" t="n">
        <v>42.30689748765112</v>
      </c>
      <c r="O113" t="n">
        <v>0.7174626540714701</v>
      </c>
      <c r="P113" t="n">
        <v>102.5655735141264</v>
      </c>
      <c r="Q113" t="n">
        <v>98.5511384206058</v>
      </c>
    </row>
    <row r="114">
      <c r="A114" s="117" t="n">
        <v>44595</v>
      </c>
      <c r="B114" s="118" t="n">
        <v>136.1651323702048</v>
      </c>
      <c r="C114" s="118" t="n">
        <v>137.1443507662002</v>
      </c>
      <c r="D114" s="118" t="n">
        <v>133.9203542965452</v>
      </c>
      <c r="E114" s="118" t="n">
        <v>134.2344360351562</v>
      </c>
      <c r="F114" s="119" t="n">
        <v>5240200</v>
      </c>
      <c r="G114" s="120" t="n">
        <v>-0.02286331030663358</v>
      </c>
      <c r="H114" s="121" t="n">
        <v>85.85220619937864</v>
      </c>
      <c r="I114" s="118" t="n">
        <v>147.2822512817383</v>
      </c>
      <c r="J114" s="118" t="n">
        <v/>
      </c>
      <c r="K114" s="120" t="n">
        <v>0.2391649897625641</v>
      </c>
      <c r="L114" s="120" t="n">
        <v>-0.1675938345919292</v>
      </c>
      <c r="M114" s="120" t="n">
        <v>-0.1799269193187265</v>
      </c>
      <c r="N114" t="n">
        <v>36.49266445995425</v>
      </c>
      <c r="O114" t="n">
        <v>0.6478259777805659</v>
      </c>
      <c r="P114" t="n">
        <v>100.1547681133171</v>
      </c>
      <c r="Q114" t="n">
        <v>94.55550556073729</v>
      </c>
    </row>
    <row r="115">
      <c r="A115" s="117" t="n">
        <v>44596</v>
      </c>
      <c r="B115" s="118" t="n">
        <v>134.2899310926253</v>
      </c>
      <c r="C115" s="118" t="n">
        <v>135.3153277390014</v>
      </c>
      <c r="D115" s="118" t="n">
        <v>132.6917951990767</v>
      </c>
      <c r="E115" s="118" t="n">
        <v>134.3084106445312</v>
      </c>
      <c r="F115" s="119" t="n">
        <v>4313400</v>
      </c>
      <c r="G115" s="120" t="n">
        <v>0.0005510851876757705</v>
      </c>
      <c r="H115" s="121" t="n">
        <v>85.89951807854442</v>
      </c>
      <c r="I115" s="118" t="n">
        <v>146.7935516357422</v>
      </c>
      <c r="J115" s="118" t="n">
        <v/>
      </c>
      <c r="K115" s="120" t="n">
        <v>0.2399347215602842</v>
      </c>
      <c r="L115" s="120" t="n">
        <v>-0.1671351078840427</v>
      </c>
      <c r="M115" s="120" t="n">
        <v>-0.1794749891911513</v>
      </c>
      <c r="N115" t="n">
        <v>36.71326854651814</v>
      </c>
      <c r="O115" t="n">
        <v>0.613503922318861</v>
      </c>
      <c r="P115" t="n">
        <v>100.6256987222429</v>
      </c>
      <c r="Q115" t="n">
        <v>95.74831405922622</v>
      </c>
    </row>
    <row r="116">
      <c r="A116" s="117" t="n">
        <v>44599</v>
      </c>
      <c r="B116" s="118" t="n">
        <v>134.2251854457472</v>
      </c>
      <c r="C116" s="118" t="n">
        <v>134.982677426027</v>
      </c>
      <c r="D116" s="118" t="n">
        <v>133.2275017361094</v>
      </c>
      <c r="E116" s="118" t="n">
        <v>134.0773773193359</v>
      </c>
      <c r="F116" s="119" t="n">
        <v>3877500</v>
      </c>
      <c r="G116" s="120" t="n">
        <v>-0.001720170196986226</v>
      </c>
      <c r="H116" s="121" t="n">
        <v>85.75175628761022</v>
      </c>
      <c r="I116" s="118" t="n">
        <v>146.3024444580078</v>
      </c>
      <c r="J116" s="118" t="n">
        <v/>
      </c>
      <c r="K116" s="120" t="n">
        <v>0.227783232946104</v>
      </c>
      <c r="L116" s="120" t="n">
        <v>-0.1685677772495767</v>
      </c>
      <c r="M116" s="120" t="n">
        <v>-0.1808864318606266</v>
      </c>
      <c r="N116" t="n">
        <v>36.28928914859799</v>
      </c>
      <c r="O116" t="n">
        <v>0.5822524125286166</v>
      </c>
      <c r="P116" t="n">
        <v>100.3027935797199</v>
      </c>
      <c r="Q116" t="n">
        <v>94.97807410731073</v>
      </c>
    </row>
    <row r="117">
      <c r="A117" s="117" t="n">
        <v>44600</v>
      </c>
      <c r="B117" s="118" t="n">
        <v>133.7078982091566</v>
      </c>
      <c r="C117" s="118" t="n">
        <v>134.4099658083204</v>
      </c>
      <c r="D117" s="118" t="n">
        <v>131.4538731595234</v>
      </c>
      <c r="E117" s="118" t="n">
        <v>132.5901184082031</v>
      </c>
      <c r="F117" s="119" t="n">
        <v>5829400</v>
      </c>
      <c r="G117" s="120" t="n">
        <v>-0.01109254179092845</v>
      </c>
      <c r="H117" s="121" t="n">
        <v>84.8005513473444</v>
      </c>
      <c r="I117" s="118" t="n">
        <v>145.8555465698242</v>
      </c>
      <c r="J117" s="118" t="n">
        <v/>
      </c>
      <c r="K117" s="120" t="n">
        <v>0.1817460585953087</v>
      </c>
      <c r="L117" s="120" t="n">
        <v>-0.1777904739267603</v>
      </c>
      <c r="M117" s="120" t="n">
        <v>-0.189972483346729</v>
      </c>
      <c r="N117" t="n">
        <v>33.59931124895512</v>
      </c>
      <c r="O117" t="n">
        <v>0.4730672639145714</v>
      </c>
      <c r="P117" t="n">
        <v>101.1280659222842</v>
      </c>
      <c r="Q117" t="n">
        <v>96.04518427826196</v>
      </c>
    </row>
    <row r="118">
      <c r="A118" s="117" t="n">
        <v>44601</v>
      </c>
      <c r="B118" s="118" t="n">
        <v>134.9734686960058</v>
      </c>
      <c r="C118" s="118" t="n">
        <v>136.1281934593021</v>
      </c>
      <c r="D118" s="118" t="n">
        <v>134.5670033240037</v>
      </c>
      <c r="E118" s="118" t="n">
        <v>135.1120300292969</v>
      </c>
      <c r="F118" s="119" t="n">
        <v>4551000</v>
      </c>
      <c r="G118" s="120" t="n">
        <v>0.01902035876708075</v>
      </c>
      <c r="H118" s="121" t="n">
        <v>86.41348825761715</v>
      </c>
      <c r="I118" s="118" t="n">
        <v>145.4249685668945</v>
      </c>
      <c r="J118" s="118" t="n">
        <v/>
      </c>
      <c r="K118" s="120" t="n">
        <v>0.1968863143277665</v>
      </c>
      <c r="L118" s="120" t="n">
        <v>-0.1621517537591358</v>
      </c>
      <c r="M118" s="120" t="n">
        <v>-0.1745654693687763</v>
      </c>
      <c r="N118" t="n">
        <v>41.51586698177623</v>
      </c>
      <c r="O118" t="n">
        <v>0.5755361674486719</v>
      </c>
      <c r="P118" t="n">
        <v>102.6081823875079</v>
      </c>
      <c r="Q118" t="n">
        <v>98.08043669387725</v>
      </c>
    </row>
    <row r="119">
      <c r="A119" s="117" t="n">
        <v>44602</v>
      </c>
      <c r="B119" s="118" t="n">
        <v>132.9873177768548</v>
      </c>
      <c r="C119" s="118" t="n">
        <v>136.2944363495084</v>
      </c>
      <c r="D119" s="118" t="n">
        <v>132.8857014567504</v>
      </c>
      <c r="E119" s="118" t="n">
        <v>133.7817687988281</v>
      </c>
      <c r="F119" s="119" t="n">
        <v>5142600</v>
      </c>
      <c r="G119" s="120" t="n">
        <v>-0.009845616487149988</v>
      </c>
      <c r="H119" s="121" t="n">
        <v>85.56269419291581</v>
      </c>
      <c r="I119" s="118" t="n">
        <v>144.9794027709961</v>
      </c>
      <c r="J119" s="118" t="n">
        <v/>
      </c>
      <c r="K119" s="120" t="n">
        <v>0.1918329965002322</v>
      </c>
      <c r="L119" s="120" t="n">
        <v>-0.1704008862660545</v>
      </c>
      <c r="M119" s="120" t="n">
        <v>-0.182692381192622</v>
      </c>
      <c r="N119" t="n">
        <v>38.88251000244334</v>
      </c>
      <c r="O119" t="n">
        <v>0.5581457058506065</v>
      </c>
      <c r="P119" t="n">
        <v>100.764741266381</v>
      </c>
      <c r="Q119" t="n">
        <v>95.86064718613865</v>
      </c>
    </row>
    <row r="120">
      <c r="A120" s="117" t="n">
        <v>44603</v>
      </c>
      <c r="B120" s="118" t="n">
        <v>133.7263505369686</v>
      </c>
      <c r="C120" s="118" t="n">
        <v>134.0034872790512</v>
      </c>
      <c r="D120" s="118" t="n">
        <v>128.9226986919903</v>
      </c>
      <c r="E120" s="118" t="n">
        <v>129.4954376220703</v>
      </c>
      <c r="F120" s="119" t="n">
        <v>6710500</v>
      </c>
      <c r="G120" s="120" t="n">
        <v>-0.03203972570584934</v>
      </c>
      <c r="H120" s="121" t="n">
        <v>82.82128894032132</v>
      </c>
      <c r="I120" s="118" t="n">
        <v>144.4949548339844</v>
      </c>
      <c r="J120" s="118" t="n">
        <v/>
      </c>
      <c r="K120" s="120" t="n">
        <v>0.2130476122622014</v>
      </c>
      <c r="L120" s="120" t="n">
        <v>-0.1969810143159059</v>
      </c>
      <c r="M120" s="120" t="n">
        <v>-0.2088786931165113</v>
      </c>
      <c r="N120" t="n">
        <v>31.86817782644663</v>
      </c>
      <c r="O120" t="n">
        <v>0.2766197479641623</v>
      </c>
      <c r="P120" t="n">
        <v>98.77779159765811</v>
      </c>
      <c r="Q120" t="n">
        <v>92.81976620043957</v>
      </c>
    </row>
    <row r="121">
      <c r="A121" s="117" t="n">
        <v>44606</v>
      </c>
      <c r="B121" s="118" t="n">
        <v>129.4030561651216</v>
      </c>
      <c r="C121" s="118" t="n">
        <v>132.2944910048797</v>
      </c>
      <c r="D121" s="118" t="n">
        <v>129.1351521707159</v>
      </c>
      <c r="E121" s="118" t="n">
        <v>130.7979583740234</v>
      </c>
      <c r="F121" s="119" t="n">
        <v>6841200</v>
      </c>
      <c r="G121" s="120" t="n">
        <v>0.01005842967035253</v>
      </c>
      <c r="H121" s="121" t="n">
        <v>83.65434105033549</v>
      </c>
      <c r="I121" s="118" t="n">
        <v>143.9756982421875</v>
      </c>
      <c r="J121" s="118" t="n">
        <v/>
      </c>
      <c r="K121" s="120" t="n">
        <v>0.2166400531319026</v>
      </c>
      <c r="L121" s="120" t="n">
        <v>-0.1889039043244446</v>
      </c>
      <c r="M121" s="120" t="n">
        <v>-0.2009212550905063</v>
      </c>
      <c r="N121" t="n">
        <v>35.66617817202213</v>
      </c>
      <c r="O121" t="n">
        <v>0.2003338352241832</v>
      </c>
      <c r="P121" t="n">
        <v>98.45487190789261</v>
      </c>
      <c r="Q121" t="n">
        <v>92.93478411341609</v>
      </c>
    </row>
    <row r="122">
      <c r="A122" s="117" t="n">
        <v>44607</v>
      </c>
      <c r="B122" s="118" t="n">
        <v>133.2275151913107</v>
      </c>
      <c r="C122" s="118" t="n">
        <v>135.1674582830447</v>
      </c>
      <c r="D122" s="118" t="n">
        <v>133.1166661331865</v>
      </c>
      <c r="E122" s="118" t="n">
        <v>134.4838562011719</v>
      </c>
      <c r="F122" s="119" t="n">
        <v>7820200</v>
      </c>
      <c r="G122" s="120" t="n">
        <v>0.02818008685279638</v>
      </c>
      <c r="H122" s="121" t="n">
        <v>86.01172764674739</v>
      </c>
      <c r="I122" s="118" t="n">
        <v>143.5200894165039</v>
      </c>
      <c r="J122" s="118" t="n">
        <v/>
      </c>
      <c r="K122" s="120" t="n">
        <v>0.2403782818627944</v>
      </c>
      <c r="L122" s="120" t="n">
        <v>-0.1660471459023434</v>
      </c>
      <c r="M122" s="120" t="n">
        <v>-0.1784031466567332</v>
      </c>
      <c r="N122" t="n">
        <v>45.00829888372233</v>
      </c>
      <c r="O122" t="n">
        <v>0.4083323958256284</v>
      </c>
      <c r="P122" t="n">
        <v>100.0426306942453</v>
      </c>
      <c r="Q122" t="n">
        <v>95.24550396916254</v>
      </c>
    </row>
    <row r="123">
      <c r="A123" s="117" t="n">
        <v>44608</v>
      </c>
      <c r="B123" s="118" t="n">
        <v>133.9665512264021</v>
      </c>
      <c r="C123" s="118" t="n">
        <v>135.7494394835342</v>
      </c>
      <c r="D123" s="118" t="n">
        <v>133.5877981234867</v>
      </c>
      <c r="E123" s="118" t="n">
        <v>135.3245086669922</v>
      </c>
      <c r="F123" s="119" t="n">
        <v>4817500</v>
      </c>
      <c r="G123" s="120" t="n">
        <v>0.006250954497934558</v>
      </c>
      <c r="H123" s="121" t="n">
        <v>86.54938304255595</v>
      </c>
      <c r="I123" s="118" t="n">
        <v>143.1058657836914</v>
      </c>
      <c r="J123" s="118" t="n">
        <v/>
      </c>
      <c r="K123" s="120" t="n">
        <v>0.2369928717328919</v>
      </c>
      <c r="L123" s="120" t="n">
        <v>-0.1577520178618399</v>
      </c>
      <c r="M123" s="120" t="n">
        <v>-0.1732673821108381</v>
      </c>
      <c r="N123" t="n">
        <v>46.90212939700708</v>
      </c>
      <c r="O123" t="n">
        <v>0.6011037444887082</v>
      </c>
      <c r="P123" t="n">
        <v>100.1547681133171</v>
      </c>
      <c r="Q123" t="n">
        <v>95.22145835397612</v>
      </c>
    </row>
    <row r="124">
      <c r="A124" s="117" t="n">
        <v>44609</v>
      </c>
      <c r="B124" s="118" t="n">
        <v>134.4469038172795</v>
      </c>
      <c r="C124" s="118" t="n">
        <v>135.7124917088873</v>
      </c>
      <c r="D124" s="118" t="n">
        <v>131.7679480768818</v>
      </c>
      <c r="E124" s="118" t="n">
        <v>131.9157562255859</v>
      </c>
      <c r="F124" s="119" t="n">
        <v>5202300</v>
      </c>
      <c r="G124" s="120" t="n">
        <v>-0.02518946844872383</v>
      </c>
      <c r="H124" s="121" t="n">
        <v>84.36925008914898</v>
      </c>
      <c r="I124" s="118" t="n">
        <v>142.5794961547851</v>
      </c>
      <c r="J124" s="118" t="n">
        <v/>
      </c>
      <c r="K124" s="120" t="n">
        <v>0.2471786747973108</v>
      </c>
      <c r="L124" s="120" t="n">
        <v>-0.1690000208585508</v>
      </c>
      <c r="M124" s="120" t="n">
        <v>-0.194092337304688</v>
      </c>
      <c r="N124" t="n">
        <v>40.77077307450027</v>
      </c>
      <c r="O124" t="n">
        <v>0.5016684482534837</v>
      </c>
      <c r="P124" t="n">
        <v>98.01532697473354</v>
      </c>
      <c r="Q124" t="n">
        <v>92.38921041532549</v>
      </c>
    </row>
    <row r="125">
      <c r="A125" s="117" t="n">
        <v>44610</v>
      </c>
      <c r="B125" s="118" t="n">
        <v>132.4422918149401</v>
      </c>
      <c r="C125" s="118" t="n">
        <v>132.9688530128332</v>
      </c>
      <c r="D125" s="118" t="n">
        <v>131.0011977302469</v>
      </c>
      <c r="E125" s="118" t="n">
        <v>132.0543060302734</v>
      </c>
      <c r="F125" s="119" t="n">
        <v>5177400</v>
      </c>
      <c r="G125" s="120" t="n">
        <v>0.001050290038519419</v>
      </c>
      <c r="H125" s="121" t="n">
        <v>84.45786227207496</v>
      </c>
      <c r="I125" s="118" t="n">
        <v>142.0751123046875</v>
      </c>
      <c r="J125" s="118" t="n">
        <v/>
      </c>
      <c r="K125" s="120" t="n">
        <v>0.2471479115438659</v>
      </c>
      <c r="L125" s="120" t="n">
        <v>-0.1675469440384445</v>
      </c>
      <c r="M125" s="120" t="n">
        <v>-0.1932459005145926</v>
      </c>
      <c r="N125" t="n">
        <v>41.10776320686116</v>
      </c>
      <c r="O125" t="n">
        <v>0.4495333888473061</v>
      </c>
      <c r="P125" t="n">
        <v>97.3806816983323</v>
      </c>
      <c r="Q125" t="n">
        <v>91.33546544499951</v>
      </c>
    </row>
    <row r="126">
      <c r="A126" s="117" t="n">
        <v>44614</v>
      </c>
      <c r="B126" s="118" t="n">
        <v>130.7979651111909</v>
      </c>
      <c r="C126" s="118" t="n">
        <v>130.8441569156151</v>
      </c>
      <c r="D126" s="118" t="n">
        <v>125.7818480765809</v>
      </c>
      <c r="E126" s="118" t="n">
        <v>127.6571197509766</v>
      </c>
      <c r="F126" s="119" t="n">
        <v>9604500</v>
      </c>
      <c r="G126" s="120" t="n">
        <v>-0.03329831802901462</v>
      </c>
      <c r="H126" s="121" t="n">
        <v>81.64555751408868</v>
      </c>
      <c r="I126" s="118" t="n">
        <v>141.5225073242187</v>
      </c>
      <c r="J126" s="118" t="n">
        <v/>
      </c>
      <c r="K126" s="120" t="n">
        <v>0.2606492128759647</v>
      </c>
      <c r="L126" s="120" t="n">
        <v>-0.1932395818376379</v>
      </c>
      <c r="M126" s="120" t="n">
        <v>-0.220109455090469</v>
      </c>
      <c r="N126" t="n">
        <v>34.41529590928134</v>
      </c>
      <c r="O126" t="n">
        <v>0.1392935493930785</v>
      </c>
      <c r="P126" t="n">
        <v>96.33560779470341</v>
      </c>
      <c r="Q126" t="n">
        <v>90.41809921677239</v>
      </c>
    </row>
    <row r="127">
      <c r="A127" s="117" t="n">
        <v>44615</v>
      </c>
      <c r="B127" s="118" t="n">
        <v>129.0150624270121</v>
      </c>
      <c r="C127" s="118" t="n">
        <v>130.2252114487041</v>
      </c>
      <c r="D127" s="118" t="n">
        <v>126.1051482271206</v>
      </c>
      <c r="E127" s="118" t="n">
        <v>126.400764465332</v>
      </c>
      <c r="F127" s="119" t="n">
        <v>7636600</v>
      </c>
      <c r="G127" s="120" t="n">
        <v>-0.009841638978658862</v>
      </c>
      <c r="H127" s="121" t="n">
        <v>80.8420314128237</v>
      </c>
      <c r="I127" s="118" t="n">
        <v>140.9270384216309</v>
      </c>
      <c r="J127" s="118" t="n">
        <v/>
      </c>
      <c r="K127" s="120" t="n">
        <v>0.2619015600489537</v>
      </c>
      <c r="L127" s="120" t="n">
        <v>-0.2011794266154636</v>
      </c>
      <c r="M127" s="120" t="n">
        <v>-0.2277848562763382</v>
      </c>
      <c r="N127" t="n">
        <v>32.77354191663582</v>
      </c>
      <c r="O127" t="n">
        <v>-0.1163350625577508</v>
      </c>
      <c r="P127" t="n">
        <v>94.62675048787806</v>
      </c>
      <c r="Q127" t="n">
        <v>88.1020433487236</v>
      </c>
    </row>
    <row r="128">
      <c r="A128" s="117" t="n">
        <v>44616</v>
      </c>
      <c r="B128" s="118" t="n">
        <v>122.8626993740415</v>
      </c>
      <c r="C128" s="118" t="n">
        <v>126.9458039324245</v>
      </c>
      <c r="D128" s="118" t="n">
        <v>120.9504686403756</v>
      </c>
      <c r="E128" s="118" t="n">
        <v>126.7148590087891</v>
      </c>
      <c r="F128" s="119" t="n">
        <v>8417200</v>
      </c>
      <c r="G128" s="120" t="n">
        <v>0.002484910156877795</v>
      </c>
      <c r="H128" s="121" t="n">
        <v>81.04291659778407</v>
      </c>
      <c r="I128" s="118" t="n">
        <v>140.3788676452637</v>
      </c>
      <c r="J128" s="118" t="n">
        <v/>
      </c>
      <c r="K128" s="120" t="n">
        <v>0.2610840627924531</v>
      </c>
      <c r="L128" s="120" t="n">
        <v>-0.1991944292591373</v>
      </c>
      <c r="M128" s="120" t="n">
        <v>-0.2258659710224042</v>
      </c>
      <c r="N128" t="n">
        <v>33.62602739305417</v>
      </c>
      <c r="O128" t="n">
        <v>-0.2238463504841874</v>
      </c>
      <c r="P128" t="n">
        <v>96.05080915399775</v>
      </c>
      <c r="Q128" t="n">
        <v>91.0626576210631</v>
      </c>
    </row>
    <row r="129">
      <c r="A129" s="117" t="n">
        <v>44617</v>
      </c>
      <c r="B129" s="118" t="n">
        <v>127.601696115572</v>
      </c>
      <c r="C129" s="118" t="n">
        <v>128.6086126185621</v>
      </c>
      <c r="D129" s="118" t="n">
        <v>125.8095612191619</v>
      </c>
      <c r="E129" s="118" t="n">
        <v>128.2206268310547</v>
      </c>
      <c r="F129" s="119" t="n">
        <v>5424500</v>
      </c>
      <c r="G129" s="120" t="n">
        <v>0.01188311958079979</v>
      </c>
      <c r="H129" s="121" t="n">
        <v>82.00595926689232</v>
      </c>
      <c r="I129" s="118" t="n">
        <v>139.8874174499512</v>
      </c>
      <c r="J129" s="118" t="n">
        <v/>
      </c>
      <c r="K129" s="120" t="n">
        <v>0.2649147563833769</v>
      </c>
      <c r="L129" s="120" t="n">
        <v>-0.1896783609010531</v>
      </c>
      <c r="M129" s="120" t="n">
        <v>-0.2166668437844972</v>
      </c>
      <c r="N129" t="n">
        <v>37.70439589315559</v>
      </c>
      <c r="O129" t="n">
        <v>-0.1563246540547594</v>
      </c>
      <c r="P129" t="n">
        <v>98.17005144632313</v>
      </c>
      <c r="Q129" t="n">
        <v>92.47477958116164</v>
      </c>
    </row>
    <row r="130">
      <c r="A130" s="117" t="n">
        <v>44620</v>
      </c>
      <c r="B130" s="118" t="n">
        <v>126.6132352741248</v>
      </c>
      <c r="C130" s="118" t="n">
        <v>127.8326311655732</v>
      </c>
      <c r="D130" s="118" t="n">
        <v>124.7471964534653</v>
      </c>
      <c r="E130" s="118" t="n">
        <v>126.1421127319336</v>
      </c>
      <c r="F130" s="119" t="n">
        <v>6613300</v>
      </c>
      <c r="G130" s="120" t="n">
        <v>-0.01621045030344281</v>
      </c>
      <c r="H130" s="121" t="n">
        <v>80.6766057396102</v>
      </c>
      <c r="I130" s="118" t="n">
        <v>139.3821096801758</v>
      </c>
      <c r="J130" s="118" t="n">
        <v/>
      </c>
      <c r="K130" s="120" t="n">
        <v>0.2663684867962999</v>
      </c>
      <c r="L130" s="120" t="n">
        <v>-0.2028140395614709</v>
      </c>
      <c r="M130" s="120" t="n">
        <v>-0.2293650269843676</v>
      </c>
      <c r="N130" t="n">
        <v>34.54866761652335</v>
      </c>
      <c r="O130" t="n">
        <v>-0.211019476063588</v>
      </c>
      <c r="P130" t="n">
        <v>97.91890057759817</v>
      </c>
      <c r="Q130" t="n">
        <v>92.7502302413799</v>
      </c>
    </row>
    <row r="131">
      <c r="A131" s="117" t="n">
        <v>44621</v>
      </c>
      <c r="B131" s="118" t="n">
        <v>126.2991831217822</v>
      </c>
      <c r="C131" s="118" t="n">
        <v>126.3268953898192</v>
      </c>
      <c r="D131" s="118" t="n">
        <v>121.1537225545639</v>
      </c>
      <c r="E131" s="118" t="n">
        <v>122.1421737670898</v>
      </c>
      <c r="F131" s="119" t="n">
        <v>6534000</v>
      </c>
      <c r="G131" s="120" t="n">
        <v>-0.03170978254775292</v>
      </c>
      <c r="H131" s="121" t="n">
        <v>78.11836811491636</v>
      </c>
      <c r="I131" s="118" t="n">
        <v>138.8186036682129</v>
      </c>
      <c r="J131" s="118" t="n">
        <v/>
      </c>
      <c r="K131" s="120" t="n">
        <v>0.2757346719656104</v>
      </c>
      <c r="L131" s="120" t="n">
        <v>-0.2280926330170983</v>
      </c>
      <c r="M131" s="120" t="n">
        <v>-0.2538016944023868</v>
      </c>
      <c r="N131" t="n">
        <v>29.44177549136121</v>
      </c>
      <c r="O131" t="n">
        <v>-0.4615899412142572</v>
      </c>
      <c r="P131" t="n">
        <v>96.4275609147596</v>
      </c>
      <c r="Q131" t="n">
        <v>91.33010426282782</v>
      </c>
    </row>
    <row r="132">
      <c r="A132" s="117" t="n">
        <v>44622</v>
      </c>
      <c r="B132" s="118" t="n">
        <v>122.844192366607</v>
      </c>
      <c r="C132" s="118" t="n">
        <v>126.1975164186666</v>
      </c>
      <c r="D132" s="118" t="n">
        <v>122.6502065677519</v>
      </c>
      <c r="E132" s="118" t="n">
        <v>125.3383941650391</v>
      </c>
      <c r="F132" s="119" t="n">
        <v>7743900</v>
      </c>
      <c r="G132" s="120" t="n">
        <v>0.02616803270624635</v>
      </c>
      <c r="H132" s="121" t="n">
        <v>80.16257212670608</v>
      </c>
      <c r="I132" s="118" t="n">
        <v>138.3441496276855</v>
      </c>
      <c r="J132" s="118" t="n">
        <v/>
      </c>
      <c r="K132" s="120" t="n">
        <v>0.2972354391064924</v>
      </c>
      <c r="L132" s="120" t="n">
        <v>-0.2078933357916972</v>
      </c>
      <c r="M132" s="120" t="n">
        <v>-0.2342751527361628</v>
      </c>
      <c r="N132" t="n">
        <v>37.40409078042185</v>
      </c>
      <c r="O132" t="n">
        <v>-0.3615020110740375</v>
      </c>
      <c r="P132" t="n">
        <v>98.20145166933234</v>
      </c>
      <c r="Q132" t="n">
        <v>92.86258014820524</v>
      </c>
    </row>
    <row r="133">
      <c r="A133" s="117" t="n">
        <v>44623</v>
      </c>
      <c r="B133" s="118" t="n">
        <v>126.3176554362452</v>
      </c>
      <c r="C133" s="118" t="n">
        <v>126.3730799691471</v>
      </c>
      <c r="D133" s="118" t="n">
        <v>123.2784119883538</v>
      </c>
      <c r="E133" s="118" t="n">
        <v>123.7587814331055</v>
      </c>
      <c r="F133" s="119" t="n">
        <v>4576500</v>
      </c>
      <c r="G133" s="120" t="n">
        <v>-0.01260278418641336</v>
      </c>
      <c r="H133" s="121" t="n">
        <v>79.15230053036541</v>
      </c>
      <c r="I133" s="118" t="n">
        <v>137.919026184082</v>
      </c>
      <c r="J133" s="118" t="n">
        <v/>
      </c>
      <c r="K133" s="120" t="n">
        <v>0.2972410380027329</v>
      </c>
      <c r="L133" s="120" t="n">
        <v>-0.2178760851333343</v>
      </c>
      <c r="M133" s="120" t="n">
        <v>-0.2439254177324033</v>
      </c>
      <c r="N133" t="n">
        <v>35.28485787183834</v>
      </c>
      <c r="O133" t="n">
        <v>-0.3508335437575054</v>
      </c>
      <c r="P133" t="n">
        <v>97.71255521587734</v>
      </c>
      <c r="Q133" t="n">
        <v>91.53606091376864</v>
      </c>
    </row>
    <row r="134">
      <c r="A134" s="117" t="n">
        <v>44624</v>
      </c>
      <c r="B134" s="118" t="n">
        <v>122.6894099921145</v>
      </c>
      <c r="C134" s="118" t="n">
        <v>123.7171462053848</v>
      </c>
      <c r="D134" s="118" t="n">
        <v>121.0135550245137</v>
      </c>
      <c r="E134" s="118" t="n">
        <v>121.4579772949219</v>
      </c>
      <c r="F134" s="119" t="n">
        <v>7084500</v>
      </c>
      <c r="G134" s="120" t="n">
        <v>-0.01859103743217794</v>
      </c>
      <c r="H134" s="121" t="n">
        <v>77.68077714836238</v>
      </c>
      <c r="I134" s="118" t="n">
        <v>137.2695974731445</v>
      </c>
      <c r="J134" s="118" t="n">
        <v/>
      </c>
      <c r="K134" s="120" t="n">
        <v>0.2942144629494139</v>
      </c>
      <c r="L134" s="120" t="n">
        <v>-0.2277276309983547</v>
      </c>
      <c r="M134" s="120" t="n">
        <v>-0.2579816285928584</v>
      </c>
      <c r="N134" t="n">
        <v>32.4049131228348</v>
      </c>
      <c r="O134" t="n">
        <v>-0.4419958521811869</v>
      </c>
      <c r="P134" t="n">
        <v>96.91868309632228</v>
      </c>
      <c r="Q134" t="n">
        <v>90.20950811950624</v>
      </c>
    </row>
    <row r="135">
      <c r="A135" s="117" t="n">
        <v>44627</v>
      </c>
      <c r="B135" s="118" t="n">
        <v>121.2912893455789</v>
      </c>
      <c r="C135" s="118" t="n">
        <v>121.3190648464928</v>
      </c>
      <c r="D135" s="118" t="n">
        <v>114.9674746255691</v>
      </c>
      <c r="E135" s="118" t="n">
        <v>115.2174682617188</v>
      </c>
      <c r="F135" s="119" t="n">
        <v>11383400</v>
      </c>
      <c r="G135" s="120" t="n">
        <v>-0.05137998484899875</v>
      </c>
      <c r="H135" s="121" t="n">
        <v>73.68953999542107</v>
      </c>
      <c r="I135" s="118" t="n">
        <v>136.5173443603516</v>
      </c>
      <c r="J135" s="118" t="n">
        <v/>
      </c>
      <c r="K135" s="120" t="n">
        <v>0.3363583014534289</v>
      </c>
      <c r="L135" s="120" t="n">
        <v>-0.2622503513178706</v>
      </c>
      <c r="M135" s="120" t="n">
        <v>-0.2961065212734362</v>
      </c>
      <c r="N135" t="n">
        <v>26.16658887519287</v>
      </c>
      <c r="O135" t="n">
        <v>-0.8426202037802399</v>
      </c>
      <c r="P135" t="n">
        <v>94.06160466268207</v>
      </c>
      <c r="Q135" t="n">
        <v>86.88247927911483</v>
      </c>
    </row>
    <row r="136">
      <c r="A136" s="117" t="n">
        <v>44628</v>
      </c>
      <c r="B136" s="118" t="n">
        <v>115.9581788889082</v>
      </c>
      <c r="C136" s="118" t="n">
        <v>116.1711361778197</v>
      </c>
      <c r="D136" s="118" t="n">
        <v>111.8472421158406</v>
      </c>
      <c r="E136" s="118" t="n">
        <v>112.2268524169922</v>
      </c>
      <c r="F136" s="119" t="n">
        <v>9089400</v>
      </c>
      <c r="G136" s="120" t="n">
        <v>-0.025956271126643</v>
      </c>
      <c r="H136" s="121" t="n">
        <v>71.77683431610232</v>
      </c>
      <c r="I136" s="118" t="n">
        <v>135.7010296630859</v>
      </c>
      <c r="J136" s="118" t="n">
        <v/>
      </c>
      <c r="K136" s="120" t="n">
        <v>0.3418666402067634</v>
      </c>
      <c r="L136" s="120" t="n">
        <v>-0.2813995812226494</v>
      </c>
      <c r="M136" s="120" t="n">
        <v>-0.3143769712515389</v>
      </c>
      <c r="N136" t="n">
        <v>23.80180095163426</v>
      </c>
      <c r="O136" t="n">
        <v>-1.206886885419906</v>
      </c>
      <c r="P136" t="n">
        <v>93.34846246556839</v>
      </c>
      <c r="Q136" t="n">
        <v>86.47863711533836</v>
      </c>
    </row>
    <row r="137">
      <c r="A137" s="117" t="n">
        <v>44629</v>
      </c>
      <c r="B137" s="118" t="n">
        <v>117.9395672168054</v>
      </c>
      <c r="C137" s="118" t="n">
        <v>120.0413290902511</v>
      </c>
      <c r="D137" s="118" t="n">
        <v>117.2451514739897</v>
      </c>
      <c r="E137" s="118" t="n">
        <v>117.5414352416992</v>
      </c>
      <c r="F137" s="119" t="n">
        <v>8845100</v>
      </c>
      <c r="G137" s="120" t="n">
        <v>0.04735571487793377</v>
      </c>
      <c r="H137" s="121" t="n">
        <v>75.17587761681635</v>
      </c>
      <c r="I137" s="118" t="n">
        <v>134.9557179260254</v>
      </c>
      <c r="J137" s="118" t="n">
        <v/>
      </c>
      <c r="K137" s="120" t="n">
        <v>0.3950996072572315</v>
      </c>
      <c r="L137" s="120" t="n">
        <v>-0.2461213374249027</v>
      </c>
      <c r="M137" s="120" t="n">
        <v>-0.2819088025883814</v>
      </c>
      <c r="N137" t="n">
        <v>35.03752101830349</v>
      </c>
      <c r="O137" t="n">
        <v>-0.9965007065556053</v>
      </c>
      <c r="P137" t="n">
        <v>95.85122098643386</v>
      </c>
      <c r="Q137" t="n">
        <v>89.59171367629185</v>
      </c>
    </row>
    <row r="138">
      <c r="A138" s="117" t="n">
        <v>44630</v>
      </c>
      <c r="B138" s="118" t="n">
        <v>114.8285998076252</v>
      </c>
      <c r="C138" s="118" t="n">
        <v>117.2173919845333</v>
      </c>
      <c r="D138" s="118" t="n">
        <v>114.810085160098</v>
      </c>
      <c r="E138" s="118" t="n">
        <v>116.6896362304688</v>
      </c>
      <c r="F138" s="119" t="n">
        <v>7167400</v>
      </c>
      <c r="G138" s="120" t="n">
        <v>-0.007246797773729052</v>
      </c>
      <c r="H138" s="121" t="n">
        <v>74.63109323426468</v>
      </c>
      <c r="I138" s="118" t="n">
        <v>134.2148020935059</v>
      </c>
      <c r="J138" s="118" t="n">
        <v/>
      </c>
      <c r="K138" s="120" t="n">
        <v>0.3841424041155527</v>
      </c>
      <c r="L138" s="120" t="n">
        <v>-0.2515845436385137</v>
      </c>
      <c r="M138" s="120" t="n">
        <v>-0.2871126642791183</v>
      </c>
      <c r="N138" t="n">
        <v>34.16790566604453</v>
      </c>
      <c r="O138" t="n">
        <v>-0.8282148950417287</v>
      </c>
      <c r="P138" t="n">
        <v>95.41839687932543</v>
      </c>
      <c r="Q138" t="n">
        <v>88.59679908059505</v>
      </c>
    </row>
    <row r="139">
      <c r="A139" s="117" t="n">
        <v>44631</v>
      </c>
      <c r="B139" s="118" t="n">
        <v>117.5970035293588</v>
      </c>
      <c r="C139" s="118" t="n">
        <v>118.3932675488042</v>
      </c>
      <c r="D139" s="118" t="n">
        <v>113.4305087101987</v>
      </c>
      <c r="E139" s="118" t="n">
        <v>113.5416107177734</v>
      </c>
      <c r="F139" s="119" t="n">
        <v>5882000</v>
      </c>
      <c r="G139" s="120" t="n">
        <v>-0.02697776438755695</v>
      </c>
      <c r="H139" s="121" t="n">
        <v>72.6177131850049</v>
      </c>
      <c r="I139" s="118" t="n">
        <v>133.3673225402832</v>
      </c>
      <c r="J139" s="118" t="n">
        <v/>
      </c>
      <c r="K139" s="120" t="n">
        <v>0.3905712516067085</v>
      </c>
      <c r="L139" s="120" t="n">
        <v>-0.2717751194842397</v>
      </c>
      <c r="M139" s="120" t="n">
        <v>-0.3063447708570695</v>
      </c>
      <c r="N139" t="n">
        <v>31.0961527255576</v>
      </c>
      <c r="O139" t="n">
        <v>-0.839790740125343</v>
      </c>
      <c r="P139" t="n">
        <v>94.20512775752063</v>
      </c>
      <c r="Q139" t="n">
        <v>86.75946573764122</v>
      </c>
    </row>
    <row r="140">
      <c r="A140" s="117" t="n">
        <v>44634</v>
      </c>
      <c r="B140" s="118" t="n">
        <v>112.5231196010251</v>
      </c>
      <c r="C140" s="118" t="n">
        <v>113.374934502998</v>
      </c>
      <c r="D140" s="118" t="n">
        <v>108.0973779755985</v>
      </c>
      <c r="E140" s="118" t="n">
        <v>108.8566055297852</v>
      </c>
      <c r="F140" s="119" t="n">
        <v>13884900</v>
      </c>
      <c r="G140" s="120" t="n">
        <v>-0.04126245134599715</v>
      </c>
      <c r="H140" s="121" t="n">
        <v>69.62132832785105</v>
      </c>
      <c r="I140" s="118" t="n">
        <v>132.4499768066406</v>
      </c>
      <c r="J140" s="118" t="n">
        <v/>
      </c>
      <c r="K140" s="120" t="n">
        <v>0.3994096187475807</v>
      </c>
      <c r="L140" s="120" t="n">
        <v>-0.301823463185466</v>
      </c>
      <c r="M140" s="120" t="n">
        <v>-0.3349666860004762</v>
      </c>
      <c r="N140" t="n">
        <v>27.17988751633845</v>
      </c>
      <c r="O140" t="n">
        <v>-1.059665961380965</v>
      </c>
      <c r="P140" t="n">
        <v>93.51664313650177</v>
      </c>
      <c r="Q140" t="n">
        <v>85.09327072635968</v>
      </c>
    </row>
    <row r="141">
      <c r="A141" s="117" t="n">
        <v>44635</v>
      </c>
      <c r="B141" s="118" t="n">
        <v>110.9583959802366</v>
      </c>
      <c r="C141" s="118" t="n">
        <v>111.4954126258144</v>
      </c>
      <c r="D141" s="118" t="n">
        <v>109.0232937744333</v>
      </c>
      <c r="E141" s="118" t="n">
        <v>110.5510101318359</v>
      </c>
      <c r="F141" s="119" t="n">
        <v>10431300</v>
      </c>
      <c r="G141" s="120" t="n">
        <v>0.01556547343915815</v>
      </c>
      <c r="H141" s="121" t="n">
        <v>70.70501726473712</v>
      </c>
      <c r="I141" s="118" t="n">
        <v>131.581669921875</v>
      </c>
      <c r="J141" s="118" t="n">
        <v/>
      </c>
      <c r="K141" s="120" t="n">
        <v>0.4032345463098524</v>
      </c>
      <c r="L141" s="120" t="n">
        <v>-0.2909560148458359</v>
      </c>
      <c r="M141" s="120" t="n">
        <v>-0.3246151276152613</v>
      </c>
      <c r="N141" t="n">
        <v>30.58484326445279</v>
      </c>
      <c r="O141" t="n">
        <v>-0.9890387513566843</v>
      </c>
      <c r="P141" t="n">
        <v>95.57312135091503</v>
      </c>
      <c r="Q141" t="n">
        <v>87.76237596183513</v>
      </c>
    </row>
    <row r="142">
      <c r="A142" s="117" t="n">
        <v>44636</v>
      </c>
      <c r="B142" s="118" t="n">
        <v>113.7453071434644</v>
      </c>
      <c r="C142" s="118" t="n">
        <v>116.7637031457403</v>
      </c>
      <c r="D142" s="118" t="n">
        <v>112.8934921202827</v>
      </c>
      <c r="E142" s="118" t="n">
        <v>115.9118881225586</v>
      </c>
      <c r="F142" s="119" t="n">
        <v>11100400</v>
      </c>
      <c r="G142" s="120" t="n">
        <v>0.04849234741798947</v>
      </c>
      <c r="H142" s="121" t="n">
        <v>74.1336695261337</v>
      </c>
      <c r="I142" s="118" t="n">
        <v>130.8575312805176</v>
      </c>
      <c r="J142" s="118" t="n">
        <v/>
      </c>
      <c r="K142" s="120" t="n">
        <v>0.4328125009384615</v>
      </c>
      <c r="L142" s="120" t="n">
        <v>-0.2565728075831044</v>
      </c>
      <c r="M142" s="120" t="n">
        <v>-0.2918641297427261</v>
      </c>
      <c r="N142" t="n">
        <v>40.12412136848032</v>
      </c>
      <c r="O142" t="n">
        <v>-0.5037926549379419</v>
      </c>
      <c r="P142" t="n">
        <v>97.69238546410421</v>
      </c>
      <c r="Q142" t="n">
        <v>91.01717566714632</v>
      </c>
    </row>
    <row r="143">
      <c r="A143" s="117" t="n">
        <v>44637</v>
      </c>
      <c r="B143" s="118" t="n">
        <v>115.6804325436967</v>
      </c>
      <c r="C143" s="118" t="n">
        <v>117.9673767089844</v>
      </c>
      <c r="D143" s="118" t="n">
        <v>114.5323265007739</v>
      </c>
      <c r="E143" s="118" t="n">
        <v>117.9673767089844</v>
      </c>
      <c r="F143" s="119" t="n">
        <v>6845300</v>
      </c>
      <c r="G143" s="120" t="n">
        <v>0.01773319906800608</v>
      </c>
      <c r="H143" s="121" t="n">
        <v>75.44829664548242</v>
      </c>
      <c r="I143" s="118" t="n">
        <v>130.1427241516113</v>
      </c>
      <c r="J143" s="118" t="n">
        <v/>
      </c>
      <c r="K143" s="120" t="n">
        <v>0.4393624224583255</v>
      </c>
      <c r="L143" s="120" t="n">
        <v>-0.2433894651874067</v>
      </c>
      <c r="M143" s="120" t="n">
        <v>-0.2793066153882582</v>
      </c>
      <c r="N143" t="n">
        <v>43.33931303205379</v>
      </c>
      <c r="O143" t="n">
        <v>0.006097140342294693</v>
      </c>
      <c r="P143" t="n">
        <v>98.91460114006729</v>
      </c>
      <c r="Q143" t="n">
        <v>92.11906220758385</v>
      </c>
    </row>
    <row r="144">
      <c r="A144" s="117" t="n">
        <v>44638</v>
      </c>
      <c r="B144" s="118" t="n">
        <v>117.4488801170856</v>
      </c>
      <c r="C144" s="118" t="n">
        <v>121.7172310165866</v>
      </c>
      <c r="D144" s="118" t="n">
        <v>117.3099955176196</v>
      </c>
      <c r="E144" s="118" t="n">
        <v>121.5135345458984</v>
      </c>
      <c r="F144" s="119" t="n">
        <v>10350900</v>
      </c>
      <c r="G144" s="120" t="n">
        <v>0.03006049584083015</v>
      </c>
      <c r="H144" s="121" t="n">
        <v>77.71630985299166</v>
      </c>
      <c r="I144" s="118" t="n">
        <v>129.5753294372558</v>
      </c>
      <c r="J144" s="118" t="n">
        <v/>
      </c>
      <c r="K144" s="120" t="n">
        <v>0.4517483032952619</v>
      </c>
      <c r="L144" s="120" t="n">
        <v>-0.2206453773525444</v>
      </c>
      <c r="M144" s="120" t="n">
        <v>-0.2576422148976231</v>
      </c>
      <c r="N144" t="n">
        <v>48.47932561818806</v>
      </c>
      <c r="O144" t="n">
        <v>0.5998209954944311</v>
      </c>
      <c r="P144" t="n">
        <v>99.99798520690895</v>
      </c>
      <c r="Q144" t="n">
        <v>94.00457068047501</v>
      </c>
    </row>
    <row r="145">
      <c r="A145" s="117" t="n">
        <v>44641</v>
      </c>
      <c r="B145" s="118" t="n">
        <v>120.1061524556003</v>
      </c>
      <c r="C145" s="118" t="n">
        <v>122.5041981855635</v>
      </c>
      <c r="D145" s="118" t="n">
        <v>119.0876703439161</v>
      </c>
      <c r="E145" s="118" t="n">
        <v>120.5413208007812</v>
      </c>
      <c r="F145" s="119" t="n">
        <v>14388500</v>
      </c>
      <c r="G145" s="120" t="n">
        <v>-0.008000867958868896</v>
      </c>
      <c r="H145" s="121" t="n">
        <v>77.09451191960733</v>
      </c>
      <c r="I145" s="118" t="n">
        <v>129.0108460998535</v>
      </c>
      <c r="J145" s="118" t="n">
        <v/>
      </c>
      <c r="K145" s="120" t="n">
        <v>0.4516246714808284</v>
      </c>
      <c r="L145" s="120" t="n">
        <v>-0.2268808907814808</v>
      </c>
      <c r="M145" s="120" t="n">
        <v>-0.2635817215144656</v>
      </c>
      <c r="N145" t="n">
        <v>47.21473974709389</v>
      </c>
      <c r="O145" t="n">
        <v>0.9252473976640134</v>
      </c>
      <c r="P145" t="n">
        <v>99.96875252303727</v>
      </c>
      <c r="Q145" t="n">
        <v>93.74319836718028</v>
      </c>
    </row>
    <row r="146">
      <c r="A146" s="117" t="n">
        <v>44642</v>
      </c>
      <c r="B146" s="118" t="n">
        <v>127.1058586347378</v>
      </c>
      <c r="C146" s="118" t="n">
        <v>128.6983865627264</v>
      </c>
      <c r="D146" s="118" t="n">
        <v>123.1338067333693</v>
      </c>
      <c r="E146" s="118" t="n">
        <v>123.2263870239258</v>
      </c>
      <c r="F146" s="119" t="n">
        <v>19731200</v>
      </c>
      <c r="G146" s="120" t="n">
        <v>0.02227506887519626</v>
      </c>
      <c r="H146" s="121" t="n">
        <v>78.81179748251623</v>
      </c>
      <c r="I146" s="118" t="n">
        <v>128.5752606201172</v>
      </c>
      <c r="J146" s="118" t="n">
        <v/>
      </c>
      <c r="K146" s="120" t="n">
        <v>0.4471399993107175</v>
      </c>
      <c r="L146" s="120" t="n">
        <v>-0.2096596093749079</v>
      </c>
      <c r="M146" s="120" t="n">
        <v>-0.2471779536402469</v>
      </c>
      <c r="N146" t="n">
        <v>51.01515799691151</v>
      </c>
      <c r="O146" t="n">
        <v>1.296741001870195</v>
      </c>
      <c r="P146" t="n">
        <v>101.138525389666</v>
      </c>
      <c r="Q146" t="n">
        <v>95.58553212417846</v>
      </c>
    </row>
    <row r="147">
      <c r="A147" s="117" t="n">
        <v>44643</v>
      </c>
      <c r="B147" s="118" t="n">
        <v>122.80972343666</v>
      </c>
      <c r="C147" s="118" t="n">
        <v>125.365167975494</v>
      </c>
      <c r="D147" s="118" t="n">
        <v>121.4764431110343</v>
      </c>
      <c r="E147" s="118" t="n">
        <v>123.1430435180664</v>
      </c>
      <c r="F147" s="119" t="n">
        <v>8068800</v>
      </c>
      <c r="G147" s="120" t="n">
        <v>-0.0006763446358546421</v>
      </c>
      <c r="H147" s="121" t="n">
        <v>78.75849354604686</v>
      </c>
      <c r="I147" s="118" t="n">
        <v>128.2586528015137</v>
      </c>
      <c r="J147" s="118" t="n">
        <v/>
      </c>
      <c r="K147" s="120" t="n">
        <v>0.4460239551136566</v>
      </c>
      <c r="L147" s="120" t="n">
        <v>-0.2101941518586065</v>
      </c>
      <c r="M147" s="120" t="n">
        <v>-0.2476871207930553</v>
      </c>
      <c r="N147" t="n">
        <v>50.89267509861377</v>
      </c>
      <c r="O147" t="n">
        <v>1.49800535080422</v>
      </c>
      <c r="P147" t="n">
        <v>99.83602348215879</v>
      </c>
      <c r="Q147" t="n">
        <v>94.21181938470916</v>
      </c>
    </row>
    <row r="148">
      <c r="A148" s="117" t="n">
        <v>44644</v>
      </c>
      <c r="B148" s="118" t="n">
        <v>123.8374752122662</v>
      </c>
      <c r="C148" s="118" t="n">
        <v>124.244868045395</v>
      </c>
      <c r="D148" s="118" t="n">
        <v>121.4764588405782</v>
      </c>
      <c r="E148" s="118" t="n">
        <v>122.2912445068359</v>
      </c>
      <c r="F148" s="119" t="n">
        <v>5853800</v>
      </c>
      <c r="G148" s="120" t="n">
        <v>-0.006917150875075606</v>
      </c>
      <c r="H148" s="121" t="n">
        <v>78.21370916349518</v>
      </c>
      <c r="I148" s="118" t="n">
        <v>127.9275953674316</v>
      </c>
      <c r="J148" s="118" t="n">
        <v/>
      </c>
      <c r="K148" s="120" t="n">
        <v>0.4463177735086999</v>
      </c>
      <c r="L148" s="120" t="n">
        <v>-0.2156573580722175</v>
      </c>
      <c r="M148" s="120" t="n">
        <v>-0.2528909824837923</v>
      </c>
      <c r="N148" t="n">
        <v>49.58242549730814</v>
      </c>
      <c r="O148" t="n">
        <v>1.52956739836726</v>
      </c>
      <c r="P148" t="n">
        <v>101.340979364009</v>
      </c>
      <c r="Q148" t="n">
        <v>96.30583505530203</v>
      </c>
    </row>
    <row r="149">
      <c r="A149" s="117" t="n">
        <v>44645</v>
      </c>
      <c r="B149" s="118" t="n">
        <v>123.1893621139251</v>
      </c>
      <c r="C149" s="118" t="n">
        <v>123.9485826863551</v>
      </c>
      <c r="D149" s="118" t="n">
        <v>121.9486759785364</v>
      </c>
      <c r="E149" s="118" t="n">
        <v>123.7911834716797</v>
      </c>
      <c r="F149" s="119" t="n">
        <v>6287000</v>
      </c>
      <c r="G149" s="120" t="n">
        <v>0.0122653013377414</v>
      </c>
      <c r="H149" s="121" t="n">
        <v>79.17302387512791</v>
      </c>
      <c r="I149" s="118" t="n">
        <v>127.5912483215332</v>
      </c>
      <c r="J149" s="118" t="n">
        <v/>
      </c>
      <c r="K149" s="120" t="n">
        <v>0.4464706676145433</v>
      </c>
      <c r="L149" s="120" t="n">
        <v>-0.199921991995057</v>
      </c>
      <c r="M149" s="120" t="n">
        <v>-0.2437274652518121</v>
      </c>
      <c r="N149" t="n">
        <v>51.92935397302506</v>
      </c>
      <c r="O149" t="n">
        <v>1.599705026467618</v>
      </c>
      <c r="P149" t="n">
        <v>101.8358911022517</v>
      </c>
      <c r="Q149" t="n">
        <v>96.22550122229086</v>
      </c>
    </row>
    <row r="150">
      <c r="A150" s="117" t="n">
        <v>44648</v>
      </c>
      <c r="B150" s="118" t="n">
        <v>123.8467541376981</v>
      </c>
      <c r="C150" s="118" t="n">
        <v>124.8652364272223</v>
      </c>
      <c r="D150" s="118" t="n">
        <v>122.3745958420537</v>
      </c>
      <c r="E150" s="118" t="n">
        <v>124.8189392089844</v>
      </c>
      <c r="F150" s="119" t="n">
        <v>5804100</v>
      </c>
      <c r="G150" s="120" t="n">
        <v>0.008302333885836122</v>
      </c>
      <c r="H150" s="121" t="n">
        <v>79.8303447540905</v>
      </c>
      <c r="I150" s="118" t="n">
        <v>127.323863067627</v>
      </c>
      <c r="J150" s="118" t="n">
        <v/>
      </c>
      <c r="K150" s="120" t="n">
        <v>0.4441445295559686</v>
      </c>
      <c r="L150" s="120" t="n">
        <v>-0.1893102897732174</v>
      </c>
      <c r="M150" s="120" t="n">
        <v>-0.237448638159645</v>
      </c>
      <c r="N150" t="n">
        <v>53.52571681974768</v>
      </c>
      <c r="O150" t="n">
        <v>1.656564668935801</v>
      </c>
      <c r="P150" t="n">
        <v>102.5602564969802</v>
      </c>
      <c r="Q150" t="n">
        <v>97.7143409441705</v>
      </c>
    </row>
    <row r="151">
      <c r="A151" s="117" t="n">
        <v>44649</v>
      </c>
      <c r="B151" s="118" t="n">
        <v>127.633598998407</v>
      </c>
      <c r="C151" s="118" t="n">
        <v>129.3927796175301</v>
      </c>
      <c r="D151" s="118" t="n">
        <v>126.8002917620417</v>
      </c>
      <c r="E151" s="118" t="n">
        <v>128.8279876708984</v>
      </c>
      <c r="F151" s="119" t="n">
        <v>7275900</v>
      </c>
      <c r="G151" s="120" t="n">
        <v>0.03211891149949375</v>
      </c>
      <c r="H151" s="121" t="n">
        <v>82.39440853222121</v>
      </c>
      <c r="I151" s="118" t="n">
        <v>127.162709197998</v>
      </c>
      <c r="J151" s="118" t="n">
        <v/>
      </c>
      <c r="K151" s="120" t="n">
        <v>0.4417823671657479</v>
      </c>
      <c r="L151" s="120" t="n">
        <v>-0.1618639802489525</v>
      </c>
      <c r="M151" s="120" t="n">
        <v>-0.2129563184548763</v>
      </c>
      <c r="N151" t="n">
        <v>59.21535235176894</v>
      </c>
      <c r="O151" t="n">
        <v>1.888604741704877</v>
      </c>
      <c r="P151" t="n">
        <v>103.8290015281877</v>
      </c>
      <c r="Q151" t="n">
        <v>99.39597347532055</v>
      </c>
    </row>
    <row r="152">
      <c r="A152" s="117" t="n">
        <v>44650</v>
      </c>
      <c r="B152" s="118" t="n">
        <v>128.679838431699</v>
      </c>
      <c r="C152" s="118" t="n">
        <v>129.4946239376751</v>
      </c>
      <c r="D152" s="118" t="n">
        <v>127.3650799011878</v>
      </c>
      <c r="E152" s="118" t="n">
        <v>128.2724456787109</v>
      </c>
      <c r="F152" s="119" t="n">
        <v>5545800</v>
      </c>
      <c r="G152" s="120" t="n">
        <v>-0.004312277186279356</v>
      </c>
      <c r="H152" s="121" t="n">
        <v>82.03910100403074</v>
      </c>
      <c r="I152" s="118" t="n">
        <v>127.0131687927246</v>
      </c>
      <c r="J152" s="118" t="n">
        <v/>
      </c>
      <c r="K152" s="120" t="n">
        <v>0.4337913673191067</v>
      </c>
      <c r="L152" s="120" t="n">
        <v>-0.1654782550859238</v>
      </c>
      <c r="M152" s="120" t="n">
        <v>-0.2163502689674086</v>
      </c>
      <c r="N152" t="n">
        <v>58.15291457960895</v>
      </c>
      <c r="O152" t="n">
        <v>1.92267457903807</v>
      </c>
      <c r="P152" t="n">
        <v>103.1878972761015</v>
      </c>
      <c r="Q152" t="n">
        <v>98.29810572402268</v>
      </c>
    </row>
    <row r="153">
      <c r="A153" s="117" t="n">
        <v>44651</v>
      </c>
      <c r="B153" s="118" t="n">
        <v>127.6151205202249</v>
      </c>
      <c r="C153" s="118" t="n">
        <v>128.4299063265558</v>
      </c>
      <c r="D153" s="118" t="n">
        <v>124.5319123699159</v>
      </c>
      <c r="E153" s="118" t="n">
        <v>124.5874633789062</v>
      </c>
      <c r="F153" s="119" t="n">
        <v>7206500</v>
      </c>
      <c r="G153" s="120" t="n">
        <v>-0.02872777766344781</v>
      </c>
      <c r="H153" s="121" t="n">
        <v>79.6822999506778</v>
      </c>
      <c r="I153" s="118" t="n">
        <v>126.823924407959</v>
      </c>
      <c r="J153" s="118" t="n">
        <v/>
      </c>
      <c r="K153" s="120" t="n">
        <v>0.444396967519146</v>
      </c>
      <c r="L153" s="120" t="n">
        <v>-0.1687700491206634</v>
      </c>
      <c r="M153" s="120" t="n">
        <v>-0.2388627842065335</v>
      </c>
      <c r="N153" t="n">
        <v>51.54642259754327</v>
      </c>
      <c r="O153" t="n">
        <v>1.626778777178433</v>
      </c>
      <c r="P153" t="n">
        <v>101.5996875252303</v>
      </c>
      <c r="Q153" t="n">
        <v>97.07972463827338</v>
      </c>
    </row>
    <row r="154">
      <c r="A154" s="117" t="n">
        <v>44652</v>
      </c>
      <c r="B154" s="118" t="n">
        <v>124.4856264685914</v>
      </c>
      <c r="C154" s="118" t="n">
        <v>125.2541151279753</v>
      </c>
      <c r="D154" s="118" t="n">
        <v>122.9116198497732</v>
      </c>
      <c r="E154" s="118" t="n">
        <v>123.6245574951172</v>
      </c>
      <c r="F154" s="119" t="n">
        <v>5807500</v>
      </c>
      <c r="G154" s="120" t="n">
        <v>-0.007728754223533585</v>
      </c>
      <c r="H154" s="121" t="n">
        <v>79.06645503839313</v>
      </c>
      <c r="I154" s="118" t="n">
        <v>126.6593934631348</v>
      </c>
      <c r="J154" s="118" t="n">
        <v/>
      </c>
      <c r="K154" s="120" t="n">
        <v>0.4397898917128485</v>
      </c>
      <c r="L154" s="120" t="n">
        <v>-0.1689970608734089</v>
      </c>
      <c r="M154" s="120" t="n">
        <v>-0.244745426677786</v>
      </c>
      <c r="N154" t="n">
        <v>49.94957189335881</v>
      </c>
      <c r="O154" t="n">
        <v>1.309587051754138</v>
      </c>
      <c r="P154" t="n">
        <v>101.8876356439445</v>
      </c>
      <c r="Q154" t="n">
        <v>96.894944237413</v>
      </c>
    </row>
    <row r="155">
      <c r="A155" s="117" t="n">
        <v>44655</v>
      </c>
      <c r="B155" s="118" t="n">
        <v>123.1893468799384</v>
      </c>
      <c r="C155" s="118" t="n">
        <v>125.1892674683658</v>
      </c>
      <c r="D155" s="118" t="n">
        <v>123.0134259770781</v>
      </c>
      <c r="E155" s="118" t="n">
        <v>124.3837356567383</v>
      </c>
      <c r="F155" s="119" t="n">
        <v>5307300</v>
      </c>
      <c r="G155" s="120" t="n">
        <v>0.006140998010456533</v>
      </c>
      <c r="H155" s="121" t="n">
        <v>79.55200198147776</v>
      </c>
      <c r="I155" s="118" t="n">
        <v>126.5059820556641</v>
      </c>
      <c r="J155" s="118" t="n">
        <v/>
      </c>
      <c r="K155" s="120" t="n">
        <v>0.3934485739339749</v>
      </c>
      <c r="L155" s="120" t="n">
        <v>-0.1422146225896392</v>
      </c>
      <c r="M155" s="120" t="n">
        <v>-0.240107409845626</v>
      </c>
      <c r="N155" t="n">
        <v>51.23232301377061</v>
      </c>
      <c r="O155" t="n">
        <v>1.1025897352739</v>
      </c>
      <c r="P155" t="n">
        <v>102.7604629223518</v>
      </c>
      <c r="Q155" t="n">
        <v>98.88989969219773</v>
      </c>
    </row>
    <row r="156">
      <c r="A156" s="117" t="n">
        <v>44656</v>
      </c>
      <c r="B156" s="118" t="n">
        <v>124.1059617577885</v>
      </c>
      <c r="C156" s="118" t="n">
        <v>124.698529228358</v>
      </c>
      <c r="D156" s="118" t="n">
        <v>122.2356790672577</v>
      </c>
      <c r="E156" s="118" t="n">
        <v>122.4949264526367</v>
      </c>
      <c r="F156" s="119" t="n">
        <v>5707800</v>
      </c>
      <c r="G156" s="120" t="n">
        <v>-0.01518533909701913</v>
      </c>
      <c r="H156" s="121" t="n">
        <v>78.34397785554228</v>
      </c>
      <c r="I156" s="118" t="n">
        <v>126.2584434509277</v>
      </c>
      <c r="J156" s="118" t="n">
        <v/>
      </c>
      <c r="K156" s="120" t="n">
        <v>0.3842770886892791</v>
      </c>
      <c r="L156" s="120" t="n">
        <v>-0.1288229709185784</v>
      </c>
      <c r="M156" s="120" t="n">
        <v>-0.2516466365044323</v>
      </c>
      <c r="N156" t="n">
        <v>47.94028894968529</v>
      </c>
      <c r="O156" t="n">
        <v>0.8040098883393096</v>
      </c>
      <c r="P156" t="n">
        <v>101.4624488391663</v>
      </c>
      <c r="Q156" t="n">
        <v>96.6941138498633</v>
      </c>
    </row>
    <row r="157">
      <c r="A157" s="117" t="n">
        <v>44657</v>
      </c>
      <c r="B157" s="118" t="n">
        <v>120.4116682832927</v>
      </c>
      <c r="C157" s="118" t="n">
        <v>120.6431401507624</v>
      </c>
      <c r="D157" s="118" t="n">
        <v>116.9673657651107</v>
      </c>
      <c r="E157" s="118" t="n">
        <v>118.8469161987305</v>
      </c>
      <c r="F157" s="119" t="n">
        <v>6961000</v>
      </c>
      <c r="G157" s="120" t="n">
        <v>-0.02978090896945651</v>
      </c>
      <c r="H157" s="121" t="n">
        <v>76.01082298272127</v>
      </c>
      <c r="I157" s="118" t="n">
        <v>125.9475521850586</v>
      </c>
      <c r="J157" s="118" t="n">
        <v/>
      </c>
      <c r="K157" s="120" t="n">
        <v>0.3678115937333639</v>
      </c>
      <c r="L157" s="120" t="n">
        <v>-0.1547674147179336</v>
      </c>
      <c r="M157" s="120" t="n">
        <v>-0.2739332798996804</v>
      </c>
      <c r="N157" t="n">
        <v>42.28839369770188</v>
      </c>
      <c r="O157" t="n">
        <v>0.3495793321664005</v>
      </c>
      <c r="P157" t="n">
        <v>100.4479095976159</v>
      </c>
      <c r="Q157" t="n">
        <v>94.59472860714226</v>
      </c>
    </row>
    <row r="158">
      <c r="A158" s="117" t="n">
        <v>44658</v>
      </c>
      <c r="B158" s="118" t="n">
        <v>117.9858661226858</v>
      </c>
      <c r="C158" s="118" t="n">
        <v>120.3468754438496</v>
      </c>
      <c r="D158" s="118" t="n">
        <v>117.6710606414866</v>
      </c>
      <c r="E158" s="118" t="n">
        <v>119.7913513183594</v>
      </c>
      <c r="F158" s="119" t="n">
        <v>5320500</v>
      </c>
      <c r="G158" s="120" t="n">
        <v>0.007946652297226242</v>
      </c>
      <c r="H158" s="121" t="n">
        <v>76.61485456379096</v>
      </c>
      <c r="I158" s="118" t="n">
        <v>125.6830780029297</v>
      </c>
      <c r="J158" s="118" t="n">
        <v/>
      </c>
      <c r="K158" s="120" t="n">
        <v>0.3673528530345686</v>
      </c>
      <c r="L158" s="120" t="n">
        <v>-0.1480506452524115</v>
      </c>
      <c r="M158" s="120" t="n">
        <v>-0.2681634801304557</v>
      </c>
      <c r="N158" t="n">
        <v>44.12498232974751</v>
      </c>
      <c r="O158" t="n">
        <v>0.1135689443769601</v>
      </c>
      <c r="P158" t="n">
        <v>100.9540663543373</v>
      </c>
      <c r="Q158" t="n">
        <v>94.81967172953001</v>
      </c>
    </row>
    <row r="159">
      <c r="A159" s="117" t="n">
        <v>44659</v>
      </c>
      <c r="B159" s="118" t="n">
        <v>119.8469070206151</v>
      </c>
      <c r="C159" s="118" t="n">
        <v>120.3005829550445</v>
      </c>
      <c r="D159" s="118" t="n">
        <v>118.4025173946095</v>
      </c>
      <c r="E159" s="118" t="n">
        <v>118.6525039672852</v>
      </c>
      <c r="F159" s="119" t="n">
        <v>4877400</v>
      </c>
      <c r="G159" s="120" t="n">
        <v>-0.009506924653079452</v>
      </c>
      <c r="H159" s="121" t="n">
        <v>75.88648291414636</v>
      </c>
      <c r="I159" s="118" t="n">
        <v>125.3838172912598</v>
      </c>
      <c r="J159" s="118" t="n">
        <v/>
      </c>
      <c r="K159" s="120" t="n">
        <v>0.3543522605197131</v>
      </c>
      <c r="L159" s="120" t="n">
        <v>-0.1413702303655507</v>
      </c>
      <c r="M159" s="120" t="n">
        <v>-0.2751209947832274</v>
      </c>
      <c r="N159" t="n">
        <v>42.37382769918091</v>
      </c>
      <c r="O159" t="n">
        <v>-0.1063769258043902</v>
      </c>
      <c r="P159" t="n">
        <v>100.6840986273948</v>
      </c>
      <c r="Q159" t="n">
        <v>93.49419284969322</v>
      </c>
    </row>
    <row r="160">
      <c r="A160" s="117" t="n">
        <v>44662</v>
      </c>
      <c r="B160" s="118" t="n">
        <v>115.8285626476567</v>
      </c>
      <c r="C160" s="118" t="n">
        <v>117.4673880134442</v>
      </c>
      <c r="D160" s="118" t="n">
        <v>115.1063712921422</v>
      </c>
      <c r="E160" s="118" t="n">
        <v>115.7174606323242</v>
      </c>
      <c r="F160" s="119" t="n">
        <v>6365400</v>
      </c>
      <c r="G160" s="120" t="n">
        <v>-0.02473646351171976</v>
      </c>
      <c r="H160" s="121" t="n">
        <v>74.00931969850784</v>
      </c>
      <c r="I160" s="118" t="n">
        <v>125.0023931884766</v>
      </c>
      <c r="J160" s="118" t="n">
        <v/>
      </c>
      <c r="K160" s="120" t="n">
        <v>0.3314342251092873</v>
      </c>
      <c r="L160" s="120" t="n">
        <v>-0.1576544755447251</v>
      </c>
      <c r="M160" s="120" t="n">
        <v>-0.2930519378461838</v>
      </c>
      <c r="N160" t="n">
        <v>38.16955624921319</v>
      </c>
      <c r="O160" t="n">
        <v>-0.4191105185307773</v>
      </c>
      <c r="P160" t="n">
        <v>98.96318893013024</v>
      </c>
      <c r="Q160" t="n">
        <v>91.28235702066945</v>
      </c>
    </row>
    <row r="161">
      <c r="A161" s="117" t="n">
        <v>44663</v>
      </c>
      <c r="B161" s="118" t="n">
        <v>115.9211333489169</v>
      </c>
      <c r="C161" s="118" t="n">
        <v>118.6062160661353</v>
      </c>
      <c r="D161" s="118" t="n">
        <v>115.124869388352</v>
      </c>
      <c r="E161" s="118" t="n">
        <v>115.7729949951172</v>
      </c>
      <c r="F161" s="119" t="n">
        <v>5146800</v>
      </c>
      <c r="G161" s="120" t="n">
        <v>0.0004799134243831382</v>
      </c>
      <c r="H161" s="121" t="n">
        <v>74.04483776456061</v>
      </c>
      <c r="I161" s="118" t="n">
        <v>124.5821719360352</v>
      </c>
      <c r="J161" s="118" t="n">
        <v/>
      </c>
      <c r="K161" s="120" t="n">
        <v>0.3283206184323624</v>
      </c>
      <c r="L161" s="120" t="n">
        <v>-0.15725022261957</v>
      </c>
      <c r="M161" s="120" t="n">
        <v>-0.2927126639808146</v>
      </c>
      <c r="N161" t="n">
        <v>38.29430902877868</v>
      </c>
      <c r="O161" t="n">
        <v>-0.581800726668068</v>
      </c>
      <c r="P161" t="n">
        <v>98.59651113482303</v>
      </c>
      <c r="Q161" t="n">
        <v>90.89676301217227</v>
      </c>
    </row>
    <row r="162">
      <c r="A162" s="117" t="n">
        <v>44664</v>
      </c>
      <c r="B162" s="118" t="n">
        <v>115.7730054438039</v>
      </c>
      <c r="C162" s="118" t="n">
        <v>118.384008623826</v>
      </c>
      <c r="D162" s="118" t="n">
        <v>115.7730054438039</v>
      </c>
      <c r="E162" s="118" t="n">
        <v>118.0414276123047</v>
      </c>
      <c r="F162" s="119" t="n">
        <v>5119300</v>
      </c>
      <c r="G162" s="120" t="n">
        <v>0.0195937974765461</v>
      </c>
      <c r="H162" s="121" t="n">
        <v>75.49565731990312</v>
      </c>
      <c r="I162" s="118" t="n">
        <v>124.2045474243164</v>
      </c>
      <c r="J162" s="118" t="n">
        <v/>
      </c>
      <c r="K162" s="120" t="n">
        <v>0.2882184262579007</v>
      </c>
      <c r="L162" s="120" t="n">
        <v>-0.1407375541581737</v>
      </c>
      <c r="M162" s="120" t="n">
        <v>-0.278854219161129</v>
      </c>
      <c r="N162" t="n">
        <v>43.32458008272172</v>
      </c>
      <c r="O162" t="n">
        <v>-0.4993701202210139</v>
      </c>
      <c r="P162" t="n">
        <v>99.72580629910141</v>
      </c>
      <c r="Q162" t="n">
        <v>92.74440761160345</v>
      </c>
    </row>
    <row r="163">
      <c r="A163" s="117" t="n">
        <v>44665</v>
      </c>
      <c r="B163" s="118" t="n">
        <v>119.5135773727554</v>
      </c>
      <c r="C163" s="118" t="n">
        <v>124.4207846536412</v>
      </c>
      <c r="D163" s="118" t="n">
        <v>119.3376564620032</v>
      </c>
      <c r="E163" s="118" t="n">
        <v>123.5689697265625</v>
      </c>
      <c r="F163" s="119" t="n">
        <v>12811300</v>
      </c>
      <c r="G163" s="120" t="n">
        <v>0.04682713709980257</v>
      </c>
      <c r="H163" s="121" t="n">
        <v>79.03090281566195</v>
      </c>
      <c r="I163" s="118" t="n">
        <v>123.9284210205078</v>
      </c>
      <c r="J163" s="118" t="n">
        <v/>
      </c>
      <c r="K163" s="120" t="n">
        <v>0.3264924126700501</v>
      </c>
      <c r="L163" s="120" t="n">
        <v>-0.1005007538020266</v>
      </c>
      <c r="M163" s="120" t="n">
        <v>-0.2450850268128429</v>
      </c>
      <c r="N163" t="n">
        <v>53.31217027425187</v>
      </c>
      <c r="O163" t="n">
        <v>-0.05849676482672339</v>
      </c>
      <c r="P163" t="n">
        <v>98.48402458193036</v>
      </c>
      <c r="Q163" t="n">
        <v>90.62360281006494</v>
      </c>
    </row>
    <row r="164">
      <c r="A164" s="117" t="n">
        <v>44669</v>
      </c>
      <c r="B164" s="118" t="n">
        <v>122.217169550956</v>
      </c>
      <c r="C164" s="118" t="n">
        <v>123.5041528167165</v>
      </c>
      <c r="D164" s="118" t="n">
        <v>120.6524171651766</v>
      </c>
      <c r="E164" s="118" t="n">
        <v>121.8745956420898</v>
      </c>
      <c r="F164" s="119" t="n">
        <v>5298200</v>
      </c>
      <c r="G164" s="120" t="n">
        <v>-0.01371197063649576</v>
      </c>
      <c r="H164" s="121" t="n">
        <v>77.94723339687783</v>
      </c>
      <c r="I164" s="118" t="n">
        <v>123.6812242126465</v>
      </c>
      <c r="J164" s="118" t="n">
        <v/>
      </c>
      <c r="K164" s="120" t="n">
        <v>0.3142667183284492</v>
      </c>
      <c r="L164" s="120" t="n">
        <v>-0.1128346610534434</v>
      </c>
      <c r="M164" s="120" t="n">
        <v>-0.2554363987582362</v>
      </c>
      <c r="N164" t="n">
        <v>50.38129576266149</v>
      </c>
      <c r="O164" t="n">
        <v>0.123177757489024</v>
      </c>
      <c r="P164" t="n">
        <v>98.52451683152323</v>
      </c>
      <c r="Q164" t="n">
        <v>90.69323105864558</v>
      </c>
    </row>
    <row r="165">
      <c r="A165" s="117" t="n">
        <v>44670</v>
      </c>
      <c r="B165" s="118" t="n">
        <v>123.2264218965114</v>
      </c>
      <c r="C165" s="118" t="n">
        <v>127.2910693666401</v>
      </c>
      <c r="D165" s="118" t="n">
        <v>122.9393988970879</v>
      </c>
      <c r="E165" s="118" t="n">
        <v>126.8929443359375</v>
      </c>
      <c r="F165" s="119" t="n">
        <v>7346100</v>
      </c>
      <c r="G165" s="120" t="n">
        <v>0.04117633102623852</v>
      </c>
      <c r="H165" s="121" t="n">
        <v>81.15681448180715</v>
      </c>
      <c r="I165" s="118" t="n">
        <v>123.5329148864746</v>
      </c>
      <c r="J165" s="118" t="n">
        <v/>
      </c>
      <c r="K165" s="120" t="n">
        <v>0.3440400799128477</v>
      </c>
      <c r="L165" s="120" t="n">
        <v>-0.07630444738197495</v>
      </c>
      <c r="M165" s="120" t="n">
        <v>-0.2247780014434171</v>
      </c>
      <c r="N165" t="n">
        <v>57.78390953625485</v>
      </c>
      <c r="O165" t="n">
        <v>0.5609773326266972</v>
      </c>
      <c r="P165" t="n">
        <v>100.1149886786084</v>
      </c>
      <c r="Q165" t="n">
        <v>92.72032843659122</v>
      </c>
    </row>
    <row r="166">
      <c r="A166" s="117" t="n">
        <v>44671</v>
      </c>
      <c r="B166" s="118" t="n">
        <v>127.7354622370116</v>
      </c>
      <c r="C166" s="118" t="n">
        <v>128.3743128271831</v>
      </c>
      <c r="D166" s="118" t="n">
        <v>125.6059178860016</v>
      </c>
      <c r="E166" s="118" t="n">
        <v>125.8003463745117</v>
      </c>
      <c r="F166" s="119" t="n">
        <v>5309700</v>
      </c>
      <c r="G166" s="120" t="n">
        <v>-0.008610391753013702</v>
      </c>
      <c r="H166" s="121" t="n">
        <v>80.45802251569214</v>
      </c>
      <c r="I166" s="118" t="n">
        <v>123.3673742675781</v>
      </c>
      <c r="J166" s="118" t="n">
        <v/>
      </c>
      <c r="K166" s="120" t="n">
        <v>0.3382616264149366</v>
      </c>
      <c r="L166" s="120" t="n">
        <v>-0.08425782795053249</v>
      </c>
      <c r="M166" s="120" t="n">
        <v>-0.2314529665465435</v>
      </c>
      <c r="N166" t="n">
        <v>55.83092532286736</v>
      </c>
      <c r="O166" t="n">
        <v>0.7450960316790928</v>
      </c>
      <c r="P166" t="n">
        <v>100.0407468263371</v>
      </c>
      <c r="Q166" t="n">
        <v>91.36803525593943</v>
      </c>
    </row>
    <row r="167">
      <c r="A167" s="117" t="n">
        <v>44672</v>
      </c>
      <c r="B167" s="118" t="n">
        <v>128.2817508715175</v>
      </c>
      <c r="C167" s="118" t="n">
        <v>128.8280212545222</v>
      </c>
      <c r="D167" s="118" t="n">
        <v>125.0689192416848</v>
      </c>
      <c r="E167" s="118" t="n">
        <v>125.4207611083984</v>
      </c>
      <c r="F167" s="119" t="n">
        <v>6562400</v>
      </c>
      <c r="G167" s="120" t="n">
        <v>-0.003017362646866251</v>
      </c>
      <c r="H167" s="121" t="n">
        <v>80.21525148391255</v>
      </c>
      <c r="I167" s="118" t="n">
        <v>123.223987121582</v>
      </c>
      <c r="J167" s="118" t="n">
        <v/>
      </c>
      <c r="K167" s="120" t="n">
        <v>0.3385402051375442</v>
      </c>
      <c r="L167" s="120" t="n">
        <v>-0.08702095417463485</v>
      </c>
      <c r="M167" s="120" t="n">
        <v>-0.2337719516576457</v>
      </c>
      <c r="N167" t="n">
        <v>55.1337484447091</v>
      </c>
      <c r="O167" t="n">
        <v>0.8043652456839904</v>
      </c>
      <c r="P167" t="n">
        <v>98.54477386675154</v>
      </c>
      <c r="Q167" t="n">
        <v>89.47754314891681</v>
      </c>
    </row>
    <row r="168">
      <c r="A168" s="117" t="n">
        <v>44673</v>
      </c>
      <c r="B168" s="118" t="n">
        <v>124.3744898237134</v>
      </c>
      <c r="C168" s="118" t="n">
        <v>124.9300139374227</v>
      </c>
      <c r="D168" s="118" t="n">
        <v>119.1710057473039</v>
      </c>
      <c r="E168" s="118" t="n">
        <v>119.5043258666992</v>
      </c>
      <c r="F168" s="119" t="n">
        <v>7321700</v>
      </c>
      <c r="G168" s="120" t="n">
        <v>-0.0471726944519637</v>
      </c>
      <c r="H168" s="121" t="n">
        <v>76.43128193527453</v>
      </c>
      <c r="I168" s="118" t="n">
        <v>122.9118330383301</v>
      </c>
      <c r="J168" s="118" t="n">
        <v/>
      </c>
      <c r="K168" s="120" t="n">
        <v>0.3789745871333525</v>
      </c>
      <c r="L168" s="120" t="n">
        <v>-0.1300886357444001</v>
      </c>
      <c r="M168" s="120" t="n">
        <v>-0.2699169932626242</v>
      </c>
      <c r="N168" t="n">
        <v>45.57992506140175</v>
      </c>
      <c r="O168" t="n">
        <v>0.4270920896096592</v>
      </c>
      <c r="P168" t="n">
        <v>95.84080516077968</v>
      </c>
      <c r="Q168" t="n">
        <v>87.13447162109819</v>
      </c>
    </row>
    <row r="169">
      <c r="A169" s="117" t="n">
        <v>44676</v>
      </c>
      <c r="B169" s="118" t="n">
        <v>118.3284527621121</v>
      </c>
      <c r="C169" s="118" t="n">
        <v>119.3839641917341</v>
      </c>
      <c r="D169" s="118" t="n">
        <v>115.5970797654188</v>
      </c>
      <c r="E169" s="118" t="n">
        <v>118.4580764770508</v>
      </c>
      <c r="F169" s="119" t="n">
        <v>6512500</v>
      </c>
      <c r="G169" s="120" t="n">
        <v>-0.008754908092745262</v>
      </c>
      <c r="H169" s="121" t="n">
        <v>75.76213308652049</v>
      </c>
      <c r="I169" s="118" t="n">
        <v>122.6053591918945</v>
      </c>
      <c r="J169" s="118" t="n">
        <v/>
      </c>
      <c r="K169" s="120" t="n">
        <v>0.3766407639740121</v>
      </c>
      <c r="L169" s="120" t="n">
        <v>-0.1377046297872926</v>
      </c>
      <c r="M169" s="120" t="n">
        <v>-0.276308802886685</v>
      </c>
      <c r="N169" t="n">
        <v>44.12382043319568</v>
      </c>
      <c r="O169" t="n">
        <v>0.1058103696281598</v>
      </c>
      <c r="P169" t="n">
        <v>96.39641526849475</v>
      </c>
      <c r="Q169" t="n">
        <v>88.25379249103933</v>
      </c>
    </row>
    <row r="170">
      <c r="A170" s="117" t="n">
        <v>44677</v>
      </c>
      <c r="B170" s="118" t="n">
        <v>117.5414242814422</v>
      </c>
      <c r="C170" s="118" t="n">
        <v>118.1339917616069</v>
      </c>
      <c r="D170" s="118" t="n">
        <v>111.5509376324014</v>
      </c>
      <c r="E170" s="118" t="n">
        <v>111.5879669189453</v>
      </c>
      <c r="F170" s="119" t="n">
        <v>7977900</v>
      </c>
      <c r="G170" s="120" t="n">
        <v>-0.05799612624502171</v>
      </c>
      <c r="H170" s="121" t="n">
        <v>71.36822285144251</v>
      </c>
      <c r="I170" s="118" t="n">
        <v>122.247209777832</v>
      </c>
      <c r="J170" s="118" t="n">
        <v/>
      </c>
      <c r="K170" s="120" t="n">
        <v>0.4233686374243508</v>
      </c>
      <c r="L170" s="120" t="n">
        <v>-0.1877144209386465</v>
      </c>
      <c r="M170" s="120" t="n">
        <v>-0.3182800889168798</v>
      </c>
      <c r="N170" t="n">
        <v>35.99275899760052</v>
      </c>
      <c r="O170" t="n">
        <v>-0.5354411978777074</v>
      </c>
      <c r="P170" t="n">
        <v>93.60470486918021</v>
      </c>
      <c r="Q170" t="n">
        <v>84.92266935190021</v>
      </c>
    </row>
    <row r="171">
      <c r="A171" s="117" t="n">
        <v>44678</v>
      </c>
      <c r="B171" s="118" t="n">
        <v>112.1157464644531</v>
      </c>
      <c r="C171" s="118" t="n">
        <v>114.8100832607091</v>
      </c>
      <c r="D171" s="118" t="n">
        <v>112.1157464644531</v>
      </c>
      <c r="E171" s="118" t="n">
        <v>112.2546310424805</v>
      </c>
      <c r="F171" s="119" t="n">
        <v>6007800</v>
      </c>
      <c r="G171" s="120" t="n">
        <v>0.005974337035994148</v>
      </c>
      <c r="H171" s="121" t="n">
        <v>71.79460066841696</v>
      </c>
      <c r="I171" s="118" t="n">
        <v>121.8763432312012</v>
      </c>
      <c r="J171" s="118" t="n">
        <v/>
      </c>
      <c r="K171" s="120" t="n">
        <v>0.4024164305340322</v>
      </c>
      <c r="L171" s="120" t="n">
        <v>-0.1828615531198564</v>
      </c>
      <c r="M171" s="120" t="n">
        <v>-0.3142072644039211</v>
      </c>
      <c r="N171" t="n">
        <v>37.20209612566352</v>
      </c>
      <c r="O171" t="n">
        <v>-0.8614285322958422</v>
      </c>
      <c r="P171" t="n">
        <v>93.86790085472316</v>
      </c>
      <c r="Q171" t="n">
        <v>84.8208907902022</v>
      </c>
    </row>
    <row r="172">
      <c r="A172" s="117" t="n">
        <v>44679</v>
      </c>
      <c r="B172" s="118" t="n">
        <v>114.0415770680423</v>
      </c>
      <c r="C172" s="118" t="n">
        <v>118.4858404933209</v>
      </c>
      <c r="D172" s="118" t="n">
        <v>113.5138214043871</v>
      </c>
      <c r="E172" s="118" t="n">
        <v>117.6340255737305</v>
      </c>
      <c r="F172" s="119" t="n">
        <v>6551600</v>
      </c>
      <c r="G172" s="120" t="n">
        <v>0.04792135951357124</v>
      </c>
      <c r="H172" s="121" t="n">
        <v>75.23509553818145</v>
      </c>
      <c r="I172" s="118" t="n">
        <v>121.5393466186523</v>
      </c>
      <c r="J172" s="118" t="n">
        <v/>
      </c>
      <c r="K172" s="120" t="n">
        <v>0.4465689852072539</v>
      </c>
      <c r="L172" s="120" t="n">
        <v>-0.1437031678345517</v>
      </c>
      <c r="M172" s="120" t="n">
        <v>-0.2813431441696259</v>
      </c>
      <c r="N172" t="n">
        <v>46.05841033222131</v>
      </c>
      <c r="O172" t="n">
        <v>-0.6700067436619825</v>
      </c>
      <c r="P172" t="n">
        <v>96.23895591530879</v>
      </c>
      <c r="Q172" t="n">
        <v>87.8333801632736</v>
      </c>
    </row>
    <row r="173">
      <c r="A173" s="117" t="n">
        <v>44680</v>
      </c>
      <c r="B173" s="118" t="n">
        <v>116.8655595927502</v>
      </c>
      <c r="C173" s="118" t="n">
        <v>118.9302854370528</v>
      </c>
      <c r="D173" s="118" t="n">
        <v>115.0415594911077</v>
      </c>
      <c r="E173" s="118" t="n">
        <v>115.4582061767578</v>
      </c>
      <c r="F173" s="119" t="n">
        <v>5867900</v>
      </c>
      <c r="G173" s="120" t="n">
        <v>-0.01849651396660656</v>
      </c>
      <c r="H173" s="121" t="n">
        <v>73.8435085427805</v>
      </c>
      <c r="I173" s="118" t="n">
        <v>121.1420205688477</v>
      </c>
      <c r="J173" s="118" t="n">
        <v/>
      </c>
      <c r="K173" s="120" t="n">
        <v>0.4404729297901521</v>
      </c>
      <c r="L173" s="120" t="n">
        <v>-0.1468049112901015</v>
      </c>
      <c r="M173" s="120" t="n">
        <v>-0.29463579074069</v>
      </c>
      <c r="N173" t="n">
        <v>43.39278259238156</v>
      </c>
      <c r="O173" t="n">
        <v>-0.6449466086939053</v>
      </c>
      <c r="P173" t="n">
        <v>92.68239514529415</v>
      </c>
      <c r="Q173" t="n">
        <v>83.8810059188626</v>
      </c>
    </row>
    <row r="174">
      <c r="A174" s="117" t="n">
        <v>44683</v>
      </c>
      <c r="B174" s="118" t="n">
        <v>115.2082151676474</v>
      </c>
      <c r="C174" s="118" t="n">
        <v>116.8285187604217</v>
      </c>
      <c r="D174" s="118" t="n">
        <v>113.6990206499758</v>
      </c>
      <c r="E174" s="118" t="n">
        <v>116.7359313964844</v>
      </c>
      <c r="F174" s="119" t="n">
        <v>5428400</v>
      </c>
      <c r="G174" s="120" t="n">
        <v>0.0110665604640563</v>
      </c>
      <c r="H174" s="121" t="n">
        <v>74.66070219494723</v>
      </c>
      <c r="I174" s="118" t="n">
        <v>120.8384240722656</v>
      </c>
      <c r="J174" s="118" t="n">
        <v/>
      </c>
      <c r="K174" s="120" t="n">
        <v>0.4430860387174032</v>
      </c>
      <c r="L174" s="120" t="n">
        <v>-0.1373629762532577</v>
      </c>
      <c r="M174" s="120" t="n">
        <v>-0.2868298350697406</v>
      </c>
      <c r="N174" t="n">
        <v>45.39149428783346</v>
      </c>
      <c r="O174" t="n">
        <v>-0.5036053158593221</v>
      </c>
      <c r="P174" t="n">
        <v>93.24028189646575</v>
      </c>
      <c r="Q174" t="n">
        <v>85.28149100936463</v>
      </c>
    </row>
    <row r="175">
      <c r="A175" s="117" t="n">
        <v>44684</v>
      </c>
      <c r="B175" s="118" t="n">
        <v>115.7544761189267</v>
      </c>
      <c r="C175" s="118" t="n">
        <v>116.4396380969012</v>
      </c>
      <c r="D175" s="118" t="n">
        <v>111.310219436732</v>
      </c>
      <c r="E175" s="118" t="n">
        <v>113.7545623779297</v>
      </c>
      <c r="F175" s="119" t="n">
        <v>8201200</v>
      </c>
      <c r="G175" s="120" t="n">
        <v>-0.02553942888782634</v>
      </c>
      <c r="H175" s="121" t="n">
        <v>72.7539105005242</v>
      </c>
      <c r="I175" s="118" t="n">
        <v>120.4724291992188</v>
      </c>
      <c r="J175" s="118" t="n">
        <v/>
      </c>
      <c r="K175" s="120" t="n">
        <v>0.4491283174375034</v>
      </c>
      <c r="L175" s="120" t="n">
        <v>-0.1593942331772438</v>
      </c>
      <c r="M175" s="120" t="n">
        <v>-0.3050437937818964</v>
      </c>
      <c r="N175" t="n">
        <v>41.69237816131928</v>
      </c>
      <c r="O175" t="n">
        <v>-0.5674482160228913</v>
      </c>
      <c r="P175" t="n">
        <v>93.6676944293516</v>
      </c>
      <c r="Q175" t="n">
        <v>85.37251364689342</v>
      </c>
    </row>
    <row r="176">
      <c r="A176" s="117" t="n">
        <v>44685</v>
      </c>
      <c r="B176" s="118" t="n">
        <v>113.4582780461105</v>
      </c>
      <c r="C176" s="118" t="n">
        <v>116.8470233082692</v>
      </c>
      <c r="D176" s="118" t="n">
        <v>111.1805951830943</v>
      </c>
      <c r="E176" s="118" t="n">
        <v>116.717399597168</v>
      </c>
      <c r="F176" s="119" t="n">
        <v>6924000</v>
      </c>
      <c r="G176" s="120" t="n">
        <v>0.02604587593941754</v>
      </c>
      <c r="H176" s="121" t="n">
        <v>74.64884982752834</v>
      </c>
      <c r="I176" s="118" t="n">
        <v>120.2536347961426</v>
      </c>
      <c r="J176" s="118" t="n">
        <v/>
      </c>
      <c r="K176" s="120" t="n">
        <v>0.4593322887454724</v>
      </c>
      <c r="L176" s="120" t="n">
        <v>-0.1374999196606193</v>
      </c>
      <c r="M176" s="120" t="n">
        <v>-0.2869430506514115</v>
      </c>
      <c r="N176" t="n">
        <v>46.36983074728114</v>
      </c>
      <c r="O176" t="n">
        <v>-0.375911158343702</v>
      </c>
      <c r="P176" t="n">
        <v>96.52013956624478</v>
      </c>
      <c r="Q176" t="n">
        <v>88.25915367321103</v>
      </c>
    </row>
    <row r="177">
      <c r="A177" s="117" t="n">
        <v>44686</v>
      </c>
      <c r="B177" s="118" t="n">
        <v>114.9119343037951</v>
      </c>
      <c r="C177" s="118" t="n">
        <v>115.504501924906</v>
      </c>
      <c r="D177" s="118" t="n">
        <v>107.8844422969868</v>
      </c>
      <c r="E177" s="118" t="n">
        <v>109.8380661010742</v>
      </c>
      <c r="F177" s="119" t="n">
        <v>8411600</v>
      </c>
      <c r="G177" s="120" t="n">
        <v>-0.05894008536719209</v>
      </c>
      <c r="H177" s="121" t="n">
        <v>70.24904024613112</v>
      </c>
      <c r="I177" s="118" t="n">
        <v>119.9223808288574</v>
      </c>
      <c r="J177" s="118" t="n">
        <v/>
      </c>
      <c r="K177" s="120" t="n">
        <v>0.4931290351123174</v>
      </c>
      <c r="L177" s="120" t="n">
        <v>-0.1883357480250324</v>
      </c>
      <c r="M177" s="120" t="n">
        <v>-0.3289706881176868</v>
      </c>
      <c r="N177" t="n">
        <v>38.62256529482838</v>
      </c>
      <c r="O177" t="n">
        <v>-0.6615951440623953</v>
      </c>
      <c r="P177" t="n">
        <v>93.08955064295165</v>
      </c>
      <c r="Q177" t="n">
        <v>83.81407084630246</v>
      </c>
    </row>
    <row r="178">
      <c r="A178" s="117" t="n">
        <v>44687</v>
      </c>
      <c r="B178" s="118" t="n">
        <v>105.3104821831163</v>
      </c>
      <c r="C178" s="118" t="n">
        <v>107.3104033317564</v>
      </c>
      <c r="D178" s="118" t="n">
        <v>102.4587529709659</v>
      </c>
      <c r="E178" s="118" t="n">
        <v>106.0048980712891</v>
      </c>
      <c r="F178" s="119" t="n">
        <v>11237500</v>
      </c>
      <c r="G178" s="120" t="n">
        <v>-0.03489835687982557</v>
      </c>
      <c r="H178" s="121" t="n">
        <v>67.79746416915641</v>
      </c>
      <c r="I178" s="118" t="n">
        <v>119.5081816101074</v>
      </c>
      <c r="J178" s="118" t="n">
        <v/>
      </c>
      <c r="K178" s="120" t="n">
        <v>0.5033168491764185</v>
      </c>
      <c r="L178" s="120" t="n">
        <v>-0.2166614967570514</v>
      </c>
      <c r="M178" s="120" t="n">
        <v>-0.3523885085205795</v>
      </c>
      <c r="N178" t="n">
        <v>35.10326286460317</v>
      </c>
      <c r="O178" t="n">
        <v>-1.035508935051023</v>
      </c>
      <c r="P178" t="n">
        <v>92.53390416713026</v>
      </c>
      <c r="Q178" t="n">
        <v>82.80988534872812</v>
      </c>
    </row>
    <row r="179">
      <c r="A179" s="117" t="n">
        <v>44690</v>
      </c>
      <c r="B179" s="118" t="n">
        <v>104.5975361559195</v>
      </c>
      <c r="C179" s="118" t="n">
        <v>105.9493313703623</v>
      </c>
      <c r="D179" s="118" t="n">
        <v>102.3939188761879</v>
      </c>
      <c r="E179" s="118" t="n">
        <v>102.9679718017578</v>
      </c>
      <c r="F179" s="119" t="n">
        <v>7506000</v>
      </c>
      <c r="G179" s="120" t="n">
        <v>-0.02864892400999142</v>
      </c>
      <c r="H179" s="121" t="n">
        <v>65.85513977010413</v>
      </c>
      <c r="I179" s="118" t="n">
        <v>119.0031285095215</v>
      </c>
      <c r="J179" s="118" t="n">
        <v/>
      </c>
      <c r="K179" s="120" t="n">
        <v>0.5098244673849071</v>
      </c>
      <c r="L179" s="120" t="n">
        <v>-0.2391033020105591</v>
      </c>
      <c r="M179" s="120" t="n">
        <v>-0.3709418809279706</v>
      </c>
      <c r="N179" t="n">
        <v>32.57100619962168</v>
      </c>
      <c r="O179" t="n">
        <v>-1.391947856602232</v>
      </c>
      <c r="P179" t="n">
        <v>89.57124184717968</v>
      </c>
      <c r="Q179" t="n">
        <v>79.56981001698715</v>
      </c>
    </row>
    <row r="180">
      <c r="A180" s="117" t="n">
        <v>44691</v>
      </c>
      <c r="B180" s="118" t="n">
        <v>104.6530779412752</v>
      </c>
      <c r="C180" s="118" t="n">
        <v>105.0326952611933</v>
      </c>
      <c r="D180" s="118" t="n">
        <v>100.3199235398575</v>
      </c>
      <c r="E180" s="118" t="n">
        <v>101.3754348754883</v>
      </c>
      <c r="F180" s="119" t="n">
        <v>7526900</v>
      </c>
      <c r="G180" s="120" t="n">
        <v>-0.0154663328645106</v>
      </c>
      <c r="H180" s="121" t="n">
        <v>64.83660225758084</v>
      </c>
      <c r="I180" s="118" t="n">
        <v>118.5077949523926</v>
      </c>
      <c r="J180" s="118" t="n">
        <v/>
      </c>
      <c r="K180" s="120" t="n">
        <v>0.506494878113063</v>
      </c>
      <c r="L180" s="120" t="n">
        <v>-0.2508715836171707</v>
      </c>
      <c r="M180" s="120" t="n">
        <v>-0.3806711031886616</v>
      </c>
      <c r="N180" t="n">
        <v>31.29606566991579</v>
      </c>
      <c r="O180" t="n">
        <v>-1.623398667022061</v>
      </c>
      <c r="P180" t="n">
        <v>89.77819091946564</v>
      </c>
      <c r="Q180" t="n">
        <v>80.53648401927241</v>
      </c>
    </row>
    <row r="181">
      <c r="A181" s="117" t="n">
        <v>44692</v>
      </c>
      <c r="B181" s="118" t="n">
        <v>102.4957653771171</v>
      </c>
      <c r="C181" s="118" t="n">
        <v>102.9124190797332</v>
      </c>
      <c r="D181" s="118" t="n">
        <v>99.61625407026202</v>
      </c>
      <c r="E181" s="118" t="n">
        <v>99.92179870605469</v>
      </c>
      <c r="F181" s="119" t="n">
        <v>6611800</v>
      </c>
      <c r="G181" s="120" t="n">
        <v>-0.01433913621400473</v>
      </c>
      <c r="H181" s="121" t="n">
        <v>63.90690138615614</v>
      </c>
      <c r="I181" s="118" t="n">
        <v>118.0633874511719</v>
      </c>
      <c r="J181" s="118" t="n">
        <v/>
      </c>
      <c r="K181" s="120" t="n">
        <v>0.5066697617230778</v>
      </c>
      <c r="L181" s="120" t="n">
        <v>-0.2616134380214657</v>
      </c>
      <c r="M181" s="120" t="n">
        <v>-0.3895517446013087</v>
      </c>
      <c r="N181" t="n">
        <v>30.13648172345493</v>
      </c>
      <c r="O181" t="n">
        <v>-1.751811941124584</v>
      </c>
      <c r="P181" t="n">
        <v>88.35196471420841</v>
      </c>
      <c r="Q181" t="n">
        <v>78.14791375762407</v>
      </c>
    </row>
    <row r="182">
      <c r="A182" s="117" t="n">
        <v>44693</v>
      </c>
      <c r="B182" s="118" t="n">
        <v>97.38485166952084</v>
      </c>
      <c r="C182" s="118" t="n">
        <v>101.7365202787977</v>
      </c>
      <c r="D182" s="118" t="n">
        <v>97.21819162988258</v>
      </c>
      <c r="E182" s="118" t="n">
        <v>99.90326690673828</v>
      </c>
      <c r="F182" s="119" t="n">
        <v>10245400</v>
      </c>
      <c r="G182" s="120" t="n">
        <v>-0.0001854630276514335</v>
      </c>
      <c r="H182" s="121" t="n">
        <v>63.89504901873724</v>
      </c>
      <c r="I182" s="118" t="n">
        <v>117.5546849060059</v>
      </c>
      <c r="J182" s="118" t="n">
        <v/>
      </c>
      <c r="K182" s="120" t="n">
        <v>0.4977646660809732</v>
      </c>
      <c r="L182" s="120" t="n">
        <v>-0.2617503814288274</v>
      </c>
      <c r="M182" s="120" t="n">
        <v>-0.3896649601829795</v>
      </c>
      <c r="N182" t="n">
        <v>30.12115918632352</v>
      </c>
      <c r="O182" t="n">
        <v>-1.713333905606554</v>
      </c>
      <c r="P182" t="n">
        <v>88.25972792292279</v>
      </c>
      <c r="Q182" t="n">
        <v>77.96314174672014</v>
      </c>
    </row>
    <row r="183">
      <c r="A183" s="117" t="n">
        <v>44694</v>
      </c>
      <c r="B183" s="118" t="n">
        <v>102.0883910631163</v>
      </c>
      <c r="C183" s="118" t="n">
        <v>104.7271698869719</v>
      </c>
      <c r="D183" s="118" t="n">
        <v>100.6162257841463</v>
      </c>
      <c r="E183" s="118" t="n">
        <v>104.6345825195312</v>
      </c>
      <c r="F183" s="119" t="n">
        <v>9618800</v>
      </c>
      <c r="G183" s="120" t="n">
        <v>0.04735896792253791</v>
      </c>
      <c r="H183" s="121" t="n">
        <v>66.9210525956246</v>
      </c>
      <c r="I183" s="118" t="n">
        <v>117.1722009277344</v>
      </c>
      <c r="J183" s="118" t="n">
        <v/>
      </c>
      <c r="K183" s="120" t="n">
        <v>0.498542295125212</v>
      </c>
      <c r="L183" s="120" t="n">
        <v>-0.2076397531819688</v>
      </c>
      <c r="M183" s="120" t="n">
        <v>-0.3607601226102842</v>
      </c>
      <c r="N183" t="n">
        <v>38.69166873146523</v>
      </c>
      <c r="O183" t="n">
        <v>-1.265239512770205</v>
      </c>
      <c r="P183" t="n">
        <v>90.36984182055821</v>
      </c>
      <c r="Q183" t="n">
        <v>80.85244977918894</v>
      </c>
    </row>
    <row r="184">
      <c r="A184" s="117" t="n">
        <v>44697</v>
      </c>
      <c r="B184" s="118" t="n">
        <v>104.6067780065132</v>
      </c>
      <c r="C184" s="118" t="n">
        <v>105.0326854297995</v>
      </c>
      <c r="D184" s="118" t="n">
        <v>103.2920123231947</v>
      </c>
      <c r="E184" s="118" t="n">
        <v>104.2549362182617</v>
      </c>
      <c r="F184" s="119" t="n">
        <v>5722500</v>
      </c>
      <c r="G184" s="120" t="n">
        <v>-0.003628306169221496</v>
      </c>
      <c r="H184" s="121" t="n">
        <v>66.67824252764109</v>
      </c>
      <c r="I184" s="118" t="n">
        <v>116.8281401062012</v>
      </c>
      <c r="J184" s="118" t="n">
        <v/>
      </c>
      <c r="K184" s="120" t="n">
        <v>0.498244293734467</v>
      </c>
      <c r="L184" s="120" t="n">
        <v>-0.2105146787537446</v>
      </c>
      <c r="M184" s="120" t="n">
        <v>-0.3630794806010298</v>
      </c>
      <c r="N184" t="n">
        <v>38.28589706820318</v>
      </c>
      <c r="O184" t="n">
        <v>-0.9071812837029123</v>
      </c>
      <c r="P184" t="n">
        <v>90.00315675162975</v>
      </c>
      <c r="Q184" t="n">
        <v>79.91520774413118</v>
      </c>
    </row>
    <row r="185">
      <c r="A185" s="117" t="n">
        <v>44698</v>
      </c>
      <c r="B185" s="118" t="n">
        <v>106.9400453682368</v>
      </c>
      <c r="C185" s="118" t="n">
        <v>108.4214644973417</v>
      </c>
      <c r="D185" s="118" t="n">
        <v>104.6901376376712</v>
      </c>
      <c r="E185" s="118" t="n">
        <v>107.3104019165039</v>
      </c>
      <c r="F185" s="119" t="n">
        <v>6026100</v>
      </c>
      <c r="G185" s="120" t="n">
        <v>0.02930763577319206</v>
      </c>
      <c r="H185" s="121" t="n">
        <v>68.63242417363776</v>
      </c>
      <c r="I185" s="118" t="n">
        <v>116.6699987792969</v>
      </c>
      <c r="J185" s="118" t="n">
        <v/>
      </c>
      <c r="K185" s="120" t="n">
        <v>0.484518296084512</v>
      </c>
      <c r="L185" s="120" t="n">
        <v>-0.1670257072505312</v>
      </c>
      <c r="M185" s="120" t="n">
        <v>-0.3444128460020124</v>
      </c>
      <c r="N185" t="n">
        <v>43.42808622174553</v>
      </c>
      <c r="O185" t="n">
        <v>-0.4030375094162775</v>
      </c>
      <c r="P185" t="n">
        <v>91.85454794080135</v>
      </c>
      <c r="Q185" t="n">
        <v>81.98516940958116</v>
      </c>
    </row>
    <row r="186">
      <c r="A186" s="117" t="n">
        <v>44699</v>
      </c>
      <c r="B186" s="118" t="n">
        <v>104.1623771524159</v>
      </c>
      <c r="C186" s="118" t="n">
        <v>104.9586412228759</v>
      </c>
      <c r="D186" s="118" t="n">
        <v>100.7180734176753</v>
      </c>
      <c r="E186" s="118" t="n">
        <v>101.2643508911133</v>
      </c>
      <c r="F186" s="119" t="n">
        <v>8188300</v>
      </c>
      <c r="G186" s="120" t="n">
        <v>-0.05634170516009196</v>
      </c>
      <c r="H186" s="121" t="n">
        <v>64.76555636642429</v>
      </c>
      <c r="I186" s="118" t="n">
        <v>116.4507487487793</v>
      </c>
      <c r="J186" s="118" t="n">
        <v/>
      </c>
      <c r="K186" s="120" t="n">
        <v>0.5141619556352376</v>
      </c>
      <c r="L186" s="120" t="n">
        <v>-0.2139568992585579</v>
      </c>
      <c r="M186" s="120" t="n">
        <v>-0.3813497441393108</v>
      </c>
      <c r="N186" t="n">
        <v>36.87975378054444</v>
      </c>
      <c r="O186" t="n">
        <v>-0.413677125729258</v>
      </c>
      <c r="P186" t="n">
        <v>88.15174374159433</v>
      </c>
      <c r="Q186" t="n">
        <v>77.96047374056897</v>
      </c>
    </row>
    <row r="187">
      <c r="A187" s="117" t="n">
        <v>44700</v>
      </c>
      <c r="B187" s="118" t="n">
        <v>100.8754638655572</v>
      </c>
      <c r="C187" s="118" t="n">
        <v>101.0236092908677</v>
      </c>
      <c r="D187" s="118" t="n">
        <v>98.40334535838095</v>
      </c>
      <c r="E187" s="118" t="n">
        <v>98.55149078369141</v>
      </c>
      <c r="F187" s="119" t="n">
        <v>7702000</v>
      </c>
      <c r="G187" s="120" t="n">
        <v>-0.02678988295040707</v>
      </c>
      <c r="H187" s="121" t="n">
        <v>63.03049469214979</v>
      </c>
      <c r="I187" s="118" t="n">
        <v>116.0709498596191</v>
      </c>
      <c r="J187" s="118" t="n">
        <v/>
      </c>
      <c r="K187" s="120" t="n">
        <v>0.5166223380703827</v>
      </c>
      <c r="L187" s="120" t="n">
        <v>-0.2350149019213962</v>
      </c>
      <c r="M187" s="120" t="n">
        <v>-0.397923312081058</v>
      </c>
      <c r="N187" t="n">
        <v>34.37511843205999</v>
      </c>
      <c r="O187" t="n">
        <v>-0.5327559406993991</v>
      </c>
      <c r="P187" t="n">
        <v>87.61183738219451</v>
      </c>
      <c r="Q187" t="n">
        <v>77.54272941895442</v>
      </c>
    </row>
    <row r="188">
      <c r="A188" s="117" t="n">
        <v>44701</v>
      </c>
      <c r="B188" s="118" t="n">
        <v>100.6162155667758</v>
      </c>
      <c r="C188" s="118" t="n">
        <v>101.5606249850718</v>
      </c>
      <c r="D188" s="118" t="n">
        <v>97.28302122964966</v>
      </c>
      <c r="E188" s="118" t="n">
        <v>99.99587249755859</v>
      </c>
      <c r="F188" s="119" t="n">
        <v>7621900</v>
      </c>
      <c r="G188" s="120" t="n">
        <v>0.01465611227573849</v>
      </c>
      <c r="H188" s="121" t="n">
        <v>63.95427669915328</v>
      </c>
      <c r="I188" s="118" t="n">
        <v>115.7370745849609</v>
      </c>
      <c r="J188" s="118" t="n">
        <v/>
      </c>
      <c r="K188" s="120" t="n">
        <v>0.5064784159579351</v>
      </c>
      <c r="L188" s="120" t="n">
        <v>-0.2238031944346893</v>
      </c>
      <c r="M188" s="120" t="n">
        <v>-0.3890992085443133</v>
      </c>
      <c r="N188" t="n">
        <v>36.8347713651543</v>
      </c>
      <c r="O188" t="n">
        <v>-0.4470403168082697</v>
      </c>
      <c r="P188" t="n">
        <v>87.65010390367969</v>
      </c>
      <c r="Q188" t="n">
        <v>77.30175308979025</v>
      </c>
    </row>
    <row r="189">
      <c r="A189" s="117" t="n">
        <v>44704</v>
      </c>
      <c r="B189" s="118" t="n">
        <v>99.50515180252745</v>
      </c>
      <c r="C189" s="118" t="n">
        <v>100.690286922973</v>
      </c>
      <c r="D189" s="118" t="n">
        <v>97.97743569159329</v>
      </c>
      <c r="E189" s="118" t="n">
        <v>100.5791778564453</v>
      </c>
      <c r="F189" s="119" t="n">
        <v>7136400</v>
      </c>
      <c r="G189" s="120" t="n">
        <v>0.005833294358234209</v>
      </c>
      <c r="H189" s="121" t="n">
        <v>64.3273408206074</v>
      </c>
      <c r="I189" s="118" t="n">
        <v>115.4778259277344</v>
      </c>
      <c r="J189" s="118" t="n">
        <v/>
      </c>
      <c r="K189" s="120" t="n">
        <v>0.5089780047761485</v>
      </c>
      <c r="L189" s="120" t="n">
        <v>-0.2192754099879057</v>
      </c>
      <c r="M189" s="120" t="n">
        <v>-0.3855356444040741</v>
      </c>
      <c r="N189" t="n">
        <v>37.84788894343362</v>
      </c>
      <c r="O189" t="n">
        <v>-0.291389846843753</v>
      </c>
      <c r="P189" t="n">
        <v>89.2900509226224</v>
      </c>
      <c r="Q189" t="n">
        <v>78.58706085814323</v>
      </c>
    </row>
    <row r="190">
      <c r="A190" s="117" t="n">
        <v>44705</v>
      </c>
      <c r="B190" s="118" t="n">
        <v>99.17183327665245</v>
      </c>
      <c r="C190" s="118" t="n">
        <v>99.98661191919355</v>
      </c>
      <c r="D190" s="118" t="n">
        <v>96.96822306780285</v>
      </c>
      <c r="E190" s="118" t="n">
        <v>99.33849334716797</v>
      </c>
      <c r="F190" s="119" t="n">
        <v>6023400</v>
      </c>
      <c r="G190" s="120" t="n">
        <v>-0.01233540118063148</v>
      </c>
      <c r="H190" s="121" t="n">
        <v>63.533837264702</v>
      </c>
      <c r="I190" s="118" t="n">
        <v>115.287463684082</v>
      </c>
      <c r="J190" s="118" t="n">
        <v/>
      </c>
      <c r="K190" s="120" t="n">
        <v>0.4736612991621961</v>
      </c>
      <c r="L190" s="120" t="n">
        <v>-0.2289059610172889</v>
      </c>
      <c r="M190" s="120" t="n">
        <v>-0.393115308741548</v>
      </c>
      <c r="N190" t="n">
        <v>36.5066569039076</v>
      </c>
      <c r="O190" t="n">
        <v>-0.2158036608695362</v>
      </c>
      <c r="P190" t="n">
        <v>88.60839623197315</v>
      </c>
      <c r="Q190" t="n">
        <v>76.91614230138019</v>
      </c>
    </row>
    <row r="191">
      <c r="A191" s="117" t="n">
        <v>44706</v>
      </c>
      <c r="B191" s="118" t="n">
        <v>95.79233984640199</v>
      </c>
      <c r="C191" s="118" t="n">
        <v>100.8199103007065</v>
      </c>
      <c r="D191" s="118" t="n">
        <v>95.79233984640199</v>
      </c>
      <c r="E191" s="118" t="n">
        <v>100.1810455322266</v>
      </c>
      <c r="F191" s="119" t="n">
        <v>7158800</v>
      </c>
      <c r="G191" s="120" t="n">
        <v>0.008481628386632023</v>
      </c>
      <c r="H191" s="121" t="n">
        <v>64.07270766235796</v>
      </c>
      <c r="I191" s="118" t="n">
        <v>115.0800643920898</v>
      </c>
      <c r="J191" s="118" t="n">
        <v/>
      </c>
      <c r="K191" s="120" t="n">
        <v>0.4745407149107506</v>
      </c>
      <c r="L191" s="120" t="n">
        <v>-0.2223658279274904</v>
      </c>
      <c r="M191" s="120" t="n">
        <v>-0.3879679383167579</v>
      </c>
      <c r="N191" t="n">
        <v>38.110634945708</v>
      </c>
      <c r="O191" t="n">
        <v>-0.06092341055904971</v>
      </c>
      <c r="P191" t="n">
        <v>89.39126336255138</v>
      </c>
      <c r="Q191" t="n">
        <v>77.992598883817</v>
      </c>
    </row>
    <row r="192">
      <c r="A192" s="117" t="n">
        <v>44707</v>
      </c>
      <c r="B192" s="118" t="n">
        <v>101.847643547994</v>
      </c>
      <c r="C192" s="118" t="n">
        <v>105.0882503881574</v>
      </c>
      <c r="D192" s="118" t="n">
        <v>101.847643547994</v>
      </c>
      <c r="E192" s="118" t="n">
        <v>104.5697555541992</v>
      </c>
      <c r="F192" s="119" t="n">
        <v>6520300</v>
      </c>
      <c r="G192" s="120" t="n">
        <v>0.0438077881764658</v>
      </c>
      <c r="H192" s="121" t="n">
        <v>66.87959126752314</v>
      </c>
      <c r="I192" s="118" t="n">
        <v>114.8532217407227</v>
      </c>
      <c r="J192" s="118" t="n">
        <v/>
      </c>
      <c r="K192" s="120" t="n">
        <v>0.4686155051281928</v>
      </c>
      <c r="L192" s="120" t="n">
        <v>-0.1882993948385567</v>
      </c>
      <c r="M192" s="120" t="n">
        <v>-0.3611561674013328</v>
      </c>
      <c r="N192" t="n">
        <v>45.79230927794042</v>
      </c>
      <c r="O192" t="n">
        <v>0.361984109904113</v>
      </c>
      <c r="P192" t="n">
        <v>91.17743198982265</v>
      </c>
      <c r="Q192" t="n">
        <v>80.15353284705708</v>
      </c>
    </row>
    <row r="193">
      <c r="A193" s="117" t="n">
        <v>44708</v>
      </c>
      <c r="B193" s="118" t="n">
        <v>105.7549042578386</v>
      </c>
      <c r="C193" s="118" t="n">
        <v>107.412244245756</v>
      </c>
      <c r="D193" s="118" t="n">
        <v>105.5604686700669</v>
      </c>
      <c r="E193" s="118" t="n">
        <v>107.3937225341797</v>
      </c>
      <c r="F193" s="119" t="n">
        <v>5043000</v>
      </c>
      <c r="G193" s="120" t="n">
        <v>0.02700558077250914</v>
      </c>
      <c r="H193" s="121" t="n">
        <v>68.68571347153065</v>
      </c>
      <c r="I193" s="118" t="n">
        <v>114.6417486572266</v>
      </c>
      <c r="J193" s="118" t="n">
        <v/>
      </c>
      <c r="K193" s="120" t="n">
        <v>0.4795247453343596</v>
      </c>
      <c r="L193" s="120" t="n">
        <v>-0.1663789485827746</v>
      </c>
      <c r="M193" s="120" t="n">
        <v>-0.3439038186790702</v>
      </c>
      <c r="N193" t="n">
        <v>50.08544373067974</v>
      </c>
      <c r="O193" t="n">
        <v>0.830033139280431</v>
      </c>
      <c r="P193" t="n">
        <v>93.41575073590853</v>
      </c>
      <c r="Q193" t="n">
        <v>82.76973101715724</v>
      </c>
    </row>
    <row r="194">
      <c r="A194" s="117" t="n">
        <v>44712</v>
      </c>
      <c r="B194" s="118" t="n">
        <v>108.7918312774624</v>
      </c>
      <c r="C194" s="118" t="n">
        <v>110.9121154751414</v>
      </c>
      <c r="D194" s="118" t="n">
        <v>105.9678702782915</v>
      </c>
      <c r="E194" s="118" t="n">
        <v>110.0417785644531</v>
      </c>
      <c r="F194" s="119" t="n">
        <v>13774600</v>
      </c>
      <c r="G194" s="120" t="n">
        <v>0.02465745639304617</v>
      </c>
      <c r="H194" s="121" t="n">
        <v>70.37932845628018</v>
      </c>
      <c r="I194" s="118" t="n">
        <v>114.4123135375977</v>
      </c>
      <c r="J194" s="118" t="n">
        <v/>
      </c>
      <c r="K194" s="120" t="n">
        <v>0.4872438486536805</v>
      </c>
      <c r="L194" s="120" t="n">
        <v>-0.1458239738591292</v>
      </c>
      <c r="M194" s="120" t="n">
        <v>-0.3277261556985052</v>
      </c>
      <c r="N194" t="n">
        <v>53.78183961473665</v>
      </c>
      <c r="O194" t="n">
        <v>1.288722049099795</v>
      </c>
      <c r="P194" t="n">
        <v>92.89159904017284</v>
      </c>
      <c r="Q194" t="n">
        <v>82.55016585685412</v>
      </c>
    </row>
    <row r="195">
      <c r="A195" s="117" t="n">
        <v>44713</v>
      </c>
      <c r="B195" s="118" t="n">
        <v>110.9491182130093</v>
      </c>
      <c r="C195" s="118" t="n">
        <v>111.8009331511913</v>
      </c>
      <c r="D195" s="118" t="n">
        <v>108.8936465105547</v>
      </c>
      <c r="E195" s="118" t="n">
        <v>109.8843460083008</v>
      </c>
      <c r="F195" s="119" t="n">
        <v>5543100</v>
      </c>
      <c r="G195" s="120" t="n">
        <v>-0.001430661683281764</v>
      </c>
      <c r="H195" s="121" t="n">
        <v>70.27863944776267</v>
      </c>
      <c r="I195" s="118" t="n">
        <v>114.1991740417481</v>
      </c>
      <c r="J195" s="118" t="n">
        <v/>
      </c>
      <c r="K195" s="120" t="n">
        <v>0.4795776028635026</v>
      </c>
      <c r="L195" s="120" t="n">
        <v>-0.1470460107705067</v>
      </c>
      <c r="M195" s="120" t="n">
        <v>-0.3286879521282199</v>
      </c>
      <c r="N195" t="n">
        <v>53.52804366056825</v>
      </c>
      <c r="O195" t="n">
        <v>1.535522001031887</v>
      </c>
      <c r="P195" t="n">
        <v>92.14023396330157</v>
      </c>
      <c r="Q195" t="n">
        <v>81.9396287259692</v>
      </c>
    </row>
    <row r="196">
      <c r="A196" s="117" t="n">
        <v>44714</v>
      </c>
      <c r="B196" s="118" t="n">
        <v>110.6528456109974</v>
      </c>
      <c r="C196" s="118" t="n">
        <v>114.4212084243025</v>
      </c>
      <c r="D196" s="118" t="n">
        <v>110.421373676362</v>
      </c>
      <c r="E196" s="118" t="n">
        <v>114.2638092041016</v>
      </c>
      <c r="F196" s="119" t="n">
        <v>5838100</v>
      </c>
      <c r="G196" s="120" t="n">
        <v>0.03985520554010447</v>
      </c>
      <c r="H196" s="121" t="n">
        <v>73.07960906803214</v>
      </c>
      <c r="I196" s="118" t="n">
        <v>114.0199224853516</v>
      </c>
      <c r="J196" s="118" t="n">
        <v/>
      </c>
      <c r="K196" s="120" t="n">
        <v>0.4923533315689393</v>
      </c>
      <c r="L196" s="120" t="n">
        <v>-0.1130513542135133</v>
      </c>
      <c r="M196" s="120" t="n">
        <v>-0.3019326724787417</v>
      </c>
      <c r="N196" t="n">
        <v>59.2840891046078</v>
      </c>
      <c r="O196" t="n">
        <v>1.922610720463064</v>
      </c>
      <c r="P196" t="n">
        <v>93.89492235772968</v>
      </c>
      <c r="Q196" t="n">
        <v>84.18359808819743</v>
      </c>
    </row>
    <row r="197">
      <c r="A197" s="117" t="n">
        <v>44715</v>
      </c>
      <c r="B197" s="118" t="n">
        <v>111.5767126416309</v>
      </c>
      <c r="C197" s="118" t="n">
        <v>113.7393775342192</v>
      </c>
      <c r="D197" s="118" t="n">
        <v>111.3817953495449</v>
      </c>
      <c r="E197" s="118" t="n">
        <v>112.2635650634766</v>
      </c>
      <c r="F197" s="119" t="n">
        <v>5201500</v>
      </c>
      <c r="G197" s="120" t="n">
        <v>-0.01750549149864333</v>
      </c>
      <c r="H197" s="121" t="n">
        <v>71.80031459276753</v>
      </c>
      <c r="I197" s="118" t="n">
        <v>113.8023329162598</v>
      </c>
      <c r="J197" s="118" t="n">
        <v/>
      </c>
      <c r="K197" s="120" t="n">
        <v>0.4471286530634067</v>
      </c>
      <c r="L197" s="120" t="n">
        <v>-0.1285778261920618</v>
      </c>
      <c r="M197" s="120" t="n">
        <v>-0.3141526841461457</v>
      </c>
      <c r="N197" t="n">
        <v>55.87973737341387</v>
      </c>
      <c r="O197" t="n">
        <v>1.965817854424036</v>
      </c>
      <c r="P197" t="n">
        <v>92.3539402297445</v>
      </c>
      <c r="Q197" t="n">
        <v>81.99317342803471</v>
      </c>
    </row>
    <row r="198">
      <c r="A198" s="117" t="n">
        <v>44718</v>
      </c>
      <c r="B198" s="118" t="n">
        <v>112.7740788044156</v>
      </c>
      <c r="C198" s="118" t="n">
        <v>113.3681145377736</v>
      </c>
      <c r="D198" s="118" t="n">
        <v>110.8527429302656</v>
      </c>
      <c r="E198" s="118" t="n">
        <v>111.5952911376953</v>
      </c>
      <c r="F198" s="119" t="n">
        <v>3963400</v>
      </c>
      <c r="G198" s="120" t="n">
        <v>-0.005952723177848451</v>
      </c>
      <c r="H198" s="121" t="n">
        <v>71.37290719591437</v>
      </c>
      <c r="I198" s="118" t="n">
        <v>113.588413848877</v>
      </c>
      <c r="J198" s="118" t="n">
        <v/>
      </c>
      <c r="K198" s="120" t="n">
        <v>0.4272666379392018</v>
      </c>
      <c r="L198" s="120" t="n">
        <v>-0.1337651611637792</v>
      </c>
      <c r="M198" s="120" t="n">
        <v>-0.3182353433596941</v>
      </c>
      <c r="N198" t="n">
        <v>54.74857414473587</v>
      </c>
      <c r="O198" t="n">
        <v>1.871744414198797</v>
      </c>
      <c r="P198" t="n">
        <v>92.63513115430176</v>
      </c>
      <c r="Q198" t="n">
        <v>82.26631685022915</v>
      </c>
    </row>
    <row r="199">
      <c r="A199" s="117" t="n">
        <v>44719</v>
      </c>
      <c r="B199" s="118" t="n">
        <v>110.138040154638</v>
      </c>
      <c r="C199" s="118" t="n">
        <v>113.2103192105046</v>
      </c>
      <c r="D199" s="118" t="n">
        <v>109.9523995721078</v>
      </c>
      <c r="E199" s="118" t="n">
        <v>112.9318618774414</v>
      </c>
      <c r="F199" s="119" t="n">
        <v>5373600</v>
      </c>
      <c r="G199" s="120" t="n">
        <v>0.01197694567682905</v>
      </c>
      <c r="H199" s="121" t="n">
        <v>72.22773662819719</v>
      </c>
      <c r="I199" s="118" t="n">
        <v>113.3712274169922</v>
      </c>
      <c r="J199" s="118" t="n">
        <v/>
      </c>
      <c r="K199" s="120" t="n">
        <v>0.4115038841686007</v>
      </c>
      <c r="L199" s="120" t="n">
        <v>-0.1233903135556611</v>
      </c>
      <c r="M199" s="120" t="n">
        <v>-0.3100698851027311</v>
      </c>
      <c r="N199" t="n">
        <v>56.63913631223036</v>
      </c>
      <c r="O199" t="n">
        <v>1.820236073562224</v>
      </c>
      <c r="P199" t="n">
        <v>93.52372764361571</v>
      </c>
      <c r="Q199" t="n">
        <v>82.97592258687865</v>
      </c>
    </row>
    <row r="200">
      <c r="A200" s="117" t="n">
        <v>44720</v>
      </c>
      <c r="B200" s="118" t="n">
        <v>112.2171635520819</v>
      </c>
      <c r="C200" s="118" t="n">
        <v>114.9274522862486</v>
      </c>
      <c r="D200" s="118" t="n">
        <v>111.7994775582812</v>
      </c>
      <c r="E200" s="118" t="n">
        <v>113.6094360351562</v>
      </c>
      <c r="F200" s="119" t="n">
        <v>4365800</v>
      </c>
      <c r="G200" s="120" t="n">
        <v>0.00599984934676967</v>
      </c>
      <c r="H200" s="121" t="n">
        <v>72.66109216662453</v>
      </c>
      <c r="I200" s="118" t="n">
        <v>113.1470373535156</v>
      </c>
      <c r="J200" s="118" t="n">
        <v/>
      </c>
      <c r="K200" s="120" t="n">
        <v>0.404372388089495</v>
      </c>
      <c r="L200" s="120" t="n">
        <v>-0.1181307875010762</v>
      </c>
      <c r="M200" s="120" t="n">
        <v>-0.3059304083535481</v>
      </c>
      <c r="N200" t="n">
        <v>57.60610319625383</v>
      </c>
      <c r="O200" t="n">
        <v>1.751902556517891</v>
      </c>
      <c r="P200" t="n">
        <v>92.5069044849875</v>
      </c>
      <c r="Q200" t="n">
        <v>82.3787842164448</v>
      </c>
    </row>
    <row r="201">
      <c r="A201" s="117" t="n">
        <v>44721</v>
      </c>
      <c r="B201" s="118" t="n">
        <v>112.634843633983</v>
      </c>
      <c r="C201" s="118" t="n">
        <v>113.2660074494557</v>
      </c>
      <c r="D201" s="118" t="n">
        <v>110.0730602557156</v>
      </c>
      <c r="E201" s="118" t="n">
        <v>110.0823440551758</v>
      </c>
      <c r="F201" s="119" t="n">
        <v>3892600</v>
      </c>
      <c r="G201" s="120" t="n">
        <v>-0.03104576611830923</v>
      </c>
      <c r="H201" s="121" t="n">
        <v>70.4052728933186</v>
      </c>
      <c r="I201" s="118" t="n">
        <v>112.7721244812012</v>
      </c>
      <c r="J201" s="118" t="n">
        <v>134.931224822998</v>
      </c>
      <c r="K201" s="120" t="n">
        <v>0.4195914664782144</v>
      </c>
      <c r="L201" s="120" t="n">
        <v>-0.1455090928192552</v>
      </c>
      <c r="M201" s="120" t="n">
        <v>-0.3274783305656341</v>
      </c>
      <c r="N201" t="n">
        <v>51.20479229761852</v>
      </c>
      <c r="O201" t="n">
        <v>1.404280590397537</v>
      </c>
      <c r="P201" t="n">
        <v>90.30684498676553</v>
      </c>
      <c r="Q201" t="n">
        <v>80.17230956959274</v>
      </c>
    </row>
    <row r="202">
      <c r="A202" s="117" t="n">
        <v>44722</v>
      </c>
      <c r="B202" s="118" t="n">
        <v>108.6807900412805</v>
      </c>
      <c r="C202" s="118" t="n">
        <v>108.6807900412805</v>
      </c>
      <c r="D202" s="118" t="n">
        <v>106.0540412560033</v>
      </c>
      <c r="E202" s="118" t="n">
        <v>106.4902877807617</v>
      </c>
      <c r="F202" s="119" t="n">
        <v>6292600</v>
      </c>
      <c r="G202" s="120" t="n">
        <v>-0.03263063032718161</v>
      </c>
      <c r="H202" s="121" t="n">
        <v>68.10790446045237</v>
      </c>
      <c r="I202" s="118" t="n">
        <v>112.3364813232422</v>
      </c>
      <c r="J202" s="118" t="n">
        <v>134.6818999862671</v>
      </c>
      <c r="K202" s="120" t="n">
        <v>0.4403907926466421</v>
      </c>
      <c r="L202" s="120" t="n">
        <v>-0.1733916697294082</v>
      </c>
      <c r="M202" s="120" t="n">
        <v>-0.349423136547966</v>
      </c>
      <c r="N202" t="n">
        <v>45.64219095970519</v>
      </c>
      <c r="O202" t="n">
        <v>0.8924824439702345</v>
      </c>
      <c r="P202" t="n">
        <v>87.68833405705854</v>
      </c>
      <c r="Q202" t="n">
        <v>77.34455864759946</v>
      </c>
    </row>
    <row r="203">
      <c r="A203" s="117" t="n">
        <v>44725</v>
      </c>
      <c r="B203" s="118" t="n">
        <v>102.461980414986</v>
      </c>
      <c r="C203" s="118" t="n">
        <v>103.9749140827061</v>
      </c>
      <c r="D203" s="118" t="n">
        <v>101.3945700112058</v>
      </c>
      <c r="E203" s="118" t="n">
        <v>102.5083923339844</v>
      </c>
      <c r="F203" s="119" t="n">
        <v>6423100</v>
      </c>
      <c r="G203" s="120" t="n">
        <v>-0.03739209959667988</v>
      </c>
      <c r="H203" s="121" t="n">
        <v>65.56120691354597</v>
      </c>
      <c r="I203" s="118" t="n">
        <v>111.8948999023438</v>
      </c>
      <c r="J203" s="118" t="n">
        <v>134.4261066055298</v>
      </c>
      <c r="K203" s="120" t="n">
        <v>0.4312651944788218</v>
      </c>
      <c r="L203" s="120" t="n">
        <v>-0.2043002907423315</v>
      </c>
      <c r="M203" s="120" t="n">
        <v>-0.37374957142146</v>
      </c>
      <c r="N203" t="n">
        <v>40.40248614560564</v>
      </c>
      <c r="O203" t="n">
        <v>0.2776983796244596</v>
      </c>
      <c r="P203" t="n">
        <v>84.35896484731566</v>
      </c>
      <c r="Q203" t="n">
        <v>73.74833805450169</v>
      </c>
    </row>
    <row r="204">
      <c r="A204" s="117" t="n">
        <v>44726</v>
      </c>
      <c r="B204" s="118" t="n">
        <v>102.4434026366459</v>
      </c>
      <c r="C204" s="118" t="n">
        <v>103.8542355100448</v>
      </c>
      <c r="D204" s="118" t="n">
        <v>102.1092567042555</v>
      </c>
      <c r="E204" s="118" t="n">
        <v>102.7682647705078</v>
      </c>
      <c r="F204" s="119" t="n">
        <v>4548400</v>
      </c>
      <c r="G204" s="120" t="n">
        <v>0.002535133276471147</v>
      </c>
      <c r="H204" s="121" t="n">
        <v>65.72741331083812</v>
      </c>
      <c r="I204" s="118" t="n">
        <v>111.4777740478516</v>
      </c>
      <c r="J204" s="118" t="n">
        <v>134.1673015213013</v>
      </c>
      <c r="K204" s="120" t="n">
        <v>0.4312600549911202</v>
      </c>
      <c r="L204" s="120" t="n">
        <v>-0.2022830859313139</v>
      </c>
      <c r="M204" s="120" t="n">
        <v>-0.3721619431205664</v>
      </c>
      <c r="N204" t="n">
        <v>40.87950271534938</v>
      </c>
      <c r="O204" t="n">
        <v>-0.09934048037902787</v>
      </c>
      <c r="P204" t="n">
        <v>84.10477360490115</v>
      </c>
      <c r="Q204" t="n">
        <v>73.88221658957838</v>
      </c>
    </row>
    <row r="205">
      <c r="A205" s="117" t="n">
        <v>44727</v>
      </c>
      <c r="B205" s="118" t="n">
        <v>104.1048516586268</v>
      </c>
      <c r="C205" s="118" t="n">
        <v>106.4809942886389</v>
      </c>
      <c r="D205" s="118" t="n">
        <v>103.2230748897187</v>
      </c>
      <c r="E205" s="118" t="n">
        <v>105.2929229736328</v>
      </c>
      <c r="F205" s="119" t="n">
        <v>4828700</v>
      </c>
      <c r="G205" s="120" t="n">
        <v>0.02456651582823577</v>
      </c>
      <c r="H205" s="121" t="n">
        <v>67.34210685028782</v>
      </c>
      <c r="I205" s="118" t="n">
        <v>111.0959577941895</v>
      </c>
      <c r="J205" s="118" t="n">
        <v>133.9190447616577</v>
      </c>
      <c r="K205" s="120" t="n">
        <v>0.427243079988146</v>
      </c>
      <c r="L205" s="120" t="n">
        <v>-0.1826859607353941</v>
      </c>
      <c r="M205" s="120" t="n">
        <v>-0.356738149558669</v>
      </c>
      <c r="N205" t="n">
        <v>45.44770574034997</v>
      </c>
      <c r="O205" t="n">
        <v>-0.1628404984009201</v>
      </c>
      <c r="P205" t="n">
        <v>85.30379370264407</v>
      </c>
      <c r="Q205" t="n">
        <v>75.72720996277127</v>
      </c>
    </row>
    <row r="206">
      <c r="A206" s="117" t="n">
        <v>44728</v>
      </c>
      <c r="B206" s="118" t="n">
        <v>101.6451801785252</v>
      </c>
      <c r="C206" s="118" t="n">
        <v>102.0071704758226</v>
      </c>
      <c r="D206" s="118" t="n">
        <v>98.12737067783395</v>
      </c>
      <c r="E206" s="118" t="n">
        <v>99.42682647705078</v>
      </c>
      <c r="F206" s="119" t="n">
        <v>7384800</v>
      </c>
      <c r="G206" s="120" t="n">
        <v>-0.0557121630866968</v>
      </c>
      <c r="H206" s="121" t="n">
        <v>63.59033241084282</v>
      </c>
      <c r="I206" s="118" t="n">
        <v>110.6345957946777</v>
      </c>
      <c r="J206" s="118" t="n">
        <v>133.656626663208</v>
      </c>
      <c r="K206" s="120" t="n">
        <v>0.4261582206810623</v>
      </c>
      <c r="L206" s="120" t="n">
        <v>-0.2282202937839508</v>
      </c>
      <c r="M206" s="120" t="n">
        <v>-0.3925756586779068</v>
      </c>
      <c r="N206" t="n">
        <v>38.08421673529411</v>
      </c>
      <c r="O206" t="n">
        <v>-0.5615988848192801</v>
      </c>
      <c r="P206" t="n">
        <v>82.48058124962257</v>
      </c>
      <c r="Q206" t="n">
        <v>72.67188986202132</v>
      </c>
    </row>
    <row r="207">
      <c r="A207" s="117" t="n">
        <v>44729</v>
      </c>
      <c r="B207" s="118" t="n">
        <v>98.5264731026661</v>
      </c>
      <c r="C207" s="118" t="n">
        <v>100.7541102424378</v>
      </c>
      <c r="D207" s="118" t="n">
        <v>98.24801580464593</v>
      </c>
      <c r="E207" s="118" t="n">
        <v>99.63100433349609</v>
      </c>
      <c r="F207" s="119" t="n">
        <v>10256800</v>
      </c>
      <c r="G207" s="120" t="n">
        <v>0.00205354896339216</v>
      </c>
      <c r="H207" s="121" t="n">
        <v>63.72091827204687</v>
      </c>
      <c r="I207" s="118" t="n">
        <v>110.2502775573731</v>
      </c>
      <c r="J207" s="118" t="n">
        <v>133.3960593032837</v>
      </c>
      <c r="K207" s="120" t="n">
        <v>0.414768564933095</v>
      </c>
      <c r="L207" s="120" t="n">
        <v>-0.2266354063682837</v>
      </c>
      <c r="M207" s="120" t="n">
        <v>-0.3913282830514456</v>
      </c>
      <c r="N207" t="n">
        <v>38.45797224262195</v>
      </c>
      <c r="O207" t="n">
        <v>-0.760916422580832</v>
      </c>
      <c r="P207" t="n">
        <v>82.65837037424953</v>
      </c>
      <c r="Q207" t="n">
        <v>73.55552007536198</v>
      </c>
    </row>
    <row r="208">
      <c r="A208" s="117" t="n">
        <v>44733</v>
      </c>
      <c r="B208" s="118" t="n">
        <v>100.6705928860196</v>
      </c>
      <c r="C208" s="118" t="n">
        <v>101.932920646716</v>
      </c>
      <c r="D208" s="118" t="n">
        <v>100.2807582461922</v>
      </c>
      <c r="E208" s="118" t="n">
        <v>100.8747940063477</v>
      </c>
      <c r="F208" s="119" t="n">
        <v>6211400</v>
      </c>
      <c r="G208" s="120" t="n">
        <v>0.01248396200733071</v>
      </c>
      <c r="H208" s="121" t="n">
        <v>64.51640779482733</v>
      </c>
      <c r="I208" s="118" t="n">
        <v>109.8719464111328</v>
      </c>
      <c r="J208" s="118" t="n">
        <v>133.1458145141602</v>
      </c>
      <c r="K208" s="120" t="n">
        <v>0.413881791998258</v>
      </c>
      <c r="L208" s="120" t="n">
        <v>-0.2169807521635706</v>
      </c>
      <c r="M208" s="120" t="n">
        <v>-0.3837296484621232</v>
      </c>
      <c r="N208" t="n">
        <v>40.80227779234017</v>
      </c>
      <c r="O208" t="n">
        <v>-0.7566998656846049</v>
      </c>
      <c r="P208" t="n">
        <v>84.73917885180059</v>
      </c>
      <c r="Q208" t="n">
        <v>75.41131132250635</v>
      </c>
    </row>
    <row r="209">
      <c r="A209" s="117" t="n">
        <v>44734</v>
      </c>
      <c r="B209" s="118" t="n">
        <v>97.83035701211071</v>
      </c>
      <c r="C209" s="118" t="n">
        <v>99.22262962495442</v>
      </c>
      <c r="D209" s="118" t="n">
        <v>97.09709258623727</v>
      </c>
      <c r="E209" s="118" t="n">
        <v>97.38482666015625</v>
      </c>
      <c r="F209" s="119" t="n">
        <v>9884000</v>
      </c>
      <c r="G209" s="120" t="n">
        <v>-0.03459702079760174</v>
      </c>
      <c r="H209" s="121" t="n">
        <v>62.28433229256313</v>
      </c>
      <c r="I209" s="118" t="n">
        <v>109.4465928649902</v>
      </c>
      <c r="J209" s="118" t="n">
        <v>132.8798717498779</v>
      </c>
      <c r="K209" s="120" t="n">
        <v>0.4318055964877788</v>
      </c>
      <c r="L209" s="120" t="n">
        <v>-0.2440708853658901</v>
      </c>
      <c r="M209" s="120" t="n">
        <v>-0.4050507666312244</v>
      </c>
      <c r="N209" t="n">
        <v>36.59046166444986</v>
      </c>
      <c r="O209" t="n">
        <v>-0.925505762224835</v>
      </c>
      <c r="P209" t="n">
        <v>84.58555997064356</v>
      </c>
      <c r="Q209" t="n">
        <v>75.30131899344353</v>
      </c>
    </row>
    <row r="210">
      <c r="A210" s="117" t="n">
        <v>44735</v>
      </c>
      <c r="B210" s="118" t="n">
        <v>97.46836799326411</v>
      </c>
      <c r="C210" s="118" t="n">
        <v>100.3364462146953</v>
      </c>
      <c r="D210" s="118" t="n">
        <v>96.91146035702614</v>
      </c>
      <c r="E210" s="118" t="n">
        <v>100.2436294555664</v>
      </c>
      <c r="F210" s="119" t="n">
        <v>8898400</v>
      </c>
      <c r="G210" s="120" t="n">
        <v>0.02935573121043289</v>
      </c>
      <c r="H210" s="121" t="n">
        <v>64.1127344099649</v>
      </c>
      <c r="I210" s="118" t="n">
        <v>109.1371162414551</v>
      </c>
      <c r="J210" s="118" t="n">
        <v>132.6312201309204</v>
      </c>
      <c r="K210" s="120" t="n">
        <v>0.4428398711953625</v>
      </c>
      <c r="L210" s="120" t="n">
        <v>-0.2218800334625506</v>
      </c>
      <c r="M210" s="120" t="n">
        <v>-0.3875855968525975</v>
      </c>
      <c r="N210" t="n">
        <v>41.88268378594567</v>
      </c>
      <c r="O210" t="n">
        <v>-0.7866366031469094</v>
      </c>
      <c r="P210" t="n">
        <v>85.41472370058564</v>
      </c>
      <c r="Q210" t="n">
        <v>76.42275413241016</v>
      </c>
    </row>
    <row r="211">
      <c r="A211" s="117" t="n">
        <v>44736</v>
      </c>
      <c r="B211" s="118" t="n">
        <v>102.0350104039802</v>
      </c>
      <c r="C211" s="118" t="n">
        <v>104.8288391898773</v>
      </c>
      <c r="D211" s="118" t="n">
        <v>101.7379925553491</v>
      </c>
      <c r="E211" s="118" t="n">
        <v>104.8009948730469</v>
      </c>
      <c r="F211" s="119" t="n">
        <v>10463700</v>
      </c>
      <c r="G211" s="120" t="n">
        <v>0.04546289317567598</v>
      </c>
      <c r="H211" s="121" t="n">
        <v>67.02748480564563</v>
      </c>
      <c r="I211" s="118" t="n">
        <v>108.9176762390137</v>
      </c>
      <c r="J211" s="118" t="n">
        <v>132.41425365448</v>
      </c>
      <c r="K211" s="120" t="n">
        <v>0.4699462033490951</v>
      </c>
      <c r="L211" s="120" t="n">
        <v>-0.1829812371743026</v>
      </c>
      <c r="M211" s="120" t="n">
        <v>-0.3597434662630618</v>
      </c>
      <c r="N211" t="n">
        <v>49.16633634844114</v>
      </c>
      <c r="O211" t="n">
        <v>-0.3520112283258126</v>
      </c>
      <c r="P211" t="n">
        <v>88.1303811159334</v>
      </c>
      <c r="Q211" t="n">
        <v>79.04129310035995</v>
      </c>
    </row>
    <row r="212">
      <c r="A212" s="117" t="n">
        <v>44739</v>
      </c>
      <c r="B212" s="118" t="n">
        <v>104.1791057329176</v>
      </c>
      <c r="C212" s="118" t="n">
        <v>105.0794430605728</v>
      </c>
      <c r="D212" s="118" t="n">
        <v>101.9514683711709</v>
      </c>
      <c r="E212" s="118" t="n">
        <v>102.5640716552734</v>
      </c>
      <c r="F212" s="119" t="n">
        <v>12644700</v>
      </c>
      <c r="G212" s="120" t="n">
        <v>-0.02134448456794891</v>
      </c>
      <c r="H212" s="121" t="n">
        <v>65.59681769058308</v>
      </c>
      <c r="I212" s="118" t="n">
        <v>108.608129119873</v>
      </c>
      <c r="J212" s="118" t="n">
        <v>132.1739767074585</v>
      </c>
      <c r="K212" s="120" t="n">
        <v>0.4508280202113488</v>
      </c>
      <c r="L212" s="120" t="n">
        <v>-0.1917275448842578</v>
      </c>
      <c r="M212" s="120" t="n">
        <v>-0.3734094119669382</v>
      </c>
      <c r="N212" t="n">
        <v>46.11158655738457</v>
      </c>
      <c r="O212" t="n">
        <v>-0.1875886907703417</v>
      </c>
      <c r="P212" t="n">
        <v>87.79374337645852</v>
      </c>
      <c r="Q212" t="n">
        <v>78.46177363847161</v>
      </c>
    </row>
    <row r="213">
      <c r="A213" s="117" t="n">
        <v>44740</v>
      </c>
      <c r="B213" s="118" t="n">
        <v>100.4292488661759</v>
      </c>
      <c r="C213" s="118" t="n">
        <v>105.8591170307716</v>
      </c>
      <c r="D213" s="118" t="n">
        <v>95.12005592627908</v>
      </c>
      <c r="E213" s="118" t="n">
        <v>95.39850616455078</v>
      </c>
      <c r="F213" s="119" t="n">
        <v>31296500</v>
      </c>
      <c r="G213" s="120" t="n">
        <v>-0.06986428458892247</v>
      </c>
      <c r="H213" s="121" t="n">
        <v>61.01394295132052</v>
      </c>
      <c r="I213" s="118" t="n">
        <v>108.0447198486328</v>
      </c>
      <c r="J213" s="118" t="n">
        <v>131.8967191314697</v>
      </c>
      <c r="K213" s="120" t="n">
        <v>0.5005896624590113</v>
      </c>
      <c r="L213" s="120" t="n">
        <v>-0.2481969217138511</v>
      </c>
      <c r="M213" s="120" t="n">
        <v>-0.4171857151300203</v>
      </c>
      <c r="N213" t="n">
        <v>37.97272539085423</v>
      </c>
      <c r="O213" t="n">
        <v>-0.5152502411091981</v>
      </c>
      <c r="P213" t="n">
        <v>85.99987925788686</v>
      </c>
      <c r="Q213" t="n">
        <v>76.07130724666551</v>
      </c>
    </row>
    <row r="214">
      <c r="A214" s="117" t="n">
        <v>44741</v>
      </c>
      <c r="B214" s="118" t="n">
        <v>95.59342573309198</v>
      </c>
      <c r="C214" s="118" t="n">
        <v>98.02526419479558</v>
      </c>
      <c r="D214" s="118" t="n">
        <v>94.23828137978758</v>
      </c>
      <c r="E214" s="118" t="n">
        <v>95.83475494384766</v>
      </c>
      <c r="F214" s="119" t="n">
        <v>10326600</v>
      </c>
      <c r="G214" s="120" t="n">
        <v>0.004572909963017624</v>
      </c>
      <c r="H214" s="121" t="n">
        <v>61.2929542189256</v>
      </c>
      <c r="I214" s="118" t="n">
        <v>107.523923034668</v>
      </c>
      <c r="J214" s="118" t="n">
        <v>131.6404079818726</v>
      </c>
      <c r="K214" s="120" t="n">
        <v>0.4895354559867358</v>
      </c>
      <c r="L214" s="120" t="n">
        <v>-0.2447589939269291</v>
      </c>
      <c r="M214" s="120" t="n">
        <v>-0.4145205578801494</v>
      </c>
      <c r="N214" t="n">
        <v>38.68231583394362</v>
      </c>
      <c r="O214" t="n">
        <v>-0.6478596175710987</v>
      </c>
      <c r="P214" t="n">
        <v>85.92982701146529</v>
      </c>
      <c r="Q214" t="n">
        <v>76.14105295463645</v>
      </c>
    </row>
    <row r="215">
      <c r="A215" s="117" t="n">
        <v>44742</v>
      </c>
      <c r="B215" s="118" t="n">
        <v>94.61883869975789</v>
      </c>
      <c r="C215" s="118" t="n">
        <v>95.95541544669823</v>
      </c>
      <c r="D215" s="118" t="n">
        <v>93.54214459766247</v>
      </c>
      <c r="E215" s="118" t="n">
        <v>94.86016082763672</v>
      </c>
      <c r="F215" s="119" t="n">
        <v>9027400</v>
      </c>
      <c r="G215" s="120" t="n">
        <v>-0.0101695268776133</v>
      </c>
      <c r="H215" s="121" t="n">
        <v>60.66963387358791</v>
      </c>
      <c r="I215" s="118" t="n">
        <v>106.8832673645019</v>
      </c>
      <c r="J215" s="118" t="n">
        <v>131.3827281188965</v>
      </c>
      <c r="K215" s="120" t="n">
        <v>0.4893343989627826</v>
      </c>
      <c r="L215" s="120" t="n">
        <v>-0.252439437637265</v>
      </c>
      <c r="M215" s="120" t="n">
        <v>-0.4204746068030772</v>
      </c>
      <c r="N215" t="n">
        <v>37.64617182017894</v>
      </c>
      <c r="O215" t="n">
        <v>-0.7398225620828369</v>
      </c>
      <c r="P215" t="n">
        <v>85.2316975686465</v>
      </c>
      <c r="Q215" t="n">
        <v>75.19667945659597</v>
      </c>
    </row>
    <row r="216">
      <c r="A216" s="117" t="n">
        <v>44743</v>
      </c>
      <c r="B216" s="118" t="n">
        <v>94.34038434917912</v>
      </c>
      <c r="C216" s="118" t="n">
        <v>95.13862115170076</v>
      </c>
      <c r="D216" s="118" t="n">
        <v>92.3819204594416</v>
      </c>
      <c r="E216" s="118" t="n">
        <v>93.91342163085938</v>
      </c>
      <c r="F216" s="119" t="n">
        <v>7934300</v>
      </c>
      <c r="G216" s="120" t="n">
        <v>-0.009980366768485571</v>
      </c>
      <c r="H216" s="121" t="n">
        <v>60.06412867581977</v>
      </c>
      <c r="I216" s="118" t="n">
        <v>106.2455288696289</v>
      </c>
      <c r="J216" s="118" t="n">
        <v>131.1242333984375</v>
      </c>
      <c r="K216" s="120" t="n">
        <v>0.4571388666796521</v>
      </c>
      <c r="L216" s="120" t="n">
        <v>-0.2599003662313003</v>
      </c>
      <c r="M216" s="120" t="n">
        <v>-0.4262584827788334</v>
      </c>
      <c r="N216" t="n">
        <v>36.62000650982612</v>
      </c>
      <c r="O216" t="n">
        <v>-0.7980244198337809</v>
      </c>
      <c r="P216" t="n">
        <v>86.13316836760288</v>
      </c>
      <c r="Q216" t="n">
        <v>75.69302089023648</v>
      </c>
    </row>
    <row r="217">
      <c r="A217" s="117" t="n">
        <v>44747</v>
      </c>
      <c r="B217" s="118" t="n">
        <v>93.23584577044602</v>
      </c>
      <c r="C217" s="118" t="n">
        <v>96.88360001099592</v>
      </c>
      <c r="D217" s="118" t="n">
        <v>92.92026740225134</v>
      </c>
      <c r="E217" s="118" t="n">
        <v>96.82791137695312</v>
      </c>
      <c r="F217" s="119" t="n">
        <v>9948800</v>
      </c>
      <c r="G217" s="120" t="n">
        <v>0.03103379363121905</v>
      </c>
      <c r="H217" s="121" t="n">
        <v>61.92814644978415</v>
      </c>
      <c r="I217" s="118" t="n">
        <v>105.673671875</v>
      </c>
      <c r="J217" s="118" t="n">
        <v>130.8817403411865</v>
      </c>
      <c r="K217" s="120" t="n">
        <v>0.4776752213742573</v>
      </c>
      <c r="L217" s="120" t="n">
        <v>-0.2369322669303816</v>
      </c>
      <c r="M217" s="120" t="n">
        <v>-0.4084531069357291</v>
      </c>
      <c r="N217" t="n">
        <v>41.87282709198424</v>
      </c>
      <c r="O217" t="n">
        <v>-0.5837809752309915</v>
      </c>
      <c r="P217" t="n">
        <v>86.29582835999466</v>
      </c>
      <c r="Q217" t="n">
        <v>76.98885805393452</v>
      </c>
    </row>
    <row r="218">
      <c r="A218" s="117" t="n">
        <v>44748</v>
      </c>
      <c r="B218" s="118" t="n">
        <v>97.35695799151793</v>
      </c>
      <c r="C218" s="118" t="n">
        <v>98.12735034416436</v>
      </c>
      <c r="D218" s="118" t="n">
        <v>96.02037435140488</v>
      </c>
      <c r="E218" s="118" t="n">
        <v>96.74436187744141</v>
      </c>
      <c r="F218" s="119" t="n">
        <v>6432900</v>
      </c>
      <c r="G218" s="120" t="n">
        <v>-0.000862865865054796</v>
      </c>
      <c r="H218" s="121" t="n">
        <v>61.87471076612652</v>
      </c>
      <c r="I218" s="118" t="n">
        <v>105.2184725952148</v>
      </c>
      <c r="J218" s="118" t="n">
        <v>130.6442700576782</v>
      </c>
      <c r="K218" s="120" t="n">
        <v>0.4781551114776126</v>
      </c>
      <c r="L218" s="120" t="n">
        <v>-0.2375906920299722</v>
      </c>
      <c r="M218" s="120" t="n">
        <v>-0.4089635325573335</v>
      </c>
      <c r="N218" t="n">
        <v>41.76596371651068</v>
      </c>
      <c r="O218" t="n">
        <v>-0.4000023944009721</v>
      </c>
      <c r="P218" t="n">
        <v>86.5872896377808</v>
      </c>
      <c r="Q218" t="n">
        <v>77.48249792159807</v>
      </c>
    </row>
    <row r="219">
      <c r="A219" s="117" t="n">
        <v>44749</v>
      </c>
      <c r="B219" s="118" t="n">
        <v>98.0623866869676</v>
      </c>
      <c r="C219" s="118" t="n">
        <v>100.5035017264895</v>
      </c>
      <c r="D219" s="118" t="n">
        <v>97.709673149598</v>
      </c>
      <c r="E219" s="118" t="n">
        <v>100.3642730712891</v>
      </c>
      <c r="F219" s="119" t="n">
        <v>7633900</v>
      </c>
      <c r="G219" s="120" t="n">
        <v>0.03741728327727745</v>
      </c>
      <c r="H219" s="121" t="n">
        <v>64.18989434656228</v>
      </c>
      <c r="I219" s="118" t="n">
        <v>104.8565965270996</v>
      </c>
      <c r="J219" s="118" t="n">
        <v>130.4349045944214</v>
      </c>
      <c r="K219" s="120" t="n">
        <v>0.4993757810120142</v>
      </c>
      <c r="L219" s="120" t="n">
        <v>-0.2090634069804246</v>
      </c>
      <c r="M219" s="120" t="n">
        <v>-0.38684855362783</v>
      </c>
      <c r="N219" t="n">
        <v>47.96253542022345</v>
      </c>
      <c r="O219" t="n">
        <v>-0.007694681008297621</v>
      </c>
      <c r="P219" t="n">
        <v>87.88411812069978</v>
      </c>
      <c r="Q219" t="n">
        <v>79.14056306507933</v>
      </c>
    </row>
    <row r="220">
      <c r="A220" s="117" t="n">
        <v>44750</v>
      </c>
      <c r="B220" s="118" t="n">
        <v>98.92560603942077</v>
      </c>
      <c r="C220" s="118" t="n">
        <v>100.8098137336518</v>
      </c>
      <c r="D220" s="118" t="n">
        <v>98.86063360449779</v>
      </c>
      <c r="E220" s="118" t="n">
        <v>100.1786499023438</v>
      </c>
      <c r="F220" s="119" t="n">
        <v>5938600</v>
      </c>
      <c r="G220" s="120" t="n">
        <v>-0.001849494479110758</v>
      </c>
      <c r="H220" s="121" t="n">
        <v>64.07117549135361</v>
      </c>
      <c r="I220" s="118" t="n">
        <v>104.6284101867676</v>
      </c>
      <c r="J220" s="118" t="n">
        <v>130.2210606765747</v>
      </c>
      <c r="K220" s="120" t="n">
        <v>0.4977726890701123</v>
      </c>
      <c r="L220" s="120" t="n">
        <v>-0.2105262398425409</v>
      </c>
      <c r="M220" s="120" t="n">
        <v>-0.387982573842754</v>
      </c>
      <c r="N220" t="n">
        <v>47.68234637278577</v>
      </c>
      <c r="O220" t="n">
        <v>0.2519068593234168</v>
      </c>
      <c r="P220" t="n">
        <v>87.81182559892801</v>
      </c>
      <c r="Q220" t="n">
        <v>79.23982463984227</v>
      </c>
    </row>
    <row r="221">
      <c r="A221" s="117" t="n">
        <v>44753</v>
      </c>
      <c r="B221" s="118" t="n">
        <v>98.94417661752544</v>
      </c>
      <c r="C221" s="118" t="n">
        <v>99.39898370822904</v>
      </c>
      <c r="D221" s="118" t="n">
        <v>97.33842609910734</v>
      </c>
      <c r="E221" s="118" t="n">
        <v>97.56118774414062</v>
      </c>
      <c r="F221" s="119" t="n">
        <v>4935200</v>
      </c>
      <c r="G221" s="120" t="n">
        <v>-0.02612794403552732</v>
      </c>
      <c r="H221" s="121" t="n">
        <v>62.39712740382508</v>
      </c>
      <c r="I221" s="118" t="n">
        <v>104.3345413208008</v>
      </c>
      <c r="J221" s="118" t="n">
        <v>129.9829718399048</v>
      </c>
      <c r="K221" s="120" t="n">
        <v>0.4947613685596362</v>
      </c>
      <c r="L221" s="120" t="n">
        <v>-0.2311535660654523</v>
      </c>
      <c r="M221" s="120" t="n">
        <v>-0.403973330902158</v>
      </c>
      <c r="N221" t="n">
        <v>43.79702830142816</v>
      </c>
      <c r="O221" t="n">
        <v>0.2589535698478622</v>
      </c>
      <c r="P221" t="n">
        <v>86.80869866914537</v>
      </c>
      <c r="Q221" t="n">
        <v>77.54692439717957</v>
      </c>
    </row>
    <row r="222">
      <c r="A222" s="117" t="n">
        <v>44754</v>
      </c>
      <c r="B222" s="118" t="n">
        <v>97.46834767849234</v>
      </c>
      <c r="C222" s="118" t="n">
        <v>98.2573005888479</v>
      </c>
      <c r="D222" s="118" t="n">
        <v>95.74192940895679</v>
      </c>
      <c r="E222" s="118" t="n">
        <v>96.30812072753906</v>
      </c>
      <c r="F222" s="119" t="n">
        <v>6017400</v>
      </c>
      <c r="G222" s="120" t="n">
        <v>-0.01284390899266008</v>
      </c>
      <c r="H222" s="121" t="n">
        <v>61.59570437804693</v>
      </c>
      <c r="I222" s="118" t="n">
        <v>103.908023223877</v>
      </c>
      <c r="J222" s="118" t="n">
        <v>129.7287509536743</v>
      </c>
      <c r="K222" s="120" t="n">
        <v>0.4852931102730799</v>
      </c>
      <c r="L222" s="120" t="n">
        <v>-0.2410285596922389</v>
      </c>
      <c r="M222" s="120" t="n">
        <v>-0.411628643197249</v>
      </c>
      <c r="N222" t="n">
        <v>42.03131375446888</v>
      </c>
      <c r="O222" t="n">
        <v>0.1938167085339622</v>
      </c>
      <c r="P222" t="n">
        <v>86.04053880076883</v>
      </c>
      <c r="Q222" t="n">
        <v>76.7957044765368</v>
      </c>
    </row>
    <row r="223">
      <c r="A223" s="117" t="n">
        <v>44755</v>
      </c>
      <c r="B223" s="118" t="n">
        <v>94.61885319259275</v>
      </c>
      <c r="C223" s="118" t="n">
        <v>98.27588460096057</v>
      </c>
      <c r="D223" s="118" t="n">
        <v>94.26613958303628</v>
      </c>
      <c r="E223" s="118" t="n">
        <v>97.56118774414062</v>
      </c>
      <c r="F223" s="119" t="n">
        <v>5299400</v>
      </c>
      <c r="G223" s="120" t="n">
        <v>0.01301102136699939</v>
      </c>
      <c r="H223" s="121" t="n">
        <v>62.39712740382508</v>
      </c>
      <c r="I223" s="118" t="n">
        <v>103.5500828552246</v>
      </c>
      <c r="J223" s="118" t="n">
        <v>129.526855506897</v>
      </c>
      <c r="K223" s="120" t="n">
        <v>0.4728918877674028</v>
      </c>
      <c r="L223" s="120" t="n">
        <v>-0.2311535660654523</v>
      </c>
      <c r="M223" s="120" t="n">
        <v>-0.403973330902158</v>
      </c>
      <c r="N223" t="n">
        <v>44.44341789468872</v>
      </c>
      <c r="O223" t="n">
        <v>0.2463450364527522</v>
      </c>
      <c r="P223" t="n">
        <v>85.58866507956236</v>
      </c>
      <c r="Q223" t="n">
        <v>76.63739438827697</v>
      </c>
    </row>
    <row r="224">
      <c r="A224" s="117" t="n">
        <v>44756</v>
      </c>
      <c r="B224" s="118" t="n">
        <v>95.70479948814258</v>
      </c>
      <c r="C224" s="118" t="n">
        <v>96.34524701903402</v>
      </c>
      <c r="D224" s="118" t="n">
        <v>94.5352887608731</v>
      </c>
      <c r="E224" s="118" t="n">
        <v>95.80690002441406</v>
      </c>
      <c r="F224" s="119" t="n">
        <v>6951300</v>
      </c>
      <c r="G224" s="120" t="n">
        <v>-0.01798141002882492</v>
      </c>
      <c r="H224" s="121" t="n">
        <v>61.27513907135608</v>
      </c>
      <c r="I224" s="118" t="n">
        <v>103.1315022277832</v>
      </c>
      <c r="J224" s="118" t="n">
        <v>129.3233350753784</v>
      </c>
      <c r="K224" s="120" t="n">
        <v>0.4758559734328663</v>
      </c>
      <c r="L224" s="120" t="n">
        <v>-0.2449785090432292</v>
      </c>
      <c r="M224" s="120" t="n">
        <v>-0.4146907308273211</v>
      </c>
      <c r="N224" t="n">
        <v>41.81982744860204</v>
      </c>
      <c r="O224" t="n">
        <v>0.1773861799686078</v>
      </c>
      <c r="P224" t="n">
        <v>85.38082862548183</v>
      </c>
      <c r="Q224" t="n">
        <v>76.91104959781487</v>
      </c>
    </row>
    <row r="225">
      <c r="A225" s="117" t="n">
        <v>44757</v>
      </c>
      <c r="B225" s="118" t="n">
        <v>97.23631400188302</v>
      </c>
      <c r="C225" s="118" t="n">
        <v>98.0345508068156</v>
      </c>
      <c r="D225" s="118" t="n">
        <v>96.46592151409344</v>
      </c>
      <c r="E225" s="118" t="n">
        <v>97.18061828613281</v>
      </c>
      <c r="F225" s="119" t="n">
        <v>7862000</v>
      </c>
      <c r="G225" s="120" t="n">
        <v>0.01433840632948868</v>
      </c>
      <c r="H225" s="121" t="n">
        <v>62.15372691325711</v>
      </c>
      <c r="I225" s="118" t="n">
        <v>102.8000233459473</v>
      </c>
      <c r="J225" s="118" t="n">
        <v>129.1393161392212</v>
      </c>
      <c r="K225" s="120" t="n">
        <v>0.4693178021724068</v>
      </c>
      <c r="L225" s="120" t="n">
        <v>-0.2275011867072055</v>
      </c>
      <c r="M225" s="120" t="n">
        <v>-0.4062983286975071</v>
      </c>
      <c r="N225" t="n">
        <v>44.57879193364484</v>
      </c>
      <c r="O225" t="n">
        <v>0.2351141822624192</v>
      </c>
      <c r="P225" t="n">
        <v>87.01203275166168</v>
      </c>
      <c r="Q225" t="n">
        <v>78.3061567262323</v>
      </c>
    </row>
    <row r="226">
      <c r="A226" s="117" t="n">
        <v>44760</v>
      </c>
      <c r="B226" s="118" t="n">
        <v>98.56360541821053</v>
      </c>
      <c r="C226" s="118" t="n">
        <v>99.01841241500851</v>
      </c>
      <c r="D226" s="118" t="n">
        <v>96.23386764189968</v>
      </c>
      <c r="E226" s="118" t="n">
        <v>96.47519683837891</v>
      </c>
      <c r="F226" s="119" t="n">
        <v>6834800</v>
      </c>
      <c r="G226" s="120" t="n">
        <v>-0.007258869723146932</v>
      </c>
      <c r="H226" s="121" t="n">
        <v>61.70256110678572</v>
      </c>
      <c r="I226" s="118" t="n">
        <v>102.3951792907715</v>
      </c>
      <c r="J226" s="118" t="n">
        <v>128.9484506225586</v>
      </c>
      <c r="K226" s="120" t="n">
        <v>0.4275931871442237</v>
      </c>
      <c r="L226" s="120" t="n">
        <v>-0.2307876623791376</v>
      </c>
      <c r="M226" s="120" t="n">
        <v>-0.4106079317839065</v>
      </c>
      <c r="N226" t="n">
        <v>43.4396110086782</v>
      </c>
      <c r="O226" t="n">
        <v>0.2359991442455325</v>
      </c>
      <c r="P226" t="n">
        <v>86.29358808464444</v>
      </c>
      <c r="Q226" t="n">
        <v>77.64350118587842</v>
      </c>
    </row>
    <row r="227">
      <c r="A227" s="117" t="n">
        <v>44761</v>
      </c>
      <c r="B227" s="118" t="n">
        <v>98.01596912316333</v>
      </c>
      <c r="C227" s="118" t="n">
        <v>101.7101347650207</v>
      </c>
      <c r="D227" s="118" t="n">
        <v>97.8581799610506</v>
      </c>
      <c r="E227" s="118" t="n">
        <v>101.34814453125</v>
      </c>
      <c r="F227" s="119" t="n">
        <v>8973900</v>
      </c>
      <c r="G227" s="120" t="n">
        <v>0.05050984970815398</v>
      </c>
      <c r="H227" s="121" t="n">
        <v>64.81914819489766</v>
      </c>
      <c r="I227" s="118" t="n">
        <v>102.225380859375</v>
      </c>
      <c r="J227" s="118" t="n">
        <v>128.7855921936035</v>
      </c>
      <c r="K227" s="120" t="n">
        <v>0.4653475213378255</v>
      </c>
      <c r="L227" s="120" t="n">
        <v>-0.1519290720546927</v>
      </c>
      <c r="M227" s="120" t="n">
        <v>-0.3808378269991336</v>
      </c>
      <c r="N227" t="n">
        <v>52.4744310574806</v>
      </c>
      <c r="O227" t="n">
        <v>0.5566701953048949</v>
      </c>
      <c r="P227" t="n">
        <v>88.62515465537203</v>
      </c>
      <c r="Q227" t="n">
        <v>80.03128279162043</v>
      </c>
    </row>
    <row r="228">
      <c r="A228" s="117" t="n">
        <v>44762</v>
      </c>
      <c r="B228" s="118" t="n">
        <v>101.3760090199235</v>
      </c>
      <c r="C228" s="118" t="n">
        <v>103.6129232922167</v>
      </c>
      <c r="D228" s="118" t="n">
        <v>101.0511468328433</v>
      </c>
      <c r="E228" s="118" t="n">
        <v>103.1302719116211</v>
      </c>
      <c r="F228" s="119" t="n">
        <v>5884600</v>
      </c>
      <c r="G228" s="120" t="n">
        <v>0.01758421319515713</v>
      </c>
      <c r="H228" s="121" t="n">
        <v>65.95894191588523</v>
      </c>
      <c r="I228" s="118" t="n">
        <v>102.1678883361816</v>
      </c>
      <c r="J228" s="118" t="n">
        <v>128.6232069778442</v>
      </c>
      <c r="K228" s="120" t="n">
        <v>0.4673262871785395</v>
      </c>
      <c r="L228" s="120" t="n">
        <v>-0.1293943395104781</v>
      </c>
      <c r="M228" s="120" t="n">
        <v>-0.3699503473467096</v>
      </c>
      <c r="N228" t="n">
        <v>55.28742305248429</v>
      </c>
      <c r="O228" t="n">
        <v>0.8624491697290457</v>
      </c>
      <c r="P228" t="n">
        <v>89.18998771485353</v>
      </c>
      <c r="Q228" t="n">
        <v>81.3003140444599</v>
      </c>
    </row>
    <row r="229">
      <c r="A229" s="117" t="n">
        <v>44763</v>
      </c>
      <c r="B229" s="118" t="n">
        <v>102.4434030958791</v>
      </c>
      <c r="C229" s="118" t="n">
        <v>103.6500348958415</v>
      </c>
      <c r="D229" s="118" t="n">
        <v>102.1649457904844</v>
      </c>
      <c r="E229" s="118" t="n">
        <v>103.603630065918</v>
      </c>
      <c r="F229" s="119" t="n">
        <v>4291400</v>
      </c>
      <c r="G229" s="120" t="n">
        <v>0.004589905034891428</v>
      </c>
      <c r="H229" s="121" t="n">
        <v>66.26168719548106</v>
      </c>
      <c r="I229" s="118" t="n">
        <v>102.1806015014648</v>
      </c>
      <c r="J229" s="118" t="n">
        <v>128.4628197479248</v>
      </c>
      <c r="K229" s="120" t="n">
        <v>0.447436262125566</v>
      </c>
      <c r="L229" s="120" t="n">
        <v>-0.1192715750343726</v>
      </c>
      <c r="M229" s="120" t="n">
        <v>-0.3670584792737647</v>
      </c>
      <c r="N229" t="n">
        <v>56.03183833951175</v>
      </c>
      <c r="O229" t="n">
        <v>1.057376349312744</v>
      </c>
      <c r="P229" t="n">
        <v>90.09822298158814</v>
      </c>
      <c r="Q229" t="n">
        <v>82.46738215655945</v>
      </c>
    </row>
    <row r="230">
      <c r="A230" s="117" t="n">
        <v>44764</v>
      </c>
      <c r="B230" s="118" t="n">
        <v>103.8913761311215</v>
      </c>
      <c r="C230" s="118" t="n">
        <v>103.8913761311215</v>
      </c>
      <c r="D230" s="118" t="n">
        <v>100.9397580939435</v>
      </c>
      <c r="E230" s="118" t="n">
        <v>101.2831878662109</v>
      </c>
      <c r="F230" s="119" t="n">
        <v>6039300</v>
      </c>
      <c r="G230" s="120" t="n">
        <v>-0.02239730594604306</v>
      </c>
      <c r="H230" s="121" t="n">
        <v>64.77760391486285</v>
      </c>
      <c r="I230" s="118" t="n">
        <v>102.1787565612793</v>
      </c>
      <c r="J230" s="118" t="n">
        <v>128.2801335906983</v>
      </c>
      <c r="K230" s="120" t="n">
        <v>0.4454476536078318</v>
      </c>
      <c r="L230" s="120" t="n">
        <v>-0.1389975190237045</v>
      </c>
      <c r="M230" s="120" t="n">
        <v>-0.381234664159424</v>
      </c>
      <c r="N230" t="n">
        <v>51.50494668891881</v>
      </c>
      <c r="O230" t="n">
        <v>0.9919015802400823</v>
      </c>
      <c r="P230" t="n">
        <v>89.26229478386783</v>
      </c>
      <c r="Q230" t="n">
        <v>81.02128926279384</v>
      </c>
    </row>
    <row r="231">
      <c r="A231" s="117" t="n">
        <v>44767</v>
      </c>
      <c r="B231" s="118" t="n">
        <v>101.7379803833893</v>
      </c>
      <c r="C231" s="118" t="n">
        <v>101.7379803833893</v>
      </c>
      <c r="D231" s="118" t="n">
        <v>99.94658970649361</v>
      </c>
      <c r="E231" s="118" t="n">
        <v>101.4316787719727</v>
      </c>
      <c r="F231" s="119" t="n">
        <v>5079500</v>
      </c>
      <c r="G231" s="120" t="n">
        <v>0.001466096287943364</v>
      </c>
      <c r="H231" s="121" t="n">
        <v>64.87257411950431</v>
      </c>
      <c r="I231" s="118" t="n">
        <v>102.2089541625976</v>
      </c>
      <c r="J231" s="118" t="n">
        <v>128.1012329483032</v>
      </c>
      <c r="K231" s="120" t="n">
        <v>0.4132749290211314</v>
      </c>
      <c r="L231" s="120" t="n">
        <v>-0.137735206482435</v>
      </c>
      <c r="M231" s="120" t="n">
        <v>-0.3803274945974401</v>
      </c>
      <c r="N231" t="n">
        <v>51.77345956839959</v>
      </c>
      <c r="O231" t="n">
        <v>0.9219450087310979</v>
      </c>
      <c r="P231" t="n">
        <v>89.37072992971484</v>
      </c>
      <c r="Q231" t="n">
        <v>80.55982487811701</v>
      </c>
    </row>
    <row r="232">
      <c r="A232" s="117" t="n">
        <v>44768</v>
      </c>
      <c r="B232" s="118" t="n">
        <v>99.76097463078837</v>
      </c>
      <c r="C232" s="118" t="n">
        <v>100.1786535732465</v>
      </c>
      <c r="D232" s="118" t="n">
        <v>97.05996241973445</v>
      </c>
      <c r="E232" s="118" t="n">
        <v>97.64471435546875</v>
      </c>
      <c r="F232" s="119" t="n">
        <v>8459500</v>
      </c>
      <c r="G232" s="120" t="n">
        <v>-0.03733512510442949</v>
      </c>
      <c r="H232" s="121" t="n">
        <v>62.45054844890623</v>
      </c>
      <c r="I232" s="118" t="n">
        <v>102.1637831115723</v>
      </c>
      <c r="J232" s="118" t="n">
        <v>127.8893351364136</v>
      </c>
      <c r="K232" s="120" t="n">
        <v>0.4272200717216313</v>
      </c>
      <c r="L232" s="120" t="n">
        <v>-0.163541908756215</v>
      </c>
      <c r="M232" s="120" t="n">
        <v>-0.40346304511042</v>
      </c>
      <c r="N232" t="n">
        <v>44.93950596552185</v>
      </c>
      <c r="O232" t="n">
        <v>0.5995937054672347</v>
      </c>
      <c r="P232" t="n">
        <v>88.31339997425123</v>
      </c>
      <c r="Q232" t="n">
        <v>78.97690018460422</v>
      </c>
    </row>
    <row r="233">
      <c r="A233" s="117" t="n">
        <v>44769</v>
      </c>
      <c r="B233" s="118" t="n">
        <v>98.66571680343164</v>
      </c>
      <c r="C233" s="118" t="n">
        <v>100.5963293430555</v>
      </c>
      <c r="D233" s="118" t="n">
        <v>98.15521403967031</v>
      </c>
      <c r="E233" s="118" t="n">
        <v>100.1136779785156</v>
      </c>
      <c r="F233" s="119" t="n">
        <v>7437000</v>
      </c>
      <c r="G233" s="120" t="n">
        <v>0.02528517431121546</v>
      </c>
      <c r="H233" s="121" t="n">
        <v>64.02962145226783</v>
      </c>
      <c r="I233" s="118" t="n">
        <v>102.073365020752</v>
      </c>
      <c r="J233" s="118" t="n">
        <v>127.6868774795532</v>
      </c>
      <c r="K233" s="120" t="n">
        <v>0.3543642907334987</v>
      </c>
      <c r="L233" s="120" t="n">
        <v>-0.1423919201150894</v>
      </c>
      <c r="M233" s="120" t="n">
        <v>-0.3883795042229552</v>
      </c>
      <c r="N233" t="n">
        <v>49.60955247250476</v>
      </c>
      <c r="O233" t="n">
        <v>0.5338165791707462</v>
      </c>
      <c r="P233" t="n">
        <v>90.60656909831084</v>
      </c>
      <c r="Q233" t="n">
        <v>82.31445003038424</v>
      </c>
    </row>
    <row r="234">
      <c r="A234" s="117" t="n">
        <v>44770</v>
      </c>
      <c r="B234" s="118" t="n">
        <v>101.5709114149887</v>
      </c>
      <c r="C234" s="118" t="n">
        <v>104.3276118632129</v>
      </c>
      <c r="D234" s="118" t="n">
        <v>100.2714557760476</v>
      </c>
      <c r="E234" s="118" t="n">
        <v>104.1698226928711</v>
      </c>
      <c r="F234" s="119" t="n">
        <v>6773500</v>
      </c>
      <c r="G234" s="120" t="n">
        <v>0.04051539006713867</v>
      </c>
      <c r="H234" s="121" t="n">
        <v>66.62380654125769</v>
      </c>
      <c r="I234" s="118" t="n">
        <v>102.0716627502441</v>
      </c>
      <c r="J234" s="118" t="n">
        <v>127.5148439788818</v>
      </c>
      <c r="K234" s="120" t="n">
        <v>0.3790577351083027</v>
      </c>
      <c r="L234" s="120" t="n">
        <v>-0.1075039107074258</v>
      </c>
      <c r="M234" s="120" t="n">
        <v>-0.3635994612634915</v>
      </c>
      <c r="N234" t="n">
        <v>56.18450020990459</v>
      </c>
      <c r="O234" t="n">
        <v>0.7323768353205533</v>
      </c>
      <c r="P234" t="n">
        <v>91.74298513780951</v>
      </c>
      <c r="Q234" t="n">
        <v>83.11932372252637</v>
      </c>
    </row>
    <row r="235">
      <c r="A235" s="117" t="n">
        <v>44771</v>
      </c>
      <c r="B235" s="118" t="n">
        <v>104.6617649226735</v>
      </c>
      <c r="C235" s="118" t="n">
        <v>106.9358071344535</v>
      </c>
      <c r="D235" s="118" t="n">
        <v>103.4922540599042</v>
      </c>
      <c r="E235" s="118" t="n">
        <v>106.666633605957</v>
      </c>
      <c r="F235" s="119" t="n">
        <v>7560000</v>
      </c>
      <c r="G235" s="120" t="n">
        <v>0.02396865856676555</v>
      </c>
      <c r="H235" s="121" t="n">
        <v>68.22068981266334</v>
      </c>
      <c r="I235" s="118" t="n">
        <v>102.0587873840332</v>
      </c>
      <c r="J235" s="118" t="n">
        <v>127.3411397171021</v>
      </c>
      <c r="K235" s="120" t="n">
        <v>0.38096281020464</v>
      </c>
      <c r="L235" s="120" t="n">
        <v>-0.08611197667099868</v>
      </c>
      <c r="M235" s="120" t="n">
        <v>-0.3483457940388104</v>
      </c>
      <c r="N235" t="n">
        <v>59.67269098145189</v>
      </c>
      <c r="O235" t="n">
        <v>0.985027509727731</v>
      </c>
      <c r="P235" t="n">
        <v>93.08048771085303</v>
      </c>
      <c r="Q235" t="n">
        <v>84.63516232426295</v>
      </c>
    </row>
    <row r="236">
      <c r="A236" s="117" t="n">
        <v>44774</v>
      </c>
      <c r="B236" s="118" t="n">
        <v>105.8127139217423</v>
      </c>
      <c r="C236" s="118" t="n">
        <v>107.2513983909833</v>
      </c>
      <c r="D236" s="118" t="n">
        <v>105.1165776459414</v>
      </c>
      <c r="E236" s="118" t="n">
        <v>106.0911712646484</v>
      </c>
      <c r="F236" s="119" t="n">
        <v>4802900</v>
      </c>
      <c r="G236" s="120" t="n">
        <v>-0.00539496112190474</v>
      </c>
      <c r="H236" s="121" t="n">
        <v>67.8526418434145</v>
      </c>
      <c r="I236" s="118" t="n">
        <v>102.1553237915039</v>
      </c>
      <c r="J236" s="118" t="n">
        <v>127.1509567642212</v>
      </c>
      <c r="K236" s="120" t="n">
        <v>0.3787282511355729</v>
      </c>
      <c r="L236" s="120" t="n">
        <v>-0.07152429099274038</v>
      </c>
      <c r="M236" s="120" t="n">
        <v>-0.3518614431448968</v>
      </c>
      <c r="N236" t="n">
        <v>58.51640298089162</v>
      </c>
      <c r="O236" t="n">
        <v>1.060026265905027</v>
      </c>
      <c r="P236" t="n">
        <v>92.80486838018621</v>
      </c>
      <c r="Q236" t="n">
        <v>84.58419333882766</v>
      </c>
    </row>
    <row r="237">
      <c r="A237" s="117" t="n">
        <v>44775</v>
      </c>
      <c r="B237" s="118" t="n">
        <v>105.4136041774356</v>
      </c>
      <c r="C237" s="118" t="n">
        <v>105.6085215009164</v>
      </c>
      <c r="D237" s="118" t="n">
        <v>103.6500573840596</v>
      </c>
      <c r="E237" s="118" t="n">
        <v>103.7428741455078</v>
      </c>
      <c r="F237" s="119" t="n">
        <v>6334400</v>
      </c>
      <c r="G237" s="120" t="n">
        <v>-0.02213470820566876</v>
      </c>
      <c r="H237" s="121" t="n">
        <v>66.35074341522676</v>
      </c>
      <c r="I237" s="118" t="n">
        <v>102.2591514587402</v>
      </c>
      <c r="J237" s="118" t="n">
        <v>126.9451594924927</v>
      </c>
      <c r="K237" s="120" t="n">
        <v>0.3798524069599732</v>
      </c>
      <c r="L237" s="120" t="n">
        <v>-0.0920758298876676</v>
      </c>
      <c r="M237" s="120" t="n">
        <v>-0.3662078009777278</v>
      </c>
      <c r="N237" t="n">
        <v>53.92445479614342</v>
      </c>
      <c r="O237" t="n">
        <v>0.9041904945598084</v>
      </c>
      <c r="P237" t="n">
        <v>92.1925894891807</v>
      </c>
      <c r="Q237" t="n">
        <v>84.33199124793306</v>
      </c>
    </row>
    <row r="238">
      <c r="A238" s="117" t="n">
        <v>44776</v>
      </c>
      <c r="B238" s="118" t="n">
        <v>105.2743569346028</v>
      </c>
      <c r="C238" s="118" t="n">
        <v>106.8337023290003</v>
      </c>
      <c r="D238" s="118" t="n">
        <v>104.4946877781359</v>
      </c>
      <c r="E238" s="118" t="n">
        <v>106.0725936889648</v>
      </c>
      <c r="F238" s="119" t="n">
        <v>5986500</v>
      </c>
      <c r="G238" s="120" t="n">
        <v>0.02245667051974487</v>
      </c>
      <c r="H238" s="121" t="n">
        <v>67.84076019884264</v>
      </c>
      <c r="I238" s="118" t="n">
        <v>102.3806858825684</v>
      </c>
      <c r="J238" s="118" t="n">
        <v>126.7469996643066</v>
      </c>
      <c r="K238" s="120" t="n">
        <v>0.3850997154677472</v>
      </c>
      <c r="L238" s="120" t="n">
        <v>-0.07168687594254208</v>
      </c>
      <c r="M238" s="120" t="n">
        <v>-0.3519749383863</v>
      </c>
      <c r="N238" t="n">
        <v>57.48863525742357</v>
      </c>
      <c r="O238" t="n">
        <v>0.9083205436828012</v>
      </c>
      <c r="P238" t="n">
        <v>93.63627965909976</v>
      </c>
      <c r="Q238" t="n">
        <v>86.6285991969302</v>
      </c>
    </row>
    <row r="239">
      <c r="A239" s="117" t="n">
        <v>44777</v>
      </c>
      <c r="B239" s="118" t="n">
        <v>106.4067527696601</v>
      </c>
      <c r="C239" s="118" t="n">
        <v>107.0657609470013</v>
      </c>
      <c r="D239" s="118" t="n">
        <v>105.6549278357784</v>
      </c>
      <c r="E239" s="118" t="n">
        <v>106.2582473754883</v>
      </c>
      <c r="F239" s="119" t="n">
        <v>4332000</v>
      </c>
      <c r="G239" s="120" t="n">
        <v>0.001750251220101529</v>
      </c>
      <c r="H239" s="121" t="n">
        <v>67.95949857215329</v>
      </c>
      <c r="I239" s="118" t="n">
        <v>102.4942672729492</v>
      </c>
      <c r="J239" s="118" t="n">
        <v>126.5432209396362</v>
      </c>
      <c r="K239" s="120" t="n">
        <v>0.3654546019864796</v>
      </c>
      <c r="L239" s="120" t="n">
        <v>-0.07006209476452419</v>
      </c>
      <c r="M239" s="120" t="n">
        <v>-0.3508407317315543</v>
      </c>
      <c r="N239" t="n">
        <v>57.76898832057389</v>
      </c>
      <c r="O239" t="n">
        <v>0.8735980457085897</v>
      </c>
      <c r="P239" t="n">
        <v>93.57301370132022</v>
      </c>
      <c r="Q239" t="n">
        <v>87.03369146421775</v>
      </c>
    </row>
    <row r="240">
      <c r="A240" s="117" t="n">
        <v>44778</v>
      </c>
      <c r="B240" s="118" t="n">
        <v>104.6896016797562</v>
      </c>
      <c r="C240" s="118" t="n">
        <v>106.0911578540126</v>
      </c>
      <c r="D240" s="118" t="n">
        <v>104.4854005982993</v>
      </c>
      <c r="E240" s="118" t="n">
        <v>105.6920394897461</v>
      </c>
      <c r="F240" s="119" t="n">
        <v>4162200</v>
      </c>
      <c r="G240" s="120" t="n">
        <v>-0.005328601776588338</v>
      </c>
      <c r="H240" s="121" t="n">
        <v>67.59736946732566</v>
      </c>
      <c r="I240" s="118" t="n">
        <v>102.6213381958008</v>
      </c>
      <c r="J240" s="118" t="n">
        <v>126.3440344238281</v>
      </c>
      <c r="K240" s="120" t="n">
        <v>0.3662882175152106</v>
      </c>
      <c r="L240" s="120" t="n">
        <v>-0.07501736353847877</v>
      </c>
      <c r="M240" s="120" t="n">
        <v>-0.3542998429617382</v>
      </c>
      <c r="N240" t="n">
        <v>56.54424332239142</v>
      </c>
      <c r="O240" t="n">
        <v>0.7663705789196453</v>
      </c>
      <c r="P240" t="n">
        <v>93.41484880687138</v>
      </c>
      <c r="Q240" t="n">
        <v>86.3227265546233</v>
      </c>
    </row>
    <row r="241">
      <c r="A241" s="117" t="n">
        <v>44781</v>
      </c>
      <c r="B241" s="118" t="n">
        <v>105.8127059936523</v>
      </c>
      <c r="C241" s="118" t="n">
        <v>107.2792346710104</v>
      </c>
      <c r="D241" s="118" t="n">
        <v>105.1722584018328</v>
      </c>
      <c r="E241" s="118" t="n">
        <v>105.8127059936523</v>
      </c>
      <c r="F241" s="119" t="n">
        <v>6071600</v>
      </c>
      <c r="G241" s="120" t="n">
        <v>0.001141680153858182</v>
      </c>
      <c r="H241" s="121" t="n">
        <v>67.67454404249953</v>
      </c>
      <c r="I241" s="118" t="n">
        <v>102.7339714050293</v>
      </c>
      <c r="J241" s="118" t="n">
        <v>126.1425463485718</v>
      </c>
      <c r="K241" s="120" t="n">
        <v>0.3500210875115116</v>
      </c>
      <c r="L241" s="120" t="n">
        <v>-0.07396132921976717</v>
      </c>
      <c r="M241" s="120" t="n">
        <v>-0.3535626599071044</v>
      </c>
      <c r="N241" t="n">
        <v>56.75466268523022</v>
      </c>
      <c r="O241" t="n">
        <v>0.6614074486396906</v>
      </c>
      <c r="P241" t="n">
        <v>93.30641366102437</v>
      </c>
      <c r="Q241" t="n">
        <v>86.04369338300079</v>
      </c>
    </row>
    <row r="242">
      <c r="A242" s="117" t="n">
        <v>44782</v>
      </c>
      <c r="B242" s="118" t="n">
        <v>103.3251941211407</v>
      </c>
      <c r="C242" s="118" t="n">
        <v>103.7243125646032</v>
      </c>
      <c r="D242" s="118" t="n">
        <v>101.004739701351</v>
      </c>
      <c r="E242" s="118" t="n">
        <v>102.2020950317383</v>
      </c>
      <c r="F242" s="119" t="n">
        <v>7377600</v>
      </c>
      <c r="G242" s="120" t="n">
        <v>-0.03412265973172124</v>
      </c>
      <c r="H242" s="121" t="n">
        <v>65.36530860363794</v>
      </c>
      <c r="I242" s="118" t="n">
        <v>102.6866181945801</v>
      </c>
      <c r="J242" s="118" t="n">
        <v>125.9058078765869</v>
      </c>
      <c r="K242" s="120" t="n">
        <v>0.3713422362053734</v>
      </c>
      <c r="L242" s="120" t="n">
        <v>-0.1055602316812164</v>
      </c>
      <c r="M242" s="120" t="n">
        <v>-0.3756208213009733</v>
      </c>
      <c r="N242" t="n">
        <v>49.09431869999693</v>
      </c>
      <c r="O242" t="n">
        <v>0.3237370090601738</v>
      </c>
      <c r="P242" t="n">
        <v>92.93590994093077</v>
      </c>
      <c r="Q242" t="n">
        <v>85.06979562821186</v>
      </c>
    </row>
    <row r="243">
      <c r="A243" s="117" t="n">
        <v>44783</v>
      </c>
      <c r="B243" s="118" t="n">
        <v>105.1072820754509</v>
      </c>
      <c r="C243" s="118" t="n">
        <v>105.6549129001148</v>
      </c>
      <c r="D243" s="118" t="n">
        <v>103.8263940207474</v>
      </c>
      <c r="E243" s="118" t="n">
        <v>105.0144653320312</v>
      </c>
      <c r="F243" s="119" t="n">
        <v>6951800</v>
      </c>
      <c r="G243" s="120" t="n">
        <v>0.02751773629904175</v>
      </c>
      <c r="H243" s="121" t="n">
        <v>67.16401392889834</v>
      </c>
      <c r="I243" s="118" t="n">
        <v>102.6390330505371</v>
      </c>
      <c r="J243" s="118" t="n">
        <v>125.6771373748779</v>
      </c>
      <c r="K243" s="120" t="n">
        <v>0.3798805961947016</v>
      </c>
      <c r="L243" s="120" t="n">
        <v>-0.08094727400124413</v>
      </c>
      <c r="M243" s="120" t="n">
        <v>-0.3584393197109214</v>
      </c>
      <c r="N243" t="n">
        <v>54.27167987393566</v>
      </c>
      <c r="O243" t="n">
        <v>0.2670731754878994</v>
      </c>
      <c r="P243" t="n">
        <v>94.88790985946622</v>
      </c>
      <c r="Q243" t="n">
        <v>87.44417008354637</v>
      </c>
    </row>
    <row r="244">
      <c r="A244" s="117" t="n">
        <v>44784</v>
      </c>
      <c r="B244" s="118" t="n">
        <v>106.6295057639382</v>
      </c>
      <c r="C244" s="118" t="n">
        <v>108.3652080046458</v>
      </c>
      <c r="D244" s="118" t="n">
        <v>105.562102527993</v>
      </c>
      <c r="E244" s="118" t="n">
        <v>105.9055252075195</v>
      </c>
      <c r="F244" s="119" t="n">
        <v>5582100</v>
      </c>
      <c r="G244" s="120" t="n">
        <v>0.008485115575944224</v>
      </c>
      <c r="H244" s="121" t="n">
        <v>67.73390834962937</v>
      </c>
      <c r="I244" s="118" t="n">
        <v>102.5563079833984</v>
      </c>
      <c r="J244" s="118" t="n">
        <v>125.4495102310181</v>
      </c>
      <c r="K244" s="120" t="n">
        <v>0.3711228141301701</v>
      </c>
      <c r="L244" s="120" t="n">
        <v>-0.07314900540075797</v>
      </c>
      <c r="M244" s="120" t="n">
        <v>-0.352995603189687</v>
      </c>
      <c r="N244" t="n">
        <v>55.80534664563726</v>
      </c>
      <c r="O244" t="n">
        <v>0.2662869937769228</v>
      </c>
      <c r="P244" t="n">
        <v>94.88790985946622</v>
      </c>
      <c r="Q244" t="n">
        <v>86.94782864990584</v>
      </c>
    </row>
    <row r="245">
      <c r="A245" s="117" t="n">
        <v>44785</v>
      </c>
      <c r="B245" s="118" t="n">
        <v>106.1747014358522</v>
      </c>
      <c r="C245" s="118" t="n">
        <v>107.7897355705711</v>
      </c>
      <c r="D245" s="118" t="n">
        <v>105.5992262469458</v>
      </c>
      <c r="E245" s="118" t="n">
        <v>107.7340469360352</v>
      </c>
      <c r="F245" s="119" t="n">
        <v>4407900</v>
      </c>
      <c r="G245" s="120" t="n">
        <v>0.01726559331944832</v>
      </c>
      <c r="H245" s="121" t="n">
        <v>68.90337446513085</v>
      </c>
      <c r="I245" s="118" t="n">
        <v>102.5133020019531</v>
      </c>
      <c r="J245" s="118" t="n">
        <v>125.2330081939697</v>
      </c>
      <c r="K245" s="120" t="n">
        <v>0.3722140841890519</v>
      </c>
      <c r="L245" s="120" t="n">
        <v>-0.05714637306028136</v>
      </c>
      <c r="M245" s="120" t="n">
        <v>-0.3418246883984651</v>
      </c>
      <c r="N245" t="n">
        <v>58.85493639998956</v>
      </c>
      <c r="O245" t="n">
        <v>0.3597847581222082</v>
      </c>
      <c r="P245" t="n">
        <v>96.49426729539833</v>
      </c>
      <c r="Q245" t="n">
        <v>88.64075406243791</v>
      </c>
    </row>
    <row r="246">
      <c r="A246" s="117" t="n">
        <v>44788</v>
      </c>
      <c r="B246" s="118" t="n">
        <v>107.1585591983868</v>
      </c>
      <c r="C246" s="118" t="n">
        <v>108.2074089024159</v>
      </c>
      <c r="D246" s="118" t="n">
        <v>106.6016516738515</v>
      </c>
      <c r="E246" s="118" t="n">
        <v>107.9660797119141</v>
      </c>
      <c r="F246" s="119" t="n">
        <v>4279000</v>
      </c>
      <c r="G246" s="120" t="n">
        <v>0.002153755312066519</v>
      </c>
      <c r="H246" s="121" t="n">
        <v>69.05177547390443</v>
      </c>
      <c r="I246" s="118" t="n">
        <v>102.3873474121094</v>
      </c>
      <c r="J246" s="118" t="n">
        <v>125.0243056488037</v>
      </c>
      <c r="K246" s="120" t="n">
        <v>0.3694481229086269</v>
      </c>
      <c r="L246" s="120" t="n">
        <v>-0.05511569705275887</v>
      </c>
      <c r="M246" s="120" t="n">
        <v>-0.3404071398248323</v>
      </c>
      <c r="N246" t="n">
        <v>59.23930435133202</v>
      </c>
      <c r="O246" t="n">
        <v>0.4047723484585661</v>
      </c>
      <c r="P246" t="n">
        <v>96.89189434919621</v>
      </c>
      <c r="Q246" t="n">
        <v>89.35710532407342</v>
      </c>
    </row>
    <row r="247">
      <c r="A247" s="117" t="n">
        <v>44789</v>
      </c>
      <c r="B247" s="118" t="n">
        <v>107.6133977706325</v>
      </c>
      <c r="C247" s="118" t="n">
        <v>109.9616965395003</v>
      </c>
      <c r="D247" s="118" t="n">
        <v>107.4927296071718</v>
      </c>
      <c r="E247" s="118" t="n">
        <v>109.5811386108398</v>
      </c>
      <c r="F247" s="119" t="n">
        <v>6189800</v>
      </c>
      <c r="G247" s="120" t="n">
        <v>0.01495894732155922</v>
      </c>
      <c r="H247" s="121" t="n">
        <v>70.0847173456787</v>
      </c>
      <c r="I247" s="118" t="n">
        <v>102.3336988830566</v>
      </c>
      <c r="J247" s="118" t="n">
        <v>124.8139500045776</v>
      </c>
      <c r="K247" s="120" t="n">
        <v>0.3321850575139012</v>
      </c>
      <c r="L247" s="120" t="n">
        <v>-0.04098122254000292</v>
      </c>
      <c r="M247" s="120" t="n">
        <v>-0.3305403249757954</v>
      </c>
      <c r="N247" t="n">
        <v>61.90678209642966</v>
      </c>
      <c r="O247" t="n">
        <v>0.504335315812956</v>
      </c>
      <c r="P247" t="n">
        <v>97.08168494891356</v>
      </c>
      <c r="Q247" t="n">
        <v>89.1478262503783</v>
      </c>
    </row>
    <row r="248">
      <c r="A248" s="117" t="n">
        <v>44790</v>
      </c>
      <c r="B248" s="118" t="n">
        <v>108.383763525463</v>
      </c>
      <c r="C248" s="118" t="n">
        <v>109.5068695056822</v>
      </c>
      <c r="D248" s="118" t="n">
        <v>108.0496246606814</v>
      </c>
      <c r="E248" s="118" t="n">
        <v>108.6343765258789</v>
      </c>
      <c r="F248" s="119" t="n">
        <v>5108400</v>
      </c>
      <c r="G248" s="120" t="n">
        <v>-0.008639827044718107</v>
      </c>
      <c r="H248" s="121" t="n">
        <v>69.47919750933409</v>
      </c>
      <c r="I248" s="118" t="n">
        <v>102.2744805908203</v>
      </c>
      <c r="J248" s="118" t="n">
        <v>124.5858126068115</v>
      </c>
      <c r="K248" s="120" t="n">
        <v>0.3311295240946125</v>
      </c>
      <c r="L248" s="120" t="n">
        <v>-0.04926697890989429</v>
      </c>
      <c r="M248" s="120" t="n">
        <v>-0.3363243407814178</v>
      </c>
      <c r="N248" t="n">
        <v>59.45064304835732</v>
      </c>
      <c r="O248" t="n">
        <v>0.4682469044007946</v>
      </c>
      <c r="P248" t="n">
        <v>96.3926038909508</v>
      </c>
      <c r="Q248" t="n">
        <v>88.13101386834633</v>
      </c>
    </row>
    <row r="249">
      <c r="A249" s="117" t="n">
        <v>44791</v>
      </c>
      <c r="B249" s="118" t="n">
        <v>107.669076185629</v>
      </c>
      <c r="C249" s="118" t="n">
        <v>108.3002400189413</v>
      </c>
      <c r="D249" s="118" t="n">
        <v>107.0193518343359</v>
      </c>
      <c r="E249" s="118" t="n">
        <v>107.6783599853516</v>
      </c>
      <c r="F249" s="119" t="n">
        <v>4750200</v>
      </c>
      <c r="G249" s="120" t="n">
        <v>-0.008800313225893142</v>
      </c>
      <c r="H249" s="121" t="n">
        <v>68.86775880856825</v>
      </c>
      <c r="I249" s="118" t="n">
        <v>102.1694105529785</v>
      </c>
      <c r="J249" s="118" t="n">
        <v>124.357321395874</v>
      </c>
      <c r="K249" s="120" t="n">
        <v>0.333577183642164</v>
      </c>
      <c r="L249" s="120" t="n">
        <v>-0.05763372728968685</v>
      </c>
      <c r="M249" s="120" t="n">
        <v>-0.3421648944629424</v>
      </c>
      <c r="N249" t="n">
        <v>56.99177005266235</v>
      </c>
      <c r="O249" t="n">
        <v>0.3473688237952683</v>
      </c>
      <c r="P249" t="n">
        <v>96.67276196128817</v>
      </c>
      <c r="Q249" t="n">
        <v>88.34296933814908</v>
      </c>
    </row>
    <row r="250">
      <c r="A250" s="117" t="n">
        <v>44792</v>
      </c>
      <c r="B250" s="118" t="n">
        <v>107.2049768650552</v>
      </c>
      <c r="C250" s="118" t="n">
        <v>107.3442055240298</v>
      </c>
      <c r="D250" s="118" t="n">
        <v>104.9123671358592</v>
      </c>
      <c r="E250" s="118" t="n">
        <v>105.0330352783203</v>
      </c>
      <c r="F250" s="119" t="n">
        <v>5967600</v>
      </c>
      <c r="G250" s="120" t="n">
        <v>-0.02456691119172982</v>
      </c>
      <c r="H250" s="121" t="n">
        <v>67.17589069394469</v>
      </c>
      <c r="I250" s="118" t="n">
        <v>101.9978825378418</v>
      </c>
      <c r="J250" s="118" t="n">
        <v>124.1086874389649</v>
      </c>
      <c r="K250" s="120" t="n">
        <v>0.3357755847803823</v>
      </c>
      <c r="L250" s="120" t="n">
        <v>-0.0807847558214424</v>
      </c>
      <c r="M250" s="120" t="n">
        <v>-0.3583258710794736</v>
      </c>
      <c r="N250" t="n">
        <v>50.73839430064062</v>
      </c>
      <c r="O250" t="n">
        <v>0.07108342544580948</v>
      </c>
      <c r="P250" t="n">
        <v>95.37367865577644</v>
      </c>
      <c r="Q250" t="n">
        <v>86.62050288895567</v>
      </c>
    </row>
    <row r="251">
      <c r="A251" s="117" t="n">
        <v>44795</v>
      </c>
      <c r="B251" s="118" t="n">
        <v>103.0467216542576</v>
      </c>
      <c r="C251" s="118" t="n">
        <v>103.6593249303939</v>
      </c>
      <c r="D251" s="118" t="n">
        <v>101.9514670453936</v>
      </c>
      <c r="E251" s="118" t="n">
        <v>102.4155578613281</v>
      </c>
      <c r="F251" s="119" t="n">
        <v>5802900</v>
      </c>
      <c r="G251" s="120" t="n">
        <v>-0.02492051581729793</v>
      </c>
      <c r="H251" s="121" t="n">
        <v>65.50183284736516</v>
      </c>
      <c r="I251" s="118" t="n">
        <v>101.8445468139648</v>
      </c>
      <c r="J251" s="118" t="n">
        <v>123.8254346466064</v>
      </c>
      <c r="K251" s="120" t="n">
        <v>0.3491621427984718</v>
      </c>
      <c r="L251" s="120" t="n">
        <v>-0.1036920738534957</v>
      </c>
      <c r="M251" s="120" t="n">
        <v>-0.3743167213587884</v>
      </c>
      <c r="N251" t="n">
        <v>45.42703797308508</v>
      </c>
      <c r="O251" t="n">
        <v>-0.2865097963153835</v>
      </c>
      <c r="P251" t="n">
        <v>93.38776184127342</v>
      </c>
      <c r="Q251" t="n">
        <v>84.34002882621239</v>
      </c>
    </row>
    <row r="252">
      <c r="A252" s="117" t="n">
        <v>44796</v>
      </c>
      <c r="B252" s="118" t="n">
        <v>102.879645510886</v>
      </c>
      <c r="C252" s="118" t="n">
        <v>104.7267320001107</v>
      </c>
      <c r="D252" s="118" t="n">
        <v>102.6290395938384</v>
      </c>
      <c r="E252" s="118" t="n">
        <v>102.7311401367188</v>
      </c>
      <c r="F252" s="119" t="n">
        <v>4806700</v>
      </c>
      <c r="G252" s="120" t="n">
        <v>0.00308138999562857</v>
      </c>
      <c r="H252" s="121" t="n">
        <v>65.70366953979637</v>
      </c>
      <c r="I252" s="118" t="n">
        <v>101.769363861084</v>
      </c>
      <c r="J252" s="118" t="n">
        <v>123.5302046203613</v>
      </c>
      <c r="K252" s="120" t="n">
        <v>0.3189122797594738</v>
      </c>
      <c r="L252" s="120" t="n">
        <v>-0.1009301995768652</v>
      </c>
      <c r="M252" s="120" t="n">
        <v>-0.3723887471635512</v>
      </c>
      <c r="N252" t="n">
        <v>46.15884642102903</v>
      </c>
      <c r="O252" t="n">
        <v>-0.4884855278308446</v>
      </c>
      <c r="P252" t="n">
        <v>93.16182861748082</v>
      </c>
      <c r="Q252" t="n">
        <v>84.27029150819789</v>
      </c>
    </row>
    <row r="253">
      <c r="A253" s="117" t="n">
        <v>44797</v>
      </c>
      <c r="B253" s="118" t="n">
        <v>102.7311386181948</v>
      </c>
      <c r="C253" s="118" t="n">
        <v>104.3554563999633</v>
      </c>
      <c r="D253" s="118" t="n">
        <v>102.1185353699681</v>
      </c>
      <c r="E253" s="118" t="n">
        <v>103.4087142944336</v>
      </c>
      <c r="F253" s="119" t="n">
        <v>4769000</v>
      </c>
      <c r="G253" s="120" t="n">
        <v>0.006595606325531911</v>
      </c>
      <c r="H253" s="121" t="n">
        <v>66.13702507822372</v>
      </c>
      <c r="I253" s="118" t="n">
        <v>101.787370300293</v>
      </c>
      <c r="J253" s="118" t="n">
        <v>123.2288184738159</v>
      </c>
      <c r="K253" s="120" t="n">
        <v>0.308100516636013</v>
      </c>
      <c r="L253" s="120" t="n">
        <v>-0.09500028911409952</v>
      </c>
      <c r="M253" s="120" t="n">
        <v>-0.3682492704143681</v>
      </c>
      <c r="N253" t="n">
        <v>47.77805157624051</v>
      </c>
      <c r="O253" t="n">
        <v>-0.5581204960976593</v>
      </c>
      <c r="P253" t="n">
        <v>93.4600543630452</v>
      </c>
      <c r="Q253" t="n">
        <v>84.51445602081314</v>
      </c>
    </row>
    <row r="254">
      <c r="A254" s="117" t="n">
        <v>44798</v>
      </c>
      <c r="B254" s="118" t="n">
        <v>103.863545417589</v>
      </c>
      <c r="C254" s="118" t="n">
        <v>105.2001224016732</v>
      </c>
      <c r="D254" s="118" t="n">
        <v>103.3901707141294</v>
      </c>
      <c r="E254" s="118" t="n">
        <v>105.0887451171875</v>
      </c>
      <c r="F254" s="119" t="n">
        <v>5433700</v>
      </c>
      <c r="G254" s="120" t="n">
        <v>0.01624651108194208</v>
      </c>
      <c r="H254" s="121" t="n">
        <v>67.21152098908375</v>
      </c>
      <c r="I254" s="118" t="n">
        <v>101.8337799072266</v>
      </c>
      <c r="J254" s="118" t="n">
        <v>122.9619285202026</v>
      </c>
      <c r="K254" s="120" t="n">
        <v>0.2782497351254197</v>
      </c>
      <c r="L254" s="120" t="n">
        <v>-0.08029720128203754</v>
      </c>
      <c r="M254" s="120" t="n">
        <v>-0.35798552518513</v>
      </c>
      <c r="N254" t="n">
        <v>51.65991317031604</v>
      </c>
      <c r="O254" t="n">
        <v>-0.4759099457759717</v>
      </c>
      <c r="P254" t="n">
        <v>94.77946016637667</v>
      </c>
      <c r="Q254" t="n">
        <v>86.00880794408063</v>
      </c>
    </row>
    <row r="255">
      <c r="A255" s="117" t="n">
        <v>44799</v>
      </c>
      <c r="B255" s="118" t="n">
        <v>105.1722621619284</v>
      </c>
      <c r="C255" s="118" t="n">
        <v>105.5621038430182</v>
      </c>
      <c r="D255" s="118" t="n">
        <v>100.4571046871275</v>
      </c>
      <c r="E255" s="118" t="n">
        <v>100.5035095214844</v>
      </c>
      <c r="F255" s="119" t="n">
        <v>6203600</v>
      </c>
      <c r="G255" s="120" t="n">
        <v>-0.04363203300781637</v>
      </c>
      <c r="H255" s="121" t="n">
        <v>64.27894568678251</v>
      </c>
      <c r="I255" s="118" t="n">
        <v>101.7379916381836</v>
      </c>
      <c r="J255" s="118" t="n">
        <v>122.6630292892456</v>
      </c>
      <c r="K255" s="120" t="n">
        <v>0.3050782834072698</v>
      </c>
      <c r="L255" s="120" t="n">
        <v>-0.1204257041530807</v>
      </c>
      <c r="M255" s="120" t="n">
        <v>-0.3859979219417484</v>
      </c>
      <c r="N255" t="n">
        <v>42.39693701333173</v>
      </c>
      <c r="O255" t="n">
        <v>-0.7015851500220072</v>
      </c>
      <c r="P255" t="n">
        <v>91.57126948694044</v>
      </c>
      <c r="Q255" t="n">
        <v>82.4834824829875</v>
      </c>
    </row>
    <row r="256">
      <c r="A256" s="117" t="n">
        <v>44802</v>
      </c>
      <c r="B256" s="118" t="n">
        <v>99.13907859554395</v>
      </c>
      <c r="C256" s="118" t="n">
        <v>100.7448359468584</v>
      </c>
      <c r="D256" s="118" t="n">
        <v>98.79565592125078</v>
      </c>
      <c r="E256" s="118" t="n">
        <v>100.1322326660156</v>
      </c>
      <c r="F256" s="119" t="n">
        <v>4132400</v>
      </c>
      <c r="G256" s="120" t="n">
        <v>-0.00369416806673184</v>
      </c>
      <c r="H256" s="121" t="n">
        <v>64.0414884582632</v>
      </c>
      <c r="I256" s="118" t="n">
        <v>101.7520997619629</v>
      </c>
      <c r="J256" s="118" t="n">
        <v>122.3879090499878</v>
      </c>
      <c r="K256" s="120" t="n">
        <v>0.3049456984848732</v>
      </c>
      <c r="L256" s="120" t="n">
        <v>-0.1186274999637368</v>
      </c>
      <c r="M256" s="120" t="n">
        <v>-0.3882661488114182</v>
      </c>
      <c r="N256" t="n">
        <v>41.74423598565232</v>
      </c>
      <c r="O256" t="n">
        <v>-0.8378828566768635</v>
      </c>
      <c r="P256" t="n">
        <v>90.96579870544075</v>
      </c>
      <c r="Q256" t="n">
        <v>81.67054604269667</v>
      </c>
    </row>
    <row r="257">
      <c r="A257" s="117" t="n">
        <v>44803</v>
      </c>
      <c r="B257" s="118" t="n">
        <v>101.1439602243144</v>
      </c>
      <c r="C257" s="118" t="n">
        <v>102.1742424701132</v>
      </c>
      <c r="D257" s="118" t="n">
        <v>99.43610222674735</v>
      </c>
      <c r="E257" s="118" t="n">
        <v>100.1136779785156</v>
      </c>
      <c r="F257" s="119" t="n">
        <v>5129500</v>
      </c>
      <c r="G257" s="120" t="n">
        <v>-0.0001853018454296418</v>
      </c>
      <c r="H257" s="121" t="n">
        <v>64.02962145226783</v>
      </c>
      <c r="I257" s="118" t="n">
        <v>101.7617532348633</v>
      </c>
      <c r="J257" s="118" t="n">
        <v>122.1186436080933</v>
      </c>
      <c r="K257" s="120" t="n">
        <v>0.2962297875134191</v>
      </c>
      <c r="L257" s="120" t="n">
        <v>-0.1187908199145044</v>
      </c>
      <c r="M257" s="120" t="n">
        <v>-0.3883795042229552</v>
      </c>
      <c r="N257" t="n">
        <v>41.70967730969903</v>
      </c>
      <c r="O257" t="n">
        <v>-0.8865959191141941</v>
      </c>
      <c r="P257" t="n">
        <v>89.96719596808612</v>
      </c>
      <c r="Q257" t="n">
        <v>80.76104120366344</v>
      </c>
    </row>
    <row r="258">
      <c r="A258" s="117" t="n">
        <v>44804</v>
      </c>
      <c r="B258" s="118" t="n">
        <v>100.2064801465452</v>
      </c>
      <c r="C258" s="118" t="n">
        <v>100.2528920570281</v>
      </c>
      <c r="D258" s="118" t="n">
        <v>98.21088838065931</v>
      </c>
      <c r="E258" s="118" t="n">
        <v>98.80492401123047</v>
      </c>
      <c r="F258" s="119" t="n">
        <v>8884800</v>
      </c>
      <c r="G258" s="120" t="n">
        <v>-0.01307267891572228</v>
      </c>
      <c r="H258" s="121" t="n">
        <v>63.19258276992709</v>
      </c>
      <c r="I258" s="118" t="n">
        <v>101.7203558349609</v>
      </c>
      <c r="J258" s="118" t="n">
        <v>121.8330597686768</v>
      </c>
      <c r="K258" s="120" t="n">
        <v>0.2845589859538322</v>
      </c>
      <c r="L258" s="120" t="n">
        <v>-0.130310584583349</v>
      </c>
      <c r="M258" s="120" t="n">
        <v>-0.3963750225825234</v>
      </c>
      <c r="N258" t="n">
        <v>39.24193374231788</v>
      </c>
      <c r="O258" t="n">
        <v>-0.9581757765805902</v>
      </c>
      <c r="P258" t="n">
        <v>89.28262455530884</v>
      </c>
      <c r="Q258" t="n">
        <v>80.29152246079438</v>
      </c>
    </row>
    <row r="259">
      <c r="A259" s="117" t="n">
        <v>44805</v>
      </c>
      <c r="B259" s="118" t="n">
        <v>98.20163094784741</v>
      </c>
      <c r="C259" s="118" t="n">
        <v>98.8977672530123</v>
      </c>
      <c r="D259" s="118" t="n">
        <v>96.34526746740768</v>
      </c>
      <c r="E259" s="118" t="n">
        <v>98.84207153320312</v>
      </c>
      <c r="F259" s="119" t="n">
        <v>5590800</v>
      </c>
      <c r="G259" s="120" t="n">
        <v>0.0003759683269271008</v>
      </c>
      <c r="H259" s="121" t="n">
        <v>63.2163411795453</v>
      </c>
      <c r="I259" s="118" t="n">
        <v>101.7495007324219</v>
      </c>
      <c r="J259" s="118" t="n">
        <v>121.5487682342529</v>
      </c>
      <c r="K259" s="120" t="n">
        <v>0.2842715050791881</v>
      </c>
      <c r="L259" s="120" t="n">
        <v>-0.1299836089088886</v>
      </c>
      <c r="M259" s="120" t="n">
        <v>-0.3961480787096724</v>
      </c>
      <c r="N259" t="n">
        <v>39.35161664817871</v>
      </c>
      <c r="O259" t="n">
        <v>-0.9522595985722556</v>
      </c>
      <c r="P259" t="n">
        <v>89.56277535202494</v>
      </c>
      <c r="Q259" t="n">
        <v>80.32642467962744</v>
      </c>
    </row>
    <row r="260">
      <c r="A260" s="117" t="n">
        <v>44806</v>
      </c>
      <c r="B260" s="118" t="n">
        <v>100.0289159938028</v>
      </c>
      <c r="C260" s="118" t="n">
        <v>100.6712033270894</v>
      </c>
      <c r="D260" s="118" t="n">
        <v>97.7855762138319</v>
      </c>
      <c r="E260" s="118" t="n">
        <v>98.4278564453125</v>
      </c>
      <c r="F260" s="119" t="n">
        <v>7763800</v>
      </c>
      <c r="G260" s="120" t="n">
        <v>-0.004190675908198438</v>
      </c>
      <c r="H260" s="121" t="n">
        <v>62.95142198155973</v>
      </c>
      <c r="I260" s="118" t="n">
        <v>101.7131852722168</v>
      </c>
      <c r="J260" s="118" t="n">
        <v>121.2486660003662</v>
      </c>
      <c r="K260" s="120" t="n">
        <v>0.2842008283441667</v>
      </c>
      <c r="L260" s="120" t="n">
        <v>-0.10587063447724</v>
      </c>
      <c r="M260" s="120" t="n">
        <v>-0.3986786264083431</v>
      </c>
      <c r="N260" t="n">
        <v>38.51665915923532</v>
      </c>
      <c r="O260" t="n">
        <v>-0.9247150577519285</v>
      </c>
      <c r="P260" t="n">
        <v>88.61839746121511</v>
      </c>
      <c r="Q260" t="n">
        <v>79.19153205051461</v>
      </c>
    </row>
    <row r="261">
      <c r="A261" s="117" t="n">
        <v>44810</v>
      </c>
      <c r="B261" s="118" t="n">
        <v>98.14859356276227</v>
      </c>
      <c r="C261" s="118" t="n">
        <v>99.05151705822672</v>
      </c>
      <c r="D261" s="118" t="n">
        <v>96.51029945863921</v>
      </c>
      <c r="E261" s="118" t="n">
        <v>97.87864685058594</v>
      </c>
      <c r="F261" s="119" t="n">
        <v>9158900</v>
      </c>
      <c r="G261" s="120" t="n">
        <v>-0.005579818707437845</v>
      </c>
      <c r="H261" s="121" t="n">
        <v>62.60016445952721</v>
      </c>
      <c r="I261" s="118" t="n">
        <v>101.5747383117676</v>
      </c>
      <c r="J261" s="118" t="n">
        <v>120.9462327575684</v>
      </c>
      <c r="K261" s="120" t="n">
        <v>0.283777323961057</v>
      </c>
      <c r="L261" s="120" t="n">
        <v>-0.106792938169893</v>
      </c>
      <c r="M261" s="120" t="n">
        <v>-0.4020338906578921</v>
      </c>
      <c r="N261" t="n">
        <v>37.38403747010265</v>
      </c>
      <c r="O261" t="n">
        <v>-0.89156562986432</v>
      </c>
      <c r="P261" t="n">
        <v>88.28401454433296</v>
      </c>
      <c r="Q261" t="n">
        <v>78.62276012283905</v>
      </c>
    </row>
    <row r="262">
      <c r="A262" s="117" t="n">
        <v>44811</v>
      </c>
      <c r="B262" s="118" t="n">
        <v>97.81347939235808</v>
      </c>
      <c r="C262" s="118" t="n">
        <v>101.0528254567825</v>
      </c>
      <c r="D262" s="118" t="n">
        <v>97.73900987088052</v>
      </c>
      <c r="E262" s="118" t="n">
        <v>100.9783630371094</v>
      </c>
      <c r="F262" s="119" t="n">
        <v>7238300</v>
      </c>
      <c r="G262" s="120" t="n">
        <v>0.03166897261315049</v>
      </c>
      <c r="H262" s="121" t="n">
        <v>64.58264735337468</v>
      </c>
      <c r="I262" s="118" t="n">
        <v>101.5430241394043</v>
      </c>
      <c r="J262" s="118" t="n">
        <v>120.6610961914062</v>
      </c>
      <c r="K262" s="120" t="n">
        <v>0.2864235365220557</v>
      </c>
      <c r="L262" s="120" t="n">
        <v>-0.0785059881909228</v>
      </c>
      <c r="M262" s="120" t="n">
        <v>-0.3830969183175447</v>
      </c>
      <c r="N262" t="n">
        <v>46.87858730229873</v>
      </c>
      <c r="O262" t="n">
        <v>-0.6217429379152599</v>
      </c>
      <c r="P262" t="n">
        <v>89.87003493520282</v>
      </c>
      <c r="Q262" t="n">
        <v>80.21104599852356</v>
      </c>
    </row>
    <row r="263">
      <c r="A263" s="117" t="n">
        <v>44812</v>
      </c>
      <c r="B263" s="118" t="n">
        <v>99.60069765488572</v>
      </c>
      <c r="C263" s="118" t="n">
        <v>101.2669157856278</v>
      </c>
      <c r="D263" s="118" t="n">
        <v>98.74431952901497</v>
      </c>
      <c r="E263" s="118" t="n">
        <v>101.211067199707</v>
      </c>
      <c r="F263" s="119" t="n">
        <v>5628300</v>
      </c>
      <c r="G263" s="120" t="n">
        <v>0.002304495295810449</v>
      </c>
      <c r="H263" s="121" t="n">
        <v>64.73147776039153</v>
      </c>
      <c r="I263" s="118" t="n">
        <v>101.6592753601074</v>
      </c>
      <c r="J263" s="118" t="n">
        <v>120.3608478164673</v>
      </c>
      <c r="K263" s="120" t="n">
        <v>0.2671055686226727</v>
      </c>
      <c r="L263" s="120" t="n">
        <v>-0.07638240957559117</v>
      </c>
      <c r="M263" s="120" t="n">
        <v>-0.3816752680678365</v>
      </c>
      <c r="N263" t="n">
        <v>47.52191785403725</v>
      </c>
      <c r="O263" t="n">
        <v>-0.3992715121313285</v>
      </c>
      <c r="P263" t="n">
        <v>90.45745986233932</v>
      </c>
      <c r="Q263" t="n">
        <v>80.62690257993678</v>
      </c>
    </row>
    <row r="264">
      <c r="A264" s="117" t="n">
        <v>44813</v>
      </c>
      <c r="B264" s="118" t="n">
        <v>101.8161140011372</v>
      </c>
      <c r="C264" s="118" t="n">
        <v>103.9663769145519</v>
      </c>
      <c r="D264" s="118" t="n">
        <v>101.7416515860688</v>
      </c>
      <c r="E264" s="118" t="n">
        <v>103.2961654663086</v>
      </c>
      <c r="F264" s="119" t="n">
        <v>5171500</v>
      </c>
      <c r="G264" s="120" t="n">
        <v>0.02060148484046009</v>
      </c>
      <c r="H264" s="121" t="n">
        <v>66.06504231817281</v>
      </c>
      <c r="I264" s="118" t="n">
        <v>101.8085035705566</v>
      </c>
      <c r="J264" s="118" t="n">
        <v>120.0739755249023</v>
      </c>
      <c r="K264" s="120" t="n">
        <v>0.2765339272813948</v>
      </c>
      <c r="L264" s="120" t="n">
        <v>-0.05735451578808048</v>
      </c>
      <c r="M264" s="120" t="n">
        <v>-0.3689368604764545</v>
      </c>
      <c r="N264" t="n">
        <v>53.01290259364985</v>
      </c>
      <c r="O264" t="n">
        <v>-0.09901577766178793</v>
      </c>
      <c r="P264" t="n">
        <v>91.86272349110534</v>
      </c>
      <c r="Q264" t="n">
        <v>82.3895569205269</v>
      </c>
    </row>
    <row r="265">
      <c r="A265" s="117" t="n">
        <v>44816</v>
      </c>
      <c r="B265" s="118" t="n">
        <v>103.6778101736861</v>
      </c>
      <c r="C265" s="118" t="n">
        <v>105.5208916716713</v>
      </c>
      <c r="D265" s="118" t="n">
        <v>103.6778101736861</v>
      </c>
      <c r="E265" s="118" t="n">
        <v>104.6086578369141</v>
      </c>
      <c r="F265" s="119" t="n">
        <v>4836900</v>
      </c>
      <c r="G265" s="120" t="n">
        <v>0.01270610931858407</v>
      </c>
      <c r="H265" s="121" t="n">
        <v>66.90447196800442</v>
      </c>
      <c r="I265" s="118" t="n">
        <v>102.0034735107422</v>
      </c>
      <c r="J265" s="118" t="n">
        <v>119.8033018493652</v>
      </c>
      <c r="K265" s="120" t="n">
        <v>0.2729679902592723</v>
      </c>
      <c r="L265" s="120" t="n">
        <v>-0.04537715921701391</v>
      </c>
      <c r="M265" s="120" t="n">
        <v>-0.3609185032387393</v>
      </c>
      <c r="N265" t="n">
        <v>56.12494093863288</v>
      </c>
      <c r="O265" t="n">
        <v>0.1851735264613261</v>
      </c>
      <c r="P265" t="n">
        <v>92.85003756825373</v>
      </c>
      <c r="Q265" t="n">
        <v>83.36883263740043</v>
      </c>
    </row>
    <row r="266">
      <c r="A266" s="117" t="n">
        <v>44817</v>
      </c>
      <c r="B266" s="118" t="n">
        <v>101.3134580499908</v>
      </c>
      <c r="C266" s="118" t="n">
        <v>101.378624205302</v>
      </c>
      <c r="D266" s="118" t="n">
        <v>98.14858162044453</v>
      </c>
      <c r="E266" s="118" t="n">
        <v>98.40921783447266</v>
      </c>
      <c r="F266" s="119" t="n">
        <v>5955600</v>
      </c>
      <c r="G266" s="120" t="n">
        <v>-0.05926316359116657</v>
      </c>
      <c r="H266" s="121" t="n">
        <v>62.93950130078395</v>
      </c>
      <c r="I266" s="118" t="n">
        <v>102.0933894348145</v>
      </c>
      <c r="J266" s="118" t="n">
        <v>119.5021842575073</v>
      </c>
      <c r="K266" s="120" t="n">
        <v>0.3411223923840542</v>
      </c>
      <c r="L266" s="120" t="n">
        <v>-0.1019511287982002</v>
      </c>
      <c r="M266" s="120" t="n">
        <v>-0.3987924945293896</v>
      </c>
      <c r="N266" t="n">
        <v>41.98126737227285</v>
      </c>
      <c r="O266" t="n">
        <v>-0.03542099234857743</v>
      </c>
      <c r="P266" t="n">
        <v>88.81269770611794</v>
      </c>
      <c r="Q266" t="n">
        <v>78.797153757614</v>
      </c>
    </row>
    <row r="267">
      <c r="A267" s="117" t="n">
        <v>44818</v>
      </c>
      <c r="B267" s="118" t="n">
        <v>98.79086791876286</v>
      </c>
      <c r="C267" s="118" t="n">
        <v>99.93581376177755</v>
      </c>
      <c r="D267" s="118" t="n">
        <v>97.8786411121505</v>
      </c>
      <c r="E267" s="118" t="n">
        <v>99.6007080078125</v>
      </c>
      <c r="F267" s="119" t="n">
        <v>4888700</v>
      </c>
      <c r="G267" s="120" t="n">
        <v>0.01210750577597275</v>
      </c>
      <c r="H267" s="121" t="n">
        <v>63.70154167632004</v>
      </c>
      <c r="I267" s="118" t="n">
        <v>102.1488453674316</v>
      </c>
      <c r="J267" s="118" t="n">
        <v>119.2255127334595</v>
      </c>
      <c r="K267" s="120" t="n">
        <v>0.3391203835871943</v>
      </c>
      <c r="L267" s="120" t="n">
        <v>-0.09107799690301854</v>
      </c>
      <c r="M267" s="120" t="n">
        <v>-0.3915133711843459</v>
      </c>
      <c r="N267" t="n">
        <v>44.85744623084863</v>
      </c>
      <c r="O267" t="n">
        <v>-0.089087674029668</v>
      </c>
      <c r="P267" t="n">
        <v>89.15158299456429</v>
      </c>
      <c r="Q267" t="n">
        <v>79.42226424285299</v>
      </c>
    </row>
    <row r="268">
      <c r="A268" s="117" t="n">
        <v>44819</v>
      </c>
      <c r="B268" s="118" t="n">
        <v>98.8094820350456</v>
      </c>
      <c r="C268" s="118" t="n">
        <v>100.6618669181676</v>
      </c>
      <c r="D268" s="118" t="n">
        <v>97.58076338919422</v>
      </c>
      <c r="E268" s="118" t="n">
        <v>98.20442962646484</v>
      </c>
      <c r="F268" s="119" t="n">
        <v>6598900</v>
      </c>
      <c r="G268" s="120" t="n">
        <v>-0.01401875959795518</v>
      </c>
      <c r="H268" s="121" t="n">
        <v>62.80852507754059</v>
      </c>
      <c r="I268" s="118" t="n">
        <v>102.1780467224121</v>
      </c>
      <c r="J268" s="118" t="n">
        <v>118.9333302307129</v>
      </c>
      <c r="K268" s="120" t="n">
        <v>0.3405168964365474</v>
      </c>
      <c r="L268" s="120" t="n">
        <v>-0.1038199559577271</v>
      </c>
      <c r="M268" s="120" t="n">
        <v>-0.4000435989522828</v>
      </c>
      <c r="N268" t="n">
        <v>42.21629081727925</v>
      </c>
      <c r="O268" t="n">
        <v>-0.2002562200255832</v>
      </c>
      <c r="P268" t="n">
        <v>88.13942222716817</v>
      </c>
      <c r="Q268" t="n">
        <v>78.0995876084706</v>
      </c>
    </row>
    <row r="269">
      <c r="A269" s="117" t="n">
        <v>44820</v>
      </c>
      <c r="B269" s="118" t="n">
        <v>96.87331561615864</v>
      </c>
      <c r="C269" s="118" t="n">
        <v>98.0089508967567</v>
      </c>
      <c r="D269" s="118" t="n">
        <v>96.11002081962938</v>
      </c>
      <c r="E269" s="118" t="n">
        <v>96.91986083984375</v>
      </c>
      <c r="F269" s="119" t="n">
        <v>8000800</v>
      </c>
      <c r="G269" s="120" t="n">
        <v>-0.01308055849931766</v>
      </c>
      <c r="H269" s="121" t="n">
        <v>61.98695449100796</v>
      </c>
      <c r="I269" s="118" t="n">
        <v>102.1091584777832</v>
      </c>
      <c r="J269" s="118" t="n">
        <v>118.6376292419434</v>
      </c>
      <c r="K269" s="120" t="n">
        <v>0.3415193196941364</v>
      </c>
      <c r="L269" s="120" t="n">
        <v>-0.1155424914497429</v>
      </c>
      <c r="M269" s="120" t="n">
        <v>-0.4078913637532275</v>
      </c>
      <c r="N269" t="n">
        <v>39.88934459189688</v>
      </c>
      <c r="O269" t="n">
        <v>-0.334052711904829</v>
      </c>
      <c r="P269" t="n">
        <v>87.46701230914915</v>
      </c>
      <c r="Q269" t="n">
        <v>77.6220312873222</v>
      </c>
    </row>
    <row r="270">
      <c r="A270" s="117" t="n">
        <v>44823</v>
      </c>
      <c r="B270" s="118" t="n">
        <v>96.51959257814367</v>
      </c>
      <c r="C270" s="118" t="n">
        <v>99.9451121246759</v>
      </c>
      <c r="D270" s="118" t="n">
        <v>96.18448686475871</v>
      </c>
      <c r="E270" s="118" t="n">
        <v>99.79617309570312</v>
      </c>
      <c r="F270" s="119" t="n">
        <v>5162300</v>
      </c>
      <c r="G270" s="120" t="n">
        <v>0.02967722230443948</v>
      </c>
      <c r="H270" s="121" t="n">
        <v>63.82655511941277</v>
      </c>
      <c r="I270" s="118" t="n">
        <v>102.1015089416504</v>
      </c>
      <c r="J270" s="118" t="n">
        <v>118.3680209350586</v>
      </c>
      <c r="K270" s="120" t="n">
        <v>0.354390188864714</v>
      </c>
      <c r="L270" s="120" t="n">
        <v>-0.08929424934966645</v>
      </c>
      <c r="M270" s="120" t="n">
        <v>-0.3903192241269536</v>
      </c>
      <c r="N270" t="n">
        <v>46.94153895829691</v>
      </c>
      <c r="O270" t="n">
        <v>-0.2087190474383738</v>
      </c>
      <c r="P270" t="n">
        <v>88.14532840763688</v>
      </c>
      <c r="Q270" t="n">
        <v>78.22650247969358</v>
      </c>
    </row>
    <row r="271">
      <c r="A271" s="117" t="n">
        <v>44824</v>
      </c>
      <c r="B271" s="118" t="n">
        <v>96.64061350750752</v>
      </c>
      <c r="C271" s="118" t="n">
        <v>97.21774167146584</v>
      </c>
      <c r="D271" s="118" t="n">
        <v>94.67652417900645</v>
      </c>
      <c r="E271" s="118" t="n">
        <v>95.33742523193359</v>
      </c>
      <c r="F271" s="119" t="n">
        <v>10006600</v>
      </c>
      <c r="G271" s="120" t="n">
        <v>-0.04467854553394202</v>
      </c>
      <c r="H271" s="121" t="n">
        <v>60.97487747023543</v>
      </c>
      <c r="I271" s="118" t="n">
        <v>102.0570336914062</v>
      </c>
      <c r="J271" s="118" t="n">
        <v>118.0609041213989</v>
      </c>
      <c r="K271" s="120" t="n">
        <v>0.3773057638453557</v>
      </c>
      <c r="L271" s="120" t="n">
        <v>-0.1299832576981201</v>
      </c>
      <c r="M271" s="120" t="n">
        <v>-0.4175588744329666</v>
      </c>
      <c r="N271" t="n">
        <v>39.25354164294527</v>
      </c>
      <c r="O271" t="n">
        <v>-0.3951685068234001</v>
      </c>
      <c r="P271" t="n">
        <v>87.13352404768283</v>
      </c>
      <c r="Q271" t="n">
        <v>77.60295252635431</v>
      </c>
    </row>
    <row r="272">
      <c r="A272" s="117" t="n">
        <v>44825</v>
      </c>
      <c r="B272" s="118" t="n">
        <v>95.57012073974103</v>
      </c>
      <c r="C272" s="118" t="n">
        <v>96.46373357746721</v>
      </c>
      <c r="D272" s="118" t="n">
        <v>92.87066129767871</v>
      </c>
      <c r="E272" s="118" t="n">
        <v>92.8892822265625</v>
      </c>
      <c r="F272" s="119" t="n">
        <v>6279300</v>
      </c>
      <c r="G272" s="120" t="n">
        <v>-0.02567871955231993</v>
      </c>
      <c r="H272" s="121" t="n">
        <v>59.40912069194019</v>
      </c>
      <c r="I272" s="118" t="n">
        <v>101.9886569213867</v>
      </c>
      <c r="J272" s="118" t="n">
        <v>117.739029045105</v>
      </c>
      <c r="K272" s="120" t="n">
        <v>0.3845934616153084</v>
      </c>
      <c r="L272" s="120" t="n">
        <v>-0.1523241736295131</v>
      </c>
      <c r="M272" s="120" t="n">
        <v>-0.43251521675214</v>
      </c>
      <c r="N272" t="n">
        <v>35.78777622037768</v>
      </c>
      <c r="O272" t="n">
        <v>-0.6380508253567463</v>
      </c>
      <c r="P272" t="n">
        <v>85.61359905326532</v>
      </c>
      <c r="Q272" t="n">
        <v>76.21339954910695</v>
      </c>
    </row>
    <row r="273">
      <c r="A273" s="117" t="n">
        <v>44826</v>
      </c>
      <c r="B273" s="118" t="n">
        <v>92.88930330571525</v>
      </c>
      <c r="C273" s="118" t="n">
        <v>93.28025767935065</v>
      </c>
      <c r="D273" s="118" t="n">
        <v>91.06484246027821</v>
      </c>
      <c r="E273" s="118" t="n">
        <v>91.73505401611328</v>
      </c>
      <c r="F273" s="119" t="n">
        <v>9638800</v>
      </c>
      <c r="G273" s="120" t="n">
        <v>-0.01242584916991807</v>
      </c>
      <c r="H273" s="121" t="n">
        <v>58.67091191890468</v>
      </c>
      <c r="I273" s="118" t="n">
        <v>101.8721342468262</v>
      </c>
      <c r="J273" s="118" t="n">
        <v>117.4175258636475</v>
      </c>
      <c r="K273" s="120" t="n">
        <v>0.3830817808294857</v>
      </c>
      <c r="L273" s="120" t="n">
        <v>-0.1628572655929784</v>
      </c>
      <c r="M273" s="120" t="n">
        <v>-0.4395666970750016</v>
      </c>
      <c r="N273" t="n">
        <v>34.25227784658033</v>
      </c>
      <c r="O273" t="n">
        <v>-0.8195430079501334</v>
      </c>
      <c r="P273" t="n">
        <v>84.89445611860644</v>
      </c>
      <c r="Q273" t="n">
        <v>75.27536885814285</v>
      </c>
    </row>
    <row r="274">
      <c r="A274" s="117" t="n">
        <v>44827</v>
      </c>
      <c r="B274" s="118" t="n">
        <v>90.21776106794206</v>
      </c>
      <c r="C274" s="118" t="n">
        <v>90.79488922218637</v>
      </c>
      <c r="D274" s="118" t="n">
        <v>88.74701993738067</v>
      </c>
      <c r="E274" s="118" t="n">
        <v>90.31084442138672</v>
      </c>
      <c r="F274" s="119" t="n">
        <v>9026500</v>
      </c>
      <c r="G274" s="120" t="n">
        <v>-0.01552524942620515</v>
      </c>
      <c r="H274" s="121" t="n">
        <v>57.76003137730077</v>
      </c>
      <c r="I274" s="118" t="n">
        <v>101.7622131347656</v>
      </c>
      <c r="J274" s="118" t="n">
        <v>117.0779088973999</v>
      </c>
      <c r="K274" s="120" t="n">
        <v>0.3754761326493387</v>
      </c>
      <c r="L274" s="120" t="n">
        <v>-0.1758541153499829</v>
      </c>
      <c r="M274" s="120" t="n">
        <v>-0.4482675638896642</v>
      </c>
      <c r="N274" t="n">
        <v>32.40475307478866</v>
      </c>
      <c r="O274" t="n">
        <v>-0.9684045994749928</v>
      </c>
      <c r="P274" t="n">
        <v>83.47207038537815</v>
      </c>
      <c r="Q274" t="n">
        <v>74.04978079980279</v>
      </c>
    </row>
    <row r="275">
      <c r="A275" s="117" t="n">
        <v>44830</v>
      </c>
      <c r="B275" s="118" t="n">
        <v>89.44516062550287</v>
      </c>
      <c r="C275" s="118" t="n">
        <v>90.97175753294189</v>
      </c>
      <c r="D275" s="118" t="n">
        <v>89.09144102237475</v>
      </c>
      <c r="E275" s="118" t="n">
        <v>89.417236328125</v>
      </c>
      <c r="F275" s="119" t="n">
        <v>8521600</v>
      </c>
      <c r="G275" s="120" t="n">
        <v>-0.009894803874185731</v>
      </c>
      <c r="H275" s="121" t="n">
        <v>57.18850719505556</v>
      </c>
      <c r="I275" s="118" t="n">
        <v>101.6069454956055</v>
      </c>
      <c r="J275" s="118" t="n">
        <v>116.7386275863647</v>
      </c>
      <c r="K275" s="120" t="n">
        <v>0.3504149062018995</v>
      </c>
      <c r="L275" s="120" t="n">
        <v>-0.1840088772423122</v>
      </c>
      <c r="M275" s="120" t="n">
        <v>-0.4537268481360026</v>
      </c>
      <c r="N275" t="n">
        <v>31.26523712504381</v>
      </c>
      <c r="O275" t="n">
        <v>-1.052941459855901</v>
      </c>
      <c r="P275" t="n">
        <v>82.64630343656772</v>
      </c>
      <c r="Q275" t="n">
        <v>73.74336281032666</v>
      </c>
    </row>
    <row r="276">
      <c r="A276" s="117" t="n">
        <v>44831</v>
      </c>
      <c r="B276" s="118" t="n">
        <v>90.35738482872821</v>
      </c>
      <c r="C276" s="118" t="n">
        <v>90.98105107552189</v>
      </c>
      <c r="D276" s="118" t="n">
        <v>88.43053039781638</v>
      </c>
      <c r="E276" s="118" t="n">
        <v>89.63132476806641</v>
      </c>
      <c r="F276" s="119" t="n">
        <v>9890300</v>
      </c>
      <c r="G276" s="120" t="n">
        <v>0.002394263664734497</v>
      </c>
      <c r="H276" s="121" t="n">
        <v>57.32543155987309</v>
      </c>
      <c r="I276" s="118" t="n">
        <v>101.4700680541992</v>
      </c>
      <c r="J276" s="118" t="n">
        <v>116.410347366333</v>
      </c>
      <c r="K276" s="120" t="n">
        <v>0.3515170486248934</v>
      </c>
      <c r="L276" s="120" t="n">
        <v>-0.1820551793463475</v>
      </c>
      <c r="M276" s="120" t="n">
        <v>-0.4524189261774747</v>
      </c>
      <c r="N276" t="n">
        <v>31.88324844191828</v>
      </c>
      <c r="O276" t="n">
        <v>-1.019638791478086</v>
      </c>
      <c r="P276" t="n">
        <v>82.4353175044786</v>
      </c>
      <c r="Q276" t="n">
        <v>73.77295418672669</v>
      </c>
    </row>
    <row r="277">
      <c r="A277" s="117" t="n">
        <v>44832</v>
      </c>
      <c r="B277" s="118" t="n">
        <v>90.39462739257075</v>
      </c>
      <c r="C277" s="118" t="n">
        <v>92.55419393202517</v>
      </c>
      <c r="D277" s="118" t="n">
        <v>90.06883209386521</v>
      </c>
      <c r="E277" s="118" t="n">
        <v>91.87467193603516</v>
      </c>
      <c r="F277" s="119" t="n">
        <v>9423300</v>
      </c>
      <c r="G277" s="120" t="n">
        <v>0.02502860661463746</v>
      </c>
      <c r="H277" s="121" t="n">
        <v>58.76020723539948</v>
      </c>
      <c r="I277" s="118" t="n">
        <v>101.2805986022949</v>
      </c>
      <c r="J277" s="118" t="n">
        <v>116.0888496780396</v>
      </c>
      <c r="K277" s="120" t="n">
        <v>0.3674062590600159</v>
      </c>
      <c r="L277" s="120" t="n">
        <v>-0.161583160197727</v>
      </c>
      <c r="M277" s="120" t="n">
        <v>-0.43871373489115</v>
      </c>
      <c r="N277" t="n">
        <v>38.15793355026084</v>
      </c>
      <c r="O277" t="n">
        <v>-0.7823958559499591</v>
      </c>
      <c r="P277" t="n">
        <v>84.05734959424092</v>
      </c>
      <c r="Q277" t="n">
        <v>75.24043307948402</v>
      </c>
    </row>
    <row r="278">
      <c r="A278" s="117" t="n">
        <v>44833</v>
      </c>
      <c r="B278" s="118" t="n">
        <v>91.3254644013896</v>
      </c>
      <c r="C278" s="118" t="n">
        <v>91.3254644013896</v>
      </c>
      <c r="D278" s="118" t="n">
        <v>87.94648995554512</v>
      </c>
      <c r="E278" s="118" t="n">
        <v>88.73770904541016</v>
      </c>
      <c r="F278" s="119" t="n">
        <v>19339200</v>
      </c>
      <c r="G278" s="120" t="n">
        <v>-0.03414393569545493</v>
      </c>
      <c r="H278" s="121" t="n">
        <v>56.75390249810239</v>
      </c>
      <c r="I278" s="118" t="n">
        <v>100.9927473449707</v>
      </c>
      <c r="J278" s="118" t="n">
        <v>115.7619212341309</v>
      </c>
      <c r="K278" s="120" t="n">
        <v>0.3816249890332359</v>
      </c>
      <c r="L278" s="120" t="n">
        <v>-0.1902100108619224</v>
      </c>
      <c r="M278" s="120" t="n">
        <v>-0.4578782570337685</v>
      </c>
      <c r="N278" t="n">
        <v>33.50952909448196</v>
      </c>
      <c r="O278" t="n">
        <v>-0.7713393587932966</v>
      </c>
      <c r="P278" t="n">
        <v>82.30147559954631</v>
      </c>
      <c r="Q278" t="n">
        <v>73.07142797813879</v>
      </c>
    </row>
    <row r="279">
      <c r="A279" s="117" t="n">
        <v>44834</v>
      </c>
      <c r="B279" s="118" t="n">
        <v>77.53960790575073</v>
      </c>
      <c r="C279" s="118" t="n">
        <v>80.23906026378667</v>
      </c>
      <c r="D279" s="118" t="n">
        <v>76.79492698517308</v>
      </c>
      <c r="E279" s="118" t="n">
        <v>77.37205505371094</v>
      </c>
      <c r="F279" s="119" t="n">
        <v>48176100</v>
      </c>
      <c r="G279" s="120" t="n">
        <v>-0.1280814449005329</v>
      </c>
      <c r="H279" s="121" t="n">
        <v>49.48478066240148</v>
      </c>
      <c r="I279" s="118" t="n">
        <v>100.4681158447266</v>
      </c>
      <c r="J279" s="118" t="n">
        <v>115.384815826416</v>
      </c>
      <c r="K279" s="120" t="n">
        <v>0.5787575016357027</v>
      </c>
      <c r="L279" s="120" t="n">
        <v>-0.2939290827367141</v>
      </c>
      <c r="M279" s="120" t="n">
        <v>-0.5273139931848787</v>
      </c>
      <c r="N279" t="n">
        <v>22.71335156582109</v>
      </c>
      <c r="O279" t="n">
        <v>-1.426009543022484</v>
      </c>
      <c r="P279" t="n">
        <v>81.02881008647597</v>
      </c>
      <c r="Q279" t="n">
        <v>71.83238242965253</v>
      </c>
    </row>
    <row r="280">
      <c r="A280" s="117" t="n">
        <v>44837</v>
      </c>
      <c r="B280" s="118" t="n">
        <v>77.38137163486005</v>
      </c>
      <c r="C280" s="118" t="n">
        <v>80.49040684228962</v>
      </c>
      <c r="D280" s="118" t="n">
        <v>76.53430386726355</v>
      </c>
      <c r="E280" s="118" t="n">
        <v>79.49440002441406</v>
      </c>
      <c r="F280" s="119" t="n">
        <v>19108200</v>
      </c>
      <c r="G280" s="120" t="n">
        <v>0.02743038128210262</v>
      </c>
      <c r="H280" s="121" t="n">
        <v>50.84216706363237</v>
      </c>
      <c r="I280" s="118" t="n">
        <v>100.0323400878906</v>
      </c>
      <c r="J280" s="118" t="n">
        <v>115.0252503204346</v>
      </c>
      <c r="K280" s="120" t="n">
        <v>0.5947208761016306</v>
      </c>
      <c r="L280" s="120" t="n">
        <v>-0.2745612882639782</v>
      </c>
      <c r="M280" s="120" t="n">
        <v>-0.5143480357912255</v>
      </c>
      <c r="N280" t="n">
        <v>27.41606414130011</v>
      </c>
      <c r="O280" t="n">
        <v>-1.599602673470596</v>
      </c>
      <c r="P280" t="n">
        <v>83.16805483728534</v>
      </c>
      <c r="Q280" t="n">
        <v>73.51758069229389</v>
      </c>
    </row>
    <row r="281">
      <c r="A281" s="117" t="n">
        <v>44838</v>
      </c>
      <c r="B281" s="118" t="n">
        <v>81.63533873736144</v>
      </c>
      <c r="C281" s="118" t="n">
        <v>82.91060261626835</v>
      </c>
      <c r="D281" s="118" t="n">
        <v>81.08614201474434</v>
      </c>
      <c r="E281" s="118" t="n">
        <v>82.51033782958984</v>
      </c>
      <c r="F281" s="119" t="n">
        <v>15114800</v>
      </c>
      <c r="G281" s="120" t="n">
        <v>0.03793899701424919</v>
      </c>
      <c r="H281" s="121" t="n">
        <v>52.77106788805747</v>
      </c>
      <c r="I281" s="118" t="n">
        <v>99.65391326904297</v>
      </c>
      <c r="J281" s="118" t="n">
        <v>114.6862146377564</v>
      </c>
      <c r="K281" s="120" t="n">
        <v>0.6185217616113474</v>
      </c>
      <c r="L281" s="120" t="n">
        <v>-0.2470388711454047</v>
      </c>
      <c r="M281" s="120" t="n">
        <v>-0.4959228873711444</v>
      </c>
      <c r="N281" t="n">
        <v>33.5991944308563</v>
      </c>
      <c r="O281" t="n">
        <v>-1.401893162713438</v>
      </c>
      <c r="P281" t="n">
        <v>85.74516431474112</v>
      </c>
      <c r="Q281" t="n">
        <v>75.82904725416441</v>
      </c>
    </row>
    <row r="282">
      <c r="A282" s="117" t="n">
        <v>44839</v>
      </c>
      <c r="B282" s="118" t="n">
        <v>81.43985620190136</v>
      </c>
      <c r="C282" s="118" t="n">
        <v>85.35872382587203</v>
      </c>
      <c r="D282" s="118" t="n">
        <v>81.12337142029124</v>
      </c>
      <c r="E282" s="118" t="n">
        <v>84.80021667480469</v>
      </c>
      <c r="F282" s="119" t="n">
        <v>12732700</v>
      </c>
      <c r="G282" s="120" t="n">
        <v>0.02775262961526326</v>
      </c>
      <c r="H282" s="121" t="n">
        <v>54.23560378955665</v>
      </c>
      <c r="I282" s="118" t="n">
        <v>99.39702331542969</v>
      </c>
      <c r="J282" s="118" t="n">
        <v>114.3649102401733</v>
      </c>
      <c r="K282" s="120" t="n">
        <v>0.6153598035796574</v>
      </c>
      <c r="L282" s="120" t="n">
        <v>-0.2261422198216124</v>
      </c>
      <c r="M282" s="120" t="n">
        <v>-0.4819334219668245</v>
      </c>
      <c r="N282" t="n">
        <v>37.92306752671654</v>
      </c>
      <c r="O282" t="n">
        <v>-1.024962797556647</v>
      </c>
      <c r="P282" t="n">
        <v>85.54552523182838</v>
      </c>
      <c r="Q282" t="n">
        <v>75.7887251234645</v>
      </c>
    </row>
    <row r="283">
      <c r="A283" s="117" t="n">
        <v>44840</v>
      </c>
      <c r="B283" s="118" t="n">
        <v>84.23241844690051</v>
      </c>
      <c r="C283" s="118" t="n">
        <v>86.2337427088587</v>
      </c>
      <c r="D283" s="118" t="n">
        <v>83.59944163618363</v>
      </c>
      <c r="E283" s="118" t="n">
        <v>83.93454742431641</v>
      </c>
      <c r="F283" s="119" t="n">
        <v>9951900</v>
      </c>
      <c r="G283" s="120" t="n">
        <v>-0.01020833771932428</v>
      </c>
      <c r="H283" s="121" t="n">
        <v>53.6819484296614</v>
      </c>
      <c r="I283" s="118" t="n">
        <v>99.0734407043457</v>
      </c>
      <c r="J283" s="118" t="n">
        <v>114.0595082092285</v>
      </c>
      <c r="K283" s="120" t="n">
        <v>0.6141981091367112</v>
      </c>
      <c r="L283" s="120" t="n">
        <v>-0.2340420213884</v>
      </c>
      <c r="M283" s="120" t="n">
        <v>-0.4872220205564819</v>
      </c>
      <c r="N283" t="n">
        <v>36.94365946851398</v>
      </c>
      <c r="O283" t="n">
        <v>-0.7545031955242676</v>
      </c>
      <c r="P283" t="n">
        <v>84.66306040524242</v>
      </c>
      <c r="Q283" t="n">
        <v>75.19205659059185</v>
      </c>
    </row>
    <row r="284">
      <c r="A284" s="117" t="n">
        <v>44841</v>
      </c>
      <c r="B284" s="118" t="n">
        <v>82.41726547280044</v>
      </c>
      <c r="C284" s="118" t="n">
        <v>82.62205312610449</v>
      </c>
      <c r="D284" s="118" t="n">
        <v>80.6951984546243</v>
      </c>
      <c r="E284" s="118" t="n">
        <v>81.13269805908203</v>
      </c>
      <c r="F284" s="119" t="n">
        <v>8554700</v>
      </c>
      <c r="G284" s="120" t="n">
        <v>-0.03338136025288985</v>
      </c>
      <c r="H284" s="121" t="n">
        <v>51.88997197005381</v>
      </c>
      <c r="I284" s="118" t="n">
        <v>98.61269821166992</v>
      </c>
      <c r="J284" s="118" t="n">
        <v>113.6955246353149</v>
      </c>
      <c r="K284" s="120" t="n">
        <v>0.6100718900247211</v>
      </c>
      <c r="L284" s="120" t="n">
        <v>-0.2596107406110091</v>
      </c>
      <c r="M284" s="120" t="n">
        <v>-0.5043392470180349</v>
      </c>
      <c r="N284" t="n">
        <v>33.89265219214373</v>
      </c>
      <c r="O284" t="n">
        <v>-0.6867981706390669</v>
      </c>
      <c r="P284" t="n">
        <v>82.30147559954631</v>
      </c>
      <c r="Q284" t="n">
        <v>72.32693680256914</v>
      </c>
    </row>
    <row r="285">
      <c r="A285" s="117" t="n">
        <v>44844</v>
      </c>
      <c r="B285" s="118" t="n">
        <v>81.69119719750259</v>
      </c>
      <c r="C285" s="118" t="n">
        <v>81.70981102694952</v>
      </c>
      <c r="D285" s="118" t="n">
        <v>79.18721457952633</v>
      </c>
      <c r="E285" s="118" t="n">
        <v>80.6951904296875</v>
      </c>
      <c r="F285" s="119" t="n">
        <v>7991200</v>
      </c>
      <c r="G285" s="120" t="n">
        <v>-0.005392494516525681</v>
      </c>
      <c r="H285" s="121" t="n">
        <v>51.61015558074264</v>
      </c>
      <c r="I285" s="118" t="n">
        <v>98.09326934814453</v>
      </c>
      <c r="J285" s="118" t="n">
        <v>113.3348499679565</v>
      </c>
      <c r="K285" s="120" t="n">
        <v>0.6039913965281654</v>
      </c>
      <c r="L285" s="120" t="n">
        <v>-0.2636032856323587</v>
      </c>
      <c r="M285" s="120" t="n">
        <v>-0.5070120949105471</v>
      </c>
      <c r="N285" t="n">
        <v>33.42841002719338</v>
      </c>
      <c r="O285" t="n">
        <v>-0.5972728779787992</v>
      </c>
      <c r="P285" t="n">
        <v>81.67307836381332</v>
      </c>
      <c r="Q285" t="n">
        <v>71.60394069542502</v>
      </c>
    </row>
    <row r="286">
      <c r="A286" s="117" t="n">
        <v>44845</v>
      </c>
      <c r="B286" s="118" t="n">
        <v>80.09013102708386</v>
      </c>
      <c r="C286" s="118" t="n">
        <v>82.14730343947056</v>
      </c>
      <c r="D286" s="118" t="n">
        <v>79.82018436186517</v>
      </c>
      <c r="E286" s="118" t="n">
        <v>81.90528106689453</v>
      </c>
      <c r="F286" s="119" t="n">
        <v>11903200</v>
      </c>
      <c r="G286" s="120" t="n">
        <v>0.01499582107388941</v>
      </c>
      <c r="H286" s="121" t="n">
        <v>52.38409223942705</v>
      </c>
      <c r="I286" s="118" t="n">
        <v>97.60955154418946</v>
      </c>
      <c r="J286" s="118" t="n">
        <v>112.9791634368896</v>
      </c>
      <c r="K286" s="120" t="n">
        <v>0.584402579816736</v>
      </c>
      <c r="L286" s="120" t="n">
        <v>-0.2525604122643015</v>
      </c>
      <c r="M286" s="120" t="n">
        <v>-0.4996193364942341</v>
      </c>
      <c r="N286" t="n">
        <v>36.0380331465087</v>
      </c>
      <c r="O286" t="n">
        <v>-0.3922569499913635</v>
      </c>
      <c r="P286" t="n">
        <v>81.15585115552372</v>
      </c>
      <c r="Q286" t="n">
        <v>70.62020152171995</v>
      </c>
    </row>
    <row r="287">
      <c r="A287" s="117" t="n">
        <v>44846</v>
      </c>
      <c r="B287" s="118" t="n">
        <v>81.91460129540236</v>
      </c>
      <c r="C287" s="118" t="n">
        <v>82.73374475170671</v>
      </c>
      <c r="D287" s="118" t="n">
        <v>81.27231408084955</v>
      </c>
      <c r="E287" s="118" t="n">
        <v>82.38933563232422</v>
      </c>
      <c r="F287" s="119" t="n">
        <v>8772900</v>
      </c>
      <c r="G287" s="120" t="n">
        <v>0.005909931070676055</v>
      </c>
      <c r="H287" s="121" t="n">
        <v>52.693678613762</v>
      </c>
      <c r="I287" s="118" t="n">
        <v>97.18248077392577</v>
      </c>
      <c r="J287" s="118" t="n">
        <v>112.6170750045776</v>
      </c>
      <c r="K287" s="120" t="n">
        <v>0.5819185449994617</v>
      </c>
      <c r="L287" s="120" t="n">
        <v>-0.2481430958212889</v>
      </c>
      <c r="M287" s="120" t="n">
        <v>-0.4966621212638159</v>
      </c>
      <c r="N287" t="n">
        <v>37.10021559713665</v>
      </c>
      <c r="O287" t="n">
        <v>-0.1710408959378924</v>
      </c>
      <c r="P287" t="n">
        <v>80.88816734565908</v>
      </c>
      <c r="Q287" t="n">
        <v>70.59603844714323</v>
      </c>
    </row>
    <row r="288">
      <c r="A288" s="117" t="n">
        <v>44847</v>
      </c>
      <c r="B288" s="118" t="n">
        <v>80.41592172907706</v>
      </c>
      <c r="C288" s="118" t="n">
        <v>83.59941874274236</v>
      </c>
      <c r="D288" s="118" t="n">
        <v>80.09943696128967</v>
      </c>
      <c r="E288" s="118" t="n">
        <v>83.36670684814453</v>
      </c>
      <c r="F288" s="119" t="n">
        <v>9335000</v>
      </c>
      <c r="G288" s="120" t="n">
        <v>0.01186283647415221</v>
      </c>
      <c r="H288" s="121" t="n">
        <v>53.31877510637859</v>
      </c>
      <c r="I288" s="118" t="n">
        <v>96.72836303710938</v>
      </c>
      <c r="J288" s="118" t="n">
        <v>112.2652313995361</v>
      </c>
      <c r="K288" s="120" t="n">
        <v>0.58605910911913</v>
      </c>
      <c r="L288" s="120" t="n">
        <v>-0.2392239403150546</v>
      </c>
      <c r="M288" s="120" t="n">
        <v>-0.4906911063171219</v>
      </c>
      <c r="N288" t="n">
        <v>39.29236687031987</v>
      </c>
      <c r="O288" t="n">
        <v>0.08060472513966488</v>
      </c>
      <c r="P288" t="n">
        <v>83.02288790404045</v>
      </c>
      <c r="Q288" t="n">
        <v>72.25166211329747</v>
      </c>
    </row>
    <row r="289">
      <c r="A289" s="117" t="n">
        <v>44848</v>
      </c>
      <c r="B289" s="118" t="n">
        <v>84.25102828102746</v>
      </c>
      <c r="C289" s="118" t="n">
        <v>84.59543738881963</v>
      </c>
      <c r="D289" s="118" t="n">
        <v>81.4398642178009</v>
      </c>
      <c r="E289" s="118" t="n">
        <v>81.49571990966797</v>
      </c>
      <c r="F289" s="119" t="n">
        <v>7811700</v>
      </c>
      <c r="G289" s="120" t="n">
        <v>-0.02244285529815437</v>
      </c>
      <c r="H289" s="121" t="n">
        <v>52.12214955199131</v>
      </c>
      <c r="I289" s="118" t="n">
        <v>96.23311248779297</v>
      </c>
      <c r="J289" s="118" t="n">
        <v>111.8931320571899</v>
      </c>
      <c r="K289" s="120" t="n">
        <v>0.5881851915624945</v>
      </c>
      <c r="L289" s="120" t="n">
        <v>-0.2562979273368637</v>
      </c>
      <c r="M289" s="120" t="n">
        <v>-0.5021214521201098</v>
      </c>
      <c r="N289" t="n">
        <v>36.65851058953101</v>
      </c>
      <c r="O289" t="n">
        <v>0.1561720524311907</v>
      </c>
      <c r="P289" t="n">
        <v>81.13089536095697</v>
      </c>
      <c r="Q289" t="n">
        <v>70.08000578571396</v>
      </c>
    </row>
    <row r="290">
      <c r="A290" s="117" t="n">
        <v>44851</v>
      </c>
      <c r="B290" s="118" t="n">
        <v>83.33879205581874</v>
      </c>
      <c r="C290" s="118" t="n">
        <v>84.41857877868952</v>
      </c>
      <c r="D290" s="118" t="n">
        <v>82.56618677326165</v>
      </c>
      <c r="E290" s="118" t="n">
        <v>83.74836730957031</v>
      </c>
      <c r="F290" s="119" t="n">
        <v>8451900</v>
      </c>
      <c r="G290" s="120" t="n">
        <v>0.02764129702025131</v>
      </c>
      <c r="H290" s="121" t="n">
        <v>53.56287336909185</v>
      </c>
      <c r="I290" s="118" t="n">
        <v>95.79423904418945</v>
      </c>
      <c r="J290" s="118" t="n">
        <v>111.5382544326782</v>
      </c>
      <c r="K290" s="120" t="n">
        <v>0.5865000733632493</v>
      </c>
      <c r="L290" s="120" t="n">
        <v>-0.2357410374518055</v>
      </c>
      <c r="M290" s="120" t="n">
        <v>-0.4883594432981503</v>
      </c>
      <c r="N290" t="n">
        <v>41.72356382445528</v>
      </c>
      <c r="O290" t="n">
        <v>0.3802203144311331</v>
      </c>
      <c r="P290" t="n">
        <v>83.21570433020482</v>
      </c>
      <c r="Q290" t="n">
        <v>72.39412357382277</v>
      </c>
    </row>
    <row r="291">
      <c r="A291" s="117" t="n">
        <v>44852</v>
      </c>
      <c r="B291" s="118" t="n">
        <v>86.1964898408433</v>
      </c>
      <c r="C291" s="118" t="n">
        <v>86.48505743779103</v>
      </c>
      <c r="D291" s="118" t="n">
        <v>82.98506833112043</v>
      </c>
      <c r="E291" s="118" t="n">
        <v>83.47841644287109</v>
      </c>
      <c r="F291" s="119" t="n">
        <v>7364700</v>
      </c>
      <c r="G291" s="120" t="n">
        <v>-0.003223356769468277</v>
      </c>
      <c r="H291" s="121" t="n">
        <v>53.39022111862543</v>
      </c>
      <c r="I291" s="118" t="n">
        <v>95.34755325317383</v>
      </c>
      <c r="J291" s="118" t="n">
        <v>111.185814743042</v>
      </c>
      <c r="K291" s="120" t="n">
        <v>0.5703959849229582</v>
      </c>
      <c r="L291" s="120" t="n">
        <v>-0.2382045167523619</v>
      </c>
      <c r="M291" s="120" t="n">
        <v>-0.4900086433501297</v>
      </c>
      <c r="N291" t="n">
        <v>41.29738245546296</v>
      </c>
      <c r="O291" t="n">
        <v>0.5237356425041</v>
      </c>
      <c r="P291" t="n">
        <v>84.19346086900849</v>
      </c>
      <c r="Q291" t="n">
        <v>72.96661225220579</v>
      </c>
    </row>
    <row r="292">
      <c r="A292" s="117" t="n">
        <v>44853</v>
      </c>
      <c r="B292" s="118" t="n">
        <v>82.15662227783652</v>
      </c>
      <c r="C292" s="118" t="n">
        <v>83.53427293518139</v>
      </c>
      <c r="D292" s="118" t="n">
        <v>81.6911984148786</v>
      </c>
      <c r="E292" s="118" t="n">
        <v>82.44518280029297</v>
      </c>
      <c r="F292" s="119" t="n">
        <v>5102000</v>
      </c>
      <c r="G292" s="120" t="n">
        <v>-0.01237725494332087</v>
      </c>
      <c r="H292" s="121" t="n">
        <v>52.72939674035992</v>
      </c>
      <c r="I292" s="118" t="n">
        <v>94.95241500854492</v>
      </c>
      <c r="J292" s="118" t="n">
        <v>110.8374465560913</v>
      </c>
      <c r="K292" s="120" t="n">
        <v>0.5662399248726333</v>
      </c>
      <c r="L292" s="120" t="n">
        <v>-0.2476334536631882</v>
      </c>
      <c r="M292" s="120" t="n">
        <v>-0.4963209363902752</v>
      </c>
      <c r="N292" t="n">
        <v>39.62889287559781</v>
      </c>
      <c r="O292" t="n">
        <v>0.55934655406947</v>
      </c>
      <c r="P292" t="n">
        <v>83.59682026372684</v>
      </c>
      <c r="Q292" t="n">
        <v>72.70053317334246</v>
      </c>
    </row>
    <row r="293">
      <c r="A293" s="117" t="n">
        <v>44854</v>
      </c>
      <c r="B293" s="118" t="n">
        <v>83.28293763508985</v>
      </c>
      <c r="C293" s="118" t="n">
        <v>84.31617906065752</v>
      </c>
      <c r="D293" s="118" t="n">
        <v>80.62071287574658</v>
      </c>
      <c r="E293" s="118" t="n">
        <v>80.82550048828125</v>
      </c>
      <c r="F293" s="119" t="n">
        <v>13500000</v>
      </c>
      <c r="G293" s="120" t="n">
        <v>-0.01964556638724513</v>
      </c>
      <c r="H293" s="121" t="n">
        <v>51.6934978761378</v>
      </c>
      <c r="I293" s="118" t="n">
        <v>94.46863571166992</v>
      </c>
      <c r="J293" s="118" t="n">
        <v>110.4730353927612</v>
      </c>
      <c r="K293" s="120" t="n">
        <v>0.5680209033483181</v>
      </c>
      <c r="L293" s="120" t="n">
        <v>-0.2624141205967905</v>
      </c>
      <c r="M293" s="120" t="n">
        <v>-0.5062159968722856</v>
      </c>
      <c r="N293" t="n">
        <v>37.09857989895074</v>
      </c>
      <c r="O293" t="n">
        <v>0.4867576370221904</v>
      </c>
      <c r="P293" t="n">
        <v>82.89585410861395</v>
      </c>
      <c r="Q293" t="n">
        <v>72.32962158863322</v>
      </c>
    </row>
    <row r="294">
      <c r="A294" s="117" t="n">
        <v>44855</v>
      </c>
      <c r="B294" s="118" t="n">
        <v>81.00237744630151</v>
      </c>
      <c r="C294" s="118" t="n">
        <v>82.64067166423857</v>
      </c>
      <c r="D294" s="118" t="n">
        <v>80.71381688301351</v>
      </c>
      <c r="E294" s="118" t="n">
        <v>82.38003540039062</v>
      </c>
      <c r="F294" s="119" t="n">
        <v>7976300</v>
      </c>
      <c r="G294" s="120" t="n">
        <v>0.01923322345940526</v>
      </c>
      <c r="H294" s="121" t="n">
        <v>52.68773047218784</v>
      </c>
      <c r="I294" s="118" t="n">
        <v>93.99812591552734</v>
      </c>
      <c r="J294" s="118" t="n">
        <v>110.1355192184448</v>
      </c>
      <c r="K294" s="120" t="n">
        <v>0.5733951673451688</v>
      </c>
      <c r="L294" s="120" t="n">
        <v>-0.2482279665577266</v>
      </c>
      <c r="M294" s="120" t="n">
        <v>-0.4967189387994506</v>
      </c>
      <c r="N294" t="n">
        <v>40.99281800158096</v>
      </c>
      <c r="O294" t="n">
        <v>0.5516181031361018</v>
      </c>
      <c r="P294" t="n">
        <v>84.91034898107463</v>
      </c>
      <c r="Q294" t="n">
        <v>74.02556738548736</v>
      </c>
    </row>
    <row r="295">
      <c r="A295" s="117" t="n">
        <v>44858</v>
      </c>
      <c r="B295" s="118" t="n">
        <v>81.71910918744892</v>
      </c>
      <c r="C295" s="118" t="n">
        <v>82.69649487683955</v>
      </c>
      <c r="D295" s="118" t="n">
        <v>80.27629261031556</v>
      </c>
      <c r="E295" s="118" t="n">
        <v>81.92389678955078</v>
      </c>
      <c r="F295" s="119" t="n">
        <v>8847100</v>
      </c>
      <c r="G295" s="120" t="n">
        <v>-0.005537004307207161</v>
      </c>
      <c r="H295" s="121" t="n">
        <v>52.39599828162637</v>
      </c>
      <c r="I295" s="118" t="n">
        <v>93.48192291259765</v>
      </c>
      <c r="J295" s="118" t="n">
        <v>109.8013112640381</v>
      </c>
      <c r="K295" s="120" t="n">
        <v>0.5730024496579944</v>
      </c>
      <c r="L295" s="120" t="n">
        <v>-0.2523905315449344</v>
      </c>
      <c r="M295" s="120" t="n">
        <v>-0.4995056082030539</v>
      </c>
      <c r="N295" t="n">
        <v>40.20624931758427</v>
      </c>
      <c r="O295" t="n">
        <v>0.5696553507952973</v>
      </c>
      <c r="P295" t="n">
        <v>85.94934213732439</v>
      </c>
      <c r="Q295" t="n">
        <v>74.83996367820053</v>
      </c>
    </row>
    <row r="296">
      <c r="A296" s="117" t="n">
        <v>44859</v>
      </c>
      <c r="B296" s="118" t="n">
        <v>81.94251233909192</v>
      </c>
      <c r="C296" s="118" t="n">
        <v>85.57281936610926</v>
      </c>
      <c r="D296" s="118" t="n">
        <v>81.81219424443314</v>
      </c>
      <c r="E296" s="118" t="n">
        <v>85.37734222412109</v>
      </c>
      <c r="F296" s="119" t="n">
        <v>8639900</v>
      </c>
      <c r="G296" s="120" t="n">
        <v>0.04215431113392532</v>
      </c>
      <c r="H296" s="121" t="n">
        <v>54.60471549536265</v>
      </c>
      <c r="I296" s="118" t="n">
        <v>93.0301481628418</v>
      </c>
      <c r="J296" s="118" t="n">
        <v>109.503169670105</v>
      </c>
      <c r="K296" s="120" t="n">
        <v>0.5955595332160005</v>
      </c>
      <c r="L296" s="120" t="n">
        <v>-0.2208755694050112</v>
      </c>
      <c r="M296" s="120" t="n">
        <v>-0.4784076118904607</v>
      </c>
      <c r="N296" t="n">
        <v>48.2953288227169</v>
      </c>
      <c r="O296" t="n">
        <v>0.8056013304191167</v>
      </c>
      <c r="P296" t="n">
        <v>87.32181628141919</v>
      </c>
      <c r="Q296" t="n">
        <v>76.38810361227057</v>
      </c>
    </row>
    <row r="297">
      <c r="A297" s="117" t="n">
        <v>44860</v>
      </c>
      <c r="B297" s="118" t="n">
        <v>84.502356905691</v>
      </c>
      <c r="C297" s="118" t="n">
        <v>87.82548306147196</v>
      </c>
      <c r="D297" s="118" t="n">
        <v>84.42788738187743</v>
      </c>
      <c r="E297" s="118" t="n">
        <v>86.00102233886719</v>
      </c>
      <c r="F297" s="119" t="n">
        <v>8648200</v>
      </c>
      <c r="G297" s="120" t="n">
        <v>0.007304983951232469</v>
      </c>
      <c r="H297" s="121" t="n">
        <v>55.00360206571789</v>
      </c>
      <c r="I297" s="118" t="n">
        <v>92.55854583740235</v>
      </c>
      <c r="J297" s="118" t="n">
        <v>109.2383076095581</v>
      </c>
      <c r="K297" s="120" t="n">
        <v>0.5882784113146036</v>
      </c>
      <c r="L297" s="120" t="n">
        <v>-0.2151840779435016</v>
      </c>
      <c r="M297" s="120" t="n">
        <v>-0.4745973878662354</v>
      </c>
      <c r="N297" t="n">
        <v>49.62085432741009</v>
      </c>
      <c r="O297" t="n">
        <v>0.9833344632587293</v>
      </c>
      <c r="P297" t="n">
        <v>86.66392451144893</v>
      </c>
      <c r="Q297" t="n">
        <v>74.70019539369575</v>
      </c>
    </row>
    <row r="298">
      <c r="A298" s="117" t="n">
        <v>44861</v>
      </c>
      <c r="B298" s="118" t="n">
        <v>86.45714163814694</v>
      </c>
      <c r="C298" s="118" t="n">
        <v>87.01565600301998</v>
      </c>
      <c r="D298" s="118" t="n">
        <v>83.98109016788408</v>
      </c>
      <c r="E298" s="118" t="n">
        <v>84.27896118164062</v>
      </c>
      <c r="F298" s="119" t="n">
        <v>8617900</v>
      </c>
      <c r="G298" s="120" t="n">
        <v>-0.0200237289091888</v>
      </c>
      <c r="H298" s="121" t="n">
        <v>53.90222484892506</v>
      </c>
      <c r="I298" s="118" t="n">
        <v>92.07143753051758</v>
      </c>
      <c r="J298" s="118" t="n">
        <v>108.9654818344116</v>
      </c>
      <c r="K298" s="120" t="n">
        <v>0.5803211129479466</v>
      </c>
      <c r="L298" s="120" t="n">
        <v>-0.230899019210376</v>
      </c>
      <c r="M298" s="120" t="n">
        <v>-0.4851179073397816</v>
      </c>
      <c r="N298" t="n">
        <v>46.10615204781978</v>
      </c>
      <c r="O298" t="n">
        <v>0.963322900942877</v>
      </c>
      <c r="P298" t="n">
        <v>86.20115490558464</v>
      </c>
      <c r="Q298" t="n">
        <v>73.34021701293554</v>
      </c>
    </row>
    <row r="299">
      <c r="A299" s="117" t="n">
        <v>44862</v>
      </c>
      <c r="B299" s="118" t="n">
        <v>84.8932969687023</v>
      </c>
      <c r="C299" s="118" t="n">
        <v>87.38796878226189</v>
      </c>
      <c r="D299" s="118" t="n">
        <v>84.20447174384134</v>
      </c>
      <c r="E299" s="118" t="n">
        <v>87.3414306640625</v>
      </c>
      <c r="F299" s="119" t="n">
        <v>6022400</v>
      </c>
      <c r="G299" s="120" t="n">
        <v>0.03633729509101968</v>
      </c>
      <c r="H299" s="121" t="n">
        <v>55.86088589932294</v>
      </c>
      <c r="I299" s="118" t="n">
        <v>91.6646989440918</v>
      </c>
      <c r="J299" s="118" t="n">
        <v>108.6991463088989</v>
      </c>
      <c r="K299" s="120" t="n">
        <v>0.3564879659490856</v>
      </c>
      <c r="L299" s="120" t="n">
        <v>-0.2029519699166308</v>
      </c>
      <c r="M299" s="120" t="n">
        <v>-0.4664084848017054</v>
      </c>
      <c r="N299" t="n">
        <v>52.54377290619686</v>
      </c>
      <c r="O299" t="n">
        <v>1.123559793954024</v>
      </c>
      <c r="P299" t="n">
        <v>88.25194514816718</v>
      </c>
      <c r="Q299" t="n">
        <v>75.58446324372663</v>
      </c>
    </row>
    <row r="300">
      <c r="A300" s="117" t="n">
        <v>44865</v>
      </c>
      <c r="B300" s="118" t="n">
        <v>86.56882890193766</v>
      </c>
      <c r="C300" s="118" t="n">
        <v>87.39728271790868</v>
      </c>
      <c r="D300" s="118" t="n">
        <v>86.27095794677734</v>
      </c>
      <c r="E300" s="118" t="n">
        <v>86.27095794677734</v>
      </c>
      <c r="F300" s="119" t="n">
        <v>6426400</v>
      </c>
      <c r="G300" s="120" t="n">
        <v>-0.01225618482713509</v>
      </c>
      <c r="H300" s="121" t="n">
        <v>55.17624455713334</v>
      </c>
      <c r="I300" s="118" t="n">
        <v>91.28945739746094</v>
      </c>
      <c r="J300" s="118" t="n">
        <v>108.4395600891113</v>
      </c>
      <c r="K300" s="120" t="n">
        <v>0.3531310801842629</v>
      </c>
      <c r="L300" s="120" t="n">
        <v>-0.2127207378894365</v>
      </c>
      <c r="M300" s="120" t="n">
        <v>-0.4729482810341668</v>
      </c>
      <c r="N300" t="n">
        <v>50.2828059048294</v>
      </c>
      <c r="O300" t="n">
        <v>1.122057508138785</v>
      </c>
      <c r="P300" t="n">
        <v>87.61447043309312</v>
      </c>
      <c r="Q300" t="n">
        <v>74.70558174573682</v>
      </c>
    </row>
    <row r="301">
      <c r="A301" s="117" t="n">
        <v>44866</v>
      </c>
      <c r="B301" s="118" t="n">
        <v>89.07281643225242</v>
      </c>
      <c r="C301" s="118" t="n">
        <v>89.7895660183265</v>
      </c>
      <c r="D301" s="118" t="n">
        <v>86.5409096160148</v>
      </c>
      <c r="E301" s="118" t="n">
        <v>87.28558349609375</v>
      </c>
      <c r="F301" s="119" t="n">
        <v>7250700</v>
      </c>
      <c r="G301" s="120" t="n">
        <v>0.01176091669159796</v>
      </c>
      <c r="H301" s="121" t="n">
        <v>55.82516777272502</v>
      </c>
      <c r="I301" s="118" t="n">
        <v>90.98685791015625</v>
      </c>
      <c r="J301" s="118" t="n">
        <v>108.1915596008301</v>
      </c>
      <c r="K301" s="120" t="n">
        <v>0.3316615438083909</v>
      </c>
      <c r="L301" s="120" t="n">
        <v>-0.2034616120747315</v>
      </c>
      <c r="M301" s="120" t="n">
        <v>-0.4667496696752461</v>
      </c>
      <c r="N301" t="n">
        <v>52.37463482483091</v>
      </c>
      <c r="O301" t="n">
        <v>1.149767694923438</v>
      </c>
      <c r="P301" t="n">
        <v>87.23108512973583</v>
      </c>
      <c r="Q301" t="n">
        <v>73.94224672797989</v>
      </c>
    </row>
    <row r="302">
      <c r="A302" s="117" t="n">
        <v>44867</v>
      </c>
      <c r="B302" s="118" t="n">
        <v>86.68984319862753</v>
      </c>
      <c r="C302" s="118" t="n">
        <v>87.90925850717812</v>
      </c>
      <c r="D302" s="118" t="n">
        <v>83.95315580708227</v>
      </c>
      <c r="E302" s="118" t="n">
        <v>84.05554962158203</v>
      </c>
      <c r="F302" s="119" t="n">
        <v>7176600</v>
      </c>
      <c r="G302" s="120" t="n">
        <v>-0.0370053535204502</v>
      </c>
      <c r="H302" s="121" t="n">
        <v>53.75933770395688</v>
      </c>
      <c r="I302" s="118" t="n">
        <v>90.61334609985352</v>
      </c>
      <c r="J302" s="118" t="n">
        <v>107.9330900192261</v>
      </c>
      <c r="K302" s="120" t="n">
        <v>0.3469276641851549</v>
      </c>
      <c r="L302" s="120" t="n">
        <v>-0.2329377967125156</v>
      </c>
      <c r="M302" s="120" t="n">
        <v>-0.4864827866638104</v>
      </c>
      <c r="N302" t="n">
        <v>45.772157710031</v>
      </c>
      <c r="O302" t="n">
        <v>0.920830278532706</v>
      </c>
      <c r="P302" t="n">
        <v>85.04191424255043</v>
      </c>
      <c r="Q302" t="n">
        <v>71.4077163939665</v>
      </c>
    </row>
    <row r="303">
      <c r="A303" s="117" t="n">
        <v>44868</v>
      </c>
      <c r="B303" s="118" t="n">
        <v>83.74837105794143</v>
      </c>
      <c r="C303" s="118" t="n">
        <v>85.27496076068192</v>
      </c>
      <c r="D303" s="118" t="n">
        <v>82.58481140025481</v>
      </c>
      <c r="E303" s="118" t="n">
        <v>84.14863586425781</v>
      </c>
      <c r="F303" s="119" t="n">
        <v>6550300</v>
      </c>
      <c r="G303" s="120" t="n">
        <v>0.001107437201884443</v>
      </c>
      <c r="H303" s="121" t="n">
        <v>53.81887279447891</v>
      </c>
      <c r="I303" s="118" t="n">
        <v>90.22814453125</v>
      </c>
      <c r="J303" s="118" t="n">
        <v>107.6835847854614</v>
      </c>
      <c r="K303" s="120" t="n">
        <v>0.344923800485816</v>
      </c>
      <c r="L303" s="120" t="n">
        <v>-0.2320883234924355</v>
      </c>
      <c r="M303" s="120" t="n">
        <v>-0.4859140985979539</v>
      </c>
      <c r="N303" t="n">
        <v>45.98349468525206</v>
      </c>
      <c r="O303" t="n">
        <v>0.7530073982251348</v>
      </c>
      <c r="P303" t="n">
        <v>84.1662575254703</v>
      </c>
      <c r="Q303" t="n">
        <v>70.01279384459099</v>
      </c>
    </row>
    <row r="304">
      <c r="A304" s="117" t="n">
        <v>44869</v>
      </c>
      <c r="B304" s="118" t="n">
        <v>87.91855406238315</v>
      </c>
      <c r="C304" s="118" t="n">
        <v>91.43716399924536</v>
      </c>
      <c r="D304" s="118" t="n">
        <v>87.4531302566494</v>
      </c>
      <c r="E304" s="118" t="n">
        <v>89.1658935546875</v>
      </c>
      <c r="F304" s="119" t="n">
        <v>12543300</v>
      </c>
      <c r="G304" s="120" t="n">
        <v>0.05962375550000765</v>
      </c>
      <c r="H304" s="121" t="n">
        <v>57.02775610726294</v>
      </c>
      <c r="I304" s="118" t="n">
        <v>89.9096875</v>
      </c>
      <c r="J304" s="118" t="n">
        <v>107.4701587295532</v>
      </c>
      <c r="K304" s="120" t="n">
        <v>0.3804483222785693</v>
      </c>
      <c r="L304" s="120" t="n">
        <v>-0.1863025454467475</v>
      </c>
      <c r="M304" s="120" t="n">
        <v>-0.4552623665067572</v>
      </c>
      <c r="N304" t="n">
        <v>55.94853591457669</v>
      </c>
      <c r="O304" t="n">
        <v>0.9448203397040502</v>
      </c>
      <c r="P304" t="n">
        <v>85.37765005298823</v>
      </c>
      <c r="Q304" t="n">
        <v>71.1389525290391</v>
      </c>
    </row>
    <row r="305">
      <c r="A305" s="117" t="n">
        <v>44872</v>
      </c>
      <c r="B305" s="118" t="n">
        <v>89.64994495281816</v>
      </c>
      <c r="C305" s="118" t="n">
        <v>90.17122452450435</v>
      </c>
      <c r="D305" s="118" t="n">
        <v>86.26165969497936</v>
      </c>
      <c r="E305" s="118" t="n">
        <v>86.97841644287109</v>
      </c>
      <c r="F305" s="119" t="n">
        <v>9094500</v>
      </c>
      <c r="G305" s="120" t="n">
        <v>-0.02453266629885531</v>
      </c>
      <c r="H305" s="121" t="n">
        <v>55.62871319691095</v>
      </c>
      <c r="I305" s="118" t="n">
        <v>89.63918563842773</v>
      </c>
      <c r="J305" s="118" t="n">
        <v>107.2447792816162</v>
      </c>
      <c r="K305" s="120" t="n">
        <v>0.3932353720284344</v>
      </c>
      <c r="L305" s="120" t="n">
        <v>-0.2062647135675304</v>
      </c>
      <c r="M305" s="120" t="n">
        <v>-0.4606348993374957</v>
      </c>
      <c r="N305" t="n">
        <v>51.48862953230624</v>
      </c>
      <c r="O305" t="n">
        <v>0.8900481154500415</v>
      </c>
      <c r="P305" t="n">
        <v>86.19436861694263</v>
      </c>
      <c r="Q305" t="n">
        <v>71.92109782915749</v>
      </c>
    </row>
    <row r="306">
      <c r="A306" s="117" t="n">
        <v>44873</v>
      </c>
      <c r="B306" s="118" t="n">
        <v>87.90926261437436</v>
      </c>
      <c r="C306" s="118" t="n">
        <v>89.38930710834016</v>
      </c>
      <c r="D306" s="118" t="n">
        <v>86.51299100792905</v>
      </c>
      <c r="E306" s="118" t="n">
        <v>87.26697540283203</v>
      </c>
      <c r="F306" s="119" t="n">
        <v>7017800</v>
      </c>
      <c r="G306" s="120" t="n">
        <v>0.00331759270589238</v>
      </c>
      <c r="H306" s="121" t="n">
        <v>55.8132666100512</v>
      </c>
      <c r="I306" s="118" t="n">
        <v>89.38188049316406</v>
      </c>
      <c r="J306" s="118" t="n">
        <v>107.0067548751831</v>
      </c>
      <c r="K306" s="120" t="n">
        <v>0.3911009087297305</v>
      </c>
      <c r="L306" s="120" t="n">
        <v>-0.2036314231708527</v>
      </c>
      <c r="M306" s="120" t="n">
        <v>-0.4588455056137248</v>
      </c>
      <c r="N306" t="n">
        <v>52.03183712534726</v>
      </c>
      <c r="O306" t="n">
        <v>0.839578574901076</v>
      </c>
      <c r="P306" t="n">
        <v>86.65940031902092</v>
      </c>
      <c r="Q306" t="n">
        <v>72.44519323873546</v>
      </c>
    </row>
    <row r="307">
      <c r="A307" s="117" t="n">
        <v>44874</v>
      </c>
      <c r="B307" s="118" t="n">
        <v>86.26164669876628</v>
      </c>
      <c r="C307" s="118" t="n">
        <v>87.40659238896333</v>
      </c>
      <c r="D307" s="118" t="n">
        <v>85.60074574493686</v>
      </c>
      <c r="E307" s="118" t="n">
        <v>85.73106384277344</v>
      </c>
      <c r="F307" s="119" t="n">
        <v>6550900</v>
      </c>
      <c r="G307" s="120" t="n">
        <v>-0.01760014659576192</v>
      </c>
      <c r="H307" s="121" t="n">
        <v>54.83094493572595</v>
      </c>
      <c r="I307" s="118" t="n">
        <v>89.09422821044922</v>
      </c>
      <c r="J307" s="118" t="n">
        <v>106.763452796936</v>
      </c>
      <c r="K307" s="120" t="n">
        <v>0.3979907977867291</v>
      </c>
      <c r="L307" s="120" t="n">
        <v>-0.2108293287590179</v>
      </c>
      <c r="M307" s="120" t="n">
        <v>-0.4683699040458787</v>
      </c>
      <c r="N307" t="n">
        <v>48.89356689028803</v>
      </c>
      <c r="O307" t="n">
        <v>0.6761045541608443</v>
      </c>
      <c r="P307" t="n">
        <v>84.8740536109528</v>
      </c>
      <c r="Q307" t="n">
        <v>70.77341890641448</v>
      </c>
    </row>
    <row r="308">
      <c r="A308" s="117" t="n">
        <v>44875</v>
      </c>
      <c r="B308" s="118" t="n">
        <v>89.66856362066343</v>
      </c>
      <c r="C308" s="118" t="n">
        <v>92.78690209876999</v>
      </c>
      <c r="D308" s="118" t="n">
        <v>89.57548026793577</v>
      </c>
      <c r="E308" s="118" t="n">
        <v>92.61003875732422</v>
      </c>
      <c r="F308" s="119" t="n">
        <v>9361000</v>
      </c>
      <c r="G308" s="120" t="n">
        <v>0.08023900096663317</v>
      </c>
      <c r="H308" s="121" t="n">
        <v>59.23052517942509</v>
      </c>
      <c r="I308" s="118" t="n">
        <v>88.97033050537109</v>
      </c>
      <c r="J308" s="118" t="n">
        <v>106.5614276885986</v>
      </c>
      <c r="K308" s="120" t="n">
        <v>0.4844352038509554</v>
      </c>
      <c r="L308" s="120" t="n">
        <v>-0.139938249710315</v>
      </c>
      <c r="M308" s="120" t="n">
        <v>-0.4257124362627247</v>
      </c>
      <c r="N308" t="n">
        <v>60.41063455433979</v>
      </c>
      <c r="O308" t="n">
        <v>0.9858485098521218</v>
      </c>
      <c r="P308" t="n">
        <v>89.53822688024916</v>
      </c>
      <c r="Q308" t="n">
        <v>75.99568856917934</v>
      </c>
    </row>
    <row r="309">
      <c r="A309" s="117" t="n">
        <v>44876</v>
      </c>
      <c r="B309" s="118" t="n">
        <v>93.37334731292219</v>
      </c>
      <c r="C309" s="118" t="n">
        <v>99.79619901879772</v>
      </c>
      <c r="D309" s="118" t="n">
        <v>93.21510487988635</v>
      </c>
      <c r="E309" s="118" t="n">
        <v>98.75364685058594</v>
      </c>
      <c r="F309" s="119" t="n">
        <v>12597500</v>
      </c>
      <c r="G309" s="120" t="n">
        <v>0.06633846800734489</v>
      </c>
      <c r="H309" s="121" t="n">
        <v>63.15978747909862</v>
      </c>
      <c r="I309" s="118" t="n">
        <v>88.96856201171875</v>
      </c>
      <c r="J309" s="118" t="n">
        <v>106.3871182250977</v>
      </c>
      <c r="K309" s="120" t="n">
        <v>0.5174028584832727</v>
      </c>
      <c r="L309" s="120" t="n">
        <v>-0.0602833182519884</v>
      </c>
      <c r="M309" s="120" t="n">
        <v>-0.3876150790887235</v>
      </c>
      <c r="N309" t="n">
        <v>67.46291334756434</v>
      </c>
      <c r="O309" t="n">
        <v>1.526782694675731</v>
      </c>
      <c r="P309" t="n">
        <v>90.40482066523072</v>
      </c>
      <c r="Q309" t="n">
        <v>77.39598908063947</v>
      </c>
    </row>
    <row r="310">
      <c r="A310" s="117" t="n">
        <v>44879</v>
      </c>
      <c r="B310" s="118" t="n">
        <v>97.92518038826242</v>
      </c>
      <c r="C310" s="118" t="n">
        <v>99.07943671072475</v>
      </c>
      <c r="D310" s="118" t="n">
        <v>97.10603692550616</v>
      </c>
      <c r="E310" s="118" t="n">
        <v>97.17119598388672</v>
      </c>
      <c r="F310" s="119" t="n">
        <v>7134900</v>
      </c>
      <c r="G310" s="120" t="n">
        <v>-0.01602422712645202</v>
      </c>
      <c r="H310" s="121" t="n">
        <v>62.1477006992751</v>
      </c>
      <c r="I310" s="118" t="n">
        <v>88.94342880249023</v>
      </c>
      <c r="J310" s="118" t="n">
        <v>106.1990308761597</v>
      </c>
      <c r="K310" s="120" t="n">
        <v>0.5210198314001995</v>
      </c>
      <c r="L310" s="120" t="n">
        <v>-0.07534155179483437</v>
      </c>
      <c r="M310" s="120" t="n">
        <v>-0.3974280741502201</v>
      </c>
      <c r="N310" t="n">
        <v>64.28632495096889</v>
      </c>
      <c r="O310" t="n">
        <v>1.687726892460875</v>
      </c>
      <c r="P310" t="n">
        <v>89.63576614143834</v>
      </c>
      <c r="Q310" t="n">
        <v>76.71871823614923</v>
      </c>
    </row>
    <row r="311">
      <c r="A311" s="117" t="n">
        <v>44880</v>
      </c>
      <c r="B311" s="118" t="n">
        <v>100.5222487808509</v>
      </c>
      <c r="C311" s="118" t="n">
        <v>101.7509675542428</v>
      </c>
      <c r="D311" s="118" t="n">
        <v>98.23236411688436</v>
      </c>
      <c r="E311" s="118" t="n">
        <v>99.33076477050781</v>
      </c>
      <c r="F311" s="119" t="n">
        <v>7242900</v>
      </c>
      <c r="G311" s="120" t="n">
        <v>0.02222437178790315</v>
      </c>
      <c r="H311" s="121" t="n">
        <v>63.52889430537911</v>
      </c>
      <c r="I311" s="118" t="n">
        <v>88.97247116088867</v>
      </c>
      <c r="J311" s="118" t="n">
        <v>106.0117644119263</v>
      </c>
      <c r="K311" s="120" t="n">
        <v>0.5216055934357345</v>
      </c>
      <c r="L311" s="120" t="n">
        <v>-0.05479159866509731</v>
      </c>
      <c r="M311" s="120" t="n">
        <v>-0.3840362916411818</v>
      </c>
      <c r="N311" t="n">
        <v>66.59781595908194</v>
      </c>
      <c r="O311" t="n">
        <v>1.837024048458832</v>
      </c>
      <c r="P311" t="n">
        <v>90.40027465193889</v>
      </c>
      <c r="Q311" t="n">
        <v>77.78033298562555</v>
      </c>
    </row>
    <row r="312">
      <c r="A312" s="117" t="n">
        <v>44881</v>
      </c>
      <c r="B312" s="118" t="n">
        <v>97.97170830932608</v>
      </c>
      <c r="C312" s="118" t="n">
        <v>99.22835112856244</v>
      </c>
      <c r="D312" s="118" t="n">
        <v>97.52489834378693</v>
      </c>
      <c r="E312" s="118" t="n">
        <v>97.95309448242188</v>
      </c>
      <c r="F312" s="119" t="n">
        <v>5998700</v>
      </c>
      <c r="G312" s="120" t="n">
        <v>-0.01386952261234353</v>
      </c>
      <c r="H312" s="121" t="n">
        <v>62.64777886927347</v>
      </c>
      <c r="I312" s="118" t="n">
        <v>88.91196578979492</v>
      </c>
      <c r="J312" s="118" t="n">
        <v>105.8169166183472</v>
      </c>
      <c r="K312" s="120" t="n">
        <v>0.5224517591501823</v>
      </c>
      <c r="L312" s="120" t="n">
        <v>-0.06790118796078881</v>
      </c>
      <c r="M312" s="120" t="n">
        <v>-0.3925794142226475</v>
      </c>
      <c r="N312" t="n">
        <v>63.76259704846319</v>
      </c>
      <c r="O312" t="n">
        <v>1.741269377175469</v>
      </c>
      <c r="P312" t="n">
        <v>89.71066261962363</v>
      </c>
      <c r="Q312" t="n">
        <v>76.71871823614921</v>
      </c>
    </row>
    <row r="313">
      <c r="A313" s="117" t="n">
        <v>44882</v>
      </c>
      <c r="B313" s="118" t="n">
        <v>96.910544801905</v>
      </c>
      <c r="C313" s="118" t="n">
        <v>98.11133906552814</v>
      </c>
      <c r="D313" s="118" t="n">
        <v>95.80283387849531</v>
      </c>
      <c r="E313" s="118" t="n">
        <v>98.07410430908203</v>
      </c>
      <c r="F313" s="119" t="n">
        <v>5252900</v>
      </c>
      <c r="G313" s="120" t="n">
        <v>0.001235385439322334</v>
      </c>
      <c r="H313" s="121" t="n">
        <v>62.72517302309446</v>
      </c>
      <c r="I313" s="118" t="n">
        <v>88.84922653198242</v>
      </c>
      <c r="J313" s="118" t="n">
        <v>105.6204106903076</v>
      </c>
      <c r="K313" s="120" t="n">
        <v>0.5123434753861928</v>
      </c>
      <c r="L313" s="120" t="n">
        <v>-0.06674968666038583</v>
      </c>
      <c r="M313" s="120" t="n">
        <v>-0.3918290156754335</v>
      </c>
      <c r="N313" t="n">
        <v>63.90794144507481</v>
      </c>
      <c r="O313" t="n">
        <v>1.588614144690643</v>
      </c>
      <c r="P313" t="n">
        <v>89.43613433214685</v>
      </c>
      <c r="Q313" t="n">
        <v>76.54935018528796</v>
      </c>
    </row>
    <row r="314">
      <c r="A314" s="117" t="n">
        <v>44883</v>
      </c>
      <c r="B314" s="118" t="n">
        <v>100.1871393825135</v>
      </c>
      <c r="C314" s="118" t="n">
        <v>100.2709193717868</v>
      </c>
      <c r="D314" s="118" t="n">
        <v>96.96640706452187</v>
      </c>
      <c r="E314" s="118" t="n">
        <v>98.12996673583984</v>
      </c>
      <c r="F314" s="119" t="n">
        <v>5498900</v>
      </c>
      <c r="G314" s="120" t="n">
        <v>0.0005695940549379497</v>
      </c>
      <c r="H314" s="121" t="n">
        <v>62.76090090874337</v>
      </c>
      <c r="I314" s="118" t="n">
        <v>88.74590255737304</v>
      </c>
      <c r="J314" s="118" t="n">
        <v>105.439888343811</v>
      </c>
      <c r="K314" s="120" t="n">
        <v>0.5122629743165136</v>
      </c>
      <c r="L314" s="120" t="n">
        <v>-0.06193264721142433</v>
      </c>
      <c r="M314" s="120" t="n">
        <v>-0.3914826050983764</v>
      </c>
      <c r="N314" t="n">
        <v>63.97976577836035</v>
      </c>
      <c r="O314" t="n">
        <v>1.400518854484566</v>
      </c>
      <c r="P314" t="n">
        <v>89.84221333385688</v>
      </c>
      <c r="Q314" t="n">
        <v>76.55205175126494</v>
      </c>
    </row>
    <row r="315">
      <c r="A315" s="117" t="n">
        <v>44886</v>
      </c>
      <c r="B315" s="118" t="n">
        <v>97.37596229287675</v>
      </c>
      <c r="C315" s="118" t="n">
        <v>98.18580221402755</v>
      </c>
      <c r="D315" s="118" t="n">
        <v>96.43580428351363</v>
      </c>
      <c r="E315" s="118" t="n">
        <v>96.64990234375</v>
      </c>
      <c r="F315" s="119" t="n">
        <v>4774800</v>
      </c>
      <c r="G315" s="120" t="n">
        <v>-0.01508269534090534</v>
      </c>
      <c r="H315" s="121" t="n">
        <v>61.81429736101605</v>
      </c>
      <c r="I315" s="118" t="n">
        <v>88.58672744750976</v>
      </c>
      <c r="J315" s="118" t="n">
        <v>105.2515958023071</v>
      </c>
      <c r="K315" s="120" t="n">
        <v>0.5170206269865663</v>
      </c>
      <c r="L315" s="120" t="n">
        <v>-0.07608123130278399</v>
      </c>
      <c r="M315" s="120" t="n">
        <v>-0.3984594067642888</v>
      </c>
      <c r="N315" t="n">
        <v>60.54210542470867</v>
      </c>
      <c r="O315" t="n">
        <v>1.098859361473176</v>
      </c>
      <c r="P315" t="n">
        <v>89.51554045551765</v>
      </c>
      <c r="Q315" t="n">
        <v>75.76455365893129</v>
      </c>
    </row>
    <row r="316">
      <c r="A316" s="117" t="n">
        <v>44887</v>
      </c>
      <c r="B316" s="118" t="n">
        <v>97.38530174525729</v>
      </c>
      <c r="C316" s="118" t="n">
        <v>98.81880824410416</v>
      </c>
      <c r="D316" s="118" t="n">
        <v>96.65923447820086</v>
      </c>
      <c r="E316" s="118" t="n">
        <v>98.64194488525391</v>
      </c>
      <c r="F316" s="119" t="n">
        <v>5313200</v>
      </c>
      <c r="G316" s="120" t="n">
        <v>0.02061091106350954</v>
      </c>
      <c r="H316" s="121" t="n">
        <v>63.08834634637728</v>
      </c>
      <c r="I316" s="118" t="n">
        <v>88.59138198852538</v>
      </c>
      <c r="J316" s="118" t="n">
        <v>105.0744186401367</v>
      </c>
      <c r="K316" s="120" t="n">
        <v>0.5040755338393665</v>
      </c>
      <c r="L316" s="120" t="n">
        <v>-0.05703842373125845</v>
      </c>
      <c r="M316" s="120" t="n">
        <v>-0.3786075561592467</v>
      </c>
      <c r="N316" t="n">
        <v>63.39303643839658</v>
      </c>
      <c r="O316" t="n">
        <v>0.9609107456058625</v>
      </c>
      <c r="P316" t="n">
        <v>90.72013942077228</v>
      </c>
      <c r="Q316" t="n">
        <v>76.85575978480766</v>
      </c>
    </row>
    <row r="317">
      <c r="A317" s="117" t="n">
        <v>44888</v>
      </c>
      <c r="B317" s="118" t="n">
        <v>98.66987270536036</v>
      </c>
      <c r="C317" s="118" t="n">
        <v>99.58210672875153</v>
      </c>
      <c r="D317" s="118" t="n">
        <v>97.95312298125738</v>
      </c>
      <c r="E317" s="118" t="n">
        <v>99.27492523193359</v>
      </c>
      <c r="F317" s="119" t="n">
        <v>3873100</v>
      </c>
      <c r="G317" s="120" t="n">
        <v>0.00641694917325486</v>
      </c>
      <c r="H317" s="121" t="n">
        <v>63.49318105830668</v>
      </c>
      <c r="I317" s="118" t="n">
        <v>88.58486633300781</v>
      </c>
      <c r="J317" s="118" t="n">
        <v>104.9078426742554</v>
      </c>
      <c r="K317" s="120" t="n">
        <v>0.5040949409393076</v>
      </c>
      <c r="L317" s="120" t="n">
        <v>-0.05098748722400959</v>
      </c>
      <c r="M317" s="120" t="n">
        <v>-0.3741838689400071</v>
      </c>
      <c r="N317" t="n">
        <v>64.27629051315151</v>
      </c>
      <c r="O317" t="n">
        <v>0.8438821461006603</v>
      </c>
      <c r="P317" t="n">
        <v>91.29183150510846</v>
      </c>
      <c r="Q317" t="n">
        <v>77.62714916075683</v>
      </c>
    </row>
    <row r="318">
      <c r="A318" s="117" t="n">
        <v>44890</v>
      </c>
      <c r="B318" s="118" t="n">
        <v>99.08872748646041</v>
      </c>
      <c r="C318" s="118" t="n">
        <v>99.76824938193369</v>
      </c>
      <c r="D318" s="118" t="n">
        <v>98.26027366295425</v>
      </c>
      <c r="E318" s="118" t="n">
        <v>98.63261413574219</v>
      </c>
      <c r="F318" s="119" t="n">
        <v>3426100</v>
      </c>
      <c r="G318" s="120" t="n">
        <v>-0.006470023469579922</v>
      </c>
      <c r="H318" s="121" t="n">
        <v>63.08237868670115</v>
      </c>
      <c r="I318" s="118" t="n">
        <v>88.59343002319336</v>
      </c>
      <c r="J318" s="118" t="n">
        <v>104.7254455947876</v>
      </c>
      <c r="K318" s="120" t="n">
        <v>0.4964573240425452</v>
      </c>
      <c r="L318" s="120" t="n">
        <v>-0.0571276204545953</v>
      </c>
      <c r="M318" s="120" t="n">
        <v>-0.3766670501432058</v>
      </c>
      <c r="N318" t="n">
        <v>62.62505157423265</v>
      </c>
      <c r="O318" t="n">
        <v>0.6627911414483538</v>
      </c>
      <c r="P318" t="n">
        <v>91.27139990296973</v>
      </c>
      <c r="Q318" t="n">
        <v>77.11647768149928</v>
      </c>
    </row>
    <row r="319">
      <c r="A319" s="117" t="n">
        <v>44893</v>
      </c>
      <c r="B319" s="118" t="n">
        <v>97.9717289352277</v>
      </c>
      <c r="C319" s="118" t="n">
        <v>98.94912194584983</v>
      </c>
      <c r="D319" s="118" t="n">
        <v>97.41322168707434</v>
      </c>
      <c r="E319" s="118" t="n">
        <v>97.7017822265625</v>
      </c>
      <c r="F319" s="119" t="n">
        <v>6967400</v>
      </c>
      <c r="G319" s="120" t="n">
        <v>-0.009437364276877358</v>
      </c>
      <c r="H319" s="121" t="n">
        <v>62.48704729958282</v>
      </c>
      <c r="I319" s="118" t="n">
        <v>88.60906845092774</v>
      </c>
      <c r="J319" s="118" t="n">
        <v>104.5450456619263</v>
      </c>
      <c r="K319" s="120" t="n">
        <v>0.4887578231606047</v>
      </c>
      <c r="L319" s="120" t="n">
        <v>-0.06602585056697152</v>
      </c>
      <c r="M319" s="120" t="n">
        <v>-0.382549670256785</v>
      </c>
      <c r="N319" t="n">
        <v>60.21100569875997</v>
      </c>
      <c r="O319" t="n">
        <v>0.4311167927195596</v>
      </c>
      <c r="P319" t="n">
        <v>89.81499544307611</v>
      </c>
      <c r="Q319" t="n">
        <v>75.98492425505364</v>
      </c>
    </row>
    <row r="320">
      <c r="A320" s="117" t="n">
        <v>44894</v>
      </c>
      <c r="B320" s="118" t="n">
        <v>98.0834443075692</v>
      </c>
      <c r="C320" s="118" t="n">
        <v>99.43317090158953</v>
      </c>
      <c r="D320" s="118" t="n">
        <v>97.85073233606185</v>
      </c>
      <c r="E320" s="118" t="n">
        <v>98.902587890625</v>
      </c>
      <c r="F320" s="119" t="n">
        <v>8494400</v>
      </c>
      <c r="G320" s="120" t="n">
        <v>0.01229051954526206</v>
      </c>
      <c r="H320" s="121" t="n">
        <v>63.25504557574406</v>
      </c>
      <c r="I320" s="118" t="n">
        <v>88.59119674682617</v>
      </c>
      <c r="J320" s="118" t="n">
        <v>104.392081413269</v>
      </c>
      <c r="K320" s="120" t="n">
        <v>0.4843046964275129</v>
      </c>
      <c r="L320" s="120" t="n">
        <v>-0.05454682302859526</v>
      </c>
      <c r="M320" s="120" t="n">
        <v>-0.3749608849108474</v>
      </c>
      <c r="N320" t="n">
        <v>62.23351327387878</v>
      </c>
      <c r="O320" t="n">
        <v>0.3149360637235952</v>
      </c>
      <c r="P320" t="n">
        <v>89.66070738876255</v>
      </c>
      <c r="Q320" t="n">
        <v>75.40975079060655</v>
      </c>
    </row>
    <row r="321">
      <c r="A321" s="117" t="n">
        <v>44895</v>
      </c>
      <c r="B321" s="118" t="n">
        <v>99.67516249414508</v>
      </c>
      <c r="C321" s="118" t="n">
        <v>102.1046752929688</v>
      </c>
      <c r="D321" s="118" t="n">
        <v>98.15787636431362</v>
      </c>
      <c r="E321" s="118" t="n">
        <v>102.1046752929688</v>
      </c>
      <c r="F321" s="119" t="n">
        <v>16251000</v>
      </c>
      <c r="G321" s="120" t="n">
        <v>0.03237617407832527</v>
      </c>
      <c r="H321" s="121" t="n">
        <v>65.30300194263675</v>
      </c>
      <c r="I321" s="118" t="n">
        <v>88.72654174804687</v>
      </c>
      <c r="J321" s="118" t="n">
        <v>104.2486149978638</v>
      </c>
      <c r="K321" s="120" t="n">
        <v>0.4922938008721272</v>
      </c>
      <c r="L321" s="120" t="n">
        <v>-0.02393666638806335</v>
      </c>
      <c r="M321" s="120" t="n">
        <v>-0.3547245097149586</v>
      </c>
      <c r="N321" t="n">
        <v>67.04417210925766</v>
      </c>
      <c r="O321" t="n">
        <v>0.4042342060702837</v>
      </c>
      <c r="P321" t="n">
        <v>92.48509816842927</v>
      </c>
      <c r="Q321" t="n">
        <v>78.84738442688163</v>
      </c>
    </row>
    <row r="322">
      <c r="A322" s="117" t="n">
        <v>44896</v>
      </c>
      <c r="B322" s="118" t="n">
        <v>102.4770296912111</v>
      </c>
      <c r="C322" s="118" t="n">
        <v>104.1246342548977</v>
      </c>
      <c r="D322" s="118" t="n">
        <v>101.9743781346951</v>
      </c>
      <c r="E322" s="118" t="n">
        <v>103.4264984130859</v>
      </c>
      <c r="F322" s="119" t="n">
        <v>7822900</v>
      </c>
      <c r="G322" s="120" t="n">
        <v>0.01294576488612775</v>
      </c>
      <c r="H322" s="121" t="n">
        <v>66.14839925214447</v>
      </c>
      <c r="I322" s="118" t="n">
        <v>88.93728607177735</v>
      </c>
      <c r="J322" s="118" t="n">
        <v>104.0933282089233</v>
      </c>
      <c r="K322" s="120" t="n">
        <v>0.4623196125450105</v>
      </c>
      <c r="L322" s="120" t="n">
        <v>-0.01130077995715317</v>
      </c>
      <c r="M322" s="120" t="n">
        <v>-0.3463709249309477</v>
      </c>
      <c r="N322" t="n">
        <v>68.81034567078362</v>
      </c>
      <c r="O322" t="n">
        <v>0.4967259626319889</v>
      </c>
      <c r="P322" t="n">
        <v>92.41702434699231</v>
      </c>
      <c r="Q322" t="n">
        <v>78.94413740466595</v>
      </c>
    </row>
    <row r="323">
      <c r="A323" s="117" t="n">
        <v>44897</v>
      </c>
      <c r="B323" s="118" t="n">
        <v>101.4470400703929</v>
      </c>
      <c r="C323" s="118" t="n">
        <v>105.2378797319483</v>
      </c>
      <c r="D323" s="118" t="n">
        <v>101.1575867037458</v>
      </c>
      <c r="E323" s="118" t="n">
        <v>104.7616882324219</v>
      </c>
      <c r="F323" s="119" t="n">
        <v>5892000</v>
      </c>
      <c r="G323" s="120" t="n">
        <v>0.01290955257910009</v>
      </c>
      <c r="H323" s="121" t="n">
        <v>67.00234549031335</v>
      </c>
      <c r="I323" s="118" t="n">
        <v>89.19781875610352</v>
      </c>
      <c r="J323" s="118" t="n">
        <v>103.9405141067505</v>
      </c>
      <c r="K323" s="120" t="n">
        <v>0.4609291567296703</v>
      </c>
      <c r="L323" s="120" t="n">
        <v>0</v>
      </c>
      <c r="M323" s="120" t="n">
        <v>-0.3379328660191152</v>
      </c>
      <c r="N323" t="n">
        <v>70.52848345744124</v>
      </c>
      <c r="O323" t="n">
        <v>0.5860917365696796</v>
      </c>
      <c r="P323" t="n">
        <v>92.31040033284074</v>
      </c>
      <c r="Q323" t="n">
        <v>78.629673446954</v>
      </c>
    </row>
    <row r="324">
      <c r="A324" s="117" t="n">
        <v>44900</v>
      </c>
      <c r="B324" s="118" t="n">
        <v>103.6599186354392</v>
      </c>
      <c r="C324" s="118" t="n">
        <v>103.7626267480646</v>
      </c>
      <c r="D324" s="118" t="n">
        <v>101.9512440202047</v>
      </c>
      <c r="E324" s="118" t="n">
        <v>102.3527374267578</v>
      </c>
      <c r="F324" s="119" t="n">
        <v>6220100</v>
      </c>
      <c r="G324" s="120" t="n">
        <v>-0.0229945779445595</v>
      </c>
      <c r="H324" s="121" t="n">
        <v>65.46165483446804</v>
      </c>
      <c r="I324" s="118" t="n">
        <v>89.43865661621093</v>
      </c>
      <c r="J324" s="118" t="n">
        <v>103.7926990127563</v>
      </c>
      <c r="K324" s="120" t="n">
        <v>0.4390720834251406</v>
      </c>
      <c r="L324" s="120" t="n">
        <v>-0.02299457794455939</v>
      </c>
      <c r="M324" s="120" t="n">
        <v>-0.3531568203359698</v>
      </c>
      <c r="N324" t="n">
        <v>63.70947745075664</v>
      </c>
      <c r="O324" t="n">
        <v>0.4285353743050972</v>
      </c>
      <c r="P324" t="n">
        <v>90.64981077674258</v>
      </c>
      <c r="Q324" t="n">
        <v>77.31000041698081</v>
      </c>
    </row>
    <row r="325">
      <c r="A325" s="117" t="n">
        <v>44901</v>
      </c>
      <c r="B325" s="118" t="n">
        <v>102.3807462516936</v>
      </c>
      <c r="C325" s="118" t="n">
        <v>103.2024040195971</v>
      </c>
      <c r="D325" s="118" t="n">
        <v>99.67300054974336</v>
      </c>
      <c r="E325" s="118" t="n">
        <v>100.774772644043</v>
      </c>
      <c r="F325" s="119" t="n">
        <v>7086100</v>
      </c>
      <c r="G325" s="120" t="n">
        <v>-0.01541692799221916</v>
      </c>
      <c r="H325" s="121" t="n">
        <v>64.45243721563352</v>
      </c>
      <c r="I325" s="118" t="n">
        <v>89.66580734252929</v>
      </c>
      <c r="J325" s="118" t="n">
        <v>103.6363013458252</v>
      </c>
      <c r="K325" s="120" t="n">
        <v>0.4314399661756356</v>
      </c>
      <c r="L325" s="120" t="n">
        <v>-0.03805700018439606</v>
      </c>
      <c r="M325" s="120" t="n">
        <v>-0.3631291550591083</v>
      </c>
      <c r="N325" t="n">
        <v>59.64167005237831</v>
      </c>
      <c r="O325" t="n">
        <v>0.1765272334529966</v>
      </c>
      <c r="P325" t="n">
        <v>89.34310471614313</v>
      </c>
      <c r="Q325" t="n">
        <v>75.70809764197755</v>
      </c>
    </row>
    <row r="326">
      <c r="A326" s="117" t="n">
        <v>44902</v>
      </c>
      <c r="B326" s="118" t="n">
        <v>100.2052104428309</v>
      </c>
      <c r="C326" s="118" t="n">
        <v>101.8858821266926</v>
      </c>
      <c r="D326" s="118" t="n">
        <v>99.96244517213913</v>
      </c>
      <c r="E326" s="118" t="n">
        <v>101.1482543945312</v>
      </c>
      <c r="F326" s="119" t="n">
        <v>5751500</v>
      </c>
      <c r="G326" s="120" t="n">
        <v>0.003706103627814539</v>
      </c>
      <c r="H326" s="121" t="n">
        <v>64.69130462701987</v>
      </c>
      <c r="I326" s="118" t="n">
        <v>89.8961459350586</v>
      </c>
      <c r="J326" s="118" t="n">
        <v>103.503757019043</v>
      </c>
      <c r="K326" s="120" t="n">
        <v>0.4313894805926138</v>
      </c>
      <c r="L326" s="120" t="n">
        <v>-0.03449193974302855</v>
      </c>
      <c r="M326" s="120" t="n">
        <v>-0.3568639641349303</v>
      </c>
      <c r="N326" t="n">
        <v>60.28797156500742</v>
      </c>
      <c r="O326" t="n">
        <v>0.002663648325741175</v>
      </c>
      <c r="P326" t="n">
        <v>89.19112967339241</v>
      </c>
      <c r="Q326" t="n">
        <v>75.39902003630668</v>
      </c>
    </row>
    <row r="327">
      <c r="A327" s="117" t="n">
        <v>44903</v>
      </c>
      <c r="B327" s="118" t="n">
        <v>101.4003513114546</v>
      </c>
      <c r="C327" s="118" t="n">
        <v>104.0987579184314</v>
      </c>
      <c r="D327" s="118" t="n">
        <v>101.2696331945743</v>
      </c>
      <c r="E327" s="118" t="n">
        <v>103.9773788452148</v>
      </c>
      <c r="F327" s="119" t="n">
        <v>6192800</v>
      </c>
      <c r="G327" s="120" t="n">
        <v>0.02797007687002218</v>
      </c>
      <c r="H327" s="121" t="n">
        <v>66.50072539025965</v>
      </c>
      <c r="I327" s="118" t="n">
        <v>90.13820007324219</v>
      </c>
      <c r="J327" s="118" t="n">
        <v>103.3916400909424</v>
      </c>
      <c r="K327" s="120" t="n">
        <v>0.4261702428898044</v>
      </c>
      <c r="L327" s="120" t="n">
        <v>-0.007486605079014996</v>
      </c>
      <c r="M327" s="120" t="n">
        <v>-0.3342218339696609</v>
      </c>
      <c r="N327" t="n">
        <v>64.87644107642699</v>
      </c>
      <c r="O327" t="n">
        <v>0.04360108254754014</v>
      </c>
      <c r="P327" t="n">
        <v>89.88985555315509</v>
      </c>
      <c r="Q327" t="n">
        <v>76.29134224452979</v>
      </c>
    </row>
    <row r="328">
      <c r="A328" s="117" t="n">
        <v>44904</v>
      </c>
      <c r="B328" s="118" t="n">
        <v>102.912959537612</v>
      </c>
      <c r="C328" s="118" t="n">
        <v>103.996053562802</v>
      </c>
      <c r="D328" s="118" t="n">
        <v>102.0166036508193</v>
      </c>
      <c r="E328" s="118" t="n">
        <v>102.1659927368164</v>
      </c>
      <c r="F328" s="119" t="n">
        <v>5677700</v>
      </c>
      <c r="G328" s="120" t="n">
        <v>-0.01742096337218646</v>
      </c>
      <c r="H328" s="121" t="n">
        <v>65.3422186890121</v>
      </c>
      <c r="I328" s="118" t="n">
        <v>90.40676574707031</v>
      </c>
      <c r="J328" s="118" t="n">
        <v>103.2688957595825</v>
      </c>
      <c r="K328" s="120" t="n">
        <v>0.3462723298368224</v>
      </c>
      <c r="L328" s="120" t="n">
        <v>-0.02477714457833802</v>
      </c>
      <c r="M328" s="120" t="n">
        <v>-0.3458203310140768</v>
      </c>
      <c r="N328" t="n">
        <v>60.08919420727514</v>
      </c>
      <c r="O328" t="n">
        <v>-0.07922029212627368</v>
      </c>
      <c r="P328" t="n">
        <v>89.21835483779444</v>
      </c>
      <c r="Q328" t="n">
        <v>75.80485061976185</v>
      </c>
    </row>
    <row r="329">
      <c r="A329" s="117" t="n">
        <v>44907</v>
      </c>
      <c r="B329" s="118" t="n">
        <v>102.800904830532</v>
      </c>
      <c r="C329" s="118" t="n">
        <v>104.7336736277711</v>
      </c>
      <c r="D329" s="118" t="n">
        <v>102.4367605008785</v>
      </c>
      <c r="E329" s="118" t="n">
        <v>104.6403045654297</v>
      </c>
      <c r="F329" s="119" t="n">
        <v>6426000</v>
      </c>
      <c r="G329" s="120" t="n">
        <v>0.02421854633162734</v>
      </c>
      <c r="H329" s="121" t="n">
        <v>66.92471223974327</v>
      </c>
      <c r="I329" s="118" t="n">
        <v>90.95213073730469</v>
      </c>
      <c r="J329" s="118" t="n">
        <v>103.1509941482544</v>
      </c>
      <c r="K329" s="120" t="n">
        <v>0.2718200756234149</v>
      </c>
      <c r="L329" s="120" t="n">
        <v>-0.001158664670646403</v>
      </c>
      <c r="M329" s="120" t="n">
        <v>-0.3288656660094006</v>
      </c>
      <c r="N329" t="n">
        <v>63.99726467192195</v>
      </c>
      <c r="O329" t="n">
        <v>-0.02456022702881011</v>
      </c>
      <c r="P329" t="n">
        <v>90.50462929625513</v>
      </c>
      <c r="Q329" t="n">
        <v>76.7563136310028</v>
      </c>
    </row>
    <row r="330">
      <c r="A330" s="117" t="n">
        <v>44908</v>
      </c>
      <c r="B330" s="118" t="n">
        <v>107.9456343312272</v>
      </c>
      <c r="C330" s="118" t="n">
        <v>108.7299431025342</v>
      </c>
      <c r="D330" s="118" t="n">
        <v>103.8746800099382</v>
      </c>
      <c r="E330" s="118" t="n">
        <v>105.3686065673828</v>
      </c>
      <c r="F330" s="119" t="n">
        <v>8655300</v>
      </c>
      <c r="G330" s="120" t="n">
        <v>0.006960052390689864</v>
      </c>
      <c r="H330" s="121" t="n">
        <v>67.39051174316373</v>
      </c>
      <c r="I330" s="118" t="n">
        <v>91.46961486816406</v>
      </c>
      <c r="J330" s="118" t="n">
        <v>103.0471266174316</v>
      </c>
      <c r="K330" s="120" t="n">
        <v>0.2625271428436853</v>
      </c>
      <c r="L330" s="120" t="n">
        <v>0</v>
      </c>
      <c r="M330" s="120" t="n">
        <v>-0.3241945358836353</v>
      </c>
      <c r="N330" t="n">
        <v>65.0811263755856</v>
      </c>
      <c r="O330" t="n">
        <v>0.02710610478184527</v>
      </c>
      <c r="P330" t="n">
        <v>91.18973168338491</v>
      </c>
      <c r="Q330" t="n">
        <v>77.58146584788518</v>
      </c>
    </row>
    <row r="331">
      <c r="A331" s="117" t="n">
        <v>44909</v>
      </c>
      <c r="B331" s="118" t="n">
        <v>106.1622372531221</v>
      </c>
      <c r="C331" s="118" t="n">
        <v>106.5543986991012</v>
      </c>
      <c r="D331" s="118" t="n">
        <v>102.922287448418</v>
      </c>
      <c r="E331" s="118" t="n">
        <v>104.0614013671875</v>
      </c>
      <c r="F331" s="119" t="n">
        <v>7528500</v>
      </c>
      <c r="G331" s="120" t="n">
        <v>-0.01240602151608938</v>
      </c>
      <c r="H331" s="121" t="n">
        <v>66.55446360449776</v>
      </c>
      <c r="I331" s="118" t="n">
        <v>91.90063613891601</v>
      </c>
      <c r="J331" s="118" t="n">
        <v>102.9567227554321</v>
      </c>
      <c r="K331" s="120" t="n">
        <v>0.2597342595272715</v>
      </c>
      <c r="L331" s="120" t="n">
        <v>-0.01240602151608949</v>
      </c>
      <c r="M331" s="120" t="n">
        <v>-0.3325785930121538</v>
      </c>
      <c r="N331" t="n">
        <v>61.50225289977583</v>
      </c>
      <c r="O331" t="n">
        <v>-0.05577550654244767</v>
      </c>
      <c r="P331" t="n">
        <v>90.60671457073614</v>
      </c>
      <c r="Q331" t="n">
        <v>77.00627560352518</v>
      </c>
    </row>
    <row r="332">
      <c r="A332" s="117" t="n">
        <v>44910</v>
      </c>
      <c r="B332" s="118" t="n">
        <v>101.9512419538381</v>
      </c>
      <c r="C332" s="118" t="n">
        <v>102.3527353522537</v>
      </c>
      <c r="D332" s="118" t="n">
        <v>100.5880336326978</v>
      </c>
      <c r="E332" s="118" t="n">
        <v>101.3163223266602</v>
      </c>
      <c r="F332" s="119" t="n">
        <v>7500700</v>
      </c>
      <c r="G332" s="120" t="n">
        <v>-0.02637941642589603</v>
      </c>
      <c r="H332" s="121" t="n">
        <v>64.79879569407258</v>
      </c>
      <c r="I332" s="118" t="n">
        <v>92.23095825195313</v>
      </c>
      <c r="J332" s="118" t="n">
        <v>102.8366123962402</v>
      </c>
      <c r="K332" s="120" t="n">
        <v>0.2735892853500932</v>
      </c>
      <c r="L332" s="120" t="n">
        <v>-0.03845817433422383</v>
      </c>
      <c r="M332" s="120" t="n">
        <v>-0.3501847802386435</v>
      </c>
      <c r="N332" t="n">
        <v>54.69969900659567</v>
      </c>
      <c r="O332" t="n">
        <v>-0.3102789966688095</v>
      </c>
      <c r="P332" t="n">
        <v>88.39033306639126</v>
      </c>
      <c r="Q332" t="n">
        <v>74.42066721464265</v>
      </c>
    </row>
    <row r="333">
      <c r="A333" s="117" t="n">
        <v>44911</v>
      </c>
      <c r="B333" s="118" t="n">
        <v>99.78502386991444</v>
      </c>
      <c r="C333" s="118" t="n">
        <v>100.4759633534197</v>
      </c>
      <c r="D333" s="118" t="n">
        <v>98.15104064464559</v>
      </c>
      <c r="E333" s="118" t="n">
        <v>98.92601013183594</v>
      </c>
      <c r="F333" s="119" t="n">
        <v>14083600</v>
      </c>
      <c r="G333" s="120" t="n">
        <v>-0.02359256771201645</v>
      </c>
      <c r="H333" s="121" t="n">
        <v>63.27002571900304</v>
      </c>
      <c r="I333" s="118" t="n">
        <v>92.53078750610352</v>
      </c>
      <c r="J333" s="118" t="n">
        <v>102.7124485397339</v>
      </c>
      <c r="K333" s="120" t="n">
        <v>0.2881141165524844</v>
      </c>
      <c r="L333" s="120" t="n">
        <v>-0.06114341496417963</v>
      </c>
      <c r="M333" s="120" t="n">
        <v>-0.3655155898111623</v>
      </c>
      <c r="N333" t="n">
        <v>49.55936696355889</v>
      </c>
      <c r="O333" t="n">
        <v>-0.635662682171366</v>
      </c>
      <c r="P333" t="n">
        <v>87.3467720759859</v>
      </c>
      <c r="Q333" t="n">
        <v>73.71111181773186</v>
      </c>
    </row>
    <row r="334">
      <c r="A334" s="117" t="n">
        <v>44914</v>
      </c>
      <c r="B334" s="118" t="n">
        <v>98.02967488777114</v>
      </c>
      <c r="C334" s="118" t="n">
        <v>98.51520542217254</v>
      </c>
      <c r="D334" s="118" t="n">
        <v>95.65806360069527</v>
      </c>
      <c r="E334" s="118" t="n">
        <v>96.21829223632812</v>
      </c>
      <c r="F334" s="119" t="n">
        <v>10620300</v>
      </c>
      <c r="G334" s="120" t="n">
        <v>-0.02737114224963999</v>
      </c>
      <c r="H334" s="121" t="n">
        <v>61.53825284490983</v>
      </c>
      <c r="I334" s="118" t="n">
        <v>92.83249938964843</v>
      </c>
      <c r="J334" s="118" t="n">
        <v>102.5862501144409</v>
      </c>
      <c r="K334" s="120" t="n">
        <v>0.3047302429770015</v>
      </c>
      <c r="L334" s="120" t="n">
        <v>-0.08684099210520635</v>
      </c>
      <c r="M334" s="120" t="n">
        <v>-0.3828821528576198</v>
      </c>
      <c r="N334" t="n">
        <v>44.46218108275396</v>
      </c>
      <c r="O334" t="n">
        <v>-1.007222836959074</v>
      </c>
      <c r="P334" t="n">
        <v>86.60609194875572</v>
      </c>
      <c r="Q334" t="n">
        <v>72.67521228477557</v>
      </c>
    </row>
    <row r="335">
      <c r="A335" s="117" t="n">
        <v>44915</v>
      </c>
      <c r="B335" s="118" t="n">
        <v>96.17158339173716</v>
      </c>
      <c r="C335" s="118" t="n">
        <v>96.54506669370691</v>
      </c>
      <c r="D335" s="118" t="n">
        <v>94.93909348175798</v>
      </c>
      <c r="E335" s="118" t="n">
        <v>96.36766052246094</v>
      </c>
      <c r="F335" s="119" t="n">
        <v>17147900</v>
      </c>
      <c r="G335" s="120" t="n">
        <v>0.001552389703258772</v>
      </c>
      <c r="H335" s="121" t="n">
        <v>61.6337841949828</v>
      </c>
      <c r="I335" s="118" t="n">
        <v>93.14594879150391</v>
      </c>
      <c r="J335" s="118" t="n">
        <v>102.4920010757446</v>
      </c>
      <c r="K335" s="120" t="n">
        <v>0.3000807648175195</v>
      </c>
      <c r="L335" s="120" t="n">
        <v>-0.08542341346391247</v>
      </c>
      <c r="M335" s="120" t="n">
        <v>-0.3819241454660188</v>
      </c>
      <c r="N335" t="n">
        <v>44.79945885629495</v>
      </c>
      <c r="O335" t="n">
        <v>-1.203619480796148</v>
      </c>
      <c r="P335" t="n">
        <v>86.72461560729992</v>
      </c>
      <c r="Q335" t="n">
        <v>72.61863880843151</v>
      </c>
    </row>
    <row r="336">
      <c r="A336" s="117" t="n">
        <v>44916</v>
      </c>
      <c r="B336" s="118" t="n">
        <v>109.0193811234634</v>
      </c>
      <c r="C336" s="118" t="n">
        <v>111.278945168268</v>
      </c>
      <c r="D336" s="118" t="n">
        <v>107.6935148122748</v>
      </c>
      <c r="E336" s="118" t="n">
        <v>108.1043472290039</v>
      </c>
      <c r="F336" s="119" t="n">
        <v>32777300</v>
      </c>
      <c r="G336" s="120" t="n">
        <v>0.1217907194479151</v>
      </c>
      <c r="H336" s="121" t="n">
        <v>69.14020711438729</v>
      </c>
      <c r="I336" s="118" t="n">
        <v>93.66993011474609</v>
      </c>
      <c r="J336" s="118" t="n">
        <v>102.4713885498047</v>
      </c>
      <c r="K336" s="120" t="n">
        <v>0.5237313284996103</v>
      </c>
      <c r="L336" s="120" t="n">
        <v>0</v>
      </c>
      <c r="M336" s="120" t="n">
        <v>-0.3066482424689404</v>
      </c>
      <c r="N336" t="n">
        <v>63.53729917580439</v>
      </c>
      <c r="O336" t="n">
        <v>-0.5377127090845977</v>
      </c>
      <c r="P336" t="n">
        <v>88.02137135400625</v>
      </c>
      <c r="Q336" t="n">
        <v>73.67205657045594</v>
      </c>
    </row>
    <row r="337">
      <c r="A337" s="117" t="n">
        <v>44917</v>
      </c>
      <c r="B337" s="118" t="n">
        <v>106.7131153814519</v>
      </c>
      <c r="C337" s="118" t="n">
        <v>109.0753872292716</v>
      </c>
      <c r="D337" s="118" t="n">
        <v>106.4983601572856</v>
      </c>
      <c r="E337" s="118" t="n">
        <v>108.9726791381836</v>
      </c>
      <c r="F337" s="119" t="n">
        <v>17147600</v>
      </c>
      <c r="G337" s="120" t="n">
        <v>0.008032349590347598</v>
      </c>
      <c r="H337" s="121" t="n">
        <v>69.69556542867909</v>
      </c>
      <c r="I337" s="118" t="n">
        <v>94.20159698486329</v>
      </c>
      <c r="J337" s="118" t="n">
        <v>102.4285447692871</v>
      </c>
      <c r="K337" s="120" t="n">
        <v>0.5238173068749362</v>
      </c>
      <c r="L337" s="120" t="n">
        <v>0</v>
      </c>
      <c r="M337" s="120" t="n">
        <v>-0.301078998763369</v>
      </c>
      <c r="N337" t="n">
        <v>64.4974956777852</v>
      </c>
      <c r="O337" t="n">
        <v>-0.0586062521094135</v>
      </c>
      <c r="P337" t="n">
        <v>86.76563883124527</v>
      </c>
      <c r="Q337" t="n">
        <v>71.86965061620452</v>
      </c>
    </row>
    <row r="338">
      <c r="A338" s="117" t="n">
        <v>44918</v>
      </c>
      <c r="B338" s="118" t="n">
        <v>108.4124566514836</v>
      </c>
      <c r="C338" s="118" t="n">
        <v>109.4021813846474</v>
      </c>
      <c r="D338" s="118" t="n">
        <v>108.1043323812566</v>
      </c>
      <c r="E338" s="118" t="n">
        <v>108.5431747436523</v>
      </c>
      <c r="F338" s="119" t="n">
        <v>6603700</v>
      </c>
      <c r="G338" s="120" t="n">
        <v>-0.003941395200411812</v>
      </c>
      <c r="H338" s="121" t="n">
        <v>69.42086766160851</v>
      </c>
      <c r="I338" s="118" t="n">
        <v>94.70512634277344</v>
      </c>
      <c r="J338" s="118" t="n">
        <v>102.387812461853</v>
      </c>
      <c r="K338" s="120" t="n">
        <v>0.5231489622725934</v>
      </c>
      <c r="L338" s="120" t="n">
        <v>-0.003941395200411701</v>
      </c>
      <c r="M338" s="120" t="n">
        <v>-0.30383372264311</v>
      </c>
      <c r="N338" t="n">
        <v>63.60527769364629</v>
      </c>
      <c r="O338" t="n">
        <v>0.1956105289347874</v>
      </c>
      <c r="P338" t="n">
        <v>87.26472562809521</v>
      </c>
      <c r="Q338" t="n">
        <v>72.03129151717509</v>
      </c>
    </row>
    <row r="339">
      <c r="A339" s="117" t="n">
        <v>44922</v>
      </c>
      <c r="B339" s="118" t="n">
        <v>108.7486072748066</v>
      </c>
      <c r="C339" s="118" t="n">
        <v>110.3639127095918</v>
      </c>
      <c r="D339" s="118" t="n">
        <v>108.1416976849983</v>
      </c>
      <c r="E339" s="118" t="n">
        <v>109.7663421630859</v>
      </c>
      <c r="F339" s="119" t="n">
        <v>6661100</v>
      </c>
      <c r="G339" s="120" t="n">
        <v>0.01126894825328595</v>
      </c>
      <c r="H339" s="121" t="n">
        <v>70.20316782698539</v>
      </c>
      <c r="I339" s="118" t="n">
        <v>95.2705387878418</v>
      </c>
      <c r="J339" s="118" t="n">
        <v>102.3689361190796</v>
      </c>
      <c r="K339" s="120" t="n">
        <v>0.5205748198148797</v>
      </c>
      <c r="L339" s="120" t="n">
        <v>0</v>
      </c>
      <c r="M339" s="120" t="n">
        <v>-0.2959886608878924</v>
      </c>
      <c r="N339" t="n">
        <v>65.08651387740341</v>
      </c>
      <c r="O339" t="n">
        <v>0.4005681724679517</v>
      </c>
      <c r="P339" t="n">
        <v>86.92061060595793</v>
      </c>
      <c r="Q339" t="n">
        <v>71.01290182333048</v>
      </c>
    </row>
    <row r="340">
      <c r="A340" s="117" t="n">
        <v>44923</v>
      </c>
      <c r="B340" s="118" t="n">
        <v>109.7850148441267</v>
      </c>
      <c r="C340" s="118" t="n">
        <v>110.4012563232923</v>
      </c>
      <c r="D340" s="118" t="n">
        <v>107.3387056423421</v>
      </c>
      <c r="E340" s="118" t="n">
        <v>107.3573837280273</v>
      </c>
      <c r="F340" s="119" t="n">
        <v>5437800</v>
      </c>
      <c r="G340" s="120" t="n">
        <v>-0.02194623950827723</v>
      </c>
      <c r="H340" s="121" t="n">
        <v>68.66247229161459</v>
      </c>
      <c r="I340" s="118" t="n">
        <v>95.74271911621094</v>
      </c>
      <c r="J340" s="118" t="n">
        <v>102.3614400100708</v>
      </c>
      <c r="K340" s="120" t="n">
        <v>0.5294803923167173</v>
      </c>
      <c r="L340" s="120" t="n">
        <v>-0.02194623950827723</v>
      </c>
      <c r="M340" s="120" t="n">
        <v>-0.3114390623525898</v>
      </c>
      <c r="N340" t="n">
        <v>59.91465078159176</v>
      </c>
      <c r="O340" t="n">
        <v>0.3312001619497398</v>
      </c>
      <c r="P340" t="n">
        <v>85.84036146988231</v>
      </c>
      <c r="Q340" t="n">
        <v>70.07533257997115</v>
      </c>
    </row>
    <row r="341">
      <c r="A341" s="117" t="n">
        <v>44924</v>
      </c>
      <c r="B341" s="118" t="n">
        <v>108.3844722020465</v>
      </c>
      <c r="C341" s="118" t="n">
        <v>110.2425430561612</v>
      </c>
      <c r="D341" s="118" t="n">
        <v>108.123035956073</v>
      </c>
      <c r="E341" s="118" t="n">
        <v>109.5702743530273</v>
      </c>
      <c r="F341" s="119" t="n">
        <v>4588600</v>
      </c>
      <c r="G341" s="120" t="n">
        <v>0.02061237474458211</v>
      </c>
      <c r="H341" s="121" t="n">
        <v>70.07776890137883</v>
      </c>
      <c r="I341" s="118" t="n">
        <v>96.26455627441406</v>
      </c>
      <c r="J341" s="118" t="n">
        <v>102.3565363311768</v>
      </c>
      <c r="K341" s="120" t="n">
        <v>0.5229050376480667</v>
      </c>
      <c r="L341" s="120" t="n">
        <v>-0.001786228876674123</v>
      </c>
      <c r="M341" s="120" t="n">
        <v>-0.2918335184913982</v>
      </c>
      <c r="N341" t="n">
        <v>62.83606430308442</v>
      </c>
      <c r="O341" t="n">
        <v>0.3877272691465818</v>
      </c>
      <c r="P341" t="n">
        <v>87.38551865647469</v>
      </c>
      <c r="Q341" t="n">
        <v>71.78345220363462</v>
      </c>
    </row>
    <row r="342">
      <c r="A342" s="117" t="n">
        <v>44925</v>
      </c>
      <c r="B342" s="118" t="n">
        <v>108.8326437562558</v>
      </c>
      <c r="C342" s="118" t="n">
        <v>109.4769024339274</v>
      </c>
      <c r="D342" s="118" t="n">
        <v>108.0950160108238</v>
      </c>
      <c r="E342" s="118" t="n">
        <v>109.252815246582</v>
      </c>
      <c r="F342" s="119" t="n">
        <v>4355500</v>
      </c>
      <c r="G342" s="120" t="n">
        <v>-0.002897310500679096</v>
      </c>
      <c r="H342" s="121" t="n">
        <v>69.87473184567671</v>
      </c>
      <c r="I342" s="118" t="n">
        <v>96.80070892333984</v>
      </c>
      <c r="J342" s="118" t="n">
        <v>102.3232409667969</v>
      </c>
      <c r="K342" s="120" t="n">
        <v>0.5223439865027143</v>
      </c>
      <c r="L342" s="120" t="n">
        <v>-0.004678364117672196</v>
      </c>
      <c r="M342" s="120" t="n">
        <v>-0.2904111051174793</v>
      </c>
      <c r="N342" t="n">
        <v>62.13643782119942</v>
      </c>
      <c r="O342" t="n">
        <v>0.3578350353895883</v>
      </c>
      <c r="P342" t="n">
        <v>87.15533763786223</v>
      </c>
      <c r="Q342" t="n">
        <v>71.74031943752387</v>
      </c>
    </row>
    <row r="343">
      <c r="A343" s="117" t="n">
        <v>44929</v>
      </c>
      <c r="B343" s="118" t="n">
        <v>110.6907261513791</v>
      </c>
      <c r="C343" s="118" t="n">
        <v>111.5684039720594</v>
      </c>
      <c r="D343" s="118" t="n">
        <v>109.6543130731387</v>
      </c>
      <c r="E343" s="118" t="n">
        <v>110.8774642944336</v>
      </c>
      <c r="F343" s="119" t="n">
        <v>8124800</v>
      </c>
      <c r="G343" s="120" t="n">
        <v>0.0148705463029466</v>
      </c>
      <c r="H343" s="121" t="n">
        <v>70.91380728099382</v>
      </c>
      <c r="I343" s="118" t="n">
        <v>97.40174819946289</v>
      </c>
      <c r="J343" s="118" t="n">
        <v>102.2877914047241</v>
      </c>
      <c r="K343" s="120" t="n">
        <v>0.5228719365022785</v>
      </c>
      <c r="L343" s="120" t="n">
        <v>0</v>
      </c>
      <c r="M343" s="120" t="n">
        <v>-0.2786474563180816</v>
      </c>
      <c r="N343" t="n">
        <v>64.32556418916113</v>
      </c>
      <c r="O343" t="n">
        <v>0.398469060091887</v>
      </c>
      <c r="P343" t="n">
        <v>86.78842708667447</v>
      </c>
      <c r="Q343" t="n">
        <v>71.25537995469924</v>
      </c>
    </row>
    <row r="344">
      <c r="A344" s="117" t="n">
        <v>44930</v>
      </c>
      <c r="B344" s="118" t="n">
        <v>112.0072386897153</v>
      </c>
      <c r="C344" s="118" t="n">
        <v>114.1267527970233</v>
      </c>
      <c r="D344" s="118" t="n">
        <v>111.6057452987011</v>
      </c>
      <c r="E344" s="118" t="n">
        <v>113.1743698120117</v>
      </c>
      <c r="F344" s="119" t="n">
        <v>8550700</v>
      </c>
      <c r="G344" s="120" t="n">
        <v>0.02071571109778203</v>
      </c>
      <c r="H344" s="121" t="n">
        <v>72.38283722547068</v>
      </c>
      <c r="I344" s="118" t="n">
        <v>98.01763488769531</v>
      </c>
      <c r="J344" s="118" t="n">
        <v>102.2460955810547</v>
      </c>
      <c r="K344" s="120" t="n">
        <v>0.5166671571707181</v>
      </c>
      <c r="L344" s="120" t="n">
        <v>0</v>
      </c>
      <c r="M344" s="120" t="n">
        <v>-0.2637041254235168</v>
      </c>
      <c r="N344" t="n">
        <v>67.21182065184124</v>
      </c>
      <c r="O344" t="n">
        <v>0.5231711203506872</v>
      </c>
      <c r="P344" t="n">
        <v>87.45844398329668</v>
      </c>
      <c r="Q344" t="n">
        <v>71.59484598263293</v>
      </c>
    </row>
    <row r="345">
      <c r="A345" s="117" t="n">
        <v>44931</v>
      </c>
      <c r="B345" s="118" t="n">
        <v>112.3060183967104</v>
      </c>
      <c r="C345" s="118" t="n">
        <v>114.2294481112144</v>
      </c>
      <c r="D345" s="118" t="n">
        <v>112.1192802758546</v>
      </c>
      <c r="E345" s="118" t="n">
        <v>112.6234817504883</v>
      </c>
      <c r="F345" s="119" t="n">
        <v>6046700</v>
      </c>
      <c r="G345" s="120" t="n">
        <v>-0.004867604409359516</v>
      </c>
      <c r="H345" s="121" t="n">
        <v>72.03050620783003</v>
      </c>
      <c r="I345" s="118" t="n">
        <v>98.63162658691407</v>
      </c>
      <c r="J345" s="118" t="n">
        <v>102.2065063858032</v>
      </c>
      <c r="K345" s="120" t="n">
        <v>0.512337137007894</v>
      </c>
      <c r="L345" s="120" t="n">
        <v>-0.004867604409359516</v>
      </c>
      <c r="M345" s="120" t="n">
        <v>-0.2485920439795373</v>
      </c>
      <c r="N345" t="n">
        <v>65.83604862356056</v>
      </c>
      <c r="O345" t="n">
        <v>0.5110963625055129</v>
      </c>
      <c r="P345" t="n">
        <v>86.46024856873299</v>
      </c>
      <c r="Q345" t="n">
        <v>70.47406526026943</v>
      </c>
    </row>
    <row r="346">
      <c r="A346" s="117" t="n">
        <v>44932</v>
      </c>
      <c r="B346" s="118" t="n">
        <v>113.9119968661464</v>
      </c>
      <c r="C346" s="118" t="n">
        <v>117.0492458743154</v>
      </c>
      <c r="D346" s="118" t="n">
        <v>113.6972416065216</v>
      </c>
      <c r="E346" s="118" t="n">
        <v>116.2742691040039</v>
      </c>
      <c r="F346" s="119" t="n">
        <v>10080700</v>
      </c>
      <c r="G346" s="120" t="n">
        <v>0.03241586298675947</v>
      </c>
      <c r="H346" s="121" t="n">
        <v>74.36543722792999</v>
      </c>
      <c r="I346" s="118" t="n">
        <v>99.24956512451172</v>
      </c>
      <c r="J346" s="118" t="n">
        <v>102.1717457962036</v>
      </c>
      <c r="K346" s="120" t="n">
        <v>0.520667477248412</v>
      </c>
      <c r="L346" s="120" t="n">
        <v>0</v>
      </c>
      <c r="M346" s="120" t="n">
        <v>-0.218405619983394</v>
      </c>
      <c r="N346" t="n">
        <v>70.1907617780203</v>
      </c>
      <c r="O346" t="n">
        <v>0.6809017407525295</v>
      </c>
      <c r="P346" t="n">
        <v>88.44295771625731</v>
      </c>
      <c r="Q346" t="n">
        <v>72.41925149339123</v>
      </c>
    </row>
    <row r="347">
      <c r="A347" s="117" t="n">
        <v>44935</v>
      </c>
      <c r="B347" s="118" t="n">
        <v>116.7130856920038</v>
      </c>
      <c r="C347" s="118" t="n">
        <v>118.2163508056049</v>
      </c>
      <c r="D347" s="118" t="n">
        <v>116.2929214329532</v>
      </c>
      <c r="E347" s="118" t="n">
        <v>116.5730285644531</v>
      </c>
      <c r="F347" s="119" t="n">
        <v>9397900</v>
      </c>
      <c r="G347" s="120" t="n">
        <v>0.002569437440900879</v>
      </c>
      <c r="H347" s="121" t="n">
        <v>74.5565145666524</v>
      </c>
      <c r="I347" s="118" t="n">
        <v>99.86100524902344</v>
      </c>
      <c r="J347" s="118" t="n">
        <v>102.1388957214355</v>
      </c>
      <c r="K347" s="120" t="n">
        <v>0.5151869803552317</v>
      </c>
      <c r="L347" s="120" t="n">
        <v>0</v>
      </c>
      <c r="M347" s="120" t="n">
        <v>-0.196079465091937</v>
      </c>
      <c r="N347" t="n">
        <v>70.52190109012906</v>
      </c>
      <c r="O347" t="n">
        <v>0.7403340841939645</v>
      </c>
      <c r="P347" t="n">
        <v>88.39282791848579</v>
      </c>
      <c r="Q347" t="n">
        <v>72.88805708996202</v>
      </c>
    </row>
    <row r="348">
      <c r="A348" s="117" t="n">
        <v>44936</v>
      </c>
      <c r="B348" s="118" t="n">
        <v>116.909182150606</v>
      </c>
      <c r="C348" s="118" t="n">
        <v>117.9549341358049</v>
      </c>
      <c r="D348" s="118" t="n">
        <v>116.1248735044088</v>
      </c>
      <c r="E348" s="118" t="n">
        <v>117.4974136352539</v>
      </c>
      <c r="F348" s="119" t="n">
        <v>5899900</v>
      </c>
      <c r="G348" s="120" t="n">
        <v>0.007929665053607815</v>
      </c>
      <c r="H348" s="121" t="n">
        <v>75.14772275473038</v>
      </c>
      <c r="I348" s="118" t="n">
        <v>100.5253742980957</v>
      </c>
      <c r="J348" s="118" t="n">
        <v>102.1149265670776</v>
      </c>
      <c r="K348" s="120" t="n">
        <v>0.5075674828437395</v>
      </c>
      <c r="L348" s="120" t="n">
        <v>0</v>
      </c>
      <c r="M348" s="120" t="n">
        <v>-0.1643650010672908</v>
      </c>
      <c r="N348" t="n">
        <v>71.57408173186354</v>
      </c>
      <c r="O348" t="n">
        <v>0.7657097997948568</v>
      </c>
      <c r="P348" t="n">
        <v>89.01272229095774</v>
      </c>
      <c r="Q348" t="n">
        <v>73.50501253753139</v>
      </c>
    </row>
    <row r="349">
      <c r="A349" s="117" t="n">
        <v>44937</v>
      </c>
      <c r="B349" s="118" t="n">
        <v>117.9456016870343</v>
      </c>
      <c r="C349" s="118" t="n">
        <v>119.7569843336875</v>
      </c>
      <c r="D349" s="118" t="n">
        <v>117.6561554500316</v>
      </c>
      <c r="E349" s="118" t="n">
        <v>119.4582061767578</v>
      </c>
      <c r="F349" s="119" t="n">
        <v>6989200</v>
      </c>
      <c r="G349" s="120" t="n">
        <v>0.01668796342692924</v>
      </c>
      <c r="H349" s="121" t="n">
        <v>76.40178520367834</v>
      </c>
      <c r="I349" s="118" t="n">
        <v>101.1677098083496</v>
      </c>
      <c r="J349" s="118" t="n">
        <v>102.093261680603</v>
      </c>
      <c r="K349" s="120" t="n">
        <v>0.504970268945214</v>
      </c>
      <c r="L349" s="120" t="n">
        <v>0</v>
      </c>
      <c r="M349" s="120" t="n">
        <v>-0.1504199547668396</v>
      </c>
      <c r="N349" t="n">
        <v>73.71710753645927</v>
      </c>
      <c r="O349" t="n">
        <v>0.8328051399311853</v>
      </c>
      <c r="P349" t="n">
        <v>90.13853339064927</v>
      </c>
      <c r="Q349" t="n">
        <v>74.77664467687045</v>
      </c>
    </row>
    <row r="350">
      <c r="A350" s="117" t="n">
        <v>44938</v>
      </c>
      <c r="B350" s="118" t="n">
        <v>119.8410247877002</v>
      </c>
      <c r="C350" s="118" t="n">
        <v>119.9437328924522</v>
      </c>
      <c r="D350" s="118" t="n">
        <v>118.0763160440529</v>
      </c>
      <c r="E350" s="118" t="n">
        <v>119.4115142822266</v>
      </c>
      <c r="F350" s="119" t="n">
        <v>8366400</v>
      </c>
      <c r="G350" s="120" t="n">
        <v>-0.0003908638512633011</v>
      </c>
      <c r="H350" s="121" t="n">
        <v>76.37192250767025</v>
      </c>
      <c r="I350" s="118" t="n">
        <v>101.8305209350586</v>
      </c>
      <c r="J350" s="118" t="n">
        <v>102.0662245559692</v>
      </c>
      <c r="K350" s="120" t="n">
        <v>0.5056709964474491</v>
      </c>
      <c r="L350" s="120" t="n">
        <v>-0.0003908638512631901</v>
      </c>
      <c r="M350" s="120" t="n">
        <v>-0.1507520248952758</v>
      </c>
      <c r="N350" t="n">
        <v>73.57486257561931</v>
      </c>
      <c r="O350" t="n">
        <v>0.7925211856519949</v>
      </c>
      <c r="P350" t="n">
        <v>90.46670463496947</v>
      </c>
      <c r="Q350" t="n">
        <v>75.1807804891227</v>
      </c>
    </row>
    <row r="351">
      <c r="A351" s="117" t="n">
        <v>44939</v>
      </c>
      <c r="B351" s="118" t="n">
        <v>118.2630756688932</v>
      </c>
      <c r="C351" s="118" t="n">
        <v>120.6626900484504</v>
      </c>
      <c r="D351" s="118" t="n">
        <v>118.2630756688932</v>
      </c>
      <c r="E351" s="118" t="n">
        <v>120.3078918457031</v>
      </c>
      <c r="F351" s="119" t="n">
        <v>4856500</v>
      </c>
      <c r="G351" s="120" t="n">
        <v>0.007506625879963202</v>
      </c>
      <c r="H351" s="121" t="n">
        <v>76.94521795766886</v>
      </c>
      <c r="I351" s="118" t="n">
        <v>102.4909671020508</v>
      </c>
      <c r="J351" s="118" t="n">
        <v>102.0236240768433</v>
      </c>
      <c r="K351" s="120" t="n">
        <v>0.5005896468015194</v>
      </c>
      <c r="L351" s="120" t="n">
        <v>0</v>
      </c>
      <c r="M351" s="120" t="n">
        <v>-0.1293910030827152</v>
      </c>
      <c r="N351" t="n">
        <v>74.58861320207217</v>
      </c>
      <c r="O351" t="n">
        <v>0.7454238949003882</v>
      </c>
      <c r="P351" t="n">
        <v>90.8176859555827</v>
      </c>
      <c r="Q351" t="n">
        <v>75.69807164401951</v>
      </c>
    </row>
    <row r="352">
      <c r="A352" s="117" t="n">
        <v>44943</v>
      </c>
      <c r="B352" s="118" t="n">
        <v>119.5142327445232</v>
      </c>
      <c r="C352" s="118" t="n">
        <v>120.4946257844469</v>
      </c>
      <c r="D352" s="118" t="n">
        <v>119.3555046138242</v>
      </c>
      <c r="E352" s="118" t="n">
        <v>119.6449508666992</v>
      </c>
      <c r="F352" s="119" t="n">
        <v>6172200</v>
      </c>
      <c r="G352" s="120" t="n">
        <v>-0.005510369842189111</v>
      </c>
      <c r="H352" s="121" t="n">
        <v>76.52122134913427</v>
      </c>
      <c r="I352" s="118" t="n">
        <v>103.2027551269531</v>
      </c>
      <c r="J352" s="118" t="n">
        <v>101.9804866027832</v>
      </c>
      <c r="K352" s="120" t="n">
        <v>0.4870279208584765</v>
      </c>
      <c r="L352" s="120" t="n">
        <v>-0.005510369842189</v>
      </c>
      <c r="M352" s="120" t="n">
        <v>-0.1290649800339375</v>
      </c>
      <c r="N352" t="n">
        <v>72.37712918393058</v>
      </c>
      <c r="O352" t="n">
        <v>0.5953140162810007</v>
      </c>
      <c r="P352" t="n">
        <v>90.65130186910227</v>
      </c>
      <c r="Q352" t="n">
        <v>75.85161623701559</v>
      </c>
    </row>
    <row r="353">
      <c r="A353" s="117" t="n">
        <v>44944</v>
      </c>
      <c r="B353" s="118" t="n">
        <v>119.3274721636516</v>
      </c>
      <c r="C353" s="118" t="n">
        <v>120.0650926613781</v>
      </c>
      <c r="D353" s="118" t="n">
        <v>117.6468007323205</v>
      </c>
      <c r="E353" s="118" t="n">
        <v>118.0482940673828</v>
      </c>
      <c r="F353" s="119" t="n">
        <v>6828800</v>
      </c>
      <c r="G353" s="120" t="n">
        <v>-0.01334495762462473</v>
      </c>
      <c r="H353" s="121" t="n">
        <v>75.50004889284554</v>
      </c>
      <c r="I353" s="118" t="n">
        <v>103.8807482910156</v>
      </c>
      <c r="J353" s="118" t="n">
        <v>101.9477907562256</v>
      </c>
      <c r="K353" s="120" t="n">
        <v>0.4792929466332855</v>
      </c>
      <c r="L353" s="120" t="n">
        <v>-0.01878179181477369</v>
      </c>
      <c r="M353" s="120" t="n">
        <v>-0.1406875709691863</v>
      </c>
      <c r="N353" t="n">
        <v>67.20870452653737</v>
      </c>
      <c r="O353" t="n">
        <v>0.3275624477689281</v>
      </c>
      <c r="P353" t="n">
        <v>89.22010050689848</v>
      </c>
      <c r="Q353" t="n">
        <v>74.86556143533024</v>
      </c>
    </row>
    <row r="354">
      <c r="A354" s="117" t="n">
        <v>44945</v>
      </c>
      <c r="B354" s="118" t="n">
        <v>116.5170343706226</v>
      </c>
      <c r="C354" s="118" t="n">
        <v>117.1239439753677</v>
      </c>
      <c r="D354" s="118" t="n">
        <v>115.4152623127108</v>
      </c>
      <c r="E354" s="118" t="n">
        <v>116.2742691040039</v>
      </c>
      <c r="F354" s="119" t="n">
        <v>5273500</v>
      </c>
      <c r="G354" s="120" t="n">
        <v>-0.01502795933981294</v>
      </c>
      <c r="H354" s="121" t="n">
        <v>74.36543722792996</v>
      </c>
      <c r="I354" s="118" t="n">
        <v>104.422915802002</v>
      </c>
      <c r="J354" s="118" t="n">
        <v>101.91103931427</v>
      </c>
      <c r="K354" s="120" t="n">
        <v>0.4686573915110466</v>
      </c>
      <c r="L354" s="120" t="n">
        <v>-0.0335274991508655</v>
      </c>
      <c r="M354" s="120" t="n">
        <v>-0.1536012832128572</v>
      </c>
      <c r="N354" t="n">
        <v>61.91807761851478</v>
      </c>
      <c r="O354" t="n">
        <v>-0.01195447615336764</v>
      </c>
      <c r="P354" t="n">
        <v>88.57058067500641</v>
      </c>
      <c r="Q354" t="n">
        <v>74.1300559031188</v>
      </c>
    </row>
    <row r="355">
      <c r="A355" s="117" t="n">
        <v>44946</v>
      </c>
      <c r="B355" s="118" t="n">
        <v>116.4143183600712</v>
      </c>
      <c r="C355" s="118" t="n">
        <v>118.2443789700067</v>
      </c>
      <c r="D355" s="118" t="n">
        <v>115.8167478394229</v>
      </c>
      <c r="E355" s="118" t="n">
        <v>118.2257080078125</v>
      </c>
      <c r="F355" s="119" t="n">
        <v>5673200</v>
      </c>
      <c r="G355" s="120" t="n">
        <v>0.01678306747353608</v>
      </c>
      <c r="H355" s="121" t="n">
        <v>75.61351737862533</v>
      </c>
      <c r="I355" s="118" t="n">
        <v>105.0478616333008</v>
      </c>
      <c r="J355" s="118" t="n">
        <v>101.8802491760254</v>
      </c>
      <c r="K355" s="120" t="n">
        <v>0.4681768306185418</v>
      </c>
      <c r="L355" s="120" t="n">
        <v>-0.01730712595779715</v>
      </c>
      <c r="M355" s="120" t="n">
        <v>-0.1393961164395042</v>
      </c>
      <c r="N355" t="n">
        <v>65.16640522363687</v>
      </c>
      <c r="O355" t="n">
        <v>-0.1408768490333765</v>
      </c>
      <c r="P355" t="n">
        <v>90.22058711216123</v>
      </c>
      <c r="Q355" t="n">
        <v>76.15877254265935</v>
      </c>
    </row>
    <row r="356">
      <c r="A356" s="117" t="n">
        <v>44949</v>
      </c>
      <c r="B356" s="118" t="n">
        <v>118.4871312676377</v>
      </c>
      <c r="C356" s="118" t="n">
        <v>120.2144835876723</v>
      </c>
      <c r="D356" s="118" t="n">
        <v>118.1509969960675</v>
      </c>
      <c r="E356" s="118" t="n">
        <v>119.7849731445312</v>
      </c>
      <c r="F356" s="119" t="n">
        <v>5581600</v>
      </c>
      <c r="G356" s="120" t="n">
        <v>0.01318888389837936</v>
      </c>
      <c r="H356" s="121" t="n">
        <v>76.6107752804801</v>
      </c>
      <c r="I356" s="118" t="n">
        <v>105.6982215881348</v>
      </c>
      <c r="J356" s="118" t="n">
        <v>101.8666994094849</v>
      </c>
      <c r="K356" s="120" t="n">
        <v>0.2183128588265075</v>
      </c>
      <c r="L356" s="120" t="n">
        <v>-0.004346503734289908</v>
      </c>
      <c r="M356" s="120" t="n">
        <v>-0.1280457117367303</v>
      </c>
      <c r="N356" t="n">
        <v>67.5483282715594</v>
      </c>
      <c r="O356" t="n">
        <v>-0.1557508401848633</v>
      </c>
      <c r="P356" t="n">
        <v>91.30309834445086</v>
      </c>
      <c r="Q356" t="n">
        <v>77.85072472024316</v>
      </c>
    </row>
    <row r="357">
      <c r="A357" s="117" t="n">
        <v>44950</v>
      </c>
      <c r="B357" s="118" t="n">
        <v>118.4031358745049</v>
      </c>
      <c r="C357" s="118" t="n">
        <v>119.5235790922888</v>
      </c>
      <c r="D357" s="118" t="n">
        <v>112.4647711483213</v>
      </c>
      <c r="E357" s="118" t="n">
        <v>118.4218139648438</v>
      </c>
      <c r="F357" s="119" t="n">
        <v>5486200</v>
      </c>
      <c r="G357" s="120" t="n">
        <v>-0.01138005163671685</v>
      </c>
      <c r="H357" s="121" t="n">
        <v>75.73894070185932</v>
      </c>
      <c r="I357" s="118" t="n">
        <v>106.3520365905762</v>
      </c>
      <c r="J357" s="118" t="n">
        <v>101.8645738983154</v>
      </c>
      <c r="K357" s="120" t="n">
        <v>0.2257588842247324</v>
      </c>
      <c r="L357" s="120" t="n">
        <v>-0.01567709193407141</v>
      </c>
      <c r="M357" s="120" t="n">
        <v>-0.137968596562023</v>
      </c>
      <c r="N357" t="n">
        <v>63.46269634436585</v>
      </c>
      <c r="O357" t="n">
        <v>-0.2845091008460132</v>
      </c>
      <c r="P357" t="n">
        <v>91.20508629787932</v>
      </c>
      <c r="Q357" t="n">
        <v>77.69175182542378</v>
      </c>
    </row>
    <row r="358">
      <c r="A358" s="117" t="n">
        <v>44951</v>
      </c>
      <c r="B358" s="118" t="n">
        <v>117.5161044386627</v>
      </c>
      <c r="C358" s="118" t="n">
        <v>118.5898665454832</v>
      </c>
      <c r="D358" s="118" t="n">
        <v>116.5543894892541</v>
      </c>
      <c r="E358" s="118" t="n">
        <v>118.4124603271484</v>
      </c>
      <c r="F358" s="119" t="n">
        <v>5933700</v>
      </c>
      <c r="G358" s="120" t="n">
        <v>-7.898576606912844e-05</v>
      </c>
      <c r="H358" s="121" t="n">
        <v>75.73295840360672</v>
      </c>
      <c r="I358" s="118" t="n">
        <v>106.8680850219727</v>
      </c>
      <c r="J358" s="118" t="n">
        <v>101.8576794433594</v>
      </c>
      <c r="K358" s="120" t="n">
        <v>0.2243090465314937</v>
      </c>
      <c r="L358" s="120" t="n">
        <v>-0.01575483943302447</v>
      </c>
      <c r="M358" s="120" t="n">
        <v>-0.1380366847727992</v>
      </c>
      <c r="N358" t="n">
        <v>63.43434408052542</v>
      </c>
      <c r="O358" t="n">
        <v>-0.3908529337996276</v>
      </c>
      <c r="P358" t="n">
        <v>91.23930141231885</v>
      </c>
      <c r="Q358" t="n">
        <v>77.51931305050174</v>
      </c>
    </row>
    <row r="359">
      <c r="A359" s="117" t="n">
        <v>44952</v>
      </c>
      <c r="B359" s="118" t="n">
        <v>119.9437390223188</v>
      </c>
      <c r="C359" s="118" t="n">
        <v>120.4386014849039</v>
      </c>
      <c r="D359" s="118" t="n">
        <v>117.6561577183718</v>
      </c>
      <c r="E359" s="118" t="n">
        <v>119.0753860473633</v>
      </c>
      <c r="F359" s="119" t="n">
        <v>5838800</v>
      </c>
      <c r="G359" s="120" t="n">
        <v>0.005598445622895687</v>
      </c>
      <c r="H359" s="121" t="n">
        <v>76.15694525309034</v>
      </c>
      <c r="I359" s="118" t="n">
        <v>107.2745198059082</v>
      </c>
      <c r="J359" s="118" t="n">
        <v>101.8597938537598</v>
      </c>
      <c r="K359" s="120" t="n">
        <v>0.2229232931728262</v>
      </c>
      <c r="L359" s="120" t="n">
        <v>-0.01024459642199183</v>
      </c>
      <c r="M359" s="120" t="n">
        <v>-0.1332110300235687</v>
      </c>
      <c r="N359" t="n">
        <v>64.64007276468496</v>
      </c>
      <c r="O359" t="n">
        <v>-0.4337789873053053</v>
      </c>
      <c r="P359" t="n">
        <v>92.24204284017435</v>
      </c>
      <c r="Q359" t="n">
        <v>79.03073853514546</v>
      </c>
    </row>
    <row r="360">
      <c r="A360" s="117" t="n">
        <v>44953</v>
      </c>
      <c r="B360" s="118" t="n">
        <v>118.6458826435421</v>
      </c>
      <c r="C360" s="118" t="n">
        <v>120.0557790524267</v>
      </c>
      <c r="D360" s="118" t="n">
        <v>118.3004092623019</v>
      </c>
      <c r="E360" s="118" t="n">
        <v>119.0753860473633</v>
      </c>
      <c r="F360" s="119" t="n">
        <v>5730000</v>
      </c>
      <c r="G360" s="120" t="n">
        <v>0</v>
      </c>
      <c r="H360" s="121" t="n">
        <v>76.15694525309034</v>
      </c>
      <c r="I360" s="118" t="n">
        <v>107.7126036071777</v>
      </c>
      <c r="J360" s="118" t="n">
        <v>101.876583480835</v>
      </c>
      <c r="K360" s="120" t="n">
        <v>0.2013921188059211</v>
      </c>
      <c r="L360" s="120" t="n">
        <v>-0.01024459642199183</v>
      </c>
      <c r="M360" s="120" t="n">
        <v>-0.1332110300235687</v>
      </c>
      <c r="N360" t="n">
        <v>64.64007276468496</v>
      </c>
      <c r="O360" t="n">
        <v>-0.4760234512950685</v>
      </c>
      <c r="P360" t="n">
        <v>92.45398161664941</v>
      </c>
      <c r="Q360" t="n">
        <v>79.81743958161633</v>
      </c>
    </row>
    <row r="361">
      <c r="A361" s="117" t="n">
        <v>44956</v>
      </c>
      <c r="B361" s="118" t="n">
        <v>118.1136657504189</v>
      </c>
      <c r="C361" s="118" t="n">
        <v>119.1033906305138</v>
      </c>
      <c r="D361" s="118" t="n">
        <v>117.8428904839848</v>
      </c>
      <c r="E361" s="118" t="n">
        <v>117.9922866821289</v>
      </c>
      <c r="F361" s="119" t="n">
        <v>6494600</v>
      </c>
      <c r="G361" s="120" t="n">
        <v>-0.009095913111745513</v>
      </c>
      <c r="H361" s="121" t="n">
        <v>75.46422829621227</v>
      </c>
      <c r="I361" s="118" t="n">
        <v>108.0858340454102</v>
      </c>
      <c r="J361" s="118" t="n">
        <v>101.88767993927</v>
      </c>
      <c r="K361" s="120" t="n">
        <v>0.1989672685676867</v>
      </c>
      <c r="L361" s="120" t="n">
        <v>-0.01924732557481812</v>
      </c>
      <c r="M361" s="120" t="n">
        <v>-0.1410952671806938</v>
      </c>
      <c r="N361" t="n">
        <v>60.83879481958409</v>
      </c>
      <c r="O361" t="n">
        <v>-0.5836621010093199</v>
      </c>
      <c r="P361" t="n">
        <v>91.29398449700344</v>
      </c>
      <c r="Q361" t="n">
        <v>78.20365662827952</v>
      </c>
    </row>
    <row r="362">
      <c r="A362" s="117" t="n">
        <v>44957</v>
      </c>
      <c r="B362" s="118" t="n">
        <v>118.0389816664881</v>
      </c>
      <c r="C362" s="118" t="n">
        <v>119.3741800706214</v>
      </c>
      <c r="D362" s="118" t="n">
        <v>117.6561663295958</v>
      </c>
      <c r="E362" s="118" t="n">
        <v>118.8886566162109</v>
      </c>
      <c r="F362" s="119" t="n">
        <v>7686900</v>
      </c>
      <c r="G362" s="120" t="n">
        <v>0.007596851957762718</v>
      </c>
      <c r="H362" s="121" t="n">
        <v>76.03751886668539</v>
      </c>
      <c r="I362" s="118" t="n">
        <v>108.5045452880859</v>
      </c>
      <c r="J362" s="118" t="n">
        <v>101.8919160842895</v>
      </c>
      <c r="K362" s="120" t="n">
        <v>0.1977771529534339</v>
      </c>
      <c r="L362" s="120" t="n">
        <v>-0.01179669270003025</v>
      </c>
      <c r="M362" s="120" t="n">
        <v>-0.1345702950796438</v>
      </c>
      <c r="N362" t="n">
        <v>62.78909595570842</v>
      </c>
      <c r="O362" t="n">
        <v>-0.598990573285286</v>
      </c>
      <c r="P362" t="n">
        <v>92.63630948094691</v>
      </c>
      <c r="Q362" t="n">
        <v>79.37559930507668</v>
      </c>
    </row>
    <row r="363">
      <c r="A363" s="117" t="n">
        <v>44958</v>
      </c>
      <c r="B363" s="118" t="n">
        <v>119.4208382379217</v>
      </c>
      <c r="C363" s="118" t="n">
        <v>121.5870329600662</v>
      </c>
      <c r="D363" s="118" t="n">
        <v>117.8522139823273</v>
      </c>
      <c r="E363" s="118" t="n">
        <v>120.9147644042969</v>
      </c>
      <c r="F363" s="119" t="n">
        <v>6387900</v>
      </c>
      <c r="G363" s="120" t="n">
        <v>0.01704206141908471</v>
      </c>
      <c r="H363" s="121" t="n">
        <v>77.33335493336627</v>
      </c>
      <c r="I363" s="118" t="n">
        <v>108.9613584899902</v>
      </c>
      <c r="J363" s="118" t="n">
        <v>101.8786450576782</v>
      </c>
      <c r="K363" s="120" t="n">
        <v>0.1994583311440685</v>
      </c>
      <c r="L363" s="120" t="n">
        <v>0</v>
      </c>
      <c r="M363" s="120" t="n">
        <v>-0.1198215888944907</v>
      </c>
      <c r="N363" t="n">
        <v>66.81238815625309</v>
      </c>
      <c r="O363" t="n">
        <v>-0.4821948195936514</v>
      </c>
      <c r="P363" t="n">
        <v>93.62082321390756</v>
      </c>
      <c r="Q363" t="n">
        <v>81.07292944474511</v>
      </c>
    </row>
    <row r="364">
      <c r="A364" s="117" t="n">
        <v>44959</v>
      </c>
      <c r="B364" s="118" t="n">
        <v>121.8018089780948</v>
      </c>
      <c r="C364" s="118" t="n">
        <v>122.6047958122351</v>
      </c>
      <c r="D364" s="118" t="n">
        <v>119.383516555084</v>
      </c>
      <c r="E364" s="118" t="n">
        <v>120.5039596557617</v>
      </c>
      <c r="F364" s="119" t="n">
        <v>5214500</v>
      </c>
      <c r="G364" s="120" t="n">
        <v>-0.003397473836706744</v>
      </c>
      <c r="H364" s="121" t="n">
        <v>77.07061688327539</v>
      </c>
      <c r="I364" s="118" t="n">
        <v>109.4088383483887</v>
      </c>
      <c r="J364" s="118" t="n">
        <v>101.8717918777466</v>
      </c>
      <c r="K364" s="120" t="n">
        <v>0.191532149609815</v>
      </c>
      <c r="L364" s="120" t="n">
        <v>-0.003397473836706855</v>
      </c>
      <c r="M364" s="120" t="n">
        <v>-0.1228119720178558</v>
      </c>
      <c r="N364" t="n">
        <v>65.27142574317156</v>
      </c>
      <c r="O364" t="n">
        <v>-0.4431278326247994</v>
      </c>
      <c r="P364" t="n">
        <v>94.98366708344497</v>
      </c>
      <c r="Q364" t="n">
        <v>83.98263346134446</v>
      </c>
    </row>
    <row r="365">
      <c r="A365" s="117" t="n">
        <v>44960</v>
      </c>
      <c r="B365" s="118" t="n">
        <v>118.3844249584098</v>
      </c>
      <c r="C365" s="118" t="n">
        <v>120.840065862581</v>
      </c>
      <c r="D365" s="118" t="n">
        <v>118.0576297238017</v>
      </c>
      <c r="E365" s="118" t="n">
        <v>119.1500625610352</v>
      </c>
      <c r="F365" s="119" t="n">
        <v>4930200</v>
      </c>
      <c r="G365" s="120" t="n">
        <v>-0.01123529134307433</v>
      </c>
      <c r="H365" s="121" t="n">
        <v>76.20470604860132</v>
      </c>
      <c r="I365" s="118" t="n">
        <v>109.8588415527344</v>
      </c>
      <c r="J365" s="118" t="n">
        <v>101.8330774688721</v>
      </c>
      <c r="K365" s="120" t="n">
        <v>0.1963671789765921</v>
      </c>
      <c r="L365" s="120" t="n">
        <v>-0.01459459357139536</v>
      </c>
      <c r="M365" s="120" t="n">
        <v>-0.1195234053704142</v>
      </c>
      <c r="N365" t="n">
        <v>60.33261815425566</v>
      </c>
      <c r="O365" t="n">
        <v>-0.5140036591255606</v>
      </c>
      <c r="P365" t="n">
        <v>93.97406663073478</v>
      </c>
      <c r="Q365" t="n">
        <v>82.4900685988009</v>
      </c>
    </row>
    <row r="366">
      <c r="A366" s="117" t="n">
        <v>44963</v>
      </c>
      <c r="B366" s="118" t="n">
        <v>117.1986300674792</v>
      </c>
      <c r="C366" s="118" t="n">
        <v>117.7401805921302</v>
      </c>
      <c r="D366" s="118" t="n">
        <v>116.0781870928107</v>
      </c>
      <c r="E366" s="118" t="n">
        <v>117.3947143554688</v>
      </c>
      <c r="F366" s="119" t="n">
        <v>4666400</v>
      </c>
      <c r="G366" s="120" t="n">
        <v>-0.01473224745196611</v>
      </c>
      <c r="H366" s="121" t="n">
        <v>75.08203946208899</v>
      </c>
      <c r="I366" s="118" t="n">
        <v>110.2338969421387</v>
      </c>
      <c r="J366" s="118" t="n">
        <v>101.7910493087768</v>
      </c>
      <c r="K366" s="120" t="n">
        <v>0.172179408177232</v>
      </c>
      <c r="L366" s="120" t="n">
        <v>-0.02911182985940686</v>
      </c>
      <c r="M366" s="120" t="n">
        <v>-0.1324948044381616</v>
      </c>
      <c r="N366" t="n">
        <v>54.56765417040501</v>
      </c>
      <c r="O366" t="n">
        <v>-0.6745222369402861</v>
      </c>
      <c r="P366" t="n">
        <v>93.39975604274252</v>
      </c>
      <c r="Q366" t="n">
        <v>81.7922675308769</v>
      </c>
    </row>
    <row r="367">
      <c r="A367" s="117" t="n">
        <v>44964</v>
      </c>
      <c r="B367" s="118" t="n">
        <v>115.7420543736313</v>
      </c>
      <c r="C367" s="118" t="n">
        <v>117.5814541000492</v>
      </c>
      <c r="D367" s="118" t="n">
        <v>115.0791247733796</v>
      </c>
      <c r="E367" s="118" t="n">
        <v>117.0212326049805</v>
      </c>
      <c r="F367" s="119" t="n">
        <v>5288900</v>
      </c>
      <c r="G367" s="120" t="n">
        <v>-0.003181418793331559</v>
      </c>
      <c r="H367" s="121" t="n">
        <v>74.84317205070263</v>
      </c>
      <c r="I367" s="118" t="n">
        <v>110.5888230895996</v>
      </c>
      <c r="J367" s="118" t="n">
        <v>101.7490516662598</v>
      </c>
      <c r="K367" s="120" t="n">
        <v>0.1724881924023467</v>
      </c>
      <c r="L367" s="120" t="n">
        <v>-0.03220063173011545</v>
      </c>
      <c r="M367" s="120" t="n">
        <v>-0.1352547017706348</v>
      </c>
      <c r="N367" t="n">
        <v>53.39851978373272</v>
      </c>
      <c r="O367" t="n">
        <v>-0.7930876440256345</v>
      </c>
      <c r="P367" t="n">
        <v>94.62131709279159</v>
      </c>
      <c r="Q367" t="n">
        <v>83.48692966439415</v>
      </c>
    </row>
    <row r="368">
      <c r="A368" s="117" t="n">
        <v>44965</v>
      </c>
      <c r="B368" s="118" t="n">
        <v>115.2005082939355</v>
      </c>
      <c r="C368" s="118" t="n">
        <v>115.8727769634418</v>
      </c>
      <c r="D368" s="118" t="n">
        <v>113.7252599620777</v>
      </c>
      <c r="E368" s="118" t="n">
        <v>114.7616729736328</v>
      </c>
      <c r="F368" s="119" t="n">
        <v>5877800</v>
      </c>
      <c r="G368" s="120" t="n">
        <v>-0.01930897138107468</v>
      </c>
      <c r="H368" s="121" t="n">
        <v>73.39802738350677</v>
      </c>
      <c r="I368" s="118" t="n">
        <v>110.9114042663574</v>
      </c>
      <c r="J368" s="118" t="n">
        <v>101.7253384017944</v>
      </c>
      <c r="K368" s="120" t="n">
        <v>0.183167343606633</v>
      </c>
      <c r="L368" s="120" t="n">
        <v>-0.05088784203466068</v>
      </c>
      <c r="M368" s="120" t="n">
        <v>-0.1519520439860645</v>
      </c>
      <c r="N368" t="n">
        <v>46.85747480817942</v>
      </c>
      <c r="O368" t="n">
        <v>-0.9976996988750573</v>
      </c>
      <c r="P368" t="n">
        <v>93.58663719395311</v>
      </c>
      <c r="Q368" t="n">
        <v>82.00241077008639</v>
      </c>
    </row>
    <row r="369">
      <c r="A369" s="117" t="n">
        <v>44966</v>
      </c>
      <c r="B369" s="118" t="n">
        <v>116.4423428673118</v>
      </c>
      <c r="C369" s="118" t="n">
        <v>116.7317891207862</v>
      </c>
      <c r="D369" s="118" t="n">
        <v>113.4451508478912</v>
      </c>
      <c r="E369" s="118" t="n">
        <v>114.0800704956055</v>
      </c>
      <c r="F369" s="119" t="n">
        <v>5929000</v>
      </c>
      <c r="G369" s="120" t="n">
        <v>-0.00593928670056898</v>
      </c>
      <c r="H369" s="121" t="n">
        <v>72.96209545561992</v>
      </c>
      <c r="I369" s="118" t="n">
        <v>111.2389700317383</v>
      </c>
      <c r="J369" s="118" t="n">
        <v>101.7034483718872</v>
      </c>
      <c r="K369" s="120" t="n">
        <v>0.1712200660801616</v>
      </c>
      <c r="L369" s="120" t="n">
        <v>-0.05652489125181259</v>
      </c>
      <c r="M369" s="120" t="n">
        <v>-0.1569888439326629</v>
      </c>
      <c r="N369" t="n">
        <v>45.06422076170622</v>
      </c>
      <c r="O369" t="n">
        <v>-1.142542524964919</v>
      </c>
      <c r="P369" t="n">
        <v>92.7753229306</v>
      </c>
      <c r="Q369" t="n">
        <v>81.27767794195708</v>
      </c>
    </row>
    <row r="370">
      <c r="A370" s="117" t="n">
        <v>44967</v>
      </c>
      <c r="B370" s="118" t="n">
        <v>113.4544860829556</v>
      </c>
      <c r="C370" s="118" t="n">
        <v>114.5095700711688</v>
      </c>
      <c r="D370" s="118" t="n">
        <v>112.5487911766932</v>
      </c>
      <c r="E370" s="118" t="n">
        <v>114.1267547607422</v>
      </c>
      <c r="F370" s="119" t="n">
        <v>5195500</v>
      </c>
      <c r="G370" s="120" t="n">
        <v>0.0004092236701283003</v>
      </c>
      <c r="H370" s="121" t="n">
        <v>72.99195327210252</v>
      </c>
      <c r="I370" s="118" t="n">
        <v>111.5434533691406</v>
      </c>
      <c r="J370" s="118" t="n">
        <v>101.7161423110962</v>
      </c>
      <c r="K370" s="120" t="n">
        <v>0.1713585018412964</v>
      </c>
      <c r="L370" s="120" t="n">
        <v>-0.05613879890513584</v>
      </c>
      <c r="M370" s="120" t="n">
        <v>-0.1566438638134178</v>
      </c>
      <c r="N370" t="n">
        <v>45.21885941506985</v>
      </c>
      <c r="O370" t="n">
        <v>-1.193248612040505</v>
      </c>
      <c r="P370" t="n">
        <v>92.9918295412307</v>
      </c>
      <c r="Q370" t="n">
        <v>80.74424451085</v>
      </c>
    </row>
    <row r="371">
      <c r="A371" s="117" t="n">
        <v>44970</v>
      </c>
      <c r="B371" s="118" t="n">
        <v>114.6776231516778</v>
      </c>
      <c r="C371" s="118" t="n">
        <v>117.3853684940517</v>
      </c>
      <c r="D371" s="118" t="n">
        <v>114.3414888540809</v>
      </c>
      <c r="E371" s="118" t="n">
        <v>116.853157043457</v>
      </c>
      <c r="F371" s="119" t="n">
        <v>5689800</v>
      </c>
      <c r="G371" s="120" t="n">
        <v>0.02388924742870802</v>
      </c>
      <c r="H371" s="121" t="n">
        <v>74.73567610412447</v>
      </c>
      <c r="I371" s="118" t="n">
        <v>111.8384230041504</v>
      </c>
      <c r="J371" s="118" t="n">
        <v>101.7391349411011</v>
      </c>
      <c r="K371" s="120" t="n">
        <v>0.1922654664002451</v>
      </c>
      <c r="L371" s="120" t="n">
        <v>-0.03359066513382325</v>
      </c>
      <c r="M371" s="120" t="n">
        <v>-0.1364967204055374</v>
      </c>
      <c r="N371" t="n">
        <v>53.45848341680613</v>
      </c>
      <c r="O371" t="n">
        <v>-1.008560519433183</v>
      </c>
      <c r="P371" t="n">
        <v>94.08346916821031</v>
      </c>
      <c r="Q371" t="n">
        <v>82.03743044830975</v>
      </c>
    </row>
    <row r="372">
      <c r="A372" s="117" t="n">
        <v>44971</v>
      </c>
      <c r="B372" s="118" t="n">
        <v>115.7327210754096</v>
      </c>
      <c r="C372" s="118" t="n">
        <v>117.9829533342622</v>
      </c>
      <c r="D372" s="118" t="n">
        <v>115.5366438985822</v>
      </c>
      <c r="E372" s="118" t="n">
        <v>117.8335571289062</v>
      </c>
      <c r="F372" s="119" t="n">
        <v>4845900</v>
      </c>
      <c r="G372" s="120" t="n">
        <v>0.008390017952913498</v>
      </c>
      <c r="H372" s="121" t="n">
        <v>75.3627097683612</v>
      </c>
      <c r="I372" s="118" t="n">
        <v>112.1265641784668</v>
      </c>
      <c r="J372" s="118" t="n">
        <v>101.740132598877</v>
      </c>
      <c r="K372" s="120" t="n">
        <v>0.1946276536397871</v>
      </c>
      <c r="L372" s="120" t="n">
        <v>-0.02548247346443278</v>
      </c>
      <c r="M372" s="120" t="n">
        <v>-0.1292519123873402</v>
      </c>
      <c r="N372" t="n">
        <v>56.0201809436699</v>
      </c>
      <c r="O372" t="n">
        <v>-0.7951406381561308</v>
      </c>
      <c r="P372" t="n">
        <v>94.04015475356589</v>
      </c>
      <c r="Q372" t="n">
        <v>82.64363836166635</v>
      </c>
    </row>
    <row r="373">
      <c r="A373" s="117" t="n">
        <v>44972</v>
      </c>
      <c r="B373" s="118" t="n">
        <v>116.6197489461101</v>
      </c>
      <c r="C373" s="118" t="n">
        <v>119.0473803761181</v>
      </c>
      <c r="D373" s="118" t="n">
        <v>116.6197489461101</v>
      </c>
      <c r="E373" s="118" t="n">
        <v>119.0287094116211</v>
      </c>
      <c r="F373" s="119" t="n">
        <v>5687900</v>
      </c>
      <c r="G373" s="120" t="n">
        <v>0.01014271580893866</v>
      </c>
      <c r="H373" s="121" t="n">
        <v>76.12709231613321</v>
      </c>
      <c r="I373" s="118" t="n">
        <v>112.4119046020508</v>
      </c>
      <c r="J373" s="118" t="n">
        <v>101.7579851150513</v>
      </c>
      <c r="K373" s="120" t="n">
        <v>0.1922165026144148</v>
      </c>
      <c r="L373" s="120" t="n">
        <v>-0.01559821914195259</v>
      </c>
      <c r="M373" s="120" t="n">
        <v>-0.1204201619935081</v>
      </c>
      <c r="N373" t="n">
        <v>58.98395878780858</v>
      </c>
      <c r="O373" t="n">
        <v>-0.5593827813203607</v>
      </c>
      <c r="P373" t="n">
        <v>94.34554501607816</v>
      </c>
      <c r="Q373" t="n">
        <v>83.2767528653589</v>
      </c>
    </row>
    <row r="374">
      <c r="A374" s="117" t="n">
        <v>44973</v>
      </c>
      <c r="B374" s="118" t="n">
        <v>117.1146170256321</v>
      </c>
      <c r="C374" s="118" t="n">
        <v>118.7766107658557</v>
      </c>
      <c r="D374" s="118" t="n">
        <v>115.8821267254076</v>
      </c>
      <c r="E374" s="118" t="n">
        <v>116.1342239379883</v>
      </c>
      <c r="F374" s="119" t="n">
        <v>4722200</v>
      </c>
      <c r="G374" s="120" t="n">
        <v>-0.02431754059958091</v>
      </c>
      <c r="H374" s="121" t="n">
        <v>74.27586865800761</v>
      </c>
      <c r="I374" s="118" t="n">
        <v>112.6875343322754</v>
      </c>
      <c r="J374" s="118" t="n">
        <v>101.7549765777588</v>
      </c>
      <c r="K374" s="120" t="n">
        <v>0.2045891949533575</v>
      </c>
      <c r="L374" s="120" t="n">
        <v>-0.03953644941426782</v>
      </c>
      <c r="M374" s="120" t="n">
        <v>-0.1418093804148037</v>
      </c>
      <c r="N374" t="n">
        <v>50.16657968789335</v>
      </c>
      <c r="O374" t="n">
        <v>-0.5816989115500932</v>
      </c>
      <c r="P374" t="n">
        <v>93.04652717315783</v>
      </c>
      <c r="Q374" t="n">
        <v>81.71415703632506</v>
      </c>
    </row>
    <row r="375">
      <c r="A375" s="117" t="n">
        <v>44974</v>
      </c>
      <c r="B375" s="118" t="n">
        <v>115.5086291304002</v>
      </c>
      <c r="C375" s="118" t="n">
        <v>116.6104011668808</v>
      </c>
      <c r="D375" s="118" t="n">
        <v>115.2565319487559</v>
      </c>
      <c r="E375" s="118" t="n">
        <v>116.5637130737305</v>
      </c>
      <c r="F375" s="119" t="n">
        <v>5161500</v>
      </c>
      <c r="G375" s="120" t="n">
        <v>0.003698213336075007</v>
      </c>
      <c r="H375" s="121" t="n">
        <v>74.55055666602721</v>
      </c>
      <c r="I375" s="118" t="n">
        <v>113.0033131408691</v>
      </c>
      <c r="J375" s="118" t="n">
        <v>101.7690223312378</v>
      </c>
      <c r="K375" s="120" t="n">
        <v>0.1954359791261717</v>
      </c>
      <c r="L375" s="120" t="n">
        <v>-0.03598445030267783</v>
      </c>
      <c r="M375" s="120" t="n">
        <v>-0.1173047166897515</v>
      </c>
      <c r="N375" t="n">
        <v>51.32920435626344</v>
      </c>
      <c r="O375" t="n">
        <v>-0.5511468650816496</v>
      </c>
      <c r="P375" t="n">
        <v>92.81409133195262</v>
      </c>
      <c r="Q375" t="n">
        <v>81.13760761902013</v>
      </c>
    </row>
    <row r="376">
      <c r="A376" s="117" t="n">
        <v>44978</v>
      </c>
      <c r="B376" s="118" t="n">
        <v>115.1071476533899</v>
      </c>
      <c r="C376" s="118" t="n">
        <v>115.7794163721013</v>
      </c>
      <c r="D376" s="118" t="n">
        <v>112.9596304948437</v>
      </c>
      <c r="E376" s="118" t="n">
        <v>113.0716705322266</v>
      </c>
      <c r="F376" s="119" t="n">
        <v>5110300</v>
      </c>
      <c r="G376" s="120" t="n">
        <v>-0.02995823013372156</v>
      </c>
      <c r="H376" s="121" t="n">
        <v>72.3171539328293</v>
      </c>
      <c r="I376" s="118" t="n">
        <v>113.241781463623</v>
      </c>
      <c r="J376" s="118" t="n">
        <v>101.7507936859131</v>
      </c>
      <c r="K376" s="120" t="n">
        <v>0.2140788252583971</v>
      </c>
      <c r="L376" s="120" t="n">
        <v>-0.06486464999299646</v>
      </c>
      <c r="M376" s="120" t="n">
        <v>-0.1437487051251105</v>
      </c>
      <c r="N376" t="n">
        <v>42.62223387595641</v>
      </c>
      <c r="O376" t="n">
        <v>-0.7380664734840716</v>
      </c>
      <c r="P376" t="n">
        <v>90.95213884470145</v>
      </c>
      <c r="Q376" t="n">
        <v>79.21665997008309</v>
      </c>
    </row>
    <row r="377">
      <c r="A377" s="117" t="n">
        <v>44979</v>
      </c>
      <c r="B377" s="118" t="n">
        <v>113.0716683748337</v>
      </c>
      <c r="C377" s="118" t="n">
        <v>113.3517827101534</v>
      </c>
      <c r="D377" s="118" t="n">
        <v>111.7084599983915</v>
      </c>
      <c r="E377" s="118" t="n">
        <v>111.9512252807617</v>
      </c>
      <c r="F377" s="119" t="n">
        <v>5022000</v>
      </c>
      <c r="G377" s="120" t="n">
        <v>-0.009909159793880518</v>
      </c>
      <c r="H377" s="121" t="n">
        <v>71.60055169867024</v>
      </c>
      <c r="I377" s="118" t="n">
        <v>113.401258392334</v>
      </c>
      <c r="J377" s="118" t="n">
        <v>101.7613594818115</v>
      </c>
      <c r="K377" s="120" t="n">
        <v>0.2133587523852673</v>
      </c>
      <c r="L377" s="120" t="n">
        <v>-0.07413105560512212</v>
      </c>
      <c r="M377" s="120" t="n">
        <v>-0.131002297678124</v>
      </c>
      <c r="N377" t="n">
        <v>40.26231496989772</v>
      </c>
      <c r="O377" t="n">
        <v>-0.898462465935839</v>
      </c>
      <c r="P377" t="n">
        <v>90.82679252940889</v>
      </c>
      <c r="Q377" t="n">
        <v>79.27590984253477</v>
      </c>
    </row>
    <row r="378">
      <c r="A378" s="117" t="n">
        <v>44980</v>
      </c>
      <c r="B378" s="118" t="n">
        <v>112.754199393555</v>
      </c>
      <c r="C378" s="118" t="n">
        <v>112.754199393555</v>
      </c>
      <c r="D378" s="118" t="n">
        <v>110.6907125351407</v>
      </c>
      <c r="E378" s="118" t="n">
        <v>112.0072326660156</v>
      </c>
      <c r="F378" s="119" t="n">
        <v>4101900</v>
      </c>
      <c r="G378" s="120" t="n">
        <v>0.0005002838076442195</v>
      </c>
      <c r="H378" s="121" t="n">
        <v>71.63637229530349</v>
      </c>
      <c r="I378" s="118" t="n">
        <v>113.598083190918</v>
      </c>
      <c r="J378" s="118" t="n">
        <v>101.7913711547852</v>
      </c>
      <c r="K378" s="120" t="n">
        <v>0.2134637142472025</v>
      </c>
      <c r="L378" s="120" t="n">
        <v>-0.07366785836424061</v>
      </c>
      <c r="M378" s="120" t="n">
        <v>-0.1305675521987721</v>
      </c>
      <c r="N378" t="n">
        <v>40.43983856270313</v>
      </c>
      <c r="O378" t="n">
        <v>-0.9566995102237821</v>
      </c>
      <c r="P378" t="n">
        <v>91.30993554844176</v>
      </c>
      <c r="Q378" t="n">
        <v>79.96831616846126</v>
      </c>
    </row>
    <row r="379">
      <c r="A379" s="117" t="n">
        <v>44981</v>
      </c>
      <c r="B379" s="118" t="n">
        <v>110.1491490099672</v>
      </c>
      <c r="C379" s="118" t="n">
        <v>110.8680985233746</v>
      </c>
      <c r="D379" s="118" t="n">
        <v>109.5609104663048</v>
      </c>
      <c r="E379" s="118" t="n">
        <v>110.2145080566406</v>
      </c>
      <c r="F379" s="119" t="n">
        <v>4693000</v>
      </c>
      <c r="G379" s="120" t="n">
        <v>-0.01600543613750882</v>
      </c>
      <c r="H379" s="121" t="n">
        <v>70.4898009134082</v>
      </c>
      <c r="I379" s="118" t="n">
        <v>113.7095672607422</v>
      </c>
      <c r="J379" s="118" t="n">
        <v>101.8276038360596</v>
      </c>
      <c r="K379" s="120" t="n">
        <v>0.2160958412370472</v>
      </c>
      <c r="L379" s="120" t="n">
        <v>-0.08849420829931354</v>
      </c>
      <c r="M379" s="120" t="n">
        <v>-0.1444831977179327</v>
      </c>
      <c r="N379" t="n">
        <v>36.68219194631009</v>
      </c>
      <c r="O379" t="n">
        <v>-1.063653668074571</v>
      </c>
      <c r="P379" t="n">
        <v>90.33451384206475</v>
      </c>
      <c r="Q379" t="n">
        <v>78.62932945873958</v>
      </c>
    </row>
    <row r="380">
      <c r="A380" s="117" t="n">
        <v>44984</v>
      </c>
      <c r="B380" s="118" t="n">
        <v>111.3536505715495</v>
      </c>
      <c r="C380" s="118" t="n">
        <v>111.8765230463406</v>
      </c>
      <c r="D380" s="118" t="n">
        <v>110.475965668633</v>
      </c>
      <c r="E380" s="118" t="n">
        <v>110.6720428466797</v>
      </c>
      <c r="F380" s="119" t="n">
        <v>4239800</v>
      </c>
      <c r="G380" s="120" t="n">
        <v>0.004151311820072889</v>
      </c>
      <c r="H380" s="121" t="n">
        <v>70.78242605713461</v>
      </c>
      <c r="I380" s="118" t="n">
        <v>113.8156359863281</v>
      </c>
      <c r="J380" s="118" t="n">
        <v>101.8740868759155</v>
      </c>
      <c r="K380" s="120" t="n">
        <v>0.2175540622304249</v>
      </c>
      <c r="L380" s="120" t="n">
        <v>-0.08471026353216171</v>
      </c>
      <c r="M380" s="120" t="n">
        <v>-0.140931680704348</v>
      </c>
      <c r="N380" t="n">
        <v>38.25898788257639</v>
      </c>
      <c r="O380" t="n">
        <v>-1.04950547549244</v>
      </c>
      <c r="P380" t="n">
        <v>90.64219529527608</v>
      </c>
      <c r="Q380" t="n">
        <v>79.19239621602895</v>
      </c>
    </row>
    <row r="381">
      <c r="A381" s="117" t="n">
        <v>44985</v>
      </c>
      <c r="B381" s="118" t="n">
        <v>110.8681068320657</v>
      </c>
      <c r="C381" s="118" t="n">
        <v>112.4180602316229</v>
      </c>
      <c r="D381" s="118" t="n">
        <v>110.0371101233979</v>
      </c>
      <c r="E381" s="118" t="n">
        <v>110.914794921875</v>
      </c>
      <c r="F381" s="119" t="n">
        <v>8414100</v>
      </c>
      <c r="G381" s="120" t="n">
        <v>0.002193436291147322</v>
      </c>
      <c r="H381" s="121" t="n">
        <v>70.93768279922379</v>
      </c>
      <c r="I381" s="118" t="n">
        <v>113.9527038574219</v>
      </c>
      <c r="J381" s="118" t="n">
        <v>101.9290518569946</v>
      </c>
      <c r="K381" s="120" t="n">
        <v>0.2174367383431734</v>
      </c>
      <c r="L381" s="120" t="n">
        <v>-0.08270263380727838</v>
      </c>
      <c r="M381" s="120" t="n">
        <v>-0.1390473690762302</v>
      </c>
      <c r="N381" t="n">
        <v>39.1251733039274</v>
      </c>
      <c r="O381" t="n">
        <v>-0.9715092432532416</v>
      </c>
      <c r="P381" t="n">
        <v>90.30718684696498</v>
      </c>
      <c r="Q381" t="n">
        <v>79.09002196742297</v>
      </c>
    </row>
    <row r="382">
      <c r="A382" s="117" t="n">
        <v>44986</v>
      </c>
      <c r="B382" s="118" t="n">
        <v>110.1304808855626</v>
      </c>
      <c r="C382" s="118" t="n">
        <v>111.8485014620055</v>
      </c>
      <c r="D382" s="118" t="n">
        <v>110.0184408660484</v>
      </c>
      <c r="E382" s="118" t="n">
        <v>110.7187194824219</v>
      </c>
      <c r="F382" s="119" t="n">
        <v>4120500</v>
      </c>
      <c r="G382" s="120" t="n">
        <v>-0.001767802389133322</v>
      </c>
      <c r="H382" s="121" t="n">
        <v>70.81227899409174</v>
      </c>
      <c r="I382" s="118" t="n">
        <v>114.1407518005371</v>
      </c>
      <c r="J382" s="118" t="n">
        <v>101.983129119873</v>
      </c>
      <c r="K382" s="120" t="n">
        <v>0.2138964800736444</v>
      </c>
      <c r="L382" s="120" t="n">
        <v>-0.08432423428277958</v>
      </c>
      <c r="M382" s="120" t="n">
        <v>-0.1405693631941077</v>
      </c>
      <c r="N382" t="n">
        <v>38.65346825752106</v>
      </c>
      <c r="O382" t="n">
        <v>-0.8833736687980184</v>
      </c>
      <c r="P382" t="n">
        <v>89.96078063412864</v>
      </c>
      <c r="Q382" t="n">
        <v>78.45418911784054</v>
      </c>
    </row>
    <row r="383">
      <c r="A383" s="117" t="n">
        <v>44987</v>
      </c>
      <c r="B383" s="118" t="n">
        <v>109.7570079676048</v>
      </c>
      <c r="C383" s="118" t="n">
        <v>112.007232951845</v>
      </c>
      <c r="D383" s="118" t="n">
        <v>109.7570079676048</v>
      </c>
      <c r="E383" s="118" t="n">
        <v>111.6524276733398</v>
      </c>
      <c r="F383" s="119" t="n">
        <v>4443200</v>
      </c>
      <c r="G383" s="120" t="n">
        <v>0.008433155615263477</v>
      </c>
      <c r="H383" s="121" t="n">
        <v>71.40944996232037</v>
      </c>
      <c r="I383" s="118" t="n">
        <v>114.3952801513672</v>
      </c>
      <c r="J383" s="118" t="n">
        <v>102.0182183456421</v>
      </c>
      <c r="K383" s="120" t="n">
        <v>0.2049440687561149</v>
      </c>
      <c r="L383" s="120" t="n">
        <v>-0.07660219805736079</v>
      </c>
      <c r="M383" s="120" t="n">
        <v>-0.1333216508933988</v>
      </c>
      <c r="N383" t="n">
        <v>42.22556033611426</v>
      </c>
      <c r="O383" t="n">
        <v>-0.719389624334522</v>
      </c>
      <c r="P383" t="n">
        <v>90.66043026379221</v>
      </c>
      <c r="Q383" t="n">
        <v>79.10347945756918</v>
      </c>
    </row>
    <row r="384">
      <c r="A384" s="117" t="n">
        <v>44988</v>
      </c>
      <c r="B384" s="118" t="n">
        <v>112.4857851735691</v>
      </c>
      <c r="C384" s="118" t="n">
        <v>113.3378827244186</v>
      </c>
      <c r="D384" s="118" t="n">
        <v>111.4464170469292</v>
      </c>
      <c r="E384" s="118" t="n">
        <v>113.2442474365234</v>
      </c>
      <c r="F384" s="119" t="n">
        <v>3871800</v>
      </c>
      <c r="G384" s="120" t="n">
        <v>0.01425692030486569</v>
      </c>
      <c r="H384" s="121" t="n">
        <v>72.42752879944747</v>
      </c>
      <c r="I384" s="118" t="n">
        <v>114.7357992553711</v>
      </c>
      <c r="J384" s="118" t="n">
        <v>102.0631649017334</v>
      </c>
      <c r="K384" s="120" t="n">
        <v>0.2148563790091522</v>
      </c>
      <c r="L384" s="120" t="n">
        <v>-0.06343738918537623</v>
      </c>
      <c r="M384" s="120" t="n">
        <v>-0.1209654867402332</v>
      </c>
      <c r="N384" t="n">
        <v>47.80544517077451</v>
      </c>
      <c r="O384" t="n">
        <v>-0.4728227653356816</v>
      </c>
      <c r="P384" t="n">
        <v>92.11442715504647</v>
      </c>
      <c r="Q384" t="n">
        <v>80.7388497688525</v>
      </c>
    </row>
    <row r="385">
      <c r="A385" s="117" t="n">
        <v>44991</v>
      </c>
      <c r="B385" s="118" t="n">
        <v>113.4221584362891</v>
      </c>
      <c r="C385" s="118" t="n">
        <v>114.2274348145138</v>
      </c>
      <c r="D385" s="118" t="n">
        <v>112.3266105068142</v>
      </c>
      <c r="E385" s="118" t="n">
        <v>112.5232467651367</v>
      </c>
      <c r="F385" s="119" t="n">
        <v>5183800</v>
      </c>
      <c r="G385" s="120" t="n">
        <v>-0.006366775246494205</v>
      </c>
      <c r="H385" s="121" t="n">
        <v>71.9663990019224</v>
      </c>
      <c r="I385" s="118" t="n">
        <v>115.0589109802246</v>
      </c>
      <c r="J385" s="118" t="n">
        <v>102.0892291259766</v>
      </c>
      <c r="K385" s="120" t="n">
        <v>0.2130733578079361</v>
      </c>
      <c r="L385" s="120" t="n">
        <v>-0.06940027283270289</v>
      </c>
      <c r="M385" s="120" t="n">
        <v>-0.1265621019200696</v>
      </c>
      <c r="N385" t="n">
        <v>45.65464092603422</v>
      </c>
      <c r="O385" t="n">
        <v>-0.3339411785018027</v>
      </c>
      <c r="P385" t="n">
        <v>92.17822408717848</v>
      </c>
      <c r="Q385" t="n">
        <v>80.83046809328927</v>
      </c>
    </row>
    <row r="386">
      <c r="A386" s="117" t="n">
        <v>44992</v>
      </c>
      <c r="B386" s="118" t="n">
        <v>112.551340538564</v>
      </c>
      <c r="C386" s="118" t="n">
        <v>113.3191613974399</v>
      </c>
      <c r="D386" s="118" t="n">
        <v>111.6430703073875</v>
      </c>
      <c r="E386" s="118" t="n">
        <v>111.9801559448242</v>
      </c>
      <c r="F386" s="119" t="n">
        <v>5345700</v>
      </c>
      <c r="G386" s="120" t="n">
        <v>-0.004826476625279574</v>
      </c>
      <c r="H386" s="121" t="n">
        <v>71.61905485933407</v>
      </c>
      <c r="I386" s="118" t="n">
        <v>115.136427154541</v>
      </c>
      <c r="J386" s="118" t="n">
        <v>102.1428081512451</v>
      </c>
      <c r="K386" s="120" t="n">
        <v>0.2085513658755949</v>
      </c>
      <c r="L386" s="120" t="n">
        <v>-0.07389179066336748</v>
      </c>
      <c r="M386" s="120" t="n">
        <v>-0.1307777295187857</v>
      </c>
      <c r="N386" t="n">
        <v>44.04709901253518</v>
      </c>
      <c r="O386" t="n">
        <v>-0.2577201257624548</v>
      </c>
      <c r="P386" t="n">
        <v>90.76527224073337</v>
      </c>
      <c r="Q386" t="n">
        <v>79.83902693956287</v>
      </c>
    </row>
    <row r="387">
      <c r="A387" s="117" t="n">
        <v>44993</v>
      </c>
      <c r="B387" s="118" t="n">
        <v>111.6805032464389</v>
      </c>
      <c r="C387" s="118" t="n">
        <v>112.4015099293492</v>
      </c>
      <c r="D387" s="118" t="n">
        <v>111.1748712883406</v>
      </c>
      <c r="E387" s="118" t="n">
        <v>112.2329635620117</v>
      </c>
      <c r="F387" s="119" t="n">
        <v>4175200</v>
      </c>
      <c r="G387" s="120" t="n">
        <v>0.002257610869126347</v>
      </c>
      <c r="H387" s="121" t="n">
        <v>71.78074281602106</v>
      </c>
      <c r="I387" s="118" t="n">
        <v>115.2016328430176</v>
      </c>
      <c r="J387" s="118" t="n">
        <v>102.2112155151367</v>
      </c>
      <c r="K387" s="120" t="n">
        <v>0.2091309693514445</v>
      </c>
      <c r="L387" s="120" t="n">
        <v>-0.07180099870398193</v>
      </c>
      <c r="M387" s="120" t="n">
        <v>-0.1288153638732606</v>
      </c>
      <c r="N387" t="n">
        <v>45.01761638516659</v>
      </c>
      <c r="O387" t="n">
        <v>-0.1733893401757606</v>
      </c>
      <c r="P387" t="n">
        <v>90.91339953783388</v>
      </c>
      <c r="Q387" t="n">
        <v>80.23772606003534</v>
      </c>
    </row>
    <row r="388">
      <c r="A388" s="117" t="n">
        <v>44994</v>
      </c>
      <c r="B388" s="118" t="n">
        <v>112.43896115758</v>
      </c>
      <c r="C388" s="118" t="n">
        <v>114.1056934240192</v>
      </c>
      <c r="D388" s="118" t="n">
        <v>110.0699535781637</v>
      </c>
      <c r="E388" s="118" t="n">
        <v>110.3695907592773</v>
      </c>
      <c r="F388" s="119" t="n">
        <v>5635900</v>
      </c>
      <c r="G388" s="120" t="n">
        <v>-0.01660272297545462</v>
      </c>
      <c r="H388" s="121" t="n">
        <v>70.58898702807431</v>
      </c>
      <c r="I388" s="118" t="n">
        <v>115.2381611633301</v>
      </c>
      <c r="J388" s="118" t="n">
        <v>102.2630841064453</v>
      </c>
      <c r="K388" s="120" t="n">
        <v>0.2063631862440818</v>
      </c>
      <c r="L388" s="120" t="n">
        <v>-0.0872116295885933</v>
      </c>
      <c r="M388" s="120" t="n">
        <v>-0.1432794010473452</v>
      </c>
      <c r="N388" t="n">
        <v>39.56961939491377</v>
      </c>
      <c r="O388" t="n">
        <v>-0.2230507915192567</v>
      </c>
      <c r="P388" t="n">
        <v>89.23605883195803</v>
      </c>
      <c r="Q388" t="n">
        <v>78.84756900592356</v>
      </c>
    </row>
    <row r="389">
      <c r="A389" s="117" t="n">
        <v>44995</v>
      </c>
      <c r="B389" s="118" t="n">
        <v>111.2685067142313</v>
      </c>
      <c r="C389" s="118" t="n">
        <v>111.4183217387711</v>
      </c>
      <c r="D389" s="118" t="n">
        <v>109.2178604329812</v>
      </c>
      <c r="E389" s="118" t="n">
        <v>110.0137710571289</v>
      </c>
      <c r="F389" s="119" t="n">
        <v>5979600</v>
      </c>
      <c r="G389" s="120" t="n">
        <v>-0.003223892556822983</v>
      </c>
      <c r="H389" s="121" t="n">
        <v>70.36141571820083</v>
      </c>
      <c r="I389" s="118" t="n">
        <v>115.2431097412109</v>
      </c>
      <c r="J389" s="118" t="n">
        <v>102.3102570724487</v>
      </c>
      <c r="K389" s="120" t="n">
        <v>0.2058772871531824</v>
      </c>
      <c r="L389" s="120" t="n">
        <v>-0.09015436122191722</v>
      </c>
      <c r="M389" s="120" t="n">
        <v>-0.1460413762095856</v>
      </c>
      <c r="N389" t="n">
        <v>38.60877014929052</v>
      </c>
      <c r="O389" t="n">
        <v>-0.2573757509356259</v>
      </c>
      <c r="P389" t="n">
        <v>87.94843875356294</v>
      </c>
      <c r="Q389" t="n">
        <v>77.7402206038369</v>
      </c>
    </row>
    <row r="390">
      <c r="A390" s="117" t="n">
        <v>44998</v>
      </c>
      <c r="B390" s="118" t="n">
        <v>108.4500435737952</v>
      </c>
      <c r="C390" s="118" t="n">
        <v>110.7628715889774</v>
      </c>
      <c r="D390" s="118" t="n">
        <v>108.4219537021799</v>
      </c>
      <c r="E390" s="118" t="n">
        <v>109.4238662719727</v>
      </c>
      <c r="F390" s="119" t="n">
        <v>6038200</v>
      </c>
      <c r="G390" s="120" t="n">
        <v>-0.00536209948525368</v>
      </c>
      <c r="H390" s="121" t="n">
        <v>69.98413080719655</v>
      </c>
      <c r="I390" s="118" t="n">
        <v>115.2844393920898</v>
      </c>
      <c r="J390" s="118" t="n">
        <v>102.3606839370727</v>
      </c>
      <c r="K390" s="120" t="n">
        <v>0.2061000109855196</v>
      </c>
      <c r="L390" s="120" t="n">
        <v>-0.0950330440532694</v>
      </c>
      <c r="M390" s="120" t="n">
        <v>-0.1506203873066401</v>
      </c>
      <c r="N390" t="n">
        <v>37.00447511386314</v>
      </c>
      <c r="O390" t="n">
        <v>-0.294640874971358</v>
      </c>
      <c r="P390" t="n">
        <v>87.8230851646491</v>
      </c>
      <c r="Q390" t="n">
        <v>78.3167951910112</v>
      </c>
    </row>
    <row r="391">
      <c r="A391" s="117" t="n">
        <v>44999</v>
      </c>
      <c r="B391" s="118" t="n">
        <v>111.4276885986328</v>
      </c>
      <c r="C391" s="118" t="n">
        <v>111.8865064925665</v>
      </c>
      <c r="D391" s="118" t="n">
        <v>109.7703219199418</v>
      </c>
      <c r="E391" s="118" t="n">
        <v>111.4276885986328</v>
      </c>
      <c r="F391" s="119" t="n">
        <v>6050800</v>
      </c>
      <c r="G391" s="120" t="n">
        <v>0.01831247967129634</v>
      </c>
      <c r="H391" s="121" t="n">
        <v>71.26571377991667</v>
      </c>
      <c r="I391" s="118" t="n">
        <v>115.321587677002</v>
      </c>
      <c r="J391" s="118" t="n">
        <v>102.4169171524048</v>
      </c>
      <c r="K391" s="120" t="n">
        <v>0.1975755397321715</v>
      </c>
      <c r="L391" s="120" t="n">
        <v>-0.07846085506930012</v>
      </c>
      <c r="M391" s="120" t="n">
        <v>-0.1350661404159793</v>
      </c>
      <c r="N391" t="n">
        <v>45.31666142389426</v>
      </c>
      <c r="O391" t="n">
        <v>-0.1655981868399587</v>
      </c>
      <c r="P391" t="n">
        <v>89.27480541244681</v>
      </c>
      <c r="Q391" t="n">
        <v>80.11648279937273</v>
      </c>
    </row>
    <row r="392">
      <c r="A392" s="117" t="n">
        <v>45000</v>
      </c>
      <c r="B392" s="118" t="n">
        <v>108.9182422766973</v>
      </c>
      <c r="C392" s="118" t="n">
        <v>111.0812484184235</v>
      </c>
      <c r="D392" s="118" t="n">
        <v>108.440692961177</v>
      </c>
      <c r="E392" s="118" t="n">
        <v>110.650520324707</v>
      </c>
      <c r="F392" s="119" t="n">
        <v>6599200</v>
      </c>
      <c r="G392" s="120" t="n">
        <v>-0.006974642332617798</v>
      </c>
      <c r="H392" s="121" t="n">
        <v>70.76866091572305</v>
      </c>
      <c r="I392" s="118" t="n">
        <v>115.3495417785645</v>
      </c>
      <c r="J392" s="118" t="n">
        <v>102.4473209762573</v>
      </c>
      <c r="K392" s="120" t="n">
        <v>0.1940454128633835</v>
      </c>
      <c r="L392" s="120" t="n">
        <v>-0.08488826100069813</v>
      </c>
      <c r="M392" s="120" t="n">
        <v>-0.1410987447279486</v>
      </c>
      <c r="N392" t="n">
        <v>42.94962220604555</v>
      </c>
      <c r="O392" t="n">
        <v>-0.1161805063681078</v>
      </c>
      <c r="P392" t="n">
        <v>88.71644587589287</v>
      </c>
      <c r="Q392" t="n">
        <v>80.53678605770462</v>
      </c>
    </row>
    <row r="393">
      <c r="A393" s="117" t="n">
        <v>45001</v>
      </c>
      <c r="B393" s="118" t="n">
        <v>109.4238843259746</v>
      </c>
      <c r="C393" s="118" t="n">
        <v>113.122532339794</v>
      </c>
      <c r="D393" s="118" t="n">
        <v>109.1897924986717</v>
      </c>
      <c r="E393" s="118" t="n">
        <v>112.9727172851562</v>
      </c>
      <c r="F393" s="119" t="n">
        <v>5658700</v>
      </c>
      <c r="G393" s="120" t="n">
        <v>0.02098676945788114</v>
      </c>
      <c r="H393" s="121" t="n">
        <v>72.25386648720429</v>
      </c>
      <c r="I393" s="118" t="n">
        <v>115.3914468383789</v>
      </c>
      <c r="J393" s="118" t="n">
        <v>102.4752159500122</v>
      </c>
      <c r="K393" s="120" t="n">
        <v>0.2072088898882629</v>
      </c>
      <c r="L393" s="120" t="n">
        <v>-0.06568302190611908</v>
      </c>
      <c r="M393" s="120" t="n">
        <v>-0.1230731820964693</v>
      </c>
      <c r="N393" t="n">
        <v>51.15884665458299</v>
      </c>
      <c r="O393" t="n">
        <v>0.07879825287668796</v>
      </c>
      <c r="P393" t="n">
        <v>90.27299355338923</v>
      </c>
      <c r="Q393" t="n">
        <v>82.65979741778955</v>
      </c>
    </row>
    <row r="394">
      <c r="A394" s="117" t="n">
        <v>45002</v>
      </c>
      <c r="B394" s="118" t="n">
        <v>113.4596210078113</v>
      </c>
      <c r="C394" s="118" t="n">
        <v>113.9839915397228</v>
      </c>
      <c r="D394" s="118" t="n">
        <v>111.1187028200926</v>
      </c>
      <c r="E394" s="118" t="n">
        <v>112.7292556762695</v>
      </c>
      <c r="F394" s="119" t="n">
        <v>12868900</v>
      </c>
      <c r="G394" s="120" t="n">
        <v>-0.002155047826920886</v>
      </c>
      <c r="H394" s="121" t="n">
        <v>72.0981559492444</v>
      </c>
      <c r="I394" s="118" t="n">
        <v>115.3825445556641</v>
      </c>
      <c r="J394" s="118" t="n">
        <v>102.4886533355713</v>
      </c>
      <c r="K394" s="120" t="n">
        <v>0.190560921241233</v>
      </c>
      <c r="L394" s="120" t="n">
        <v>-0.0676965196794157</v>
      </c>
      <c r="M394" s="120" t="n">
        <v>-0.1249630013297609</v>
      </c>
      <c r="N394" t="n">
        <v>50.34098206080164</v>
      </c>
      <c r="O394" t="n">
        <v>0.1908768343566014</v>
      </c>
      <c r="P394" t="n">
        <v>89.2174674559998</v>
      </c>
      <c r="Q394" t="n">
        <v>82.26914426555287</v>
      </c>
    </row>
    <row r="395">
      <c r="A395" s="117" t="n">
        <v>45005</v>
      </c>
      <c r="B395" s="118" t="n">
        <v>113.291080394271</v>
      </c>
      <c r="C395" s="118" t="n">
        <v>114.8735434559816</v>
      </c>
      <c r="D395" s="118" t="n">
        <v>112.1861666675226</v>
      </c>
      <c r="E395" s="118" t="n">
        <v>113.4877166748047</v>
      </c>
      <c r="F395" s="119" t="n">
        <v>7594100</v>
      </c>
      <c r="G395" s="120" t="n">
        <v>0.006728164698552419</v>
      </c>
      <c r="H395" s="121" t="n">
        <v>72.58324421693284</v>
      </c>
      <c r="I395" s="118" t="n">
        <v>115.3998292541504</v>
      </c>
      <c r="J395" s="118" t="n">
        <v>102.5066701889038</v>
      </c>
      <c r="K395" s="120" t="n">
        <v>0.191938418475537</v>
      </c>
      <c r="L395" s="120" t="n">
        <v>-0.0614238283147851</v>
      </c>
      <c r="M395" s="120" t="n">
        <v>-0.1190756082853807</v>
      </c>
      <c r="N395" t="n">
        <v>52.86885975911302</v>
      </c>
      <c r="O395" t="n">
        <v>0.3086251592304057</v>
      </c>
      <c r="P395" t="n">
        <v>90.07534744270362</v>
      </c>
      <c r="Q395" t="n">
        <v>82.56111475002169</v>
      </c>
    </row>
    <row r="396">
      <c r="A396" s="117" t="n">
        <v>45006</v>
      </c>
      <c r="B396" s="118" t="n">
        <v>115.6413528912921</v>
      </c>
      <c r="C396" s="118" t="n">
        <v>118.0384507137551</v>
      </c>
      <c r="D396" s="118" t="n">
        <v>115.1450794024773</v>
      </c>
      <c r="E396" s="118" t="n">
        <v>117.6170883178711</v>
      </c>
      <c r="F396" s="119" t="n">
        <v>15078800</v>
      </c>
      <c r="G396" s="120" t="n">
        <v>0.03638606682782219</v>
      </c>
      <c r="H396" s="121" t="n">
        <v>75.22426299159029</v>
      </c>
      <c r="I396" s="118" t="n">
        <v>115.4266856384277</v>
      </c>
      <c r="J396" s="118" t="n">
        <v>102.5234365844727</v>
      </c>
      <c r="K396" s="120" t="n">
        <v>0.2044665392669129</v>
      </c>
      <c r="L396" s="120" t="n">
        <v>-0.02727273300884536</v>
      </c>
      <c r="M396" s="120" t="n">
        <v>-0.0870222344981938</v>
      </c>
      <c r="N396" t="n">
        <v>63.70241618243186</v>
      </c>
      <c r="O396" t="n">
        <v>0.6381748307683011</v>
      </c>
      <c r="P396" t="n">
        <v>91.25808190242994</v>
      </c>
      <c r="Q396" t="n">
        <v>83.74028956927894</v>
      </c>
    </row>
    <row r="397">
      <c r="A397" s="117" t="n">
        <v>45007</v>
      </c>
      <c r="B397" s="118" t="n">
        <v>115.7911647825373</v>
      </c>
      <c r="C397" s="118" t="n">
        <v>117.2893507883779</v>
      </c>
      <c r="D397" s="118" t="n">
        <v>111.7366933230482</v>
      </c>
      <c r="E397" s="118" t="n">
        <v>111.8958740234375</v>
      </c>
      <c r="F397" s="119" t="n">
        <v>17625500</v>
      </c>
      <c r="G397" s="120" t="n">
        <v>-0.04864271319973068</v>
      </c>
      <c r="H397" s="121" t="n">
        <v>71.56515074122926</v>
      </c>
      <c r="I397" s="118" t="n">
        <v>115.3331425476074</v>
      </c>
      <c r="J397" s="118" t="n">
        <v>102.5215981292725</v>
      </c>
      <c r="K397" s="120" t="n">
        <v>0.2701820874467989</v>
      </c>
      <c r="L397" s="120" t="n">
        <v>-0.07458882647865384</v>
      </c>
      <c r="M397" s="120" t="n">
        <v>-0.1314319501032291</v>
      </c>
      <c r="N397" t="n">
        <v>47.43409747763853</v>
      </c>
      <c r="O397" t="n">
        <v>0.4531060334890709</v>
      </c>
      <c r="P397" t="n">
        <v>89.70245070121321</v>
      </c>
      <c r="Q397" t="n">
        <v>82.6015878999377</v>
      </c>
    </row>
    <row r="398">
      <c r="A398" s="117" t="n">
        <v>45008</v>
      </c>
      <c r="B398" s="118" t="n">
        <v>112.8041780709355</v>
      </c>
      <c r="C398" s="118" t="n">
        <v>115.4260024174251</v>
      </c>
      <c r="D398" s="118" t="n">
        <v>111.8678107020643</v>
      </c>
      <c r="E398" s="118" t="n">
        <v>113.2723617553711</v>
      </c>
      <c r="F398" s="119" t="n">
        <v>7628100</v>
      </c>
      <c r="G398" s="120" t="n">
        <v>0.012301505698461</v>
      </c>
      <c r="H398" s="121" t="n">
        <v>72.44550985088371</v>
      </c>
      <c r="I398" s="118" t="n">
        <v>115.2486415100098</v>
      </c>
      <c r="J398" s="118" t="n">
        <v>102.5299834823608</v>
      </c>
      <c r="K398" s="120" t="n">
        <v>0.2736313089102952</v>
      </c>
      <c r="L398" s="120" t="n">
        <v>-0.06320487565416155</v>
      </c>
      <c r="M398" s="120" t="n">
        <v>-0.1207472552879227</v>
      </c>
      <c r="N398" t="n">
        <v>50.6964703120931</v>
      </c>
      <c r="O398" t="n">
        <v>0.4071120034292276</v>
      </c>
      <c r="P398" t="n">
        <v>89.9449532342518</v>
      </c>
      <c r="Q398" t="n">
        <v>83.58107336572249</v>
      </c>
    </row>
    <row r="399">
      <c r="A399" s="117" t="n">
        <v>45009</v>
      </c>
      <c r="B399" s="118" t="n">
        <v>112.5794402272368</v>
      </c>
      <c r="C399" s="118" t="n">
        <v>113.3004398831706</v>
      </c>
      <c r="D399" s="118" t="n">
        <v>111.7273425808543</v>
      </c>
      <c r="E399" s="118" t="n">
        <v>113.0288925170898</v>
      </c>
      <c r="F399" s="119" t="n">
        <v>6158800</v>
      </c>
      <c r="G399" s="120" t="n">
        <v>-0.002149414336456212</v>
      </c>
      <c r="H399" s="121" t="n">
        <v>72.28979443339834</v>
      </c>
      <c r="I399" s="118" t="n">
        <v>115.1200552368164</v>
      </c>
      <c r="J399" s="118" t="n">
        <v>102.5304686355591</v>
      </c>
      <c r="K399" s="120" t="n">
        <v>0.2667426143272405</v>
      </c>
      <c r="L399" s="120" t="n">
        <v>-0.06521843652475279</v>
      </c>
      <c r="M399" s="120" t="n">
        <v>-0.1226371337427754</v>
      </c>
      <c r="N399" t="n">
        <v>50.10414598983665</v>
      </c>
      <c r="O399" t="n">
        <v>0.3463886662634376</v>
      </c>
      <c r="P399" t="n">
        <v>90.53516395833353</v>
      </c>
      <c r="Q399" t="n">
        <v>83.88869950892747</v>
      </c>
    </row>
    <row r="400">
      <c r="A400" s="117" t="n">
        <v>45012</v>
      </c>
      <c r="B400" s="118" t="n">
        <v>113.3191611643472</v>
      </c>
      <c r="C400" s="118" t="n">
        <v>113.3659823842945</v>
      </c>
      <c r="D400" s="118" t="n">
        <v>110.1261525647792</v>
      </c>
      <c r="E400" s="118" t="n">
        <v>110.3134231567383</v>
      </c>
      <c r="F400" s="119" t="n">
        <v>6564200</v>
      </c>
      <c r="G400" s="120" t="n">
        <v>-0.02402455956065386</v>
      </c>
      <c r="H400" s="121" t="n">
        <v>70.55306396140574</v>
      </c>
      <c r="I400" s="118" t="n">
        <v>114.9380934143066</v>
      </c>
      <c r="J400" s="118" t="n">
        <v>102.513988571167</v>
      </c>
      <c r="K400" s="120" t="n">
        <v>0.2812397071271182</v>
      </c>
      <c r="L400" s="120" t="n">
        <v>-0.08767615187266498</v>
      </c>
      <c r="M400" s="120" t="n">
        <v>-0.1437153901794781</v>
      </c>
      <c r="N400" t="n">
        <v>43.9380769710509</v>
      </c>
      <c r="O400" t="n">
        <v>0.1210697398473493</v>
      </c>
      <c r="P400" t="n">
        <v>90.70445021969947</v>
      </c>
      <c r="Q400" t="n">
        <v>83.31395393225934</v>
      </c>
    </row>
    <row r="401">
      <c r="A401" s="117" t="n">
        <v>45013</v>
      </c>
      <c r="B401" s="118" t="n">
        <v>110.4444946966203</v>
      </c>
      <c r="C401" s="118" t="n">
        <v>110.9033197113833</v>
      </c>
      <c r="D401" s="118" t="n">
        <v>109.4144923330368</v>
      </c>
      <c r="E401" s="118" t="n">
        <v>110.3695907592773</v>
      </c>
      <c r="F401" s="119" t="n">
        <v>4461400</v>
      </c>
      <c r="G401" s="120" t="n">
        <v>0.0005091638073750904</v>
      </c>
      <c r="H401" s="121" t="n">
        <v>70.5889870280743</v>
      </c>
      <c r="I401" s="118" t="n">
        <v>114.7393273925781</v>
      </c>
      <c r="J401" s="118" t="n">
        <v>102.5154248046875</v>
      </c>
      <c r="K401" s="120" t="n">
        <v>0.2811280538393357</v>
      </c>
      <c r="L401" s="120" t="n">
        <v>-0.08721162958859352</v>
      </c>
      <c r="M401" s="120" t="n">
        <v>-0.1432794010473452</v>
      </c>
      <c r="N401" t="n">
        <v>44.0913407249576</v>
      </c>
      <c r="O401" t="n">
        <v>-0.01899946922438334</v>
      </c>
      <c r="P401" t="n">
        <v>90.500839739575</v>
      </c>
      <c r="Q401" t="n">
        <v>82.87140889937784</v>
      </c>
    </row>
    <row r="402">
      <c r="A402" s="117" t="n">
        <v>45014</v>
      </c>
      <c r="B402" s="118" t="n">
        <v>111.090598176719</v>
      </c>
      <c r="C402" s="118" t="n">
        <v>112.8977870631507</v>
      </c>
      <c r="D402" s="118" t="n">
        <v>110.9501416753448</v>
      </c>
      <c r="E402" s="118" t="n">
        <v>112.8228759765625</v>
      </c>
      <c r="F402" s="119" t="n">
        <v>5644000</v>
      </c>
      <c r="G402" s="120" t="n">
        <v>0.02222790897753635</v>
      </c>
      <c r="H402" s="121" t="n">
        <v>72.15803260655082</v>
      </c>
      <c r="I402" s="118" t="n">
        <v>114.6028858947754</v>
      </c>
      <c r="J402" s="118" t="n">
        <v>102.5470877456665</v>
      </c>
      <c r="K402" s="120" t="n">
        <v>0.2919314890011984</v>
      </c>
      <c r="L402" s="120" t="n">
        <v>-0.06692225277533514</v>
      </c>
      <c r="M402" s="120" t="n">
        <v>-0.124236293554645</v>
      </c>
      <c r="N402" t="n">
        <v>50.46164123833312</v>
      </c>
      <c r="O402" t="n">
        <v>0.05472860206962166</v>
      </c>
      <c r="P402" t="n">
        <v>91.81626687207347</v>
      </c>
      <c r="Q402" t="n">
        <v>84.38247361589421</v>
      </c>
    </row>
    <row r="403">
      <c r="A403" s="117" t="n">
        <v>45015</v>
      </c>
      <c r="B403" s="118" t="n">
        <v>113.3285090674351</v>
      </c>
      <c r="C403" s="118" t="n">
        <v>113.7124230078441</v>
      </c>
      <c r="D403" s="118" t="n">
        <v>111.7460463810218</v>
      </c>
      <c r="E403" s="118" t="n">
        <v>112.4576873779297</v>
      </c>
      <c r="F403" s="119" t="n">
        <v>4578900</v>
      </c>
      <c r="G403" s="120" t="n">
        <v>-0.003236831143257457</v>
      </c>
      <c r="H403" s="121" t="n">
        <v>71.92446923937375</v>
      </c>
      <c r="I403" s="118" t="n">
        <v>114.4910737609863</v>
      </c>
      <c r="J403" s="118" t="n">
        <v>102.5968342208862</v>
      </c>
      <c r="K403" s="120" t="n">
        <v>0.2909828365465457</v>
      </c>
      <c r="L403" s="120" t="n">
        <v>-0.06994246788663239</v>
      </c>
      <c r="M403" s="120" t="n">
        <v>-0.1232903778913914</v>
      </c>
      <c r="N403" t="n">
        <v>49.55646117493583</v>
      </c>
      <c r="O403" t="n">
        <v>0.07860256741043237</v>
      </c>
      <c r="P403" t="n">
        <v>92.35387476715293</v>
      </c>
      <c r="Q403" t="n">
        <v>85.18118069004539</v>
      </c>
    </row>
    <row r="404">
      <c r="A404" s="117" t="n">
        <v>45016</v>
      </c>
      <c r="B404" s="118" t="n">
        <v>113.2255145517354</v>
      </c>
      <c r="C404" s="118" t="n">
        <v>114.9016126147331</v>
      </c>
      <c r="D404" s="118" t="n">
        <v>112.9258773481998</v>
      </c>
      <c r="E404" s="118" t="n">
        <v>114.836067199707</v>
      </c>
      <c r="F404" s="119" t="n">
        <v>5659400</v>
      </c>
      <c r="G404" s="120" t="n">
        <v>0.02114910840896522</v>
      </c>
      <c r="H404" s="121" t="n">
        <v>73.44560763657456</v>
      </c>
      <c r="I404" s="118" t="n">
        <v>114.4623097229004</v>
      </c>
      <c r="J404" s="118" t="n">
        <v>102.6571732330322</v>
      </c>
      <c r="K404" s="120" t="n">
        <v>0.2962785350029822</v>
      </c>
      <c r="L404" s="120" t="n">
        <v>-0.05027258031339199</v>
      </c>
      <c r="M404" s="120" t="n">
        <v>-0.09501613505248163</v>
      </c>
      <c r="N404" t="n">
        <v>55.19364167498892</v>
      </c>
      <c r="O404" t="n">
        <v>0.2448864082249919</v>
      </c>
      <c r="P404" t="n">
        <v>93.65556930269948</v>
      </c>
      <c r="Q404" t="n">
        <v>86.59780805675773</v>
      </c>
    </row>
    <row r="405">
      <c r="A405" s="117" t="n">
        <v>45019</v>
      </c>
      <c r="B405" s="118" t="n">
        <v>114.7049819000184</v>
      </c>
      <c r="C405" s="118" t="n">
        <v>115.0327089909498</v>
      </c>
      <c r="D405" s="118" t="n">
        <v>113.131884719633</v>
      </c>
      <c r="E405" s="118" t="n">
        <v>113.9277954101562</v>
      </c>
      <c r="F405" s="119" t="n">
        <v>4838400</v>
      </c>
      <c r="G405" s="120" t="n">
        <v>-0.007909290275251557</v>
      </c>
      <c r="H405" s="121" t="n">
        <v>72.86470500633466</v>
      </c>
      <c r="I405" s="118" t="n">
        <v>114.3763514709473</v>
      </c>
      <c r="J405" s="118" t="n">
        <v>102.7003475952149</v>
      </c>
      <c r="K405" s="120" t="n">
        <v>0.2968279659133133</v>
      </c>
      <c r="L405" s="120" t="n">
        <v>-0.0577842501580591</v>
      </c>
      <c r="M405" s="120" t="n">
        <v>-0.1021739151347706</v>
      </c>
      <c r="N405" t="n">
        <v>52.76842885600345</v>
      </c>
      <c r="O405" t="n">
        <v>0.2814085530649259</v>
      </c>
      <c r="P405" t="n">
        <v>94.01244953016017</v>
      </c>
      <c r="Q405" t="n">
        <v>86.38735438915958</v>
      </c>
    </row>
    <row r="406">
      <c r="A406" s="117" t="n">
        <v>45020</v>
      </c>
      <c r="B406" s="118" t="n">
        <v>113.6562540706797</v>
      </c>
      <c r="C406" s="118" t="n">
        <v>116.0627176139822</v>
      </c>
      <c r="D406" s="118" t="n">
        <v>113.6375298690291</v>
      </c>
      <c r="E406" s="118" t="n">
        <v>115.8192672729492</v>
      </c>
      <c r="F406" s="119" t="n">
        <v>5895300</v>
      </c>
      <c r="G406" s="120" t="n">
        <v>0.0166023739508292</v>
      </c>
      <c r="H406" s="121" t="n">
        <v>74.07443208666669</v>
      </c>
      <c r="I406" s="118" t="n">
        <v>114.2970373535156</v>
      </c>
      <c r="J406" s="118" t="n">
        <v>102.7823097991943</v>
      </c>
      <c r="K406" s="120" t="n">
        <v>0.3011669493426437</v>
      </c>
      <c r="L406" s="120" t="n">
        <v>-0.04214123193682218</v>
      </c>
      <c r="M406" s="120" t="n">
        <v>-0.08726787073102926</v>
      </c>
      <c r="N406" t="n">
        <v>57.00529303280108</v>
      </c>
      <c r="O406" t="n">
        <v>0.4127157417526673</v>
      </c>
      <c r="P406" t="n">
        <v>93.4908654227317</v>
      </c>
      <c r="Q406" t="n">
        <v>86.09592925186004</v>
      </c>
    </row>
    <row r="407">
      <c r="A407" s="117" t="n">
        <v>45021</v>
      </c>
      <c r="B407" s="118" t="n">
        <v>115.1731566477488</v>
      </c>
      <c r="C407" s="118" t="n">
        <v>115.48215951427</v>
      </c>
      <c r="D407" s="118" t="n">
        <v>112.8884185712857</v>
      </c>
      <c r="E407" s="118" t="n">
        <v>113.206787109375</v>
      </c>
      <c r="F407" s="119" t="n">
        <v>4331400</v>
      </c>
      <c r="G407" s="120" t="n">
        <v>-0.02255652470514624</v>
      </c>
      <c r="H407" s="121" t="n">
        <v>72.40357032928412</v>
      </c>
      <c r="I407" s="118" t="n">
        <v>114.1927368164063</v>
      </c>
      <c r="J407" s="118" t="n">
        <v>102.8501887130737</v>
      </c>
      <c r="K407" s="120" t="n">
        <v>0.3133647928054447</v>
      </c>
      <c r="L407" s="120" t="n">
        <v>-0.06374719690268005</v>
      </c>
      <c r="M407" s="120" t="n">
        <v>-0.1078559355540656</v>
      </c>
      <c r="N407" t="n">
        <v>50.29454636463066</v>
      </c>
      <c r="O407" t="n">
        <v>0.3081766608980648</v>
      </c>
      <c r="P407" t="n">
        <v>93.24607169899402</v>
      </c>
      <c r="Q407" t="n">
        <v>85.24595115384135</v>
      </c>
    </row>
    <row r="408">
      <c r="A408" s="117" t="n">
        <v>45022</v>
      </c>
      <c r="B408" s="118" t="n">
        <v>111.9052484902797</v>
      </c>
      <c r="C408" s="118" t="n">
        <v>112.8228843655152</v>
      </c>
      <c r="D408" s="118" t="n">
        <v>110.3508754756146</v>
      </c>
      <c r="E408" s="118" t="n">
        <v>112.570068359375</v>
      </c>
      <c r="F408" s="119" t="n">
        <v>4256900</v>
      </c>
      <c r="G408" s="120" t="n">
        <v>-0.005624386719718766</v>
      </c>
      <c r="H408" s="121" t="n">
        <v>71.99634464986386</v>
      </c>
      <c r="I408" s="118" t="n">
        <v>114.0758889770508</v>
      </c>
      <c r="J408" s="118" t="n">
        <v>102.9086650848389</v>
      </c>
      <c r="K408" s="120" t="n">
        <v>0.3077354057490856</v>
      </c>
      <c r="L408" s="120" t="n">
        <v>-0.06901304473472025</v>
      </c>
      <c r="M408" s="120" t="n">
        <v>-0.1128736987822112</v>
      </c>
      <c r="N408" t="n">
        <v>48.78710633778893</v>
      </c>
      <c r="O408" t="n">
        <v>0.1866798994843365</v>
      </c>
      <c r="P408" t="n">
        <v>93.6098109513094</v>
      </c>
      <c r="Q408" t="n">
        <v>85.82069673050947</v>
      </c>
    </row>
    <row r="409">
      <c r="A409" s="117" t="n">
        <v>45026</v>
      </c>
      <c r="B409" s="118" t="n">
        <v>111.7086228652914</v>
      </c>
      <c r="C409" s="118" t="n">
        <v>114.1525421142578</v>
      </c>
      <c r="D409" s="118" t="n">
        <v>111.5494349933228</v>
      </c>
      <c r="E409" s="118" t="n">
        <v>114.1525421142578</v>
      </c>
      <c r="F409" s="119" t="n">
        <v>3731200</v>
      </c>
      <c r="G409" s="120" t="n">
        <v>0.0140576778352024</v>
      </c>
      <c r="H409" s="121" t="n">
        <v>73.00844606826385</v>
      </c>
      <c r="I409" s="118" t="n">
        <v>113.9774320983887</v>
      </c>
      <c r="J409" s="118" t="n">
        <v>102.9925036621094</v>
      </c>
      <c r="K409" s="120" t="n">
        <v>0.3105658571887934</v>
      </c>
      <c r="L409" s="120" t="n">
        <v>-0.05592553004882483</v>
      </c>
      <c r="M409" s="120" t="n">
        <v>-0.1004027630405567</v>
      </c>
      <c r="N409" t="n">
        <v>52.59039302178274</v>
      </c>
      <c r="O409" t="n">
        <v>0.2021216533891254</v>
      </c>
      <c r="P409" t="n">
        <v>93.70589548824522</v>
      </c>
      <c r="Q409" t="n">
        <v>85.77212727261896</v>
      </c>
    </row>
    <row r="410">
      <c r="A410" s="117" t="n">
        <v>45027</v>
      </c>
      <c r="B410" s="118" t="n">
        <v>114.2742540014403</v>
      </c>
      <c r="C410" s="118" t="n">
        <v>116.184443947649</v>
      </c>
      <c r="D410" s="118" t="n">
        <v>114.2742540014403</v>
      </c>
      <c r="E410" s="118" t="n">
        <v>115.4540786743164</v>
      </c>
      <c r="F410" s="119" t="n">
        <v>4471000</v>
      </c>
      <c r="G410" s="120" t="n">
        <v>0.01140173084148977</v>
      </c>
      <c r="H410" s="121" t="n">
        <v>73.84086871948961</v>
      </c>
      <c r="I410" s="118" t="n">
        <v>113.9050059509277</v>
      </c>
      <c r="J410" s="118" t="n">
        <v>103.0685559082031</v>
      </c>
      <c r="K410" s="120" t="n">
        <v>0.3109732613391276</v>
      </c>
      <c r="L410" s="120" t="n">
        <v>-0.04516144704811964</v>
      </c>
      <c r="M410" s="120" t="n">
        <v>-0.0901457974789972</v>
      </c>
      <c r="N410" t="n">
        <v>55.51645598541028</v>
      </c>
      <c r="O410" t="n">
        <v>0.2841949019134272</v>
      </c>
      <c r="P410" t="n">
        <v>93.7310840386925</v>
      </c>
      <c r="Q410" t="n">
        <v>85.22165383996139</v>
      </c>
    </row>
    <row r="411">
      <c r="A411" s="117" t="n">
        <v>45028</v>
      </c>
      <c r="B411" s="118" t="n">
        <v>116.8211860704468</v>
      </c>
      <c r="C411" s="118" t="n">
        <v>116.914821371441</v>
      </c>
      <c r="D411" s="118" t="n">
        <v>115.3791795746066</v>
      </c>
      <c r="E411" s="118" t="n">
        <v>115.7911834716797</v>
      </c>
      <c r="F411" s="119" t="n">
        <v>4524900</v>
      </c>
      <c r="G411" s="120" t="n">
        <v>0.002919817136250558</v>
      </c>
      <c r="H411" s="121" t="n">
        <v>74.0564705533324</v>
      </c>
      <c r="I411" s="118" t="n">
        <v>113.8609838867188</v>
      </c>
      <c r="J411" s="118" t="n">
        <v>103.1235068511963</v>
      </c>
      <c r="K411" s="120" t="n">
        <v>0.3055882790899097</v>
      </c>
      <c r="L411" s="120" t="n">
        <v>-0.04237349307885796</v>
      </c>
      <c r="M411" s="120" t="n">
        <v>-0.08748918958698693</v>
      </c>
      <c r="N411" t="n">
        <v>56.26928633931924</v>
      </c>
      <c r="O411" t="n">
        <v>0.3415335454164651</v>
      </c>
      <c r="P411" t="n">
        <v>93.34900798716326</v>
      </c>
      <c r="Q411" t="n">
        <v>84.46883143763664</v>
      </c>
    </row>
    <row r="412">
      <c r="A412" s="117" t="n">
        <v>45029</v>
      </c>
      <c r="B412" s="118" t="n">
        <v>116.7088048432026</v>
      </c>
      <c r="C412" s="118" t="n">
        <v>118.6096290771971</v>
      </c>
      <c r="D412" s="118" t="n">
        <v>116.5402584649023</v>
      </c>
      <c r="E412" s="118" t="n">
        <v>118.3849029541016</v>
      </c>
      <c r="F412" s="119" t="n">
        <v>5355300</v>
      </c>
      <c r="G412" s="120" t="n">
        <v>0.02239997385514458</v>
      </c>
      <c r="H412" s="121" t="n">
        <v>75.71533355753132</v>
      </c>
      <c r="I412" s="118" t="n">
        <v>113.8509088134766</v>
      </c>
      <c r="J412" s="118" t="n">
        <v>103.2026110076904</v>
      </c>
      <c r="K412" s="120" t="n">
        <v>0.3117458761395075</v>
      </c>
      <c r="L412" s="120" t="n">
        <v>-0.02092268436083111</v>
      </c>
      <c r="M412" s="120" t="n">
        <v>-0.06704897129119858</v>
      </c>
      <c r="N412" t="n">
        <v>61.64745789033334</v>
      </c>
      <c r="O412" t="n">
        <v>0.523596684542995</v>
      </c>
      <c r="P412" t="n">
        <v>94.58893493091125</v>
      </c>
      <c r="Q412" t="n">
        <v>86.12292813171692</v>
      </c>
    </row>
    <row r="413">
      <c r="A413" s="117" t="n">
        <v>45030</v>
      </c>
      <c r="B413" s="118" t="n">
        <v>118.9186438176946</v>
      </c>
      <c r="C413" s="118" t="n">
        <v>119.3774617817343</v>
      </c>
      <c r="D413" s="118" t="n">
        <v>117.5047272334241</v>
      </c>
      <c r="E413" s="118" t="n">
        <v>117.9354553222656</v>
      </c>
      <c r="F413" s="119" t="n">
        <v>4828700</v>
      </c>
      <c r="G413" s="120" t="n">
        <v>-0.003796494490604041</v>
      </c>
      <c r="H413" s="121" t="n">
        <v>75.42788071082592</v>
      </c>
      <c r="I413" s="118" t="n">
        <v>113.7913226318359</v>
      </c>
      <c r="J413" s="118" t="n">
        <v>103.315295753479</v>
      </c>
      <c r="K413" s="120" t="n">
        <v>0.3057346348107638</v>
      </c>
      <c r="L413" s="120" t="n">
        <v>-0.02463974599553043</v>
      </c>
      <c r="M413" s="120" t="n">
        <v>-0.07059091473169488</v>
      </c>
      <c r="N413" t="n">
        <v>60.26437092204792</v>
      </c>
      <c r="O413" t="n">
        <v>0.5788894720177615</v>
      </c>
      <c r="P413" t="n">
        <v>94.35788835136802</v>
      </c>
      <c r="Q413" t="n">
        <v>85.96101036218349</v>
      </c>
    </row>
    <row r="414">
      <c r="A414" s="117" t="n">
        <v>45033</v>
      </c>
      <c r="B414" s="118" t="n">
        <v>118.0103569572514</v>
      </c>
      <c r="C414" s="118" t="n">
        <v>118.4317264831871</v>
      </c>
      <c r="D414" s="118" t="n">
        <v>117.1676250492948</v>
      </c>
      <c r="E414" s="118" t="n">
        <v>118.1601791381836</v>
      </c>
      <c r="F414" s="119" t="n">
        <v>3917900</v>
      </c>
      <c r="G414" s="120" t="n">
        <v>0.00190548139491975</v>
      </c>
      <c r="H414" s="121" t="n">
        <v>75.57160713417862</v>
      </c>
      <c r="I414" s="118" t="n">
        <v>113.7444470214844</v>
      </c>
      <c r="J414" s="118" t="n">
        <v>103.4269228744507</v>
      </c>
      <c r="K414" s="120" t="n">
        <v>0.3052841125428259</v>
      </c>
      <c r="L414" s="120" t="n">
        <v>-0.02278121517818077</v>
      </c>
      <c r="M414" s="120" t="n">
        <v>-0.06881994301144678</v>
      </c>
      <c r="N414" t="n">
        <v>60.73867186845689</v>
      </c>
      <c r="O414" t="n">
        <v>0.5935311603447967</v>
      </c>
      <c r="P414" t="n">
        <v>94.69646814772116</v>
      </c>
      <c r="Q414" t="n">
        <v>86.03386874399749</v>
      </c>
    </row>
    <row r="415">
      <c r="A415" s="117" t="n">
        <v>45034</v>
      </c>
      <c r="B415" s="118" t="n">
        <v>119.1340078936046</v>
      </c>
      <c r="C415" s="118" t="n">
        <v>119.1808219695719</v>
      </c>
      <c r="D415" s="118" t="n">
        <v>117.0646299925749</v>
      </c>
      <c r="E415" s="118" t="n">
        <v>118.1789093017578</v>
      </c>
      <c r="F415" s="119" t="n">
        <v>3857700</v>
      </c>
      <c r="G415" s="120" t="n">
        <v>0.0001585150235114963</v>
      </c>
      <c r="H415" s="121" t="n">
        <v>75.58358636926029</v>
      </c>
      <c r="I415" s="118" t="n">
        <v>113.7250239562988</v>
      </c>
      <c r="J415" s="118" t="n">
        <v>103.5435166168213</v>
      </c>
      <c r="K415" s="120" t="n">
        <v>0.3049770904133118</v>
      </c>
      <c r="L415" s="120" t="n">
        <v>-0.02262631131952897</v>
      </c>
      <c r="M415" s="120" t="n">
        <v>-0.06867233698281971</v>
      </c>
      <c r="N415" t="n">
        <v>60.78069137853048</v>
      </c>
      <c r="O415" t="n">
        <v>0.5674271745450945</v>
      </c>
      <c r="P415" t="n">
        <v>94.75824301314097</v>
      </c>
      <c r="Q415" t="n">
        <v>86.0392467060821</v>
      </c>
    </row>
    <row r="416">
      <c r="A416" s="117" t="n">
        <v>45035</v>
      </c>
      <c r="B416" s="118" t="n">
        <v>117.9822740877783</v>
      </c>
      <c r="C416" s="118" t="n">
        <v>118.0571851826911</v>
      </c>
      <c r="D416" s="118" t="n">
        <v>116.9709957382005</v>
      </c>
      <c r="E416" s="118" t="n">
        <v>117.6732711791992</v>
      </c>
      <c r="F416" s="119" t="n">
        <v>3547400</v>
      </c>
      <c r="G416" s="120" t="n">
        <v>-0.004278581732951148</v>
      </c>
      <c r="H416" s="121" t="n">
        <v>75.26019581730984</v>
      </c>
      <c r="I416" s="118" t="n">
        <v>113.7305950927734</v>
      </c>
      <c r="J416" s="118" t="n">
        <v>103.662315864563</v>
      </c>
      <c r="K416" s="120" t="n">
        <v>0.2774434799645151</v>
      </c>
      <c r="L416" s="120" t="n">
        <v>-0.02680808453018435</v>
      </c>
      <c r="M416" s="120" t="n">
        <v>-0.0726570985091971</v>
      </c>
      <c r="N416" t="n">
        <v>58.94657250981037</v>
      </c>
      <c r="O416" t="n">
        <v>0.4823957633374614</v>
      </c>
      <c r="P416" t="n">
        <v>94.74223377273252</v>
      </c>
      <c r="Q416" t="n">
        <v>85.99879033607897</v>
      </c>
    </row>
    <row r="417">
      <c r="A417" s="117" t="n">
        <v>45036</v>
      </c>
      <c r="B417" s="118" t="n">
        <v>116.858625643003</v>
      </c>
      <c r="C417" s="118" t="n">
        <v>117.3736233000195</v>
      </c>
      <c r="D417" s="118" t="n">
        <v>115.8379817131343</v>
      </c>
      <c r="E417" s="118" t="n">
        <v>116.530891418457</v>
      </c>
      <c r="F417" s="119" t="n">
        <v>3891600</v>
      </c>
      <c r="G417" s="120" t="n">
        <v>-0.009708064960669893</v>
      </c>
      <c r="H417" s="121" t="n">
        <v>74.52956494736266</v>
      </c>
      <c r="I417" s="118" t="n">
        <v>113.720788269043</v>
      </c>
      <c r="J417" s="118" t="n">
        <v>103.7608307647705</v>
      </c>
      <c r="K417" s="120" t="n">
        <v>0.2136846892959443</v>
      </c>
      <c r="L417" s="120" t="n">
        <v>-0.03625589486476399</v>
      </c>
      <c r="M417" s="120" t="n">
        <v>-0.07368385877459527</v>
      </c>
      <c r="N417" t="n">
        <v>54.91470829642599</v>
      </c>
      <c r="O417" t="n">
        <v>0.3231524292537387</v>
      </c>
      <c r="P417" t="n">
        <v>94.22520295221713</v>
      </c>
      <c r="Q417" t="n">
        <v>85.34308167966589</v>
      </c>
    </row>
    <row r="418">
      <c r="A418" s="117" t="n">
        <v>45037</v>
      </c>
      <c r="B418" s="118" t="n">
        <v>116.4840980338272</v>
      </c>
      <c r="C418" s="118" t="n">
        <v>117.682647080949</v>
      </c>
      <c r="D418" s="118" t="n">
        <v>115.753732654732</v>
      </c>
      <c r="E418" s="118" t="n">
        <v>117.5421905517578</v>
      </c>
      <c r="F418" s="119" t="n">
        <v>3651400</v>
      </c>
      <c r="G418" s="120" t="n">
        <v>0.008678378076327098</v>
      </c>
      <c r="H418" s="121" t="n">
        <v>75.17636068984005</v>
      </c>
      <c r="I418" s="118" t="n">
        <v>113.7763986206055</v>
      </c>
      <c r="J418" s="118" t="n">
        <v>103.8648199081421</v>
      </c>
      <c r="K418" s="120" t="n">
        <v>0.2117729357102529</v>
      </c>
      <c r="L418" s="120" t="n">
        <v>-0.02789215915156884</v>
      </c>
      <c r="M418" s="120" t="n">
        <v>-0.06281711645675114</v>
      </c>
      <c r="N418" t="n">
        <v>57.67466078053527</v>
      </c>
      <c r="O418" t="n">
        <v>0.2624485242229071</v>
      </c>
      <c r="P418" t="n">
        <v>94.29840467664725</v>
      </c>
      <c r="Q418" t="n">
        <v>85.43214106738533</v>
      </c>
    </row>
    <row r="419">
      <c r="A419" s="117" t="n">
        <v>45040</v>
      </c>
      <c r="B419" s="118" t="n">
        <v>117.5234595526707</v>
      </c>
      <c r="C419" s="118" t="n">
        <v>119.0403699772571</v>
      </c>
      <c r="D419" s="118" t="n">
        <v>117.1863667596703</v>
      </c>
      <c r="E419" s="118" t="n">
        <v>119.0029144287109</v>
      </c>
      <c r="F419" s="119" t="n">
        <v>3790900</v>
      </c>
      <c r="G419" s="120" t="n">
        <v>0.01242723034253745</v>
      </c>
      <c r="H419" s="121" t="n">
        <v>76.11059464044637</v>
      </c>
      <c r="I419" s="118" t="n">
        <v>113.8748554992676</v>
      </c>
      <c r="J419" s="118" t="n">
        <v>103.9580131149292</v>
      </c>
      <c r="K419" s="120" t="n">
        <v>0.2143483268336985</v>
      </c>
      <c r="L419" s="120" t="n">
        <v>-0.01581155109555876</v>
      </c>
      <c r="M419" s="120" t="n">
        <v>-0.01581155109555832</v>
      </c>
      <c r="N419" t="n">
        <v>61.35457724765365</v>
      </c>
      <c r="O419" t="n">
        <v>0.2947724872337654</v>
      </c>
      <c r="P419" t="n">
        <v>94.39677313066088</v>
      </c>
      <c r="Q419" t="n">
        <v>85.2540474618158</v>
      </c>
    </row>
    <row r="420">
      <c r="A420" s="117" t="n">
        <v>45041</v>
      </c>
      <c r="B420" s="118" t="n">
        <v>118.4785334177749</v>
      </c>
      <c r="C420" s="118" t="n">
        <v>118.7032595317174</v>
      </c>
      <c r="D420" s="118" t="n">
        <v>116.1563469045696</v>
      </c>
      <c r="E420" s="118" t="n">
        <v>116.7275314331055</v>
      </c>
      <c r="F420" s="119" t="n">
        <v>4383300</v>
      </c>
      <c r="G420" s="120" t="n">
        <v>-0.01912039723168746</v>
      </c>
      <c r="H420" s="121" t="n">
        <v>74.65532983738109</v>
      </c>
      <c r="I420" s="118" t="n">
        <v>113.9268710327148</v>
      </c>
      <c r="J420" s="118" t="n">
        <v>104.040757522583</v>
      </c>
      <c r="K420" s="120" t="n">
        <v>0.2068240813658411</v>
      </c>
      <c r="L420" s="120" t="n">
        <v>-0.03462962518945001</v>
      </c>
      <c r="M420" s="120" t="n">
        <v>-0.03462962518944968</v>
      </c>
      <c r="N420" t="n">
        <v>53.54500040648793</v>
      </c>
      <c r="O420" t="n">
        <v>0.1446085816254545</v>
      </c>
      <c r="P420" t="n">
        <v>92.89835623432961</v>
      </c>
      <c r="Q420" t="n">
        <v>83.64585221947485</v>
      </c>
    </row>
    <row r="421">
      <c r="A421" s="117" t="n">
        <v>45042</v>
      </c>
      <c r="B421" s="118" t="n">
        <v>116.3061752511425</v>
      </c>
      <c r="C421" s="118" t="n">
        <v>117.0271820341477</v>
      </c>
      <c r="D421" s="118" t="n">
        <v>115.4447190957865</v>
      </c>
      <c r="E421" s="118" t="n">
        <v>115.959716796875</v>
      </c>
      <c r="F421" s="119" t="n">
        <v>4003200</v>
      </c>
      <c r="G421" s="120" t="n">
        <v>-0.006577836666326609</v>
      </c>
      <c r="H421" s="121" t="n">
        <v>74.16425927144006</v>
      </c>
      <c r="I421" s="118" t="n">
        <v>113.9090022277832</v>
      </c>
      <c r="J421" s="118" t="n">
        <v>104.1327501678467</v>
      </c>
      <c r="K421" s="120" t="n">
        <v>0.2094288536058913</v>
      </c>
      <c r="L421" s="120" t="n">
        <v>-0.04097967383746426</v>
      </c>
      <c r="M421" s="120" t="n">
        <v>-0.04097967383746393</v>
      </c>
      <c r="N421" t="n">
        <v>51.17772871925943</v>
      </c>
      <c r="O421" t="n">
        <v>-0.01618344605784094</v>
      </c>
      <c r="P421" t="n">
        <v>92.50483877654754</v>
      </c>
      <c r="Q421" t="n">
        <v>84.1531173764136</v>
      </c>
    </row>
    <row r="422">
      <c r="A422" s="117" t="n">
        <v>45043</v>
      </c>
      <c r="B422" s="118" t="n">
        <v>116.5215449970069</v>
      </c>
      <c r="C422" s="118" t="n">
        <v>117.9916413205093</v>
      </c>
      <c r="D422" s="118" t="n">
        <v>115.3042646922836</v>
      </c>
      <c r="E422" s="118" t="n">
        <v>117.7013626098633</v>
      </c>
      <c r="F422" s="119" t="n">
        <v>4252100</v>
      </c>
      <c r="G422" s="120" t="n">
        <v>0.01501940381623301</v>
      </c>
      <c r="H422" s="121" t="n">
        <v>75.27816223016963</v>
      </c>
      <c r="I422" s="118" t="n">
        <v>113.9063583374023</v>
      </c>
      <c r="J422" s="118" t="n">
        <v>104.2397163772583</v>
      </c>
      <c r="K422" s="120" t="n">
        <v>0.2018752214856097</v>
      </c>
      <c r="L422" s="120" t="n">
        <v>-0.02657576029085351</v>
      </c>
      <c r="M422" s="120" t="n">
        <v>-0.02657576029085329</v>
      </c>
      <c r="N422" t="n">
        <v>55.93651457006573</v>
      </c>
      <c r="O422" t="n">
        <v>-0.01502320231033138</v>
      </c>
      <c r="P422" t="n">
        <v>94.34646876597897</v>
      </c>
      <c r="Q422" t="n">
        <v>86.44132697900402</v>
      </c>
    </row>
    <row r="423">
      <c r="A423" s="117" t="n">
        <v>45044</v>
      </c>
      <c r="B423" s="118" t="n">
        <v>117.186374804677</v>
      </c>
      <c r="C423" s="118" t="n">
        <v>118.9841983948253</v>
      </c>
      <c r="D423" s="118" t="n">
        <v>117.0084627228475</v>
      </c>
      <c r="E423" s="118" t="n">
        <v>118.6564712524414</v>
      </c>
      <c r="F423" s="119" t="n">
        <v>4421400</v>
      </c>
      <c r="G423" s="120" t="n">
        <v>0.008114677871181142</v>
      </c>
      <c r="H423" s="121" t="n">
        <v>75.88902026740196</v>
      </c>
      <c r="I423" s="118" t="n">
        <v>113.8989135742188</v>
      </c>
      <c r="J423" s="118" t="n">
        <v>104.3451927947998</v>
      </c>
      <c r="K423" s="120" t="n">
        <v>0.2018450679961491</v>
      </c>
      <c r="L423" s="120" t="n">
        <v>-0.0153313501780189</v>
      </c>
      <c r="M423" s="120" t="n">
        <v>-0.0186767361536142</v>
      </c>
      <c r="N423" t="n">
        <v>58.33494831163477</v>
      </c>
      <c r="O423" t="n">
        <v>0.03742404193430948</v>
      </c>
      <c r="P423" t="n">
        <v>95.15172410281674</v>
      </c>
      <c r="Q423" t="n">
        <v>87.0376683035751</v>
      </c>
    </row>
    <row r="424">
      <c r="A424" s="117" t="n">
        <v>45047</v>
      </c>
      <c r="B424" s="118" t="n">
        <v>118.8437307031709</v>
      </c>
      <c r="C424" s="118" t="n">
        <v>120.4917319340805</v>
      </c>
      <c r="D424" s="118" t="n">
        <v>118.7875509537285</v>
      </c>
      <c r="E424" s="118" t="n">
        <v>119.7800979614258</v>
      </c>
      <c r="F424" s="119" t="n">
        <v>4112600</v>
      </c>
      <c r="G424" s="120" t="n">
        <v>0.00946957799371817</v>
      </c>
      <c r="H424" s="121" t="n">
        <v>76.60765726369098</v>
      </c>
      <c r="I424" s="118" t="n">
        <v>113.9718310546875</v>
      </c>
      <c r="J424" s="118" t="n">
        <v>104.4650587844849</v>
      </c>
      <c r="K424" s="120" t="n">
        <v>0.19173932353084</v>
      </c>
      <c r="L424" s="120" t="n">
        <v>0</v>
      </c>
      <c r="M424" s="120" t="n">
        <v>-0.009384018969570751</v>
      </c>
      <c r="N424" t="n">
        <v>61.02284734302827</v>
      </c>
      <c r="O424" t="n">
        <v>0.1299367456354228</v>
      </c>
      <c r="P424" t="n">
        <v>95.05563229225966</v>
      </c>
      <c r="Q424" t="n">
        <v>86.93780265194773</v>
      </c>
    </row>
    <row r="425">
      <c r="A425" s="117" t="n">
        <v>45048</v>
      </c>
      <c r="B425" s="118" t="n">
        <v>119.0590931507582</v>
      </c>
      <c r="C425" s="118" t="n">
        <v>119.4617313400967</v>
      </c>
      <c r="D425" s="118" t="n">
        <v>117.2050829165232</v>
      </c>
      <c r="E425" s="118" t="n">
        <v>119.1620941162109</v>
      </c>
      <c r="F425" s="119" t="n">
        <v>3831600</v>
      </c>
      <c r="G425" s="120" t="n">
        <v>-0.005159486890834453</v>
      </c>
      <c r="H425" s="121" t="n">
        <v>76.21240106030143</v>
      </c>
      <c r="I425" s="118" t="n">
        <v>114.0237986755371</v>
      </c>
      <c r="J425" s="118" t="n">
        <v>104.5749661636353</v>
      </c>
      <c r="K425" s="120" t="n">
        <v>0.1900614862524191</v>
      </c>
      <c r="L425" s="120" t="n">
        <v>-0.005159486890834453</v>
      </c>
      <c r="M425" s="120" t="n">
        <v>-0.01449508913754827</v>
      </c>
      <c r="N425" t="n">
        <v>58.7768903389434</v>
      </c>
      <c r="O425" t="n">
        <v>0.1312690889996277</v>
      </c>
      <c r="P425" t="n">
        <v>93.98729007419794</v>
      </c>
      <c r="Q425" t="n">
        <v>86.17958550762546</v>
      </c>
    </row>
    <row r="426">
      <c r="A426" s="117" t="n">
        <v>45049</v>
      </c>
      <c r="B426" s="118" t="n">
        <v>117.5047119579024</v>
      </c>
      <c r="C426" s="118" t="n">
        <v>120.2108196008208</v>
      </c>
      <c r="D426" s="118" t="n">
        <v>115.8005240262399</v>
      </c>
      <c r="E426" s="118" t="n">
        <v>118.6751708984375</v>
      </c>
      <c r="F426" s="119" t="n">
        <v>4560100</v>
      </c>
      <c r="G426" s="120" t="n">
        <v>-0.004086225753120565</v>
      </c>
      <c r="H426" s="121" t="n">
        <v>75.90097998438168</v>
      </c>
      <c r="I426" s="118" t="n">
        <v>114.1358686828613</v>
      </c>
      <c r="J426" s="118" t="n">
        <v>104.6859660339355</v>
      </c>
      <c r="K426" s="120" t="n">
        <v>0.1835115892846637</v>
      </c>
      <c r="L426" s="120" t="n">
        <v>-0.009224629815748786</v>
      </c>
      <c r="M426" s="120" t="n">
        <v>-0.01852208468414129</v>
      </c>
      <c r="N426" t="n">
        <v>56.99691371294024</v>
      </c>
      <c r="O426" t="n">
        <v>0.08344757592926499</v>
      </c>
      <c r="P426" t="n">
        <v>93.34214896230856</v>
      </c>
      <c r="Q426" t="n">
        <v>85.61563780490881</v>
      </c>
    </row>
    <row r="427">
      <c r="A427" s="117" t="n">
        <v>45050</v>
      </c>
      <c r="B427" s="118" t="n">
        <v>116.9897352356484</v>
      </c>
      <c r="C427" s="118" t="n">
        <v>117.223827065626</v>
      </c>
      <c r="D427" s="118" t="n">
        <v>115.0046339456289</v>
      </c>
      <c r="E427" s="118" t="n">
        <v>115.8005447387695</v>
      </c>
      <c r="F427" s="119" t="n">
        <v>6177100</v>
      </c>
      <c r="G427" s="120" t="n">
        <v>-0.02422264183742429</v>
      </c>
      <c r="H427" s="121" t="n">
        <v>74.06245773111048</v>
      </c>
      <c r="I427" s="118" t="n">
        <v>114.2128550720215</v>
      </c>
      <c r="J427" s="118" t="n">
        <v>104.7582280349731</v>
      </c>
      <c r="K427" s="120" t="n">
        <v>0.1864538989098216</v>
      </c>
      <c r="L427" s="120" t="n">
        <v>-0.03322382674906343</v>
      </c>
      <c r="M427" s="120" t="n">
        <v>-0.04229607269817914</v>
      </c>
      <c r="N427" t="n">
        <v>47.79468770197823</v>
      </c>
      <c r="O427" t="n">
        <v>-0.1452435568968937</v>
      </c>
      <c r="P427" t="n">
        <v>92.68100588363198</v>
      </c>
      <c r="Q427" t="n">
        <v>85.3133980137449</v>
      </c>
    </row>
    <row r="428">
      <c r="A428" s="117" t="n">
        <v>45051</v>
      </c>
      <c r="B428" s="118" t="n">
        <v>117.9167379116004</v>
      </c>
      <c r="C428" s="118" t="n">
        <v>118.9467405437116</v>
      </c>
      <c r="D428" s="118" t="n">
        <v>117.2519179659294</v>
      </c>
      <c r="E428" s="118" t="n">
        <v>118.5347366333008</v>
      </c>
      <c r="F428" s="119" t="n">
        <v>4887800</v>
      </c>
      <c r="G428" s="120" t="n">
        <v>0.0236112178979746</v>
      </c>
      <c r="H428" s="121" t="n">
        <v>75.81116255865928</v>
      </c>
      <c r="I428" s="118" t="n">
        <v>114.3434051513672</v>
      </c>
      <c r="J428" s="118" t="n">
        <v>104.8352503585815</v>
      </c>
      <c r="K428" s="120" t="n">
        <v>0.2006065190006643</v>
      </c>
      <c r="L428" s="120" t="n">
        <v>-0.01039706386386541</v>
      </c>
      <c r="M428" s="120" t="n">
        <v>-0.01968351658890977</v>
      </c>
      <c r="N428" t="n">
        <v>55.20305131980325</v>
      </c>
      <c r="O428" t="n">
        <v>-0.1170391918390068</v>
      </c>
      <c r="P428" t="n">
        <v>94.39677313066088</v>
      </c>
      <c r="Q428" t="n">
        <v>87.12670252142519</v>
      </c>
    </row>
    <row r="429">
      <c r="A429" s="117" t="n">
        <v>45054</v>
      </c>
      <c r="B429" s="118" t="n">
        <v>119.1620985420843</v>
      </c>
      <c r="C429" s="118" t="n">
        <v>119.5647367463775</v>
      </c>
      <c r="D429" s="118" t="n">
        <v>117.963549602025</v>
      </c>
      <c r="E429" s="118" t="n">
        <v>118.8062744140625</v>
      </c>
      <c r="F429" s="119" t="n">
        <v>3892600</v>
      </c>
      <c r="G429" s="120" t="n">
        <v>0.002290786553158286</v>
      </c>
      <c r="H429" s="121" t="n">
        <v>75.98482975042795</v>
      </c>
      <c r="I429" s="118" t="n">
        <v>114.5152404785156</v>
      </c>
      <c r="J429" s="118" t="n">
        <v>104.9112635803223</v>
      </c>
      <c r="K429" s="120" t="n">
        <v>0.1960362280795145</v>
      </c>
      <c r="L429" s="120" t="n">
        <v>-0.008130094764798756</v>
      </c>
      <c r="M429" s="120" t="n">
        <v>-0.0174378207708723</v>
      </c>
      <c r="N429" t="n">
        <v>55.87278185141759</v>
      </c>
      <c r="O429" t="n">
        <v>-0.08619030136100725</v>
      </c>
      <c r="P429" t="n">
        <v>94.42195440748691</v>
      </c>
      <c r="Q429" t="n">
        <v>87.34255093102085</v>
      </c>
    </row>
    <row r="430">
      <c r="A430" s="117" t="n">
        <v>45055</v>
      </c>
      <c r="B430" s="118" t="n">
        <v>117.2987147042832</v>
      </c>
      <c r="C430" s="118" t="n">
        <v>117.6639044806487</v>
      </c>
      <c r="D430" s="118" t="n">
        <v>116.2687122244498</v>
      </c>
      <c r="E430" s="118" t="n">
        <v>117.139533996582</v>
      </c>
      <c r="F430" s="119" t="n">
        <v>4082100</v>
      </c>
      <c r="G430" s="120" t="n">
        <v>-0.01402906055004771</v>
      </c>
      <c r="H430" s="121" t="n">
        <v>74.91883397297413</v>
      </c>
      <c r="I430" s="118" t="n">
        <v>114.6445903015137</v>
      </c>
      <c r="J430" s="118" t="n">
        <v>104.9905453109741</v>
      </c>
      <c r="K430" s="120" t="n">
        <v>0.2007124296457827</v>
      </c>
      <c r="L430" s="120" t="n">
        <v>-0.02204509772311347</v>
      </c>
      <c r="M430" s="120" t="n">
        <v>-0.03122224507746452</v>
      </c>
      <c r="N430" t="n">
        <v>50.84767658364603</v>
      </c>
      <c r="O430" t="n">
        <v>-0.1788009647061073</v>
      </c>
      <c r="P430" t="n">
        <v>94.00788169600455</v>
      </c>
      <c r="Q430" t="n">
        <v>86.78940110225565</v>
      </c>
    </row>
    <row r="431">
      <c r="A431" s="117" t="n">
        <v>45056</v>
      </c>
      <c r="B431" s="118" t="n">
        <v>118.2538184478451</v>
      </c>
      <c r="C431" s="118" t="n">
        <v>118.4129991625588</v>
      </c>
      <c r="D431" s="118" t="n">
        <v>114.3959828847208</v>
      </c>
      <c r="E431" s="118" t="n">
        <v>115.6507186889648</v>
      </c>
      <c r="F431" s="119" t="n">
        <v>5052600</v>
      </c>
      <c r="G431" s="120" t="n">
        <v>-0.0127097595220127</v>
      </c>
      <c r="H431" s="121" t="n">
        <v>73.96663360950804</v>
      </c>
      <c r="I431" s="118" t="n">
        <v>114.7393087768555</v>
      </c>
      <c r="J431" s="118" t="n">
        <v>105.0616405105591</v>
      </c>
      <c r="K431" s="120" t="n">
        <v>0.2061187160697773</v>
      </c>
      <c r="L431" s="120" t="n">
        <v>-0.03447466935442611</v>
      </c>
      <c r="M431" s="120" t="n">
        <v>-0.04353517737280532</v>
      </c>
      <c r="N431" t="n">
        <v>46.79877778455473</v>
      </c>
      <c r="O431" t="n">
        <v>-0.3321765921618247</v>
      </c>
      <c r="P431" t="n">
        <v>94.44711386344913</v>
      </c>
      <c r="Q431" t="n">
        <v>87.7338165500784</v>
      </c>
    </row>
    <row r="432">
      <c r="A432" s="117" t="n">
        <v>45057</v>
      </c>
      <c r="B432" s="118" t="n">
        <v>115.5945146934125</v>
      </c>
      <c r="C432" s="118" t="n">
        <v>115.9784286303559</v>
      </c>
      <c r="D432" s="118" t="n">
        <v>114.1431499866138</v>
      </c>
      <c r="E432" s="118" t="n">
        <v>114.4427871704102</v>
      </c>
      <c r="F432" s="119" t="n">
        <v>5923100</v>
      </c>
      <c r="G432" s="120" t="n">
        <v>-0.01044465207175527</v>
      </c>
      <c r="H432" s="121" t="n">
        <v>73.19407785653772</v>
      </c>
      <c r="I432" s="118" t="n">
        <v>114.8137901306152</v>
      </c>
      <c r="J432" s="118" t="n">
        <v>105.1456308746338</v>
      </c>
      <c r="K432" s="120" t="n">
        <v>0.1912546921285973</v>
      </c>
      <c r="L432" s="120" t="n">
        <v>-0.04455924549948564</v>
      </c>
      <c r="M432" s="120" t="n">
        <v>-0.05352511966401952</v>
      </c>
      <c r="N432" t="n">
        <v>43.75456273868557</v>
      </c>
      <c r="O432" t="n">
        <v>-0.496915873208487</v>
      </c>
      <c r="P432" t="n">
        <v>94.28240270986008</v>
      </c>
      <c r="Q432" t="n">
        <v>88.01983855542397</v>
      </c>
    </row>
    <row r="433">
      <c r="A433" s="117" t="n">
        <v>45058</v>
      </c>
      <c r="B433" s="118" t="n">
        <v>113.2910647307263</v>
      </c>
      <c r="C433" s="118" t="n">
        <v>113.4877009840732</v>
      </c>
      <c r="D433" s="118" t="n">
        <v>111.4557858889069</v>
      </c>
      <c r="E433" s="118" t="n">
        <v>112.5606994628906</v>
      </c>
      <c r="F433" s="119" t="n">
        <v>6574200</v>
      </c>
      <c r="G433" s="120" t="n">
        <v>-0.01644566472080955</v>
      </c>
      <c r="H433" s="121" t="n">
        <v>71.99035259256027</v>
      </c>
      <c r="I433" s="118" t="n">
        <v>114.8319555664063</v>
      </c>
      <c r="J433" s="118" t="n">
        <v>105.2078659820557</v>
      </c>
      <c r="K433" s="120" t="n">
        <v>0.1983020331039818</v>
      </c>
      <c r="L433" s="120" t="n">
        <v>-0.06027210380859838</v>
      </c>
      <c r="M433" s="120" t="n">
        <v>-0.06909052821269346</v>
      </c>
      <c r="N433" t="n">
        <v>39.44873969052265</v>
      </c>
      <c r="O433" t="n">
        <v>-0.7020322680813541</v>
      </c>
      <c r="P433" t="n">
        <v>94.15886752626297</v>
      </c>
      <c r="Q433" t="n">
        <v>87.70414127411385</v>
      </c>
    </row>
    <row r="434">
      <c r="A434" s="117" t="n">
        <v>45061</v>
      </c>
      <c r="B434" s="118" t="n">
        <v>112.1955217174984</v>
      </c>
      <c r="C434" s="118" t="n">
        <v>112.3547024327748</v>
      </c>
      <c r="D434" s="118" t="n">
        <v>110.5006993096279</v>
      </c>
      <c r="E434" s="118" t="n">
        <v>112.2048873901367</v>
      </c>
      <c r="F434" s="119" t="n">
        <v>5518200</v>
      </c>
      <c r="G434" s="120" t="n">
        <v>-0.003161068423097491</v>
      </c>
      <c r="H434" s="121" t="n">
        <v>71.76278616221228</v>
      </c>
      <c r="I434" s="118" t="n">
        <v>114.8111683654785</v>
      </c>
      <c r="J434" s="118" t="n">
        <v>105.248041305542</v>
      </c>
      <c r="K434" s="120" t="n">
        <v>0.1977066864814297</v>
      </c>
      <c r="L434" s="120" t="n">
        <v>-0.06324264798755286</v>
      </c>
      <c r="M434" s="120" t="n">
        <v>-0.07203319674872255</v>
      </c>
      <c r="N434" t="n">
        <v>38.67389222382473</v>
      </c>
      <c r="O434" t="n">
        <v>-0.8227002964097327</v>
      </c>
      <c r="P434" t="n">
        <v>94.48371472566421</v>
      </c>
      <c r="Q434" t="n">
        <v>88.17904636902398</v>
      </c>
    </row>
    <row r="435">
      <c r="A435" s="117" t="n">
        <v>45062</v>
      </c>
      <c r="B435" s="118" t="n">
        <v>110.0231532925965</v>
      </c>
      <c r="C435" s="118" t="n">
        <v>110.3415147326192</v>
      </c>
      <c r="D435" s="118" t="n">
        <v>108.7309690427568</v>
      </c>
      <c r="E435" s="118" t="n">
        <v>109.0680618286133</v>
      </c>
      <c r="F435" s="119" t="n">
        <v>8306400</v>
      </c>
      <c r="G435" s="120" t="n">
        <v>-0.02795622930948349</v>
      </c>
      <c r="H435" s="121" t="n">
        <v>69.75656925637405</v>
      </c>
      <c r="I435" s="118" t="n">
        <v>114.742064666748</v>
      </c>
      <c r="J435" s="118" t="n">
        <v>105.2600484466553</v>
      </c>
      <c r="K435" s="120" t="n">
        <v>0.2169292952516912</v>
      </c>
      <c r="L435" s="120" t="n">
        <v>-0.0894308513277573</v>
      </c>
      <c r="M435" s="120" t="n">
        <v>-0.09797564949200366</v>
      </c>
      <c r="N435" t="n">
        <v>32.5954247009101</v>
      </c>
      <c r="O435" t="n">
        <v>-1.059714790693327</v>
      </c>
      <c r="P435" t="n">
        <v>93.85230621072674</v>
      </c>
      <c r="Q435" t="n">
        <v>88.27888685078197</v>
      </c>
    </row>
    <row r="436">
      <c r="A436" s="117" t="n">
        <v>45063</v>
      </c>
      <c r="B436" s="118" t="n">
        <v>108.9744059913218</v>
      </c>
      <c r="C436" s="118" t="n">
        <v>109.6766813515413</v>
      </c>
      <c r="D436" s="118" t="n">
        <v>107.9163136870669</v>
      </c>
      <c r="E436" s="118" t="n">
        <v>109.5362319946289</v>
      </c>
      <c r="F436" s="119" t="n">
        <v>7765400</v>
      </c>
      <c r="G436" s="120" t="n">
        <v>0.004292458838695667</v>
      </c>
      <c r="H436" s="121" t="n">
        <v>70.05599645863565</v>
      </c>
      <c r="I436" s="118" t="n">
        <v>114.6931861877441</v>
      </c>
      <c r="J436" s="118" t="n">
        <v>105.2772737503052</v>
      </c>
      <c r="K436" s="120" t="n">
        <v>0.2188633236865008</v>
      </c>
      <c r="L436" s="120" t="n">
        <v>-0.08552227073729568</v>
      </c>
      <c r="M436" s="120" t="n">
        <v>-0.09410374709594704</v>
      </c>
      <c r="N436" t="n">
        <v>34.25626786194628</v>
      </c>
      <c r="O436" t="n">
        <v>-1.124750594623373</v>
      </c>
      <c r="P436" t="n">
        <v>94.99157350976205</v>
      </c>
      <c r="Q436" t="n">
        <v>89.34742331432976</v>
      </c>
    </row>
    <row r="437">
      <c r="A437" s="117" t="n">
        <v>45064</v>
      </c>
      <c r="B437" s="118" t="n">
        <v>109.9575906763011</v>
      </c>
      <c r="C437" s="118" t="n">
        <v>111.5681432582419</v>
      </c>
      <c r="D437" s="118" t="n">
        <v>109.4144960346858</v>
      </c>
      <c r="E437" s="118" t="n">
        <v>111.3059616088867</v>
      </c>
      <c r="F437" s="119" t="n">
        <v>5970500</v>
      </c>
      <c r="G437" s="120" t="n">
        <v>0.0161565683064997</v>
      </c>
      <c r="H437" s="121" t="n">
        <v>71.1878609506995</v>
      </c>
      <c r="I437" s="118" t="n">
        <v>114.6746461486816</v>
      </c>
      <c r="J437" s="118" t="n">
        <v>105.3150891876221</v>
      </c>
      <c r="K437" s="120" t="n">
        <v>0.2281694205713088</v>
      </c>
      <c r="L437" s="120" t="n">
        <v>-0.07074744883968997</v>
      </c>
      <c r="M437" s="120" t="n">
        <v>-0.07946757240730062</v>
      </c>
      <c r="N437" t="n">
        <v>40.24959477684649</v>
      </c>
      <c r="O437" t="n">
        <v>-0.9929581854866861</v>
      </c>
      <c r="P437" t="n">
        <v>95.90666052773008</v>
      </c>
      <c r="Q437" t="n">
        <v>91.00690636045113</v>
      </c>
    </row>
    <row r="438">
      <c r="A438" s="117" t="n">
        <v>45065</v>
      </c>
      <c r="B438" s="118" t="n">
        <v>107.2702189258311</v>
      </c>
      <c r="C438" s="118" t="n">
        <v>108.1410406652107</v>
      </c>
      <c r="D438" s="118" t="n">
        <v>105.9031237376281</v>
      </c>
      <c r="E438" s="118" t="n">
        <v>107.4574966430664</v>
      </c>
      <c r="F438" s="119" t="n">
        <v>11674300</v>
      </c>
      <c r="G438" s="120" t="n">
        <v>-0.03457555112225952</v>
      </c>
      <c r="H438" s="121" t="n">
        <v>68.72650142511428</v>
      </c>
      <c r="I438" s="118" t="n">
        <v>114.6164042663574</v>
      </c>
      <c r="J438" s="118" t="n">
        <v>105.3220137023926</v>
      </c>
      <c r="K438" s="120" t="n">
        <v>0.2513197314777589</v>
      </c>
      <c r="L438" s="120" t="n">
        <v>-0.1028768679278235</v>
      </c>
      <c r="M438" s="120" t="n">
        <v>-0.1112954884172296</v>
      </c>
      <c r="N438" t="n">
        <v>33.16844168808007</v>
      </c>
      <c r="O438" t="n">
        <v>-1.100983341873644</v>
      </c>
      <c r="P438" t="n">
        <v>95.76710883010325</v>
      </c>
      <c r="Q438" t="n">
        <v>90.80183065493759</v>
      </c>
    </row>
    <row r="439">
      <c r="A439" s="117" t="n">
        <v>45068</v>
      </c>
      <c r="B439" s="118" t="n">
        <v>105.6690363756355</v>
      </c>
      <c r="C439" s="118" t="n">
        <v>105.6690363756355</v>
      </c>
      <c r="D439" s="118" t="n">
        <v>103.019115503041</v>
      </c>
      <c r="E439" s="118" t="n">
        <v>103.1689376831055</v>
      </c>
      <c r="F439" s="119" t="n">
        <v>12710300</v>
      </c>
      <c r="G439" s="120" t="n">
        <v>-0.03990935108237192</v>
      </c>
      <c r="H439" s="121" t="n">
        <v>65.98367135107627</v>
      </c>
      <c r="I439" s="118" t="n">
        <v>114.4795075988769</v>
      </c>
      <c r="J439" s="118" t="n">
        <v>105.3065671539307</v>
      </c>
      <c r="K439" s="120" t="n">
        <v>0.2727183796401222</v>
      </c>
      <c r="L439" s="120" t="n">
        <v>-0.138680469969809</v>
      </c>
      <c r="M439" s="120" t="n">
        <v>-0.1467631087784742</v>
      </c>
      <c r="N439" t="n">
        <v>27.38634799333938</v>
      </c>
      <c r="O439" t="n">
        <v>-1.379235051915669</v>
      </c>
      <c r="P439" t="n">
        <v>95.80600088301739</v>
      </c>
      <c r="Q439" t="n">
        <v>91.10676362212202</v>
      </c>
    </row>
    <row r="440">
      <c r="A440" s="117" t="n">
        <v>45069</v>
      </c>
      <c r="B440" s="118" t="n">
        <v>102.7850261405636</v>
      </c>
      <c r="C440" s="118" t="n">
        <v>103.9929407062802</v>
      </c>
      <c r="D440" s="118" t="n">
        <v>101.3055713688955</v>
      </c>
      <c r="E440" s="118" t="n">
        <v>101.858024597168</v>
      </c>
      <c r="F440" s="119" t="n">
        <v>11790400</v>
      </c>
      <c r="G440" s="120" t="n">
        <v>-0.01270647072051967</v>
      </c>
      <c r="H440" s="121" t="n">
        <v>65.14525176302143</v>
      </c>
      <c r="I440" s="118" t="n">
        <v>114.3281907653809</v>
      </c>
      <c r="J440" s="118" t="n">
        <v>105.2873970794678</v>
      </c>
      <c r="K440" s="120" t="n">
        <v>0.2698643817734451</v>
      </c>
      <c r="L440" s="120" t="n">
        <v>-0.1496248013591492</v>
      </c>
      <c r="M440" s="120" t="n">
        <v>-0.1576047383544478</v>
      </c>
      <c r="N440" t="n">
        <v>25.900043641108</v>
      </c>
      <c r="O440" t="n">
        <v>-1.556425094492418</v>
      </c>
      <c r="P440" t="n">
        <v>94.73078509285845</v>
      </c>
      <c r="Q440" t="n">
        <v>89.95184416696243</v>
      </c>
    </row>
    <row r="441">
      <c r="A441" s="117" t="n">
        <v>45070</v>
      </c>
      <c r="B441" s="118" t="n">
        <v>102.0640125852248</v>
      </c>
      <c r="C441" s="118" t="n">
        <v>102.1576478652358</v>
      </c>
      <c r="D441" s="118" t="n">
        <v>100.3785489693711</v>
      </c>
      <c r="E441" s="118" t="n">
        <v>101.3991928100586</v>
      </c>
      <c r="F441" s="119" t="n">
        <v>8503200</v>
      </c>
      <c r="G441" s="120" t="n">
        <v>-0.004504620906639167</v>
      </c>
      <c r="H441" s="121" t="n">
        <v>64.85179709996144</v>
      </c>
      <c r="I441" s="118" t="n">
        <v>114.1276208496094</v>
      </c>
      <c r="J441" s="118" t="n">
        <v>105.2653295135498</v>
      </c>
      <c r="K441" s="120" t="n">
        <v>0.2699722047937362</v>
      </c>
      <c r="L441" s="120" t="n">
        <v>-0.1534554192574343</v>
      </c>
      <c r="M441" s="120" t="n">
        <v>-0.1613994096617102</v>
      </c>
      <c r="N441" t="n">
        <v>25.38083277019507</v>
      </c>
      <c r="O441" t="n">
        <v>-1.603057801470521</v>
      </c>
      <c r="P441" t="n">
        <v>94.04448983184092</v>
      </c>
      <c r="Q441" t="n">
        <v>89.49043851198077</v>
      </c>
    </row>
    <row r="442">
      <c r="A442" s="117" t="n">
        <v>45071</v>
      </c>
      <c r="B442" s="118" t="n">
        <v>101.4553896312676</v>
      </c>
      <c r="C442" s="118" t="n">
        <v>102.035939895345</v>
      </c>
      <c r="D442" s="118" t="n">
        <v>100.5845678071091</v>
      </c>
      <c r="E442" s="118" t="n">
        <v>100.640754699707</v>
      </c>
      <c r="F442" s="119" t="n">
        <v>6729800</v>
      </c>
      <c r="G442" s="120" t="n">
        <v>-0.007479725324562203</v>
      </c>
      <c r="H442" s="121" t="n">
        <v>64.36672347084949</v>
      </c>
      <c r="I442" s="118" t="n">
        <v>113.9274255371094</v>
      </c>
      <c r="J442" s="118" t="n">
        <v>105.2575228118896</v>
      </c>
      <c r="K442" s="120" t="n">
        <v>0.2576655346491912</v>
      </c>
      <c r="L442" s="120" t="n">
        <v>-0.1597873401963854</v>
      </c>
      <c r="M442" s="120" t="n">
        <v>-0.1676719117344563</v>
      </c>
      <c r="N442" t="n">
        <v>24.50630724775253</v>
      </c>
      <c r="O442" t="n">
        <v>-1.580881618874157</v>
      </c>
      <c r="P442" t="n">
        <v>94.85890265785372</v>
      </c>
      <c r="Q442" t="n">
        <v>91.66800136890525</v>
      </c>
    </row>
    <row r="443">
      <c r="A443" s="117" t="n">
        <v>45072</v>
      </c>
      <c r="B443" s="118" t="n">
        <v>100.1912816410344</v>
      </c>
      <c r="C443" s="118" t="n">
        <v>101.5490111047725</v>
      </c>
      <c r="D443" s="118" t="n">
        <v>100.1912816410344</v>
      </c>
      <c r="E443" s="118" t="n">
        <v>100.668830871582</v>
      </c>
      <c r="F443" s="119" t="n">
        <v>7911200</v>
      </c>
      <c r="G443" s="120" t="n">
        <v>0.000278974178589797</v>
      </c>
      <c r="H443" s="121" t="n">
        <v>64.38468012465829</v>
      </c>
      <c r="I443" s="118" t="n">
        <v>113.6813478088379</v>
      </c>
      <c r="J443" s="118" t="n">
        <v>105.2357946395874</v>
      </c>
      <c r="K443" s="120" t="n">
        <v>0.2527522293446158</v>
      </c>
      <c r="L443" s="120" t="n">
        <v>-0.159552942559776</v>
      </c>
      <c r="M443" s="120" t="n">
        <v>-0.1674397136897152</v>
      </c>
      <c r="N443" t="n">
        <v>24.60986522737102</v>
      </c>
      <c r="O443" t="n">
        <v>-1.462943216438496</v>
      </c>
      <c r="P443" t="n">
        <v>96.08738819534886</v>
      </c>
      <c r="Q443" t="n">
        <v>94.0101583914708</v>
      </c>
    </row>
    <row r="444">
      <c r="A444" s="117" t="n">
        <v>45076</v>
      </c>
      <c r="B444" s="118" t="n">
        <v>101.5022037898127</v>
      </c>
      <c r="C444" s="118" t="n">
        <v>101.9516560358376</v>
      </c>
      <c r="D444" s="118" t="n">
        <v>99.50773712334396</v>
      </c>
      <c r="E444" s="118" t="n">
        <v>99.74182891845703</v>
      </c>
      <c r="F444" s="119" t="n">
        <v>9335200</v>
      </c>
      <c r="G444" s="120" t="n">
        <v>-0.009208430703913972</v>
      </c>
      <c r="H444" s="121" t="n">
        <v>63.79179825933671</v>
      </c>
      <c r="I444" s="118" t="n">
        <v>113.4215992736816</v>
      </c>
      <c r="J444" s="118" t="n">
        <v>105.2049761581421</v>
      </c>
      <c r="K444" s="120" t="n">
        <v>0.2441147086119755</v>
      </c>
      <c r="L444" s="120" t="n">
        <v>-0.1672921410485226</v>
      </c>
      <c r="M444" s="120" t="n">
        <v>-0.1751062873930344</v>
      </c>
      <c r="N444" t="n">
        <v>23.465335423349</v>
      </c>
      <c r="O444" t="n">
        <v>-1.348781946957302</v>
      </c>
      <c r="P444" t="n">
        <v>96.12398178394265</v>
      </c>
      <c r="Q444" t="n">
        <v>94.43649402849042</v>
      </c>
    </row>
    <row r="445">
      <c r="A445" s="117" t="n">
        <v>45077</v>
      </c>
      <c r="B445" s="118" t="n">
        <v>98.97401608284396</v>
      </c>
      <c r="C445" s="118" t="n">
        <v>99.41410983610685</v>
      </c>
      <c r="D445" s="118" t="n">
        <v>98.15938114238436</v>
      </c>
      <c r="E445" s="118" t="n">
        <v>98.56201934814453</v>
      </c>
      <c r="F445" s="119" t="n">
        <v>21465200</v>
      </c>
      <c r="G445" s="120" t="n">
        <v>-0.0118286338149769</v>
      </c>
      <c r="H445" s="121" t="n">
        <v>63.03722843732813</v>
      </c>
      <c r="I445" s="118" t="n">
        <v>113.1230853271484</v>
      </c>
      <c r="J445" s="118" t="n">
        <v>105.1591160202026</v>
      </c>
      <c r="K445" s="120" t="n">
        <v>0.2438714116517097</v>
      </c>
      <c r="L445" s="120" t="n">
        <v>-0.1771419373869132</v>
      </c>
      <c r="M445" s="120" t="n">
        <v>-0.1848636530557389</v>
      </c>
      <c r="N445" t="n">
        <v>22.05921086890946</v>
      </c>
      <c r="O445" t="n">
        <v>-1.256032078262091</v>
      </c>
      <c r="P445" t="n">
        <v>95.59095627026134</v>
      </c>
      <c r="Q445" t="n">
        <v>93.89952003576131</v>
      </c>
    </row>
    <row r="446">
      <c r="A446" s="117" t="n">
        <v>45078</v>
      </c>
      <c r="B446" s="118" t="n">
        <v>97.55075627168053</v>
      </c>
      <c r="C446" s="118" t="n">
        <v>97.94402886616429</v>
      </c>
      <c r="D446" s="118" t="n">
        <v>96.35220713958732</v>
      </c>
      <c r="E446" s="118" t="n">
        <v>97.03575134277344</v>
      </c>
      <c r="F446" s="119" t="n">
        <v>12025200</v>
      </c>
      <c r="G446" s="120" t="n">
        <v>-0.0154853564838191</v>
      </c>
      <c r="H446" s="121" t="n">
        <v>62.06107448322417</v>
      </c>
      <c r="I446" s="118" t="n">
        <v>112.7114585876465</v>
      </c>
      <c r="J446" s="118" t="n">
        <v>105.1044643783569</v>
      </c>
      <c r="K446" s="120" t="n">
        <v>0.243976104488084</v>
      </c>
      <c r="L446" s="120" t="n">
        <v>-0.1898841878220615</v>
      </c>
      <c r="M446" s="120" t="n">
        <v>-0.1974863299710888</v>
      </c>
      <c r="N446" t="n">
        <v>20.35952654496545</v>
      </c>
      <c r="O446" t="n">
        <v>-1.200811978910482</v>
      </c>
      <c r="P446" t="n">
        <v>96.49916971613214</v>
      </c>
      <c r="Q446" t="n">
        <v>94.98427428512744</v>
      </c>
    </row>
    <row r="447">
      <c r="A447" s="117" t="n">
        <v>45079</v>
      </c>
      <c r="B447" s="118" t="n">
        <v>101.1129492415631</v>
      </c>
      <c r="C447" s="118" t="n">
        <v>101.8551152223391</v>
      </c>
      <c r="D447" s="118" t="n">
        <v>99.70377496178277</v>
      </c>
      <c r="E447" s="118" t="n">
        <v>101.2538681030273</v>
      </c>
      <c r="F447" s="119" t="n">
        <v>11838200</v>
      </c>
      <c r="G447" s="120" t="n">
        <v>0.04346971813876754</v>
      </c>
      <c r="H447" s="121" t="n">
        <v>64.75885189839899</v>
      </c>
      <c r="I447" s="118" t="n">
        <v>112.4986184692383</v>
      </c>
      <c r="J447" s="118" t="n">
        <v>105.0628280258179</v>
      </c>
      <c r="K447" s="120" t="n">
        <v>0.3025656145312171</v>
      </c>
      <c r="L447" s="120" t="n">
        <v>-0.1546686818069277</v>
      </c>
      <c r="M447" s="120" t="n">
        <v>-0.162601286932424</v>
      </c>
      <c r="N447" t="n">
        <v>35.21607805468943</v>
      </c>
      <c r="O447" t="n">
        <v>-0.8026794315547043</v>
      </c>
      <c r="P447" t="n">
        <v>97.89465759791541</v>
      </c>
      <c r="Q447" t="n">
        <v>95.69662353753617</v>
      </c>
    </row>
    <row r="448">
      <c r="A448" s="117" t="n">
        <v>45082</v>
      </c>
      <c r="B448" s="118" t="n">
        <v>101.3478107322064</v>
      </c>
      <c r="C448" s="118" t="n">
        <v>101.3478107322064</v>
      </c>
      <c r="D448" s="118" t="n">
        <v>98.81129991783196</v>
      </c>
      <c r="E448" s="118" t="n">
        <v>98.83008575439453</v>
      </c>
      <c r="F448" s="119" t="n">
        <v>7434000</v>
      </c>
      <c r="G448" s="120" t="n">
        <v>-0.02393767659489887</v>
      </c>
      <c r="H448" s="121" t="n">
        <v>63.20867544499815</v>
      </c>
      <c r="I448" s="118" t="n">
        <v>112.2097729492187</v>
      </c>
      <c r="J448" s="118" t="n">
        <v>105.0138065719604</v>
      </c>
      <c r="K448" s="120" t="n">
        <v>0.2864128513837996</v>
      </c>
      <c r="L448" s="120" t="n">
        <v>-0.1749039495173732</v>
      </c>
      <c r="M448" s="120" t="n">
        <v>-0.1826466665068202</v>
      </c>
      <c r="N448" t="n">
        <v>31.5715613540722</v>
      </c>
      <c r="O448" t="n">
        <v>-0.6325277867751282</v>
      </c>
      <c r="P448" t="n">
        <v>97.70706363182067</v>
      </c>
      <c r="Q448" t="n">
        <v>95.76408717735265</v>
      </c>
    </row>
    <row r="449">
      <c r="A449" s="117" t="n">
        <v>45083</v>
      </c>
      <c r="B449" s="118" t="n">
        <v>99.10252054937106</v>
      </c>
      <c r="C449" s="118" t="n">
        <v>100.2862288641564</v>
      </c>
      <c r="D449" s="118" t="n">
        <v>98.83007934857115</v>
      </c>
      <c r="E449" s="118" t="n">
        <v>99.76013946533203</v>
      </c>
      <c r="F449" s="119" t="n">
        <v>7896300</v>
      </c>
      <c r="G449" s="120" t="n">
        <v>0.009410633450716688</v>
      </c>
      <c r="H449" s="121" t="n">
        <v>63.80350912051635</v>
      </c>
      <c r="I449" s="118" t="n">
        <v>111.9443978881836</v>
      </c>
      <c r="J449" s="118" t="n">
        <v>104.9742154693603</v>
      </c>
      <c r="K449" s="120" t="n">
        <v>0.2911761820373003</v>
      </c>
      <c r="L449" s="120" t="n">
        <v>-0.1671392730246472</v>
      </c>
      <c r="M449" s="120" t="n">
        <v>-0.1749548538855945</v>
      </c>
      <c r="N449" t="n">
        <v>34.37795018962906</v>
      </c>
      <c r="O449" t="n">
        <v>-0.3987141444653957</v>
      </c>
      <c r="P449" t="n">
        <v>97.91981705387765</v>
      </c>
      <c r="Q449" t="n">
        <v>95.74787778149076</v>
      </c>
    </row>
    <row r="450">
      <c r="A450" s="117" t="n">
        <v>45084</v>
      </c>
      <c r="B450" s="118" t="n">
        <v>99.61921898996732</v>
      </c>
      <c r="C450" s="118" t="n">
        <v>101.6860048808764</v>
      </c>
      <c r="D450" s="118" t="n">
        <v>99.03675775974403</v>
      </c>
      <c r="E450" s="118" t="n">
        <v>100.6056365966797</v>
      </c>
      <c r="F450" s="119" t="n">
        <v>11123900</v>
      </c>
      <c r="G450" s="120" t="n">
        <v>0.008475300213884207</v>
      </c>
      <c r="H450" s="121" t="n">
        <v>64.34426301501202</v>
      </c>
      <c r="I450" s="118" t="n">
        <v>111.7502421569824</v>
      </c>
      <c r="J450" s="118" t="n">
        <v>104.9520784759521</v>
      </c>
      <c r="K450" s="120" t="n">
        <v>0.2964578811574282</v>
      </c>
      <c r="L450" s="120" t="n">
        <v>-0.1600805283271771</v>
      </c>
      <c r="M450" s="120" t="n">
        <v>-0.1679623485822669</v>
      </c>
      <c r="N450" t="n">
        <v>36.91105561984543</v>
      </c>
      <c r="O450" t="n">
        <v>-0.1417427461132155</v>
      </c>
      <c r="P450" t="n">
        <v>97.58122998390323</v>
      </c>
      <c r="Q450" t="n">
        <v>94.12348992320082</v>
      </c>
    </row>
    <row r="451">
      <c r="A451" s="117" t="n">
        <v>45085</v>
      </c>
      <c r="B451" s="118" t="n">
        <v>100.6714090521817</v>
      </c>
      <c r="C451" s="118" t="n">
        <v>101.0096042687115</v>
      </c>
      <c r="D451" s="118" t="n">
        <v>99.27162417567784</v>
      </c>
      <c r="E451" s="118" t="n">
        <v>99.76953125</v>
      </c>
      <c r="F451" s="119" t="n">
        <v>9137600</v>
      </c>
      <c r="G451" s="120" t="n">
        <v>-0.00831072070078509</v>
      </c>
      <c r="H451" s="121" t="n">
        <v>63.80951581639639</v>
      </c>
      <c r="I451" s="118" t="n">
        <v>111.5382409667969</v>
      </c>
      <c r="J451" s="118" t="n">
        <v>104.9388483428955</v>
      </c>
      <c r="K451" s="120" t="n">
        <v>0.2958260975031133</v>
      </c>
      <c r="L451" s="120" t="n">
        <v>-0.1670608644674011</v>
      </c>
      <c r="M451" s="120" t="n">
        <v>-0.1748771811157368</v>
      </c>
      <c r="N451" t="n">
        <v>35.45359348648654</v>
      </c>
      <c r="O451" t="n">
        <v>0.009279738531649873</v>
      </c>
      <c r="P451" t="n">
        <v>98.17146980247001</v>
      </c>
      <c r="Q451" t="n">
        <v>95.2918500885937</v>
      </c>
    </row>
    <row r="452">
      <c r="A452" s="117" t="n">
        <v>45086</v>
      </c>
      <c r="B452" s="118" t="n">
        <v>99.49710199086843</v>
      </c>
      <c r="C452" s="118" t="n">
        <v>99.84469372571886</v>
      </c>
      <c r="D452" s="118" t="n">
        <v>98.97100538641122</v>
      </c>
      <c r="E452" s="118" t="n">
        <v>99.45012664794922</v>
      </c>
      <c r="F452" s="119" t="n">
        <v>5795200</v>
      </c>
      <c r="G452" s="120" t="n">
        <v>-0.003201424303081346</v>
      </c>
      <c r="H452" s="121" t="n">
        <v>63.60523448169393</v>
      </c>
      <c r="I452" s="118" t="n">
        <v>111.2707859802246</v>
      </c>
      <c r="J452" s="118" t="n">
        <v>104.9224432754517</v>
      </c>
      <c r="K452" s="120" t="n">
        <v>0.2958875997988508</v>
      </c>
      <c r="L452" s="120" t="n">
        <v>-0.1697274560588826</v>
      </c>
      <c r="M452" s="120" t="n">
        <v>-0.1775187493611399</v>
      </c>
      <c r="N452" t="n">
        <v>34.88687454313556</v>
      </c>
      <c r="O452" t="n">
        <v>0.1189321324522701</v>
      </c>
      <c r="P452" t="n">
        <v>98.34761508869065</v>
      </c>
      <c r="Q452" t="n">
        <v>95.65614199766368</v>
      </c>
    </row>
    <row r="453">
      <c r="A453" s="117" t="n">
        <v>45089</v>
      </c>
      <c r="B453" s="118" t="n">
        <v>99.85407040177513</v>
      </c>
      <c r="C453" s="118" t="n">
        <v>100.3801597343463</v>
      </c>
      <c r="D453" s="118" t="n">
        <v>98.26639873642755</v>
      </c>
      <c r="E453" s="118" t="n">
        <v>100.3613739013672</v>
      </c>
      <c r="F453" s="119" t="n">
        <v>7964600</v>
      </c>
      <c r="G453" s="120" t="n">
        <v>0.009162856641135919</v>
      </c>
      <c r="H453" s="121" t="n">
        <v>64.18804012687552</v>
      </c>
      <c r="I453" s="118" t="n">
        <v>111.0288597106934</v>
      </c>
      <c r="J453" s="118" t="n">
        <v>104.9072065734863</v>
      </c>
      <c r="K453" s="120" t="n">
        <v>0.2988001234880487</v>
      </c>
      <c r="L453" s="120" t="n">
        <v>-0.162119787765679</v>
      </c>
      <c r="M453" s="120" t="n">
        <v>-0.1699824715715138</v>
      </c>
      <c r="N453" t="n">
        <v>37.93500760765121</v>
      </c>
      <c r="O453" t="n">
        <v>0.2751726512989863</v>
      </c>
      <c r="P453" t="n">
        <v>99.23981202053173</v>
      </c>
      <c r="Q453" t="n">
        <v>97.27246710780493</v>
      </c>
    </row>
    <row r="454">
      <c r="A454" s="117" t="n">
        <v>45090</v>
      </c>
      <c r="B454" s="118" t="n">
        <v>100.6526250215311</v>
      </c>
      <c r="C454" s="118" t="n">
        <v>100.9720415981593</v>
      </c>
      <c r="D454" s="118" t="n">
        <v>99.85409433110763</v>
      </c>
      <c r="E454" s="118" t="n">
        <v>100.3144226074219</v>
      </c>
      <c r="F454" s="119" t="n">
        <v>8460500</v>
      </c>
      <c r="G454" s="120" t="n">
        <v>-0.0004678223515698354</v>
      </c>
      <c r="H454" s="121" t="n">
        <v>64.15801152700071</v>
      </c>
      <c r="I454" s="118" t="n">
        <v>110.7384268188477</v>
      </c>
      <c r="J454" s="118" t="n">
        <v>104.8833349609375</v>
      </c>
      <c r="K454" s="120" t="n">
        <v>0.2992384427350403</v>
      </c>
      <c r="L454" s="120" t="n">
        <v>-0.1625117668569003</v>
      </c>
      <c r="M454" s="120" t="n">
        <v>-0.1703707723235074</v>
      </c>
      <c r="N454" t="n">
        <v>37.8367253917902</v>
      </c>
      <c r="O454" t="n">
        <v>0.3906461512140584</v>
      </c>
      <c r="P454" t="n">
        <v>99.89408880073233</v>
      </c>
      <c r="Q454" t="n">
        <v>98.01990315808861</v>
      </c>
    </row>
    <row r="455">
      <c r="A455" s="117" t="n">
        <v>45091</v>
      </c>
      <c r="B455" s="118" t="n">
        <v>100.9720178938268</v>
      </c>
      <c r="C455" s="118" t="n">
        <v>106.5335562486506</v>
      </c>
      <c r="D455" s="118" t="n">
        <v>100.9720178938268</v>
      </c>
      <c r="E455" s="118" t="n">
        <v>106.026252746582</v>
      </c>
      <c r="F455" s="119" t="n">
        <v>17415500</v>
      </c>
      <c r="G455" s="120" t="n">
        <v>0.0569392714496626</v>
      </c>
      <c r="H455" s="121" t="n">
        <v>67.81112196100719</v>
      </c>
      <c r="I455" s="118" t="n">
        <v>110.5803959655762</v>
      </c>
      <c r="J455" s="118" t="n">
        <v>104.910948677063</v>
      </c>
      <c r="K455" s="120" t="n">
        <v>0.359994112645295</v>
      </c>
      <c r="L455" s="120" t="n">
        <v>-0.1148257970140669</v>
      </c>
      <c r="M455" s="120" t="n">
        <v>-0.1231322885262617</v>
      </c>
      <c r="N455" t="n">
        <v>53.58967205875972</v>
      </c>
      <c r="O455" t="n">
        <v>0.8411359776738339</v>
      </c>
      <c r="P455" t="n">
        <v>100.0130488765526</v>
      </c>
      <c r="Q455" t="n">
        <v>98.7322608004538</v>
      </c>
    </row>
    <row r="456">
      <c r="A456" s="117" t="n">
        <v>45092</v>
      </c>
      <c r="B456" s="118" t="n">
        <v>105.0586332263442</v>
      </c>
      <c r="C456" s="118" t="n">
        <v>105.9886861706494</v>
      </c>
      <c r="D456" s="118" t="n">
        <v>103.4897543723052</v>
      </c>
      <c r="E456" s="118" t="n">
        <v>105.603515625</v>
      </c>
      <c r="F456" s="119" t="n">
        <v>10374200</v>
      </c>
      <c r="G456" s="120" t="n">
        <v>-0.0039870985782402</v>
      </c>
      <c r="H456" s="121" t="n">
        <v>67.54075233304759</v>
      </c>
      <c r="I456" s="118" t="n">
        <v>110.3760809326172</v>
      </c>
      <c r="J456" s="118" t="n">
        <v>104.9383050918579</v>
      </c>
      <c r="K456" s="120" t="n">
        <v>0.3595267393860027</v>
      </c>
      <c r="L456" s="120" t="n">
        <v>-0.118355073820287</v>
      </c>
      <c r="M456" s="120" t="n">
        <v>-0.1266284465319834</v>
      </c>
      <c r="N456" t="n">
        <v>52.52869901704496</v>
      </c>
      <c r="O456" t="n">
        <v>1.084581256014546</v>
      </c>
      <c r="P456" t="n">
        <v>101.2529539994367</v>
      </c>
      <c r="Q456" t="n">
        <v>99.90873405373408</v>
      </c>
    </row>
    <row r="457">
      <c r="A457" s="117" t="n">
        <v>45093</v>
      </c>
      <c r="B457" s="118" t="n">
        <v>107.0972520476922</v>
      </c>
      <c r="C457" s="118" t="n">
        <v>107.811235734891</v>
      </c>
      <c r="D457" s="118" t="n">
        <v>106.2141671495104</v>
      </c>
      <c r="E457" s="118" t="n">
        <v>106.7120742797852</v>
      </c>
      <c r="F457" s="119" t="n">
        <v>14445500</v>
      </c>
      <c r="G457" s="120" t="n">
        <v>0.01049736505668686</v>
      </c>
      <c r="H457" s="121" t="n">
        <v>68.24975226649087</v>
      </c>
      <c r="I457" s="118" t="n">
        <v>110.2461866760254</v>
      </c>
      <c r="J457" s="118" t="n">
        <v>104.9712970733643</v>
      </c>
      <c r="K457" s="120" t="n">
        <v>0.3563700521592095</v>
      </c>
      <c r="L457" s="120" t="n">
        <v>-0.1091001251798027</v>
      </c>
      <c r="M457" s="120" t="n">
        <v>-0.117460346505104</v>
      </c>
      <c r="N457" t="n">
        <v>55.04232176886617</v>
      </c>
      <c r="O457" t="n">
        <v>1.280744957939727</v>
      </c>
      <c r="P457" t="n">
        <v>100.9080825206877</v>
      </c>
      <c r="Q457" t="n">
        <v>99.28001588722147</v>
      </c>
    </row>
    <row r="458">
      <c r="A458" s="117" t="n">
        <v>45097</v>
      </c>
      <c r="B458" s="118" t="n">
        <v>104.6640683063783</v>
      </c>
      <c r="C458" s="118" t="n">
        <v>105.9886883245893</v>
      </c>
      <c r="D458" s="118" t="n">
        <v>102.3624128173217</v>
      </c>
      <c r="E458" s="118" t="n">
        <v>102.9072952270508</v>
      </c>
      <c r="F458" s="119" t="n">
        <v>10602400</v>
      </c>
      <c r="G458" s="120" t="n">
        <v>-0.03565462557459753</v>
      </c>
      <c r="H458" s="121" t="n">
        <v>65.81633290387011</v>
      </c>
      <c r="I458" s="118" t="n">
        <v>110.0529312133789</v>
      </c>
      <c r="J458" s="118" t="n">
        <v>104.9918089294434</v>
      </c>
      <c r="K458" s="120" t="n">
        <v>0.3577016769260031</v>
      </c>
      <c r="L458" s="120" t="n">
        <v>-0.1408648266409727</v>
      </c>
      <c r="M458" s="120" t="n">
        <v>-0.1489269674051995</v>
      </c>
      <c r="N458" t="n">
        <v>46.03297234487214</v>
      </c>
      <c r="O458" t="n">
        <v>1.120513447495588</v>
      </c>
      <c r="P458" t="n">
        <v>100.3845636300022</v>
      </c>
      <c r="Q458" t="n">
        <v>99.13789841491062</v>
      </c>
    </row>
    <row r="459">
      <c r="A459" s="117" t="n">
        <v>45098</v>
      </c>
      <c r="B459" s="118" t="n">
        <v>102.5221180396303</v>
      </c>
      <c r="C459" s="118" t="n">
        <v>103.6776440409354</v>
      </c>
      <c r="D459" s="118" t="n">
        <v>102.1275509825722</v>
      </c>
      <c r="E459" s="118" t="n">
        <v>103.3206558227539</v>
      </c>
      <c r="F459" s="119" t="n">
        <v>8377800</v>
      </c>
      <c r="G459" s="120" t="n">
        <v>0.00401682499565359</v>
      </c>
      <c r="H459" s="121" t="n">
        <v>66.08070559500062</v>
      </c>
      <c r="I459" s="118" t="n">
        <v>109.8362934875488</v>
      </c>
      <c r="J459" s="118" t="n">
        <v>105.0142018508911</v>
      </c>
      <c r="K459" s="120" t="n">
        <v>0.3286334006918852</v>
      </c>
      <c r="L459" s="120" t="n">
        <v>-0.137413831001979</v>
      </c>
      <c r="M459" s="120" t="n">
        <v>-0.145508355974746</v>
      </c>
      <c r="N459" t="n">
        <v>47.04704988206107</v>
      </c>
      <c r="O459" t="n">
        <v>1.011937864225039</v>
      </c>
      <c r="P459" t="n">
        <v>99.87021677573435</v>
      </c>
      <c r="Q459" t="n">
        <v>97.78687211768282</v>
      </c>
    </row>
    <row r="460">
      <c r="A460" s="117" t="n">
        <v>45099</v>
      </c>
      <c r="B460" s="118" t="n">
        <v>104.1097859265599</v>
      </c>
      <c r="C460" s="118" t="n">
        <v>104.5137494696341</v>
      </c>
      <c r="D460" s="118" t="n">
        <v>103.1327576556959</v>
      </c>
      <c r="E460" s="118" t="n">
        <v>103.7715835571289</v>
      </c>
      <c r="F460" s="119" t="n">
        <v>6002900</v>
      </c>
      <c r="G460" s="120" t="n">
        <v>0.004364352227385737</v>
      </c>
      <c r="H460" s="121" t="n">
        <v>66.36910506965138</v>
      </c>
      <c r="I460" s="118" t="n">
        <v>109.6026435852051</v>
      </c>
      <c r="J460" s="118" t="n">
        <v>105.0409204864502</v>
      </c>
      <c r="K460" s="120" t="n">
        <v>0.3252596782143334</v>
      </c>
      <c r="L460" s="120" t="n">
        <v>-0.1336492011340004</v>
      </c>
      <c r="M460" s="120" t="n">
        <v>-0.1417790534648617</v>
      </c>
      <c r="N460" t="n">
        <v>48.19075092669602</v>
      </c>
      <c r="O460" t="n">
        <v>0.9415219627927796</v>
      </c>
      <c r="P460" t="n">
        <v>100.2307119929647</v>
      </c>
      <c r="Q460" t="n">
        <v>98.94065053876517</v>
      </c>
    </row>
    <row r="461">
      <c r="A461" s="117" t="n">
        <v>45100</v>
      </c>
      <c r="B461" s="118" t="n">
        <v>101.2256816002502</v>
      </c>
      <c r="C461" s="118" t="n">
        <v>103.6118841426123</v>
      </c>
      <c r="D461" s="118" t="n">
        <v>100.8029322006786</v>
      </c>
      <c r="E461" s="118" t="n">
        <v>102.8885040283203</v>
      </c>
      <c r="F461" s="119" t="n">
        <v>14329200</v>
      </c>
      <c r="G461" s="120" t="n">
        <v>-0.008509839577830469</v>
      </c>
      <c r="H461" s="121" t="n">
        <v>65.80431463258446</v>
      </c>
      <c r="I461" s="118" t="n">
        <v>109.3445899963379</v>
      </c>
      <c r="J461" s="118" t="n">
        <v>105.0659697723389</v>
      </c>
      <c r="K461" s="120" t="n">
        <v>0.3264879133104854</v>
      </c>
      <c r="L461" s="120" t="n">
        <v>-0.1410217074504754</v>
      </c>
      <c r="M461" s="120" t="n">
        <v>-0.1490823760422095</v>
      </c>
      <c r="N461" t="n">
        <v>46.09123924484386</v>
      </c>
      <c r="O461" t="n">
        <v>0.8114359825150039</v>
      </c>
      <c r="P461" t="n">
        <v>99.47297522386361</v>
      </c>
      <c r="Q461" t="n">
        <v>97.95981428999188</v>
      </c>
    </row>
    <row r="462">
      <c r="A462" s="117" t="n">
        <v>45103</v>
      </c>
      <c r="B462" s="118" t="n">
        <v>103.0294153207327</v>
      </c>
      <c r="C462" s="118" t="n">
        <v>105.4156176879268</v>
      </c>
      <c r="D462" s="118" t="n">
        <v>103.0294153207327</v>
      </c>
      <c r="E462" s="118" t="n">
        <v>104.9740753173828</v>
      </c>
      <c r="F462" s="119" t="n">
        <v>6887100</v>
      </c>
      <c r="G462" s="120" t="n">
        <v>0.02027020714081362</v>
      </c>
      <c r="H462" s="121" t="n">
        <v>67.13818172094624</v>
      </c>
      <c r="I462" s="118" t="n">
        <v>109.0763734436035</v>
      </c>
      <c r="J462" s="118" t="n">
        <v>105.0859483337402</v>
      </c>
      <c r="K462" s="120" t="n">
        <v>0.3318263597352055</v>
      </c>
      <c r="L462" s="120" t="n">
        <v>-0.123610039531034</v>
      </c>
      <c r="M462" s="120" t="n">
        <v>-0.1318340995448161</v>
      </c>
      <c r="N462" t="n">
        <v>51.46880235907378</v>
      </c>
      <c r="O462" t="n">
        <v>0.8383722080076015</v>
      </c>
      <c r="P462" t="n">
        <v>99.06655436195405</v>
      </c>
      <c r="Q462" t="n">
        <v>96.64660991644183</v>
      </c>
    </row>
    <row r="463">
      <c r="A463" s="117" t="n">
        <v>45104</v>
      </c>
      <c r="B463" s="118" t="n">
        <v>105.7162431160556</v>
      </c>
      <c r="C463" s="118" t="n">
        <v>107.2663361076479</v>
      </c>
      <c r="D463" s="118" t="n">
        <v>105.6222996066261</v>
      </c>
      <c r="E463" s="118" t="n">
        <v>106.7308502197266</v>
      </c>
      <c r="F463" s="119" t="n">
        <v>7138600</v>
      </c>
      <c r="G463" s="120" t="n">
        <v>0.01673532152612212</v>
      </c>
      <c r="H463" s="121" t="n">
        <v>68.26176077872547</v>
      </c>
      <c r="I463" s="118" t="n">
        <v>108.8522813415527</v>
      </c>
      <c r="J463" s="118" t="n">
        <v>105.1135472488403</v>
      </c>
      <c r="K463" s="120" t="n">
        <v>0.3356073765462366</v>
      </c>
      <c r="L463" s="120" t="n">
        <v>-0.1089433717603205</v>
      </c>
      <c r="M463" s="120" t="n">
        <v>-0.1173050640626834</v>
      </c>
      <c r="N463" t="n">
        <v>55.49598327500939</v>
      </c>
      <c r="O463" t="n">
        <v>0.9394210314817113</v>
      </c>
      <c r="P463" t="n">
        <v>100.1526587631495</v>
      </c>
      <c r="Q463" t="n">
        <v>98.3083498608483</v>
      </c>
    </row>
    <row r="464">
      <c r="A464" s="117" t="n">
        <v>45105</v>
      </c>
      <c r="B464" s="118" t="n">
        <v>106.4771935174875</v>
      </c>
      <c r="C464" s="118" t="n">
        <v>106.8623712189509</v>
      </c>
      <c r="D464" s="118" t="n">
        <v>105.3310712490113</v>
      </c>
      <c r="E464" s="118" t="n">
        <v>106.1859664916992</v>
      </c>
      <c r="F464" s="119" t="n">
        <v>6766000</v>
      </c>
      <c r="G464" s="120" t="n">
        <v>-0.005105213037332579</v>
      </c>
      <c r="H464" s="121" t="n">
        <v>67.91326994764665</v>
      </c>
      <c r="I464" s="118" t="n">
        <v>108.612797088623</v>
      </c>
      <c r="J464" s="118" t="n">
        <v>105.1279962539673</v>
      </c>
      <c r="K464" s="120" t="n">
        <v>0.3339171714225332</v>
      </c>
      <c r="L464" s="120" t="n">
        <v>-0.1134924056758113</v>
      </c>
      <c r="M464" s="120" t="n">
        <v>-0.1218114097576181</v>
      </c>
      <c r="N464" t="n">
        <v>53.99926391999693</v>
      </c>
      <c r="O464" t="n">
        <v>0.9325974420171155</v>
      </c>
      <c r="P464" t="n">
        <v>100.2031667892269</v>
      </c>
      <c r="Q464" t="n">
        <v>98.50022816486559</v>
      </c>
    </row>
    <row r="465">
      <c r="A465" s="117" t="n">
        <v>45106</v>
      </c>
      <c r="B465" s="118" t="n">
        <v>106.7214557115188</v>
      </c>
      <c r="C465" s="118" t="n">
        <v>107.3508851206238</v>
      </c>
      <c r="D465" s="118" t="n">
        <v>105.7914027661673</v>
      </c>
      <c r="E465" s="118" t="n">
        <v>106.5053863525391</v>
      </c>
      <c r="F465" s="119" t="n">
        <v>12465500</v>
      </c>
      <c r="G465" s="120" t="n">
        <v>0.003008117469692317</v>
      </c>
      <c r="H465" s="121" t="n">
        <v>68.11756104140009</v>
      </c>
      <c r="I465" s="118" t="n">
        <v>108.3793266296387</v>
      </c>
      <c r="J465" s="118" t="n">
        <v>105.1374798965454</v>
      </c>
      <c r="K465" s="120" t="n">
        <v>0.3290948496132949</v>
      </c>
      <c r="L465" s="120" t="n">
        <v>-0.1108256866943098</v>
      </c>
      <c r="M465" s="120" t="n">
        <v>-0.1191697153176254</v>
      </c>
      <c r="N465" t="n">
        <v>54.76937639849688</v>
      </c>
      <c r="O465" t="n">
        <v>0.9115514754489282</v>
      </c>
      <c r="P465" t="n">
        <v>100.5981026031561</v>
      </c>
      <c r="Q465" t="n">
        <v>98.30296350880724</v>
      </c>
    </row>
    <row r="466">
      <c r="A466" s="117" t="n">
        <v>45107</v>
      </c>
      <c r="B466" s="118" t="n">
        <v>104.833149159894</v>
      </c>
      <c r="C466" s="118" t="n">
        <v>105.4531891690942</v>
      </c>
      <c r="D466" s="118" t="n">
        <v>103.151541136607</v>
      </c>
      <c r="E466" s="118" t="n">
        <v>103.6870269775391</v>
      </c>
      <c r="F466" s="119" t="n">
        <v>19629600</v>
      </c>
      <c r="G466" s="120" t="n">
        <v>-0.02646212995905262</v>
      </c>
      <c r="H466" s="121" t="n">
        <v>66.31502528862887</v>
      </c>
      <c r="I466" s="118" t="n">
        <v>108.0996017456055</v>
      </c>
      <c r="J466" s="118" t="n">
        <v>105.1638689422607</v>
      </c>
      <c r="K466" s="120" t="n">
        <v>0.3398820561420243</v>
      </c>
      <c r="L466" s="120" t="n">
        <v>-0.1343551329292563</v>
      </c>
      <c r="M466" s="120" t="n">
        <v>-0.1424783607827598</v>
      </c>
      <c r="N466" t="n">
        <v>47.25256124719449</v>
      </c>
      <c r="O466" t="n">
        <v>0.6803711121824541</v>
      </c>
      <c r="P466" t="n">
        <v>101.7852230565063</v>
      </c>
      <c r="Q466" t="n">
        <v>99.81881050050025</v>
      </c>
    </row>
    <row r="467">
      <c r="A467" s="117" t="n">
        <v>45110</v>
      </c>
      <c r="B467" s="118" t="n">
        <v>104.335249911367</v>
      </c>
      <c r="C467" s="118" t="n">
        <v>104.560722931895</v>
      </c>
      <c r="D467" s="118" t="n">
        <v>102.5033264160156</v>
      </c>
      <c r="E467" s="118" t="n">
        <v>102.5033264160156</v>
      </c>
      <c r="F467" s="119" t="n">
        <v>5734200</v>
      </c>
      <c r="G467" s="120" t="n">
        <v>-0.01141609125102849</v>
      </c>
      <c r="H467" s="121" t="n">
        <v>65.55796690861962</v>
      </c>
      <c r="I467" s="118" t="n">
        <v>107.8190504455566</v>
      </c>
      <c r="J467" s="118" t="n">
        <v>105.1783820343018</v>
      </c>
      <c r="K467" s="120" t="n">
        <v>0.3087652790000213</v>
      </c>
      <c r="L467" s="120" t="n">
        <v>-0.1442374137227204</v>
      </c>
      <c r="M467" s="120" t="n">
        <v>-0.1522679060657953</v>
      </c>
      <c r="N467" t="n">
        <v>44.49073817879142</v>
      </c>
      <c r="O467" t="n">
        <v>0.4323708399205413</v>
      </c>
      <c r="P467" t="n">
        <v>101.9023356325248</v>
      </c>
      <c r="Q467" t="n">
        <v>100.0538886902799</v>
      </c>
    </row>
    <row r="468">
      <c r="A468" s="117" t="n">
        <v>45112</v>
      </c>
      <c r="B468" s="118" t="n">
        <v>102.0430186829997</v>
      </c>
      <c r="C468" s="118" t="n">
        <v>102.3154599285619</v>
      </c>
      <c r="D468" s="118" t="n">
        <v>100.0889617842701</v>
      </c>
      <c r="E468" s="118" t="n">
        <v>100.6150512695312</v>
      </c>
      <c r="F468" s="119" t="n">
        <v>10405300</v>
      </c>
      <c r="G468" s="120" t="n">
        <v>-0.01842159871788651</v>
      </c>
      <c r="H468" s="121" t="n">
        <v>64.35028434946855</v>
      </c>
      <c r="I468" s="118" t="n">
        <v>107.4805076599121</v>
      </c>
      <c r="J468" s="118" t="n">
        <v>105.1904351425171</v>
      </c>
      <c r="K468" s="120" t="n">
        <v>0.3034814545980402</v>
      </c>
      <c r="L468" s="120" t="n">
        <v>-0.160001928684901</v>
      </c>
      <c r="M468" s="120" t="n">
        <v>-0.1678844865205249</v>
      </c>
      <c r="N468" t="n">
        <v>40.43104193924014</v>
      </c>
      <c r="O468" t="n">
        <v>0.1408789940277675</v>
      </c>
      <c r="P468" t="n">
        <v>101.7508042806714</v>
      </c>
      <c r="Q468" t="n">
        <v>100.05117034439</v>
      </c>
    </row>
    <row r="469">
      <c r="A469" s="117" t="n">
        <v>45113</v>
      </c>
      <c r="B469" s="118" t="n">
        <v>98.91462743897161</v>
      </c>
      <c r="C469" s="118" t="n">
        <v>99.66618265283691</v>
      </c>
      <c r="D469" s="118" t="n">
        <v>97.39271684219203</v>
      </c>
      <c r="E469" s="118" t="n">
        <v>98.73612976074219</v>
      </c>
      <c r="F469" s="119" t="n">
        <v>9923500</v>
      </c>
      <c r="G469" s="120" t="n">
        <v>-0.01867435821063923</v>
      </c>
      <c r="H469" s="121" t="n">
        <v>63.14858408857009</v>
      </c>
      <c r="I469" s="118" t="n">
        <v>107.0751719665527</v>
      </c>
      <c r="J469" s="118" t="n">
        <v>105.1995164871216</v>
      </c>
      <c r="K469" s="120" t="n">
        <v>0.3095539644580162</v>
      </c>
      <c r="L469" s="120" t="n">
        <v>-0.1756883535648852</v>
      </c>
      <c r="M469" s="120" t="n">
        <v>-0.1834237096918707</v>
      </c>
      <c r="N469" t="n">
        <v>36.82980730021119</v>
      </c>
      <c r="O469" t="n">
        <v>-0.1623162078342759</v>
      </c>
      <c r="P469" t="n">
        <v>100.9540154389883</v>
      </c>
      <c r="Q469" t="n">
        <v>99.28921127949094</v>
      </c>
    </row>
    <row r="470">
      <c r="A470" s="117" t="n">
        <v>45114</v>
      </c>
      <c r="B470" s="118" t="n">
        <v>98.45431954060332</v>
      </c>
      <c r="C470" s="118" t="n">
        <v>99.08374904342865</v>
      </c>
      <c r="D470" s="118" t="n">
        <v>97.73093934517472</v>
      </c>
      <c r="E470" s="118" t="n">
        <v>98.13490295410156</v>
      </c>
      <c r="F470" s="119" t="n">
        <v>7463100</v>
      </c>
      <c r="G470" s="120" t="n">
        <v>-0.00608922800698708</v>
      </c>
      <c r="H470" s="121" t="n">
        <v>62.7640579617364</v>
      </c>
      <c r="I470" s="118" t="n">
        <v>106.7033193969727</v>
      </c>
      <c r="J470" s="118" t="n">
        <v>105.1912101364136</v>
      </c>
      <c r="K470" s="120" t="n">
        <v>0.3083696480607752</v>
      </c>
      <c r="L470" s="120" t="n">
        <v>-0.1807077751288435</v>
      </c>
      <c r="M470" s="120" t="n">
        <v>-0.1883960289086566</v>
      </c>
      <c r="N470" t="n">
        <v>35.73302446917475</v>
      </c>
      <c r="O470" t="n">
        <v>-0.3750434105640772</v>
      </c>
      <c r="P470" t="n">
        <v>100.6991332025534</v>
      </c>
      <c r="Q470" t="n">
        <v>98.95955311064759</v>
      </c>
    </row>
    <row r="471">
      <c r="A471" s="117" t="n">
        <v>45117</v>
      </c>
      <c r="B471" s="118" t="n">
        <v>98.15368940192027</v>
      </c>
      <c r="C471" s="118" t="n">
        <v>99.87287658325515</v>
      </c>
      <c r="D471" s="118" t="n">
        <v>97.93761285777302</v>
      </c>
      <c r="E471" s="118" t="n">
        <v>99.37496948242188</v>
      </c>
      <c r="F471" s="119" t="n">
        <v>5374600</v>
      </c>
      <c r="G471" s="120" t="n">
        <v>0.01263634538773939</v>
      </c>
      <c r="H471" s="121" t="n">
        <v>63.55716627607699</v>
      </c>
      <c r="I471" s="118" t="n">
        <v>106.3716244506836</v>
      </c>
      <c r="J471" s="118" t="n">
        <v>105.211397857666</v>
      </c>
      <c r="K471" s="120" t="n">
        <v>0.3107966390336039</v>
      </c>
      <c r="L471" s="120" t="n">
        <v>-0.1703549156018821</v>
      </c>
      <c r="M471" s="120" t="n">
        <v>-0.1781403208118855</v>
      </c>
      <c r="N471" t="n">
        <v>39.72036341620579</v>
      </c>
      <c r="O471" t="n">
        <v>-0.4015536737756538</v>
      </c>
      <c r="P471" t="n">
        <v>100.9540154389883</v>
      </c>
      <c r="Q471" t="n">
        <v>98.99198029232781</v>
      </c>
    </row>
    <row r="472">
      <c r="A472" s="117" t="n">
        <v>45118</v>
      </c>
      <c r="B472" s="118" t="n">
        <v>99.25282654735854</v>
      </c>
      <c r="C472" s="118" t="n">
        <v>101.1035429376336</v>
      </c>
      <c r="D472" s="118" t="n">
        <v>99.22464421328203</v>
      </c>
      <c r="E472" s="118" t="n">
        <v>100.8874664306641</v>
      </c>
      <c r="F472" s="119" t="n">
        <v>5454900</v>
      </c>
      <c r="G472" s="120" t="n">
        <v>0.01522009975066929</v>
      </c>
      <c r="H472" s="121" t="n">
        <v>64.52451268666876</v>
      </c>
      <c r="I472" s="118" t="n">
        <v>106.0353465270996</v>
      </c>
      <c r="J472" s="118" t="n">
        <v>105.2513887786865</v>
      </c>
      <c r="K472" s="120" t="n">
        <v>0.3151424536776761</v>
      </c>
      <c r="L472" s="120" t="n">
        <v>-0.1577276346596903</v>
      </c>
      <c r="M472" s="120" t="n">
        <v>-0.1656315345135893</v>
      </c>
      <c r="N472" t="n">
        <v>44.26266240843339</v>
      </c>
      <c r="O472" t="n">
        <v>-0.2916559601143731</v>
      </c>
      <c r="P472" t="n">
        <v>101.5969453700125</v>
      </c>
      <c r="Q472" t="n">
        <v>99.48107280359531</v>
      </c>
    </row>
    <row r="473">
      <c r="A473" s="117" t="n">
        <v>45119</v>
      </c>
      <c r="B473" s="118" t="n">
        <v>101.9584421586902</v>
      </c>
      <c r="C473" s="118" t="n">
        <v>102.4845315287177</v>
      </c>
      <c r="D473" s="118" t="n">
        <v>100.7277657391915</v>
      </c>
      <c r="E473" s="118" t="n">
        <v>101.2350692749023</v>
      </c>
      <c r="F473" s="119" t="n">
        <v>8305000</v>
      </c>
      <c r="G473" s="120" t="n">
        <v>0.003445451219425522</v>
      </c>
      <c r="H473" s="121" t="n">
        <v>64.74682874758788</v>
      </c>
      <c r="I473" s="118" t="n">
        <v>105.6869184875488</v>
      </c>
      <c r="J473" s="118" t="n">
        <v>105.2988888549805</v>
      </c>
      <c r="K473" s="120" t="n">
        <v>0.3138056102584584</v>
      </c>
      <c r="L473" s="120" t="n">
        <v>-0.15482562631144</v>
      </c>
      <c r="M473" s="120" t="n">
        <v>-0.1627567586667289</v>
      </c>
      <c r="N473" t="n">
        <v>45.28313142927767</v>
      </c>
      <c r="O473" t="n">
        <v>-0.1756974663418109</v>
      </c>
      <c r="P473" t="n">
        <v>102.4143840224724</v>
      </c>
      <c r="Q473" t="n">
        <v>100.7375023418465</v>
      </c>
    </row>
    <row r="474">
      <c r="A474" s="117" t="n">
        <v>45120</v>
      </c>
      <c r="B474" s="118" t="n">
        <v>102.4657447147899</v>
      </c>
      <c r="C474" s="118" t="n">
        <v>102.5221093846311</v>
      </c>
      <c r="D474" s="118" t="n">
        <v>101.1599106356486</v>
      </c>
      <c r="E474" s="118" t="n">
        <v>101.3102188110352</v>
      </c>
      <c r="F474" s="119" t="n">
        <v>6692300</v>
      </c>
      <c r="G474" s="120" t="n">
        <v>0.0007423271073065951</v>
      </c>
      <c r="H474" s="121" t="n">
        <v>64.79489207367935</v>
      </c>
      <c r="I474" s="118" t="n">
        <v>105.317520904541</v>
      </c>
      <c r="J474" s="118" t="n">
        <v>105.3538857269287</v>
      </c>
      <c r="K474" s="120" t="n">
        <v>0.3137795101439073</v>
      </c>
      <c r="L474" s="120" t="n">
        <v>-0.1541982304634503</v>
      </c>
      <c r="M474" s="120" t="n">
        <v>-0.162135250313278</v>
      </c>
      <c r="N474" t="n">
        <v>45.51538114362288</v>
      </c>
      <c r="O474" t="n">
        <v>-0.07900581242513027</v>
      </c>
      <c r="P474" t="n">
        <v>103.2272330199128</v>
      </c>
      <c r="Q474" t="n">
        <v>102.4478872537515</v>
      </c>
    </row>
    <row r="475">
      <c r="A475" s="117" t="n">
        <v>45121</v>
      </c>
      <c r="B475" s="118" t="n">
        <v>101.4041772552824</v>
      </c>
      <c r="C475" s="118" t="n">
        <v>102.0617890119269</v>
      </c>
      <c r="D475" s="118" t="n">
        <v>100.6995901585502</v>
      </c>
      <c r="E475" s="118" t="n">
        <v>101.4135665893555</v>
      </c>
      <c r="F475" s="119" t="n">
        <v>6933600</v>
      </c>
      <c r="G475" s="120" t="n">
        <v>0.001020112082800617</v>
      </c>
      <c r="H475" s="121" t="n">
        <v>64.86099012598747</v>
      </c>
      <c r="I475" s="118" t="n">
        <v>104.9625503540039</v>
      </c>
      <c r="J475" s="118" t="n">
        <v>105.4138673782349</v>
      </c>
      <c r="K475" s="120" t="n">
        <v>0.2332441982905355</v>
      </c>
      <c r="L475" s="120" t="n">
        <v>-0.1533354178586919</v>
      </c>
      <c r="M475" s="120" t="n">
        <v>-0.1612805343583699</v>
      </c>
      <c r="N475" t="n">
        <v>45.85574688827605</v>
      </c>
      <c r="O475" t="n">
        <v>0.002520639424818727</v>
      </c>
      <c r="P475" t="n">
        <v>103.1629414815346</v>
      </c>
      <c r="Q475" t="n">
        <v>102.4262747259357</v>
      </c>
    </row>
    <row r="476">
      <c r="A476" s="117" t="n">
        <v>45124</v>
      </c>
      <c r="B476" s="118" t="n">
        <v>100.7653418630385</v>
      </c>
      <c r="C476" s="118" t="n">
        <v>102.4939252708479</v>
      </c>
      <c r="D476" s="118" t="n">
        <v>100.2956171760342</v>
      </c>
      <c r="E476" s="118" t="n">
        <v>102.1275405883789</v>
      </c>
      <c r="F476" s="119" t="n">
        <v>6682900</v>
      </c>
      <c r="G476" s="120" t="n">
        <v>0.007040221767512289</v>
      </c>
      <c r="H476" s="121" t="n">
        <v>65.31762588053485</v>
      </c>
      <c r="I476" s="118" t="n">
        <v>104.6315977478027</v>
      </c>
      <c r="J476" s="118" t="n">
        <v>105.4763484573364</v>
      </c>
      <c r="K476" s="120" t="n">
        <v>0.2353473057294224</v>
      </c>
      <c r="L476" s="120" t="n">
        <v>-0.147374711437719</v>
      </c>
      <c r="M476" s="120" t="n">
        <v>-0.1553757633195234</v>
      </c>
      <c r="N476" t="n">
        <v>48.26044494320111</v>
      </c>
      <c r="O476" t="n">
        <v>0.1092310789200293</v>
      </c>
      <c r="P476" t="n">
        <v>103.5211455080659</v>
      </c>
      <c r="Q476" t="n">
        <v>103.3827968809161</v>
      </c>
    </row>
    <row r="477">
      <c r="A477" s="117" t="n">
        <v>45125</v>
      </c>
      <c r="B477" s="118" t="n">
        <v>102.0054288953466</v>
      </c>
      <c r="C477" s="118" t="n">
        <v>103.6588548623363</v>
      </c>
      <c r="D477" s="118" t="n">
        <v>101.7517735154286</v>
      </c>
      <c r="E477" s="118" t="n">
        <v>103.0764007568359</v>
      </c>
      <c r="F477" s="119" t="n">
        <v>5717200</v>
      </c>
      <c r="G477" s="120" t="n">
        <v>0.009290933307415816</v>
      </c>
      <c r="H477" s="121" t="n">
        <v>65.92448758638963</v>
      </c>
      <c r="I477" s="118" t="n">
        <v>104.3771148681641</v>
      </c>
      <c r="J477" s="118" t="n">
        <v>105.5323571014404</v>
      </c>
      <c r="K477" s="120" t="n">
        <v>0.2345647311353523</v>
      </c>
      <c r="L477" s="120" t="n">
        <v>-0.1394530267454707</v>
      </c>
      <c r="M477" s="120" t="n">
        <v>-0.1475284158666982</v>
      </c>
      <c r="N477" t="n">
        <v>51.35267403092978</v>
      </c>
      <c r="O477" t="n">
        <v>0.2408733432796881</v>
      </c>
      <c r="P477" t="n">
        <v>104.2903673251474</v>
      </c>
      <c r="Q477" t="n">
        <v>104.2285380509274</v>
      </c>
    </row>
    <row r="478">
      <c r="A478" s="117" t="n">
        <v>45126</v>
      </c>
      <c r="B478" s="118" t="n">
        <v>102.4751445925421</v>
      </c>
      <c r="C478" s="118" t="n">
        <v>103.5742986952471</v>
      </c>
      <c r="D478" s="118" t="n">
        <v>102.005419881906</v>
      </c>
      <c r="E478" s="118" t="n">
        <v>103.2266998291016</v>
      </c>
      <c r="F478" s="119" t="n">
        <v>5027100</v>
      </c>
      <c r="G478" s="120" t="n">
        <v>0.001458132716723348</v>
      </c>
      <c r="H478" s="121" t="n">
        <v>66.02061423857258</v>
      </c>
      <c r="I478" s="118" t="n">
        <v>104.0709541320801</v>
      </c>
      <c r="J478" s="118" t="n">
        <v>105.6048020553589</v>
      </c>
      <c r="K478" s="120" t="n">
        <v>0.1971711127779285</v>
      </c>
      <c r="L478" s="120" t="n">
        <v>-0.1381982350494909</v>
      </c>
      <c r="M478" s="120" t="n">
        <v>-0.1462853991597964</v>
      </c>
      <c r="N478" t="n">
        <v>51.84362881015262</v>
      </c>
      <c r="O478" t="n">
        <v>0.3297301847808174</v>
      </c>
      <c r="P478" t="n">
        <v>104.5222794656214</v>
      </c>
      <c r="Q478" t="n">
        <v>104.2042323470911</v>
      </c>
    </row>
    <row r="479">
      <c r="A479" s="117" t="n">
        <v>45127</v>
      </c>
      <c r="B479" s="118" t="n">
        <v>102.9354826852716</v>
      </c>
      <c r="C479" s="118" t="n">
        <v>103.3582320984615</v>
      </c>
      <c r="D479" s="118" t="n">
        <v>100.9720366466623</v>
      </c>
      <c r="E479" s="118" t="n">
        <v>101.0190048217773</v>
      </c>
      <c r="F479" s="119" t="n">
        <v>6458000</v>
      </c>
      <c r="G479" s="120" t="n">
        <v>-0.02138686028885162</v>
      </c>
      <c r="H479" s="121" t="n">
        <v>64.60864058566806</v>
      </c>
      <c r="I479" s="118" t="n">
        <v>103.7152087402344</v>
      </c>
      <c r="J479" s="118" t="n">
        <v>105.7230368041992</v>
      </c>
      <c r="K479" s="120" t="n">
        <v>0.2108435397862723</v>
      </c>
      <c r="L479" s="120" t="n">
        <v>-0.1566294689931732</v>
      </c>
      <c r="M479" s="120" t="n">
        <v>-0.1645436740545186</v>
      </c>
      <c r="N479" t="n">
        <v>44.70654089882958</v>
      </c>
      <c r="O479" t="n">
        <v>0.2358787344211489</v>
      </c>
      <c r="P479" t="n">
        <v>103.8288415085197</v>
      </c>
      <c r="Q479" t="n">
        <v>101.8021123057756</v>
      </c>
    </row>
    <row r="480">
      <c r="A480" s="117" t="n">
        <v>45128</v>
      </c>
      <c r="B480" s="118" t="n">
        <v>101.4605381346613</v>
      </c>
      <c r="C480" s="118" t="n">
        <v>102.6724287558058</v>
      </c>
      <c r="D480" s="118" t="n">
        <v>101.0002099222271</v>
      </c>
      <c r="E480" s="118" t="n">
        <v>102.4563522338867</v>
      </c>
      <c r="F480" s="119" t="n">
        <v>6631600</v>
      </c>
      <c r="G480" s="120" t="n">
        <v>0.01422848517113406</v>
      </c>
      <c r="H480" s="121" t="n">
        <v>65.52792367016836</v>
      </c>
      <c r="I480" s="118" t="n">
        <v>103.4215451049805</v>
      </c>
      <c r="J480" s="118" t="n">
        <v>105.8378465652466</v>
      </c>
      <c r="K480" s="120" t="n">
        <v>0.2170150483166572</v>
      </c>
      <c r="L480" s="120" t="n">
        <v>-0.1446295838989711</v>
      </c>
      <c r="M480" s="120" t="n">
        <v>-0.1526563961096732</v>
      </c>
      <c r="N480" t="n">
        <v>49.57384894839558</v>
      </c>
      <c r="O480" t="n">
        <v>0.2645095908564142</v>
      </c>
      <c r="P480" t="n">
        <v>103.8288415085197</v>
      </c>
      <c r="Q480" t="n">
        <v>101.496785010638</v>
      </c>
    </row>
    <row r="481">
      <c r="A481" s="117" t="n">
        <v>45131</v>
      </c>
      <c r="B481" s="118" t="n">
        <v>103.7246101421553</v>
      </c>
      <c r="C481" s="118" t="n">
        <v>103.8561324827927</v>
      </c>
      <c r="D481" s="118" t="n">
        <v>101.9396548753806</v>
      </c>
      <c r="E481" s="118" t="n">
        <v>102.1839065551758</v>
      </c>
      <c r="F481" s="119" t="n">
        <v>6787600</v>
      </c>
      <c r="G481" s="120" t="n">
        <v>-0.002659138967674779</v>
      </c>
      <c r="H481" s="121" t="n">
        <v>65.35367581486619</v>
      </c>
      <c r="I481" s="118" t="n">
        <v>103.1522088623047</v>
      </c>
      <c r="J481" s="118" t="n">
        <v>105.9362144088745</v>
      </c>
      <c r="K481" s="120" t="n">
        <v>0.2151540247175005</v>
      </c>
      <c r="L481" s="120" t="n">
        <v>-0.1469041327042216</v>
      </c>
      <c r="M481" s="120" t="n">
        <v>-0.1549096005057879</v>
      </c>
      <c r="N481" t="n">
        <v>48.69879239534784</v>
      </c>
      <c r="O481" t="n">
        <v>0.2586912359794677</v>
      </c>
      <c r="P481" t="n">
        <v>104.2926585158465</v>
      </c>
      <c r="Q481" t="n">
        <v>101.6588957491698</v>
      </c>
    </row>
    <row r="482">
      <c r="A482" s="117" t="n">
        <v>45132</v>
      </c>
      <c r="B482" s="118" t="n">
        <v>101.7235928600999</v>
      </c>
      <c r="C482" s="118" t="n">
        <v>102.2590787997042</v>
      </c>
      <c r="D482" s="118" t="n">
        <v>100.8874833608482</v>
      </c>
      <c r="E482" s="118" t="n">
        <v>101.7423858642578</v>
      </c>
      <c r="F482" s="119" t="n">
        <v>7692800</v>
      </c>
      <c r="G482" s="120" t="n">
        <v>-0.004320843719941014</v>
      </c>
      <c r="H482" s="121" t="n">
        <v>65.07129279514648</v>
      </c>
      <c r="I482" s="118" t="n">
        <v>102.8982008361816</v>
      </c>
      <c r="J482" s="118" t="n">
        <v>106.0209252548218</v>
      </c>
      <c r="K482" s="120" t="n">
        <v>0.2012990583296217</v>
      </c>
      <c r="L482" s="120" t="n">
        <v>-0.1505902266249342</v>
      </c>
      <c r="M482" s="120" t="n">
        <v>-0.1585611040512249</v>
      </c>
      <c r="N482" t="n">
        <v>47.24339887395105</v>
      </c>
      <c r="O482" t="n">
        <v>0.2202062086775286</v>
      </c>
      <c r="P482" t="n">
        <v>104.5773844203394</v>
      </c>
      <c r="Q482" t="n">
        <v>102.3479209226468</v>
      </c>
    </row>
    <row r="483">
      <c r="A483" s="117" t="n">
        <v>45133</v>
      </c>
      <c r="B483" s="118" t="n">
        <v>101.7423818768542</v>
      </c>
      <c r="C483" s="118" t="n">
        <v>102.9542654025968</v>
      </c>
      <c r="D483" s="118" t="n">
        <v>101.4135688238564</v>
      </c>
      <c r="E483" s="118" t="n">
        <v>102.6818313598633</v>
      </c>
      <c r="F483" s="119" t="n">
        <v>5148900</v>
      </c>
      <c r="G483" s="120" t="n">
        <v>0.009233570528401458</v>
      </c>
      <c r="H483" s="121" t="n">
        <v>65.67213316654473</v>
      </c>
      <c r="I483" s="118" t="n">
        <v>102.7006234741211</v>
      </c>
      <c r="J483" s="118" t="n">
        <v>106.1146616744995</v>
      </c>
      <c r="K483" s="120" t="n">
        <v>0.1939189570561233</v>
      </c>
      <c r="L483" s="120" t="n">
        <v>-0.1427471415749619</v>
      </c>
      <c r="M483" s="120" t="n">
        <v>-0.1507916186601416</v>
      </c>
      <c r="N483" t="n">
        <v>50.62465157836046</v>
      </c>
      <c r="O483" t="n">
        <v>0.2508919340253022</v>
      </c>
      <c r="P483" t="n">
        <v>104.5934591233393</v>
      </c>
      <c r="Q483" t="n">
        <v>102.007464879852</v>
      </c>
    </row>
    <row r="484">
      <c r="A484" s="117" t="n">
        <v>45134</v>
      </c>
      <c r="B484" s="118" t="n">
        <v>103.179734572327</v>
      </c>
      <c r="C484" s="118" t="n">
        <v>103.555515784934</v>
      </c>
      <c r="D484" s="118" t="n">
        <v>100.8968721274698</v>
      </c>
      <c r="E484" s="118" t="n">
        <v>101.150520324707</v>
      </c>
      <c r="F484" s="119" t="n">
        <v>6544600</v>
      </c>
      <c r="G484" s="120" t="n">
        <v>-0.01491316443110124</v>
      </c>
      <c r="H484" s="121" t="n">
        <v>64.69275384609087</v>
      </c>
      <c r="I484" s="118" t="n">
        <v>102.4795361328125</v>
      </c>
      <c r="J484" s="118" t="n">
        <v>106.2147507858276</v>
      </c>
      <c r="K484" s="120" t="n">
        <v>0.1991501490332686</v>
      </c>
      <c r="L484" s="120" t="n">
        <v>-0.1511518736313778</v>
      </c>
      <c r="M484" s="120" t="n">
        <v>-0.1634560028873322</v>
      </c>
      <c r="N484" t="n">
        <v>45.50504194201562</v>
      </c>
      <c r="O484" t="n">
        <v>0.1650742075219324</v>
      </c>
      <c r="P484" t="n">
        <v>103.8999993453738</v>
      </c>
      <c r="Q484" t="n">
        <v>101.7642736021849</v>
      </c>
    </row>
    <row r="485">
      <c r="A485" s="117" t="n">
        <v>45135</v>
      </c>
      <c r="B485" s="118" t="n">
        <v>101.5638780532724</v>
      </c>
      <c r="C485" s="118" t="n">
        <v>102.3624086321617</v>
      </c>
      <c r="D485" s="118" t="n">
        <v>101.1129391749676</v>
      </c>
      <c r="E485" s="118" t="n">
        <v>102.0429992675781</v>
      </c>
      <c r="F485" s="119" t="n">
        <v>5988300</v>
      </c>
      <c r="G485" s="120" t="n">
        <v>0.00882327584678877</v>
      </c>
      <c r="H485" s="121" t="n">
        <v>65.26355585856332</v>
      </c>
      <c r="I485" s="118" t="n">
        <v>102.3390348815918</v>
      </c>
      <c r="J485" s="118" t="n">
        <v>106.3214898300171</v>
      </c>
      <c r="K485" s="120" t="n">
        <v>0.2022709335389513</v>
      </c>
      <c r="L485" s="120" t="n">
        <v>-0.1410975575924647</v>
      </c>
      <c r="M485" s="120" t="n">
        <v>-0.156074944442832</v>
      </c>
      <c r="N485" t="n">
        <v>48.75758911809432</v>
      </c>
      <c r="O485" t="n">
        <v>0.1650374579479089</v>
      </c>
      <c r="P485" t="n">
        <v>104.917229826793</v>
      </c>
      <c r="Q485" t="n">
        <v>103.6178834606523</v>
      </c>
    </row>
    <row r="486">
      <c r="A486" s="117" t="n">
        <v>45138</v>
      </c>
      <c r="B486" s="118" t="n">
        <v>102.7851693442782</v>
      </c>
      <c r="C486" s="118" t="n">
        <v>104.1379716992128</v>
      </c>
      <c r="D486" s="118" t="n">
        <v>102.4469669636869</v>
      </c>
      <c r="E486" s="118" t="n">
        <v>103.7058258056641</v>
      </c>
      <c r="F486" s="119" t="n">
        <v>6406000</v>
      </c>
      <c r="G486" s="120" t="n">
        <v>0.01629535146968442</v>
      </c>
      <c r="H486" s="121" t="n">
        <v>66.32704843943999</v>
      </c>
      <c r="I486" s="118" t="n">
        <v>102.2224267578125</v>
      </c>
      <c r="J486" s="118" t="n">
        <v>106.4304925537109</v>
      </c>
      <c r="K486" s="120" t="n">
        <v>0.1904528111156787</v>
      </c>
      <c r="L486" s="120" t="n">
        <v>-0.1271014404152635</v>
      </c>
      <c r="M486" s="120" t="n">
        <v>-0.1423228890484549</v>
      </c>
      <c r="N486" t="n">
        <v>54.23791898216528</v>
      </c>
      <c r="O486" t="n">
        <v>0.2675541194367882</v>
      </c>
      <c r="P486" t="n">
        <v>105.1169925612673</v>
      </c>
      <c r="Q486" t="n">
        <v>103.671898000279</v>
      </c>
    </row>
    <row r="487">
      <c r="A487" s="117" t="n">
        <v>45139</v>
      </c>
      <c r="B487" s="118" t="n">
        <v>103.3394403357994</v>
      </c>
      <c r="C487" s="118" t="n">
        <v>103.8373474015375</v>
      </c>
      <c r="D487" s="118" t="n">
        <v>102.5315132288705</v>
      </c>
      <c r="E487" s="118" t="n">
        <v>102.7757720947266</v>
      </c>
      <c r="F487" s="119" t="n">
        <v>4566700</v>
      </c>
      <c r="G487" s="120" t="n">
        <v>-0.008968191552520266</v>
      </c>
      <c r="H487" s="121" t="n">
        <v>65.7322147639218</v>
      </c>
      <c r="I487" s="118" t="n">
        <v>102.0518229675293</v>
      </c>
      <c r="J487" s="118" t="n">
        <v>106.5324247360229</v>
      </c>
      <c r="K487" s="120" t="n">
        <v>0.1886834471546664</v>
      </c>
      <c r="L487" s="120" t="n">
        <v>-0.1349297619035384</v>
      </c>
      <c r="M487" s="120" t="n">
        <v>-0.1500147016696806</v>
      </c>
      <c r="N487" t="n">
        <v>50.9553582439403</v>
      </c>
      <c r="O487" t="n">
        <v>0.2628938093836781</v>
      </c>
      <c r="P487" t="n">
        <v>104.816206501017</v>
      </c>
      <c r="Q487" t="n">
        <v>103.4314250685019</v>
      </c>
    </row>
    <row r="488">
      <c r="A488" s="117" t="n">
        <v>45140</v>
      </c>
      <c r="B488" s="118" t="n">
        <v>101.7235865548062</v>
      </c>
      <c r="C488" s="118" t="n">
        <v>101.9490524187086</v>
      </c>
      <c r="D488" s="118" t="n">
        <v>100.9438417814983</v>
      </c>
      <c r="E488" s="118" t="n">
        <v>101.0002136230469</v>
      </c>
      <c r="F488" s="119" t="n">
        <v>6213200</v>
      </c>
      <c r="G488" s="120" t="n">
        <v>-0.01727604118646942</v>
      </c>
      <c r="H488" s="121" t="n">
        <v>64.59662231438243</v>
      </c>
      <c r="I488" s="118" t="n">
        <v>101.9226773071289</v>
      </c>
      <c r="J488" s="118" t="n">
        <v>106.6205922698975</v>
      </c>
      <c r="K488" s="120" t="n">
        <v>0.187222099330464</v>
      </c>
      <c r="L488" s="120" t="n">
        <v>-0.1498747509660819</v>
      </c>
      <c r="M488" s="120" t="n">
        <v>-0.1646990826915287</v>
      </c>
      <c r="N488" t="n">
        <v>45.31665509962816</v>
      </c>
      <c r="O488" t="n">
        <v>0.1367440243380157</v>
      </c>
      <c r="P488" t="n">
        <v>103.3581145609894</v>
      </c>
      <c r="Q488" t="n">
        <v>101.1617153198843</v>
      </c>
    </row>
    <row r="489">
      <c r="A489" s="117" t="n">
        <v>45141</v>
      </c>
      <c r="B489" s="118" t="n">
        <v>100.5210938995603</v>
      </c>
      <c r="C489" s="118" t="n">
        <v>102.4845398633999</v>
      </c>
      <c r="D489" s="118" t="n">
        <v>100.1922880165525</v>
      </c>
      <c r="E489" s="118" t="n">
        <v>102.0617904663086</v>
      </c>
      <c r="F489" s="119" t="n">
        <v>5084300</v>
      </c>
      <c r="G489" s="120" t="n">
        <v>0.0105106395836323</v>
      </c>
      <c r="H489" s="121" t="n">
        <v>65.27557412984892</v>
      </c>
      <c r="I489" s="118" t="n">
        <v>101.900534362793</v>
      </c>
      <c r="J489" s="118" t="n">
        <v>106.7234226226807</v>
      </c>
      <c r="K489" s="120" t="n">
        <v>0.176431269386821</v>
      </c>
      <c r="L489" s="120" t="n">
        <v>-0.1287160962302734</v>
      </c>
      <c r="M489" s="120" t="n">
        <v>-0.1559195358058219</v>
      </c>
      <c r="N489" t="n">
        <v>48.95374783594185</v>
      </c>
      <c r="O489" t="n">
        <v>0.1218076506362206</v>
      </c>
      <c r="P489" t="n">
        <v>103.0619181557586</v>
      </c>
      <c r="Q489" t="n">
        <v>100.999596191396</v>
      </c>
    </row>
    <row r="490">
      <c r="A490" s="117" t="n">
        <v>45142</v>
      </c>
      <c r="B490" s="118" t="n">
        <v>102.1275454442551</v>
      </c>
      <c r="C490" s="118" t="n">
        <v>103.6306630806518</v>
      </c>
      <c r="D490" s="118" t="n">
        <v>101.6860030706882</v>
      </c>
      <c r="E490" s="118" t="n">
        <v>102.2214889526367</v>
      </c>
      <c r="F490" s="119" t="n">
        <v>5621400</v>
      </c>
      <c r="G490" s="120" t="n">
        <v>0.001564723542458735</v>
      </c>
      <c r="H490" s="121" t="n">
        <v>65.37771235743742</v>
      </c>
      <c r="I490" s="118" t="n">
        <v>101.9078036499023</v>
      </c>
      <c r="J490" s="118" t="n">
        <v>106.815788230896</v>
      </c>
      <c r="K490" s="120" t="n">
        <v>0.1740152794118007</v>
      </c>
      <c r="L490" s="120" t="n">
        <v>-0.1161188610720626</v>
      </c>
      <c r="M490" s="120" t="n">
        <v>-0.1545987832317677</v>
      </c>
      <c r="N490" t="n">
        <v>49.49792780025491</v>
      </c>
      <c r="O490" t="n">
        <v>0.1195272839313984</v>
      </c>
      <c r="P490" t="n">
        <v>102.5957808632477</v>
      </c>
      <c r="Q490" t="n">
        <v>100.5267382458597</v>
      </c>
    </row>
    <row r="491">
      <c r="A491" s="117" t="n">
        <v>45145</v>
      </c>
      <c r="B491" s="118" t="n">
        <v>103.2173176252984</v>
      </c>
      <c r="C491" s="118" t="n">
        <v>104.2225282887984</v>
      </c>
      <c r="D491" s="118" t="n">
        <v>102.5690951862662</v>
      </c>
      <c r="E491" s="118" t="n">
        <v>103.7903823852539</v>
      </c>
      <c r="F491" s="119" t="n">
        <v>4887300</v>
      </c>
      <c r="G491" s="120" t="n">
        <v>0.01534798063197962</v>
      </c>
      <c r="H491" s="121" t="n">
        <v>66.3811282204625</v>
      </c>
      <c r="I491" s="118" t="n">
        <v>101.9556274414062</v>
      </c>
      <c r="J491" s="118" t="n">
        <v>106.9173480606079</v>
      </c>
      <c r="K491" s="120" t="n">
        <v>0.1764423229461954</v>
      </c>
      <c r="L491" s="120" t="n">
        <v>-0.09308061301665382</v>
      </c>
      <c r="M491" s="120" t="n">
        <v>-0.1416235817305569</v>
      </c>
      <c r="N491" t="n">
        <v>54.61655472849948</v>
      </c>
      <c r="O491" t="n">
        <v>0.2149581002933426</v>
      </c>
      <c r="P491" t="n">
        <v>103.4912872927652</v>
      </c>
      <c r="Q491" t="n">
        <v>101.3778909377815</v>
      </c>
    </row>
    <row r="492">
      <c r="A492" s="117" t="n">
        <v>45146</v>
      </c>
      <c r="B492" s="118" t="n">
        <v>102.9918306792385</v>
      </c>
      <c r="C492" s="118" t="n">
        <v>103.2360895195355</v>
      </c>
      <c r="D492" s="118" t="n">
        <v>100.8498872868346</v>
      </c>
      <c r="E492" s="118" t="n">
        <v>103.0482025146484</v>
      </c>
      <c r="F492" s="119" t="n">
        <v>5851900</v>
      </c>
      <c r="G492" s="120" t="n">
        <v>-0.007150757647761741</v>
      </c>
      <c r="H492" s="121" t="n">
        <v>65.90645286017298</v>
      </c>
      <c r="I492" s="118" t="n">
        <v>102.0037763977051</v>
      </c>
      <c r="J492" s="118" t="n">
        <v>107.0203631591797</v>
      </c>
      <c r="K492" s="120" t="n">
        <v>0.17242961174508</v>
      </c>
      <c r="L492" s="120" t="n">
        <v>-0.08450993102950888</v>
      </c>
      <c r="M492" s="120" t="n">
        <v>-0.1477616234681555</v>
      </c>
      <c r="N492" t="n">
        <v>51.93489337916353</v>
      </c>
      <c r="O492" t="n">
        <v>0.2186525200205423</v>
      </c>
      <c r="P492" t="n">
        <v>103.041246524118</v>
      </c>
      <c r="Q492" t="n">
        <v>100.5159403719083</v>
      </c>
    </row>
    <row r="493">
      <c r="A493" s="117" t="n">
        <v>45147</v>
      </c>
      <c r="B493" s="118" t="n">
        <v>103.142146017092</v>
      </c>
      <c r="C493" s="118" t="n">
        <v>103.3582153559691</v>
      </c>
      <c r="D493" s="118" t="n">
        <v>101.7423684786227</v>
      </c>
      <c r="E493" s="118" t="n">
        <v>103.0482025146484</v>
      </c>
      <c r="F493" s="119" t="n">
        <v>4328600</v>
      </c>
      <c r="G493" s="120" t="n">
        <v>0</v>
      </c>
      <c r="H493" s="121" t="n">
        <v>65.90645286017298</v>
      </c>
      <c r="I493" s="118" t="n">
        <v>102.0513638305664</v>
      </c>
      <c r="J493" s="118" t="n">
        <v>107.1314766693115</v>
      </c>
      <c r="K493" s="120" t="n">
        <v>0.1722459728741355</v>
      </c>
      <c r="L493" s="120" t="n">
        <v>-0.0816068273715248</v>
      </c>
      <c r="M493" s="120" t="n">
        <v>-0.1477616234681555</v>
      </c>
      <c r="N493" t="n">
        <v>51.93489337916353</v>
      </c>
      <c r="O493" t="n">
        <v>0.2115205081321403</v>
      </c>
      <c r="P493" t="n">
        <v>102.3523836747933</v>
      </c>
      <c r="Q493" t="n">
        <v>99.41079852836805</v>
      </c>
    </row>
    <row r="494">
      <c r="A494" s="117" t="n">
        <v>45148</v>
      </c>
      <c r="B494" s="118" t="n">
        <v>103.6306710818432</v>
      </c>
      <c r="C494" s="118" t="n">
        <v>105.1713676740338</v>
      </c>
      <c r="D494" s="118" t="n">
        <v>101.9490556324849</v>
      </c>
      <c r="E494" s="118" t="n">
        <v>102.4281768798828</v>
      </c>
      <c r="F494" s="119" t="n">
        <v>7276500</v>
      </c>
      <c r="G494" s="120" t="n">
        <v>-0.006016850557655218</v>
      </c>
      <c r="H494" s="121" t="n">
        <v>65.50990358252817</v>
      </c>
      <c r="I494" s="118" t="n">
        <v>102.1050907897949</v>
      </c>
      <c r="J494" s="118" t="n">
        <v>107.231717376709</v>
      </c>
      <c r="K494" s="120" t="n">
        <v>0.1740129040900538</v>
      </c>
      <c r="L494" s="120" t="n">
        <v>-0.07976019074521079</v>
      </c>
      <c r="M494" s="120" t="n">
        <v>-0.1528894144192462</v>
      </c>
      <c r="N494" t="n">
        <v>49.57645288365975</v>
      </c>
      <c r="O494" t="n">
        <v>0.1579258849561492</v>
      </c>
      <c r="P494" t="n">
        <v>102.3891300094337</v>
      </c>
      <c r="Q494" t="n">
        <v>99.59454696458505</v>
      </c>
    </row>
    <row r="495">
      <c r="A495" s="117" t="n">
        <v>45149</v>
      </c>
      <c r="B495" s="118" t="n">
        <v>102.3060409792882</v>
      </c>
      <c r="C495" s="118" t="n">
        <v>102.8978915203527</v>
      </c>
      <c r="D495" s="118" t="n">
        <v>101.3290127442872</v>
      </c>
      <c r="E495" s="118" t="n">
        <v>101.5450820922852</v>
      </c>
      <c r="F495" s="119" t="n">
        <v>5104300</v>
      </c>
      <c r="G495" s="120" t="n">
        <v>-0.008621600173878474</v>
      </c>
      <c r="H495" s="121" t="n">
        <v>64.94510338641028</v>
      </c>
      <c r="I495" s="118" t="n">
        <v>102.1647520446777</v>
      </c>
      <c r="J495" s="118" t="n">
        <v>107.3298233032227</v>
      </c>
      <c r="K495" s="120" t="n">
        <v>0.1770478098983125</v>
      </c>
      <c r="L495" s="120" t="n">
        <v>-0.08769413044469176</v>
      </c>
      <c r="M495" s="120" t="n">
        <v>-0.1601928631911835</v>
      </c>
      <c r="N495" t="n">
        <v>46.34810713714088</v>
      </c>
      <c r="O495" t="n">
        <v>0.06087051207010133</v>
      </c>
      <c r="P495" t="n">
        <v>102.3294208524537</v>
      </c>
      <c r="Q495" t="n">
        <v>98.95955311064766</v>
      </c>
    </row>
    <row r="496">
      <c r="A496" s="117" t="n">
        <v>45152</v>
      </c>
      <c r="B496" s="118" t="n">
        <v>101.385382038222</v>
      </c>
      <c r="C496" s="118" t="n">
        <v>101.7423774132592</v>
      </c>
      <c r="D496" s="118" t="n">
        <v>100.5868514461832</v>
      </c>
      <c r="E496" s="118" t="n">
        <v>101.1223373413086</v>
      </c>
      <c r="F496" s="119" t="n">
        <v>5305200</v>
      </c>
      <c r="G496" s="120" t="n">
        <v>-0.004163123829004078</v>
      </c>
      <c r="H496" s="121" t="n">
        <v>64.67472887892518</v>
      </c>
      <c r="I496" s="118" t="n">
        <v>102.2464837646484</v>
      </c>
      <c r="J496" s="118" t="n">
        <v>107.4085482788086</v>
      </c>
      <c r="K496" s="120" t="n">
        <v>0.1757043725296804</v>
      </c>
      <c r="L496" s="120" t="n">
        <v>-0.09149217274957777</v>
      </c>
      <c r="M496" s="120" t="n">
        <v>-0.1636890842941999</v>
      </c>
      <c r="N496" t="n">
        <v>44.84270684592529</v>
      </c>
      <c r="O496" t="n">
        <v>-0.02909768607082276</v>
      </c>
      <c r="P496" t="n">
        <v>102.8942684591777</v>
      </c>
      <c r="Q496" t="n">
        <v>100.0701064760983</v>
      </c>
    </row>
    <row r="497">
      <c r="A497" s="117" t="n">
        <v>45153</v>
      </c>
      <c r="B497" s="118" t="n">
        <v>99.64740400074312</v>
      </c>
      <c r="C497" s="118" t="n">
        <v>100.3519910962044</v>
      </c>
      <c r="D497" s="118" t="n">
        <v>99.20586160746515</v>
      </c>
      <c r="E497" s="118" t="n">
        <v>100.0983428955078</v>
      </c>
      <c r="F497" s="119" t="n">
        <v>6197600</v>
      </c>
      <c r="G497" s="120" t="n">
        <v>-0.01012629328715564</v>
      </c>
      <c r="H497" s="121" t="n">
        <v>64.01981360602991</v>
      </c>
      <c r="I497" s="118" t="n">
        <v>102.2233732604981</v>
      </c>
      <c r="J497" s="118" t="n">
        <v>107.4790348815918</v>
      </c>
      <c r="K497" s="120" t="n">
        <v>0.1749642001175915</v>
      </c>
      <c r="L497" s="120" t="n">
        <v>-0.06848432149878692</v>
      </c>
      <c r="M497" s="120" t="n">
        <v>-0.1721578139058866</v>
      </c>
      <c r="N497" t="n">
        <v>41.34006888637286</v>
      </c>
      <c r="O497" t="n">
        <v>-0.1482115301532724</v>
      </c>
      <c r="P497" t="n">
        <v>101.695692052332</v>
      </c>
      <c r="Q497" t="n">
        <v>99.00820646810267</v>
      </c>
    </row>
    <row r="498">
      <c r="A498" s="117" t="n">
        <v>45154</v>
      </c>
      <c r="B498" s="118" t="n">
        <v>99.64739820074469</v>
      </c>
      <c r="C498" s="118" t="n">
        <v>101.8175240348751</v>
      </c>
      <c r="D498" s="118" t="n">
        <v>99.64739820074469</v>
      </c>
      <c r="E498" s="118" t="n">
        <v>100.0795440673828</v>
      </c>
      <c r="F498" s="119" t="n">
        <v>5953100</v>
      </c>
      <c r="G498" s="120" t="n">
        <v>-0.0001878035897620034</v>
      </c>
      <c r="H498" s="121" t="n">
        <v>64.00779045521881</v>
      </c>
      <c r="I498" s="118" t="n">
        <v>102.2483624267578</v>
      </c>
      <c r="J498" s="118" t="n">
        <v>107.5580377960205</v>
      </c>
      <c r="K498" s="120" t="n">
        <v>0.1747040670169828</v>
      </c>
      <c r="L498" s="120" t="n">
        <v>-0.06231849684182866</v>
      </c>
      <c r="M498" s="120" t="n">
        <v>-0.1723132856401914</v>
      </c>
      <c r="N498" t="n">
        <v>41.27632737778618</v>
      </c>
      <c r="O498" t="n">
        <v>-0.2148621158766418</v>
      </c>
      <c r="P498" t="n">
        <v>100.9494257839689</v>
      </c>
      <c r="Q498" t="n">
        <v>97.95981428999195</v>
      </c>
    </row>
    <row r="499">
      <c r="A499" s="117" t="n">
        <v>45155</v>
      </c>
      <c r="B499" s="118" t="n">
        <v>100.925050219467</v>
      </c>
      <c r="C499" s="118" t="n">
        <v>101.3008314162697</v>
      </c>
      <c r="D499" s="118" t="n">
        <v>98.43550785400816</v>
      </c>
      <c r="E499" s="118" t="n">
        <v>98.68916320800781</v>
      </c>
      <c r="F499" s="119" t="n">
        <v>5692800</v>
      </c>
      <c r="G499" s="120" t="n">
        <v>-0.01389275772918053</v>
      </c>
      <c r="H499" s="121" t="n">
        <v>63.1185457296443</v>
      </c>
      <c r="I499" s="118" t="n">
        <v>102.2269429016113</v>
      </c>
      <c r="J499" s="118" t="n">
        <v>107.6147764587402</v>
      </c>
      <c r="K499" s="120" t="n">
        <v>0.1651475058983378</v>
      </c>
      <c r="L499" s="120" t="n">
        <v>-0.07534547879233899</v>
      </c>
      <c r="M499" s="120" t="n">
        <v>-0.1838121366384537</v>
      </c>
      <c r="N499" t="n">
        <v>36.76158423137542</v>
      </c>
      <c r="O499" t="n">
        <v>-0.3321772605487127</v>
      </c>
      <c r="P499" t="n">
        <v>100.1801966932661</v>
      </c>
      <c r="Q499" t="n">
        <v>96.88980119410893</v>
      </c>
    </row>
    <row r="500">
      <c r="A500" s="117" t="n">
        <v>45156</v>
      </c>
      <c r="B500" s="118" t="n">
        <v>97.54304284888833</v>
      </c>
      <c r="C500" s="118" t="n">
        <v>98.68917238031581</v>
      </c>
      <c r="D500" s="118" t="n">
        <v>97.47728167089319</v>
      </c>
      <c r="E500" s="118" t="n">
        <v>98.46369934082031</v>
      </c>
      <c r="F500" s="119" t="n">
        <v>5836100</v>
      </c>
      <c r="G500" s="120" t="n">
        <v>-0.002284585863923994</v>
      </c>
      <c r="H500" s="121" t="n">
        <v>62.9743459923189</v>
      </c>
      <c r="I500" s="118" t="n">
        <v>102.1841041564941</v>
      </c>
      <c r="J500" s="118" t="n">
        <v>107.6757401657105</v>
      </c>
      <c r="K500" s="120" t="n">
        <v>0.1548829493393104</v>
      </c>
      <c r="L500" s="120" t="n">
        <v>-0.0774579314405035</v>
      </c>
      <c r="M500" s="120" t="n">
        <v>-0.1856767878933958</v>
      </c>
      <c r="N500" t="n">
        <v>36.07255638364848</v>
      </c>
      <c r="O500" t="n">
        <v>-0.3999987353441452</v>
      </c>
      <c r="P500" t="n">
        <v>100.2284135286444</v>
      </c>
      <c r="Q500" t="n">
        <v>96.76821394523186</v>
      </c>
    </row>
    <row r="501">
      <c r="A501" s="117" t="n">
        <v>45159</v>
      </c>
      <c r="B501" s="118" t="n">
        <v>99.08373081626235</v>
      </c>
      <c r="C501" s="118" t="n">
        <v>99.09312731728043</v>
      </c>
      <c r="D501" s="118" t="n">
        <v>96.41569075411468</v>
      </c>
      <c r="E501" s="118" t="n">
        <v>96.63176727294922</v>
      </c>
      <c r="F501" s="119" t="n">
        <v>6697600</v>
      </c>
      <c r="G501" s="120" t="n">
        <v>-0.01860515174765154</v>
      </c>
      <c r="H501" s="121" t="n">
        <v>61.8026987289227</v>
      </c>
      <c r="I501" s="118" t="n">
        <v>102.1213488769531</v>
      </c>
      <c r="J501" s="118" t="n">
        <v>107.7224710845947</v>
      </c>
      <c r="K501" s="120" t="n">
        <v>0.1658211875987043</v>
      </c>
      <c r="L501" s="120" t="n">
        <v>-0.09462196661964528</v>
      </c>
      <c r="M501" s="120" t="n">
        <v>-0.2008273948262742</v>
      </c>
      <c r="N501" t="n">
        <v>30.99000981902863</v>
      </c>
      <c r="O501" t="n">
        <v>-0.5348525924699092</v>
      </c>
      <c r="P501" t="n">
        <v>100.8805445905713</v>
      </c>
      <c r="Q501" t="n">
        <v>98.32726921264369</v>
      </c>
    </row>
    <row r="502">
      <c r="A502" s="117" t="n">
        <v>45160</v>
      </c>
      <c r="B502" s="118" t="n">
        <v>94.84683402171686</v>
      </c>
      <c r="C502" s="118" t="n">
        <v>96.1714614436942</v>
      </c>
      <c r="D502" s="118" t="n">
        <v>94.63076462003878</v>
      </c>
      <c r="E502" s="118" t="n">
        <v>95.31655883789062</v>
      </c>
      <c r="F502" s="119" t="n">
        <v>9814700</v>
      </c>
      <c r="G502" s="120" t="n">
        <v>-0.01361051828167037</v>
      </c>
      <c r="H502" s="121" t="n">
        <v>60.96153196801614</v>
      </c>
      <c r="I502" s="118" t="n">
        <v>102.0386775207519</v>
      </c>
      <c r="J502" s="118" t="n">
        <v>107.7787761306763</v>
      </c>
      <c r="K502" s="120" t="n">
        <v>0.1702180090810277</v>
      </c>
      <c r="L502" s="120" t="n">
        <v>-0.1069446308947912</v>
      </c>
      <c r="M502" s="120" t="n">
        <v>-0.2117045481792014</v>
      </c>
      <c r="N502" t="n">
        <v>27.94569688193603</v>
      </c>
      <c r="O502" t="n">
        <v>-0.670456653848037</v>
      </c>
      <c r="P502" t="n">
        <v>100.6072891868162</v>
      </c>
      <c r="Q502" t="n">
        <v>98.18678778184065</v>
      </c>
    </row>
    <row r="503">
      <c r="A503" s="117" t="n">
        <v>45161</v>
      </c>
      <c r="B503" s="118" t="n">
        <v>91.10781506186034</v>
      </c>
      <c r="C503" s="118" t="n">
        <v>93.18399758305448</v>
      </c>
      <c r="D503" s="118" t="n">
        <v>90.70385149283146</v>
      </c>
      <c r="E503" s="118" t="n">
        <v>92.77063751220703</v>
      </c>
      <c r="F503" s="119" t="n">
        <v>20909100</v>
      </c>
      <c r="G503" s="120" t="n">
        <v>-0.0267101682721631</v>
      </c>
      <c r="H503" s="121" t="n">
        <v>59.33323919102157</v>
      </c>
      <c r="I503" s="118" t="n">
        <v>101.8868627929688</v>
      </c>
      <c r="J503" s="118" t="n">
        <v>107.821886138916</v>
      </c>
      <c r="K503" s="120" t="n">
        <v>0.1827455935714971</v>
      </c>
      <c r="L503" s="120" t="n">
        <v>-0.1307982900799503</v>
      </c>
      <c r="M503" s="120" t="n">
        <v>-0.2327600523455158</v>
      </c>
      <c r="N503" t="n">
        <v>23.19554734917814</v>
      </c>
      <c r="O503" t="n">
        <v>-0.8764354549215811</v>
      </c>
      <c r="P503" t="n">
        <v>101.727819637468</v>
      </c>
      <c r="Q503" t="n">
        <v>99.73503678534455</v>
      </c>
    </row>
    <row r="504">
      <c r="A504" s="117" t="n">
        <v>45162</v>
      </c>
      <c r="B504" s="118" t="n">
        <v>92.72366313573977</v>
      </c>
      <c r="C504" s="118" t="n">
        <v>93.18399855304108</v>
      </c>
      <c r="D504" s="118" t="n">
        <v>91.65269127506036</v>
      </c>
      <c r="E504" s="118" t="n">
        <v>91.71845245361328</v>
      </c>
      <c r="F504" s="119" t="n">
        <v>10310000</v>
      </c>
      <c r="G504" s="120" t="n">
        <v>-0.01134178967407984</v>
      </c>
      <c r="H504" s="121" t="n">
        <v>58.66029407143514</v>
      </c>
      <c r="I504" s="118" t="n">
        <v>101.7149433898926</v>
      </c>
      <c r="J504" s="118" t="n">
        <v>107.8346489334106</v>
      </c>
      <c r="K504" s="120" t="n">
        <v>0.1806030531133365</v>
      </c>
      <c r="L504" s="120" t="n">
        <v>-0.1406565930582139</v>
      </c>
      <c r="M504" s="120" t="n">
        <v>-0.2414619264613649</v>
      </c>
      <c r="N504" t="n">
        <v>21.56416130150517</v>
      </c>
      <c r="O504" t="n">
        <v>-1.018401697723008</v>
      </c>
      <c r="P504" t="n">
        <v>100.3179663536825</v>
      </c>
      <c r="Q504" t="n">
        <v>97.6031236814659</v>
      </c>
    </row>
    <row r="505">
      <c r="A505" s="117" t="n">
        <v>45163</v>
      </c>
      <c r="B505" s="118" t="n">
        <v>92.53576946506858</v>
      </c>
      <c r="C505" s="118" t="n">
        <v>93.09004119205622</v>
      </c>
      <c r="D505" s="118" t="n">
        <v>91.88754706051728</v>
      </c>
      <c r="E505" s="118" t="n">
        <v>92.85517883300781</v>
      </c>
      <c r="F505" s="119" t="n">
        <v>7290600</v>
      </c>
      <c r="G505" s="120" t="n">
        <v>0.01239364979440127</v>
      </c>
      <c r="H505" s="121" t="n">
        <v>59.3873092129931</v>
      </c>
      <c r="I505" s="118" t="n">
        <v>101.4515219116211</v>
      </c>
      <c r="J505" s="118" t="n">
        <v>107.8640327453613</v>
      </c>
      <c r="K505" s="120" t="n">
        <v>0.1845813806150339</v>
      </c>
      <c r="L505" s="120" t="n">
        <v>-0.1300061918194497</v>
      </c>
      <c r="M505" s="120" t="n">
        <v>-0.2320608712222072</v>
      </c>
      <c r="N505" t="n">
        <v>27.49692481890433</v>
      </c>
      <c r="O505" t="n">
        <v>-0.9707916463462998</v>
      </c>
      <c r="P505" t="n">
        <v>101.025187823085</v>
      </c>
      <c r="Q505" t="n">
        <v>98.35969639432392</v>
      </c>
    </row>
    <row r="506">
      <c r="A506" s="117" t="n">
        <v>45166</v>
      </c>
      <c r="B506" s="118" t="n">
        <v>93.55977986047066</v>
      </c>
      <c r="C506" s="118" t="n">
        <v>94.00132230810711</v>
      </c>
      <c r="D506" s="118" t="n">
        <v>92.88338218619791</v>
      </c>
      <c r="E506" s="118" t="n">
        <v>93.59735870361328</v>
      </c>
      <c r="F506" s="119" t="n">
        <v>6006600</v>
      </c>
      <c r="G506" s="120" t="n">
        <v>0.007992875356367835</v>
      </c>
      <c r="H506" s="121" t="n">
        <v>59.86198457328263</v>
      </c>
      <c r="I506" s="118" t="n">
        <v>101.2113987731934</v>
      </c>
      <c r="J506" s="118" t="n">
        <v>107.8956846618652</v>
      </c>
      <c r="K506" s="120" t="n">
        <v>0.1741483936636923</v>
      </c>
      <c r="L506" s="120" t="n">
        <v>-0.1230524397498507</v>
      </c>
      <c r="M506" s="120" t="n">
        <v>-0.2259228294846086</v>
      </c>
      <c r="N506" t="n">
        <v>31.15820203689218</v>
      </c>
      <c r="O506" t="n">
        <v>-0.8298210499722476</v>
      </c>
      <c r="P506" t="n">
        <v>101.6658265634101</v>
      </c>
      <c r="Q506" t="n">
        <v>99.10006810127649</v>
      </c>
    </row>
    <row r="507">
      <c r="A507" s="117" t="n">
        <v>45167</v>
      </c>
      <c r="B507" s="118" t="n">
        <v>93.9731251988225</v>
      </c>
      <c r="C507" s="118" t="n">
        <v>95.97415706895455</v>
      </c>
      <c r="D507" s="118" t="n">
        <v>93.68189816952568</v>
      </c>
      <c r="E507" s="118" t="n">
        <v>95.60776519775391</v>
      </c>
      <c r="F507" s="119" t="n">
        <v>8641600</v>
      </c>
      <c r="G507" s="120" t="n">
        <v>0.02147930798460673</v>
      </c>
      <c r="H507" s="121" t="n">
        <v>61.14777857650194</v>
      </c>
      <c r="I507" s="118" t="n">
        <v>100.9893125915527</v>
      </c>
      <c r="J507" s="118" t="n">
        <v>107.9450681686401</v>
      </c>
      <c r="K507" s="120" t="n">
        <v>0.1971035660639151</v>
      </c>
      <c r="L507" s="120" t="n">
        <v>-0.1042162130168884</v>
      </c>
      <c r="M507" s="120" t="n">
        <v>-0.2092961875352556</v>
      </c>
      <c r="N507" t="n">
        <v>39.9972720164043</v>
      </c>
      <c r="O507" t="n">
        <v>-0.5548971939591709</v>
      </c>
      <c r="P507" t="n">
        <v>103.1353962777968</v>
      </c>
      <c r="Q507" t="n">
        <v>101.2643748270096</v>
      </c>
    </row>
    <row r="508">
      <c r="A508" s="117" t="n">
        <v>45168</v>
      </c>
      <c r="B508" s="118" t="n">
        <v>95.48563976558384</v>
      </c>
      <c r="C508" s="118" t="n">
        <v>96.58479388165208</v>
      </c>
      <c r="D508" s="118" t="n">
        <v>95.36351391960859</v>
      </c>
      <c r="E508" s="118" t="n">
        <v>95.91778564453125</v>
      </c>
      <c r="F508" s="119" t="n">
        <v>4822100</v>
      </c>
      <c r="G508" s="120" t="n">
        <v>0.003242628317230212</v>
      </c>
      <c r="H508" s="121" t="n">
        <v>61.34605809484983</v>
      </c>
      <c r="I508" s="118" t="n">
        <v>100.8495223999023</v>
      </c>
      <c r="J508" s="118" t="n">
        <v>107.9616069030762</v>
      </c>
      <c r="K508" s="120" t="n">
        <v>0.1915085612199361</v>
      </c>
      <c r="L508" s="120" t="n">
        <v>-0.1013115191431012</v>
      </c>
      <c r="M508" s="120" t="n">
        <v>-0.2067322289624155</v>
      </c>
      <c r="N508" t="n">
        <v>41.24999040487243</v>
      </c>
      <c r="O508" t="n">
        <v>-0.3176759349142628</v>
      </c>
      <c r="P508" t="n">
        <v>103.5601903070266</v>
      </c>
      <c r="Q508" t="n">
        <v>101.829119575589</v>
      </c>
    </row>
    <row r="509">
      <c r="A509" s="117" t="n">
        <v>45169</v>
      </c>
      <c r="B509" s="118" t="n">
        <v>96.40631703510138</v>
      </c>
      <c r="C509" s="118" t="n">
        <v>96.65996526423028</v>
      </c>
      <c r="D509" s="118" t="n">
        <v>95.45747096664026</v>
      </c>
      <c r="E509" s="118" t="n">
        <v>95.55141448974609</v>
      </c>
      <c r="F509" s="119" t="n">
        <v>7046200</v>
      </c>
      <c r="G509" s="120" t="n">
        <v>-0.003819637331317405</v>
      </c>
      <c r="H509" s="121" t="n">
        <v>61.11173840122157</v>
      </c>
      <c r="I509" s="118" t="n">
        <v>100.6941375732422</v>
      </c>
      <c r="J509" s="118" t="n">
        <v>107.945595741272</v>
      </c>
      <c r="K509" s="120" t="n">
        <v>0.185240072351037</v>
      </c>
      <c r="L509" s="120" t="n">
        <v>-0.1047441832138072</v>
      </c>
      <c r="M509" s="120" t="n">
        <v>-0.2097622241544016</v>
      </c>
      <c r="N509" t="n">
        <v>40.18232986877549</v>
      </c>
      <c r="O509" t="n">
        <v>-0.1589631477397004</v>
      </c>
      <c r="P509" t="n">
        <v>103.4086298606881</v>
      </c>
      <c r="Q509" t="n">
        <v>102.1344384807702</v>
      </c>
    </row>
    <row r="510">
      <c r="A510" s="117" t="n">
        <v>45170</v>
      </c>
      <c r="B510" s="118" t="n">
        <v>96.11695979940653</v>
      </c>
      <c r="C510" s="118" t="n">
        <v>97.05013214160824</v>
      </c>
      <c r="D510" s="118" t="n">
        <v>95.6927853227912</v>
      </c>
      <c r="E510" s="118" t="n">
        <v>96.48457336425781</v>
      </c>
      <c r="F510" s="119" t="n">
        <v>6359400</v>
      </c>
      <c r="G510" s="120" t="n">
        <v>0.009766039356872813</v>
      </c>
      <c r="H510" s="121" t="n">
        <v>61.70855804361481</v>
      </c>
      <c r="I510" s="118" t="n">
        <v>100.5483973693848</v>
      </c>
      <c r="J510" s="118" t="n">
        <v>107.9421626281738</v>
      </c>
      <c r="K510" s="120" t="n">
        <v>0.1902721613638078</v>
      </c>
      <c r="L510" s="120" t="n">
        <v>-0.09600107967260396</v>
      </c>
      <c r="M510" s="120" t="n">
        <v>-0.2020447309342059</v>
      </c>
      <c r="N510" t="n">
        <v>44.14757783450017</v>
      </c>
      <c r="O510" t="n">
        <v>0.02551734336349032</v>
      </c>
      <c r="P510" t="n">
        <v>103.6015117494439</v>
      </c>
      <c r="Q510" t="n">
        <v>102.0263674517345</v>
      </c>
    </row>
    <row r="511">
      <c r="A511" s="117" t="n">
        <v>45174</v>
      </c>
      <c r="B511" s="118" t="n">
        <v>95.67392939600703</v>
      </c>
      <c r="C511" s="118" t="n">
        <v>96.10752466625397</v>
      </c>
      <c r="D511" s="118" t="n">
        <v>94.4768301924415</v>
      </c>
      <c r="E511" s="118" t="n">
        <v>94.56166076660156</v>
      </c>
      <c r="F511" s="119" t="n">
        <v>6698700</v>
      </c>
      <c r="G511" s="120" t="n">
        <v>-0.01992974141468906</v>
      </c>
      <c r="H511" s="121" t="n">
        <v>60.47872243873223</v>
      </c>
      <c r="I511" s="118" t="n">
        <v>100.3818605041504</v>
      </c>
      <c r="J511" s="118" t="n">
        <v>107.9183171081543</v>
      </c>
      <c r="K511" s="120" t="n">
        <v>0.1867814725200457</v>
      </c>
      <c r="L511" s="120" t="n">
        <v>-0.1140175443938872</v>
      </c>
      <c r="M511" s="120" t="n">
        <v>-0.2179477731071758</v>
      </c>
      <c r="N511" t="n">
        <v>38.48605922986929</v>
      </c>
      <c r="O511" t="n">
        <v>0.03415179166542059</v>
      </c>
      <c r="P511" t="n">
        <v>103.1537548978745</v>
      </c>
      <c r="Q511" t="n">
        <v>102.1560761784554</v>
      </c>
    </row>
    <row r="512">
      <c r="A512" s="117" t="n">
        <v>45175</v>
      </c>
      <c r="B512" s="118" t="n">
        <v>94.03381234022322</v>
      </c>
      <c r="C512" s="118" t="n">
        <v>94.55223821459184</v>
      </c>
      <c r="D512" s="118" t="n">
        <v>93.34571092478934</v>
      </c>
      <c r="E512" s="118" t="n">
        <v>94.42970275878906</v>
      </c>
      <c r="F512" s="119" t="n">
        <v>6096000</v>
      </c>
      <c r="G512" s="120" t="n">
        <v>-0.001395470497691509</v>
      </c>
      <c r="H512" s="121" t="n">
        <v>60.39432616583091</v>
      </c>
      <c r="I512" s="118" t="n">
        <v>100.1709730529785</v>
      </c>
      <c r="J512" s="118" t="n">
        <v>107.9007001495361</v>
      </c>
      <c r="K512" s="120" t="n">
        <v>0.1868477962380209</v>
      </c>
      <c r="L512" s="120" t="n">
        <v>-0.1152539067721577</v>
      </c>
      <c r="M512" s="120" t="n">
        <v>-0.2190391039174586</v>
      </c>
      <c r="N512" t="n">
        <v>38.12473772396269</v>
      </c>
      <c r="O512" t="n">
        <v>0.04633341408166269</v>
      </c>
      <c r="P512" t="n">
        <v>102.4603096671516</v>
      </c>
      <c r="Q512" t="n">
        <v>101.256295298948</v>
      </c>
    </row>
    <row r="513">
      <c r="A513" s="117" t="n">
        <v>45176</v>
      </c>
      <c r="B513" s="118" t="n">
        <v>92.6199129928424</v>
      </c>
      <c r="C513" s="118" t="n">
        <v>93.09121317083563</v>
      </c>
      <c r="D513" s="118" t="n">
        <v>92.03549818320158</v>
      </c>
      <c r="E513" s="118" t="n">
        <v>92.30885314941406</v>
      </c>
      <c r="F513" s="119" t="n">
        <v>9927100</v>
      </c>
      <c r="G513" s="120" t="n">
        <v>-0.0224595603651585</v>
      </c>
      <c r="H513" s="121" t="n">
        <v>59.03789615159636</v>
      </c>
      <c r="I513" s="118" t="n">
        <v>99.88253311157227</v>
      </c>
      <c r="J513" s="118" t="n">
        <v>107.8718738937378</v>
      </c>
      <c r="K513" s="120" t="n">
        <v>0.1967515347279163</v>
      </c>
      <c r="L513" s="120" t="n">
        <v>-0.1351249150608467</v>
      </c>
      <c r="M513" s="120" t="n">
        <v>-0.2365791423058528</v>
      </c>
      <c r="N513" t="n">
        <v>32.79551755016527</v>
      </c>
      <c r="O513" t="n">
        <v>-0.06693226308491029</v>
      </c>
      <c r="P513" t="n">
        <v>102.1457328209792</v>
      </c>
      <c r="Q513" t="n">
        <v>100.5321329878573</v>
      </c>
    </row>
    <row r="514">
      <c r="A514" s="117" t="n">
        <v>45177</v>
      </c>
      <c r="B514" s="118" t="n">
        <v>92.46910020848969</v>
      </c>
      <c r="C514" s="118" t="n">
        <v>92.49737707059043</v>
      </c>
      <c r="D514" s="118" t="n">
        <v>91.69616814803064</v>
      </c>
      <c r="E514" s="118" t="n">
        <v>92.06378173828125</v>
      </c>
      <c r="F514" s="119" t="n">
        <v>6435000</v>
      </c>
      <c r="G514" s="120" t="n">
        <v>-0.002654906899732912</v>
      </c>
      <c r="H514" s="121" t="n">
        <v>58.88115603375778</v>
      </c>
      <c r="I514" s="118" t="n">
        <v>99.60008941650391</v>
      </c>
      <c r="J514" s="118" t="n">
        <v>107.84154296875</v>
      </c>
      <c r="K514" s="120" t="n">
        <v>0.1969768129733295</v>
      </c>
      <c r="L514" s="120" t="n">
        <v>-0.1374210778912587</v>
      </c>
      <c r="M514" s="120" t="n">
        <v>-0.238605953608345</v>
      </c>
      <c r="N514" t="n">
        <v>32.234793540162</v>
      </c>
      <c r="O514" t="n">
        <v>-0.1330279687337241</v>
      </c>
      <c r="P514" t="n">
        <v>102.2995771843955</v>
      </c>
      <c r="Q514" t="n">
        <v>100.6726563684426</v>
      </c>
    </row>
    <row r="515">
      <c r="A515" s="117" t="n">
        <v>45180</v>
      </c>
      <c r="B515" s="118" t="n">
        <v>92.68591201739062</v>
      </c>
      <c r="C515" s="118" t="n">
        <v>92.73303772909759</v>
      </c>
      <c r="D515" s="118" t="n">
        <v>91.03636108674876</v>
      </c>
      <c r="E515" s="118" t="n">
        <v>91.23430633544922</v>
      </c>
      <c r="F515" s="119" t="n">
        <v>7584700</v>
      </c>
      <c r="G515" s="120" t="n">
        <v>-0.009009790681747787</v>
      </c>
      <c r="H515" s="121" t="n">
        <v>58.35064914279429</v>
      </c>
      <c r="I515" s="118" t="n">
        <v>99.2946678161621</v>
      </c>
      <c r="J515" s="118" t="n">
        <v>107.8144649887085</v>
      </c>
      <c r="K515" s="120" t="n">
        <v>0.197069831736929</v>
      </c>
      <c r="L515" s="120" t="n">
        <v>-0.145192733425946</v>
      </c>
      <c r="M515" s="120" t="n">
        <v>-0.2454659545926628</v>
      </c>
      <c r="N515" t="n">
        <v>30.34375848021587</v>
      </c>
      <c r="O515" t="n">
        <v>-0.2030857037877436</v>
      </c>
      <c r="P515" t="n">
        <v>102.9723653307204</v>
      </c>
      <c r="Q515" t="n">
        <v>101.8588451912922</v>
      </c>
    </row>
    <row r="516">
      <c r="A516" s="117" t="n">
        <v>45181</v>
      </c>
      <c r="B516" s="118" t="n">
        <v>91.42281218631517</v>
      </c>
      <c r="C516" s="118" t="n">
        <v>91.59248054857947</v>
      </c>
      <c r="D516" s="118" t="n">
        <v>90.65930815186098</v>
      </c>
      <c r="E516" s="118" t="n">
        <v>90.77242279052734</v>
      </c>
      <c r="F516" s="119" t="n">
        <v>6307700</v>
      </c>
      <c r="G516" s="120" t="n">
        <v>-0.005062608173110106</v>
      </c>
      <c r="H516" s="121" t="n">
        <v>58.0552426695377</v>
      </c>
      <c r="I516" s="118" t="n">
        <v>99.03637573242187</v>
      </c>
      <c r="J516" s="118" t="n">
        <v>107.7751173782349</v>
      </c>
      <c r="K516" s="120" t="n">
        <v>0.1970289371552038</v>
      </c>
      <c r="L516" s="120" t="n">
        <v>-0.1495202876801377</v>
      </c>
      <c r="M516" s="120" t="n">
        <v>-0.2492858648178318</v>
      </c>
      <c r="N516" t="n">
        <v>29.31256038022943</v>
      </c>
      <c r="O516" t="n">
        <v>-0.2480324928700677</v>
      </c>
      <c r="P516" t="n">
        <v>102.4074886295113</v>
      </c>
      <c r="Q516" t="n">
        <v>100.7293892539592</v>
      </c>
    </row>
    <row r="517">
      <c r="A517" s="117" t="n">
        <v>45182</v>
      </c>
      <c r="B517" s="118" t="n">
        <v>90.7724225232995</v>
      </c>
      <c r="C517" s="118" t="n">
        <v>91.62075714065317</v>
      </c>
      <c r="D517" s="118" t="n">
        <v>90.16915883512912</v>
      </c>
      <c r="E517" s="118" t="n">
        <v>90.61217498779297</v>
      </c>
      <c r="F517" s="119" t="n">
        <v>7140700</v>
      </c>
      <c r="G517" s="120" t="n">
        <v>-0.001765379812591061</v>
      </c>
      <c r="H517" s="121" t="n">
        <v>57.95275311611382</v>
      </c>
      <c r="I517" s="118" t="n">
        <v>98.79855270385742</v>
      </c>
      <c r="J517" s="118" t="n">
        <v>107.7318036270142</v>
      </c>
      <c r="K517" s="120" t="n">
        <v>0.1965533163104821</v>
      </c>
      <c r="L517" s="120" t="n">
        <v>-0.1510217073952855</v>
      </c>
      <c r="M517" s="120" t="n">
        <v>-0.2506111603971092</v>
      </c>
      <c r="N517" t="n">
        <v>28.94503186544395</v>
      </c>
      <c r="O517" t="n">
        <v>-0.2550690379290819</v>
      </c>
      <c r="P517" t="n">
        <v>102.5268996698501</v>
      </c>
      <c r="Q517" t="n">
        <v>101.1130955222551</v>
      </c>
    </row>
    <row r="518">
      <c r="A518" s="117" t="n">
        <v>45183</v>
      </c>
      <c r="B518" s="118" t="n">
        <v>91.16831241296836</v>
      </c>
      <c r="C518" s="118" t="n">
        <v>92.07320793969249</v>
      </c>
      <c r="D518" s="118" t="n">
        <v>90.39538036775794</v>
      </c>
      <c r="E518" s="118" t="n">
        <v>91.61133575439453</v>
      </c>
      <c r="F518" s="119" t="n">
        <v>7075300</v>
      </c>
      <c r="G518" s="120" t="n">
        <v>0.01102678273351421</v>
      </c>
      <c r="H518" s="121" t="n">
        <v>58.59178553353419</v>
      </c>
      <c r="I518" s="118" t="n">
        <v>98.61847839355468</v>
      </c>
      <c r="J518" s="118" t="n">
        <v>107.6966972351074</v>
      </c>
      <c r="K518" s="120" t="n">
        <v>0.2040037020100408</v>
      </c>
      <c r="L518" s="120" t="n">
        <v>-0.1416602082172636</v>
      </c>
      <c r="M518" s="120" t="n">
        <v>-0.2423478124798878</v>
      </c>
      <c r="N518" t="n">
        <v>34.46267922364561</v>
      </c>
      <c r="O518" t="n">
        <v>-0.1634032089206179</v>
      </c>
      <c r="P518" t="n">
        <v>103.4109137777659</v>
      </c>
      <c r="Q518" t="n">
        <v>101.9399005605581</v>
      </c>
    </row>
    <row r="519">
      <c r="A519" s="117" t="n">
        <v>45184</v>
      </c>
      <c r="B519" s="118" t="n">
        <v>92.51622475968654</v>
      </c>
      <c r="C519" s="118" t="n">
        <v>92.51622475968654</v>
      </c>
      <c r="D519" s="118" t="n">
        <v>90.61216804668436</v>
      </c>
      <c r="E519" s="118" t="n">
        <v>90.73471069335938</v>
      </c>
      <c r="F519" s="119" t="n">
        <v>10467300</v>
      </c>
      <c r="G519" s="120" t="n">
        <v>-0.00956895840254246</v>
      </c>
      <c r="H519" s="121" t="n">
        <v>58.03112317503312</v>
      </c>
      <c r="I519" s="118" t="n">
        <v>98.45845001220704</v>
      </c>
      <c r="J519" s="118" t="n">
        <v>107.6618618774414</v>
      </c>
      <c r="K519" s="120" t="n">
        <v>0.2018824136753462</v>
      </c>
      <c r="L519" s="120" t="n">
        <v>-0.1498736259800795</v>
      </c>
      <c r="M519" s="120" t="n">
        <v>-0.249597754745863</v>
      </c>
      <c r="N519" t="n">
        <v>32.10696836080571</v>
      </c>
      <c r="O519" t="n">
        <v>-0.1340137586324808</v>
      </c>
      <c r="P519" t="n">
        <v>102.164993370094</v>
      </c>
      <c r="Q519" t="n">
        <v>100.1943869009959</v>
      </c>
    </row>
    <row r="520">
      <c r="A520" s="117" t="n">
        <v>45187</v>
      </c>
      <c r="B520" s="118" t="n">
        <v>90.4896355344614</v>
      </c>
      <c r="C520" s="118" t="n">
        <v>90.83840026034638</v>
      </c>
      <c r="D520" s="118" t="n">
        <v>89.81096211731771</v>
      </c>
      <c r="E520" s="118" t="n">
        <v>90.02776336669922</v>
      </c>
      <c r="F520" s="119" t="n">
        <v>6946300</v>
      </c>
      <c r="G520" s="120" t="n">
        <v>-0.007791365853904608</v>
      </c>
      <c r="H520" s="121" t="n">
        <v>57.57898146346343</v>
      </c>
      <c r="I520" s="118" t="n">
        <v>98.29630722045898</v>
      </c>
      <c r="J520" s="118" t="n">
        <v>107.6174877548218</v>
      </c>
      <c r="K520" s="120" t="n">
        <v>0.2021660164475455</v>
      </c>
      <c r="L520" s="120" t="n">
        <v>-0.156497271582122</v>
      </c>
      <c r="M520" s="120" t="n">
        <v>-0.2554444131762295</v>
      </c>
      <c r="N520" t="n">
        <v>30.30774754987475</v>
      </c>
      <c r="O520" t="n">
        <v>-0.1340646985063616</v>
      </c>
      <c r="P520" t="n">
        <v>102.2249061884695</v>
      </c>
      <c r="Q520" t="n">
        <v>100.2988250788887</v>
      </c>
    </row>
    <row r="521">
      <c r="A521" s="117" t="n">
        <v>45188</v>
      </c>
      <c r="B521" s="118" t="n">
        <v>89.58474849911002</v>
      </c>
      <c r="C521" s="118" t="n">
        <v>90.00891582913219</v>
      </c>
      <c r="D521" s="118" t="n">
        <v>88.99091279878483</v>
      </c>
      <c r="E521" s="118" t="n">
        <v>89.18885803222656</v>
      </c>
      <c r="F521" s="119" t="n">
        <v>9386600</v>
      </c>
      <c r="G521" s="120" t="n">
        <v>-0.009318295857863812</v>
      </c>
      <c r="H521" s="121" t="n">
        <v>57.04244347899242</v>
      </c>
      <c r="I521" s="118" t="n">
        <v>98.09258499145508</v>
      </c>
      <c r="J521" s="118" t="n">
        <v>107.5529086685181</v>
      </c>
      <c r="K521" s="120" t="n">
        <v>0.1961026257854695</v>
      </c>
      <c r="L521" s="120" t="n">
        <v>-0.1643572795624351</v>
      </c>
      <c r="M521" s="120" t="n">
        <v>-0.2623824024168788</v>
      </c>
      <c r="N521" t="n">
        <v>28.28234581882086</v>
      </c>
      <c r="O521" t="n">
        <v>-0.1606813254405299</v>
      </c>
      <c r="P521" t="n">
        <v>102.0129092230243</v>
      </c>
      <c r="Q521" t="n">
        <v>100.0850657684491</v>
      </c>
    </row>
    <row r="522">
      <c r="A522" s="117" t="n">
        <v>45189</v>
      </c>
      <c r="B522" s="118" t="n">
        <v>88.57616150859698</v>
      </c>
      <c r="C522" s="118" t="n">
        <v>89.92408037997278</v>
      </c>
      <c r="D522" s="118" t="n">
        <v>88.44419802676749</v>
      </c>
      <c r="E522" s="118" t="n">
        <v>88.64214324951172</v>
      </c>
      <c r="F522" s="119" t="n">
        <v>10274200</v>
      </c>
      <c r="G522" s="120" t="n">
        <v>-0.006129855172237964</v>
      </c>
      <c r="H522" s="121" t="n">
        <v>56.69278156179563</v>
      </c>
      <c r="I522" s="118" t="n">
        <v>97.84767852783203</v>
      </c>
      <c r="J522" s="118" t="n">
        <v>107.4789868927002</v>
      </c>
      <c r="K522" s="120" t="n">
        <v>0.19297607559283</v>
      </c>
      <c r="L522" s="120" t="n">
        <v>-0.1694796484144524</v>
      </c>
      <c r="M522" s="120" t="n">
        <v>-0.2669038914625574</v>
      </c>
      <c r="N522" t="n">
        <v>27.01527900244511</v>
      </c>
      <c r="O522" t="n">
        <v>-0.1835403791494814</v>
      </c>
      <c r="P522" t="n">
        <v>101.0750775913546</v>
      </c>
      <c r="Q522" t="n">
        <v>98.64280708478125</v>
      </c>
    </row>
    <row r="523">
      <c r="A523" s="117" t="n">
        <v>45190</v>
      </c>
      <c r="B523" s="118" t="n">
        <v>88.05773962331773</v>
      </c>
      <c r="C523" s="118" t="n">
        <v>88.1237213726365</v>
      </c>
      <c r="D523" s="118" t="n">
        <v>86.22909948870999</v>
      </c>
      <c r="E523" s="118" t="n">
        <v>86.33277893066406</v>
      </c>
      <c r="F523" s="119" t="n">
        <v>7958600</v>
      </c>
      <c r="G523" s="120" t="n">
        <v>-0.02605266788673211</v>
      </c>
      <c r="H523" s="121" t="n">
        <v>55.21578335219112</v>
      </c>
      <c r="I523" s="118" t="n">
        <v>97.54963272094727</v>
      </c>
      <c r="J523" s="118" t="n">
        <v>107.3868423461914</v>
      </c>
      <c r="K523" s="120" t="n">
        <v>0.1919409386094477</v>
      </c>
      <c r="L523" s="120" t="n">
        <v>-0.1894045748550452</v>
      </c>
      <c r="M523" s="120" t="n">
        <v>-0.2860030009073391</v>
      </c>
      <c r="N523" t="n">
        <v>22.44170022925192</v>
      </c>
      <c r="O523" t="n">
        <v>-0.3149157992637392</v>
      </c>
      <c r="P523" t="n">
        <v>99.40446498515065</v>
      </c>
      <c r="Q523" t="n">
        <v>96.8352161374436</v>
      </c>
    </row>
    <row r="524">
      <c r="A524" s="117" t="n">
        <v>45191</v>
      </c>
      <c r="B524" s="118" t="n">
        <v>86.3233477441521</v>
      </c>
      <c r="C524" s="118" t="n">
        <v>87.03029805550446</v>
      </c>
      <c r="D524" s="118" t="n">
        <v>85.3524704671968</v>
      </c>
      <c r="E524" s="118" t="n">
        <v>85.63524627685547</v>
      </c>
      <c r="F524" s="119" t="n">
        <v>9289400</v>
      </c>
      <c r="G524" s="120" t="n">
        <v>-0.008079580692853638</v>
      </c>
      <c r="H524" s="121" t="n">
        <v>54.76966297507796</v>
      </c>
      <c r="I524" s="118" t="n">
        <v>97.23613327026368</v>
      </c>
      <c r="J524" s="118" t="n">
        <v>107.3032548904419</v>
      </c>
      <c r="K524" s="120" t="n">
        <v>0.1905217940601753</v>
      </c>
      <c r="L524" s="120" t="n">
        <v>-0.195953846001762</v>
      </c>
      <c r="M524" s="120" t="n">
        <v>-0.2917717972759636</v>
      </c>
      <c r="N524" t="n">
        <v>21.2703721098983</v>
      </c>
      <c r="O524" t="n">
        <v>-0.403839170781926</v>
      </c>
      <c r="P524" t="n">
        <v>99.18096115086121</v>
      </c>
      <c r="Q524" t="n">
        <v>96.84873235728494</v>
      </c>
    </row>
    <row r="525">
      <c r="A525" s="117" t="n">
        <v>45194</v>
      </c>
      <c r="B525" s="118" t="n">
        <v>84.83405350832997</v>
      </c>
      <c r="C525" s="118" t="n">
        <v>85.63526257539206</v>
      </c>
      <c r="D525" s="118" t="n">
        <v>84.63610824645383</v>
      </c>
      <c r="E525" s="118" t="n">
        <v>85.39961242675781</v>
      </c>
      <c r="F525" s="119" t="n">
        <v>8291700</v>
      </c>
      <c r="G525" s="120" t="n">
        <v>-0.002751598907485553</v>
      </c>
      <c r="H525" s="121" t="n">
        <v>54.61895883027238</v>
      </c>
      <c r="I525" s="118" t="n">
        <v>96.91585418701172</v>
      </c>
      <c r="J525" s="118" t="n">
        <v>107.2263790893555</v>
      </c>
      <c r="K525" s="120" t="n">
        <v>0.1812760516481945</v>
      </c>
      <c r="L525" s="120" t="n">
        <v>-0.177191465488897</v>
      </c>
      <c r="M525" s="120" t="n">
        <v>-0.2937205572248296</v>
      </c>
      <c r="N525" t="n">
        <v>20.87401502673704</v>
      </c>
      <c r="O525" t="n">
        <v>-0.4310951768675668</v>
      </c>
      <c r="P525" t="n">
        <v>99.59803059430553</v>
      </c>
      <c r="Q525" t="n">
        <v>97.30876205940876</v>
      </c>
    </row>
    <row r="526">
      <c r="A526" s="117" t="n">
        <v>45195</v>
      </c>
      <c r="B526" s="118" t="n">
        <v>84.834045224026</v>
      </c>
      <c r="C526" s="118" t="n">
        <v>85.49386269917999</v>
      </c>
      <c r="D526" s="118" t="n">
        <v>84.62667196284301</v>
      </c>
      <c r="E526" s="118" t="n">
        <v>84.99428558349609</v>
      </c>
      <c r="F526" s="119" t="n">
        <v>8060500</v>
      </c>
      <c r="G526" s="120" t="n">
        <v>-0.004746237503236217</v>
      </c>
      <c r="H526" s="121" t="n">
        <v>54.35972427948442</v>
      </c>
      <c r="I526" s="118" t="n">
        <v>96.57318908691406</v>
      </c>
      <c r="J526" s="118" t="n">
        <v>107.1456092453003</v>
      </c>
      <c r="K526" s="120" t="n">
        <v>0.1755408540423831</v>
      </c>
      <c r="L526" s="120" t="n">
        <v>-0.1810967102133764</v>
      </c>
      <c r="M526" s="120" t="n">
        <v>-0.2970727272038939</v>
      </c>
      <c r="N526" t="n">
        <v>20.17749880315945</v>
      </c>
      <c r="O526" t="n">
        <v>-0.4281173253983592</v>
      </c>
      <c r="P526" t="n">
        <v>98.1348180249061</v>
      </c>
      <c r="Q526" t="n">
        <v>95.84754207416336</v>
      </c>
    </row>
    <row r="527">
      <c r="A527" s="117" t="n">
        <v>45196</v>
      </c>
      <c r="B527" s="118" t="n">
        <v>85.36187911326154</v>
      </c>
      <c r="C527" s="118" t="n">
        <v>85.49384257723322</v>
      </c>
      <c r="D527" s="118" t="n">
        <v>84.0893701726948</v>
      </c>
      <c r="E527" s="118" t="n">
        <v>84.28731536865234</v>
      </c>
      <c r="F527" s="119" t="n">
        <v>7631000</v>
      </c>
      <c r="G527" s="120" t="n">
        <v>-0.008317855841605271</v>
      </c>
      <c r="H527" s="121" t="n">
        <v>53.90756792933826</v>
      </c>
      <c r="I527" s="118" t="n">
        <v>96.19740737915039</v>
      </c>
      <c r="J527" s="118" t="n">
        <v>107.0471589279175</v>
      </c>
      <c r="K527" s="120" t="n">
        <v>0.1458391556681404</v>
      </c>
      <c r="L527" s="120" t="n">
        <v>-0.1879082297260378</v>
      </c>
      <c r="M527" s="120" t="n">
        <v>-0.3029195749261446</v>
      </c>
      <c r="N527" t="n">
        <v>18.98743053090057</v>
      </c>
      <c r="O527" t="n">
        <v>-0.4246199909322383</v>
      </c>
      <c r="P527" t="n">
        <v>98.17398647542838</v>
      </c>
      <c r="Q527" t="n">
        <v>96.07215798824953</v>
      </c>
    </row>
    <row r="528">
      <c r="A528" s="117" t="n">
        <v>45197</v>
      </c>
      <c r="B528" s="118" t="n">
        <v>83.98569818350477</v>
      </c>
      <c r="C528" s="118" t="n">
        <v>84.62666677355219</v>
      </c>
      <c r="D528" s="118" t="n">
        <v>83.57095887804162</v>
      </c>
      <c r="E528" s="118" t="n">
        <v>84.48527526855469</v>
      </c>
      <c r="F528" s="119" t="n">
        <v>16315600</v>
      </c>
      <c r="G528" s="120" t="n">
        <v>0.0023486321641224</v>
      </c>
      <c r="H528" s="121" t="n">
        <v>54.03417697726672</v>
      </c>
      <c r="I528" s="118" t="n">
        <v>95.82257888793946</v>
      </c>
      <c r="J528" s="118" t="n">
        <v>106.9587553405762</v>
      </c>
      <c r="K528" s="120" t="n">
        <v>0.1451007688698652</v>
      </c>
      <c r="L528" s="120" t="n">
        <v>-0.1860009248741532</v>
      </c>
      <c r="M528" s="120" t="n">
        <v>-0.301282389418836</v>
      </c>
      <c r="N528" t="n">
        <v>20.40309880360691</v>
      </c>
      <c r="O528" t="n">
        <v>-0.3622620699470036</v>
      </c>
      <c r="P528" t="n">
        <v>98.74314006594241</v>
      </c>
      <c r="Q528" t="n">
        <v>96.87580674674992</v>
      </c>
    </row>
    <row r="529">
      <c r="A529" s="117" t="n">
        <v>45198</v>
      </c>
      <c r="B529" s="118" t="n">
        <v>93.66620603173145</v>
      </c>
      <c r="C529" s="118" t="n">
        <v>93.7604646351429</v>
      </c>
      <c r="D529" s="118" t="n">
        <v>89.18885405071796</v>
      </c>
      <c r="E529" s="118" t="n">
        <v>90.13145446777344</v>
      </c>
      <c r="F529" s="119" t="n">
        <v>34935400</v>
      </c>
      <c r="G529" s="120" t="n">
        <v>0.06683033441355501</v>
      </c>
      <c r="H529" s="121" t="n">
        <v>57.64529909441868</v>
      </c>
      <c r="I529" s="118" t="n">
        <v>95.60482788085938</v>
      </c>
      <c r="J529" s="118" t="n">
        <v>106.8862110900879</v>
      </c>
      <c r="K529" s="120" t="n">
        <v>0.2976029763284176</v>
      </c>
      <c r="L529" s="120" t="n">
        <v>-0.1316010944711683</v>
      </c>
      <c r="M529" s="120" t="n">
        <v>-0.2545868578430568</v>
      </c>
      <c r="N529" t="n">
        <v>48.20435638977415</v>
      </c>
      <c r="O529" t="n">
        <v>0.08223791727388408</v>
      </c>
      <c r="P529" t="n">
        <v>98.5034960660617</v>
      </c>
      <c r="Q529" t="n">
        <v>96.94616492154174</v>
      </c>
    </row>
    <row r="530">
      <c r="A530" s="117" t="n">
        <v>45201</v>
      </c>
      <c r="B530" s="118" t="n">
        <v>90.67815005792124</v>
      </c>
      <c r="C530" s="118" t="n">
        <v>90.84781840720386</v>
      </c>
      <c r="D530" s="118" t="n">
        <v>88.34993325314018</v>
      </c>
      <c r="E530" s="118" t="n">
        <v>89.13228607177734</v>
      </c>
      <c r="F530" s="119" t="n">
        <v>12776300</v>
      </c>
      <c r="G530" s="120" t="n">
        <v>-0.0110856792658699</v>
      </c>
      <c r="H530" s="121" t="n">
        <v>57.00626179747281</v>
      </c>
      <c r="I530" s="118" t="n">
        <v>95.33834655761719</v>
      </c>
      <c r="J530" s="118" t="n">
        <v>106.8050294876099</v>
      </c>
      <c r="K530" s="120" t="n">
        <v>0.2951632742020627</v>
      </c>
      <c r="L530" s="120" t="n">
        <v>-0.1412278862126934</v>
      </c>
      <c r="M530" s="120" t="n">
        <v>-0.262850268857573</v>
      </c>
      <c r="N530" t="n">
        <v>45.1959499182096</v>
      </c>
      <c r="O530" t="n">
        <v>0.3186777288262403</v>
      </c>
      <c r="P530" t="n">
        <v>98.46432761553943</v>
      </c>
      <c r="Q530" t="n">
        <v>97.7552503718219</v>
      </c>
    </row>
    <row r="531">
      <c r="A531" s="117" t="n">
        <v>45202</v>
      </c>
      <c r="B531" s="118" t="n">
        <v>88.9060673285649</v>
      </c>
      <c r="C531" s="118" t="n">
        <v>90.53676914607796</v>
      </c>
      <c r="D531" s="118" t="n">
        <v>88.77410385101705</v>
      </c>
      <c r="E531" s="118" t="n">
        <v>89.63186645507812</v>
      </c>
      <c r="F531" s="119" t="n">
        <v>10964300</v>
      </c>
      <c r="G531" s="120" t="n">
        <v>0.005604931785307077</v>
      </c>
      <c r="H531" s="121" t="n">
        <v>57.325778006183</v>
      </c>
      <c r="I531" s="118" t="n">
        <v>95.08730575561523</v>
      </c>
      <c r="J531" s="118" t="n">
        <v>106.7328818130493</v>
      </c>
      <c r="K531" s="120" t="n">
        <v>0.2905315014684757</v>
      </c>
      <c r="L531" s="120" t="n">
        <v>-0.1364145270957916</v>
      </c>
      <c r="M531" s="120" t="n">
        <v>-0.2587185948989623</v>
      </c>
      <c r="N531" t="n">
        <v>46.97775307886692</v>
      </c>
      <c r="O531" t="n">
        <v>0.5072352021835931</v>
      </c>
      <c r="P531" t="n">
        <v>97.1462747057636</v>
      </c>
      <c r="Q531" t="n">
        <v>96.0396804668306</v>
      </c>
    </row>
    <row r="532">
      <c r="A532" s="117" t="n">
        <v>45203</v>
      </c>
      <c r="B532" s="118" t="n">
        <v>90.09375197478946</v>
      </c>
      <c r="C532" s="118" t="n">
        <v>90.7347205630259</v>
      </c>
      <c r="D532" s="118" t="n">
        <v>89.66015663443402</v>
      </c>
      <c r="E532" s="118" t="n">
        <v>90.38595581054688</v>
      </c>
      <c r="F532" s="119" t="n">
        <v>8045400</v>
      </c>
      <c r="G532" s="120" t="n">
        <v>0.00841318367331656</v>
      </c>
      <c r="H532" s="121" t="n">
        <v>57.80807030576479</v>
      </c>
      <c r="I532" s="118" t="n">
        <v>94.86017715454102</v>
      </c>
      <c r="J532" s="118" t="n">
        <v>106.6782299804688</v>
      </c>
      <c r="K532" s="120" t="n">
        <v>0.293109386577198</v>
      </c>
      <c r="L532" s="120" t="n">
        <v>-0.1291490238946404</v>
      </c>
      <c r="M532" s="120" t="n">
        <v>-0.2524820582842331</v>
      </c>
      <c r="N532" t="n">
        <v>49.6393396898531</v>
      </c>
      <c r="O532" t="n">
        <v>0.6709825356609933</v>
      </c>
      <c r="P532" t="n">
        <v>97.85368528931896</v>
      </c>
      <c r="Q532" t="n">
        <v>97.34664271278166</v>
      </c>
    </row>
    <row r="533">
      <c r="A533" s="117" t="n">
        <v>45204</v>
      </c>
      <c r="B533" s="118" t="n">
        <v>90.29170227050781</v>
      </c>
      <c r="C533" s="118" t="n">
        <v>90.70644878953942</v>
      </c>
      <c r="D533" s="118" t="n">
        <v>89.81097400449127</v>
      </c>
      <c r="E533" s="118" t="n">
        <v>90.29170227050781</v>
      </c>
      <c r="F533" s="119" t="n">
        <v>7430000</v>
      </c>
      <c r="G533" s="120" t="n">
        <v>-0.001042789659010945</v>
      </c>
      <c r="H533" s="121" t="n">
        <v>57.74778864784255</v>
      </c>
      <c r="I533" s="118" t="n">
        <v>94.61237457275391</v>
      </c>
      <c r="J533" s="118" t="n">
        <v>106.6350584411621</v>
      </c>
      <c r="K533" s="120" t="n">
        <v>0.2829936755048616</v>
      </c>
      <c r="L533" s="120" t="n">
        <v>-0.1300571382870629</v>
      </c>
      <c r="M533" s="120" t="n">
        <v>-0.2532615622637795</v>
      </c>
      <c r="N533" t="n">
        <v>49.3061869136283</v>
      </c>
      <c r="O533" t="n">
        <v>0.7549268816812029</v>
      </c>
      <c r="P533" t="n">
        <v>97.81682257673829</v>
      </c>
      <c r="Q533" t="n">
        <v>97.05979849170396</v>
      </c>
    </row>
    <row r="534">
      <c r="A534" s="117" t="n">
        <v>45205</v>
      </c>
      <c r="B534" s="118" t="n">
        <v>90.29168703379342</v>
      </c>
      <c r="C534" s="118" t="n">
        <v>92.10147795266757</v>
      </c>
      <c r="D534" s="118" t="n">
        <v>89.60358562437813</v>
      </c>
      <c r="E534" s="118" t="n">
        <v>91.53591918945312</v>
      </c>
      <c r="F534" s="119" t="n">
        <v>8532900</v>
      </c>
      <c r="G534" s="120" t="n">
        <v>0.01377996967227091</v>
      </c>
      <c r="H534" s="121" t="n">
        <v>58.54355142405053</v>
      </c>
      <c r="I534" s="118" t="n">
        <v>94.42008255004883</v>
      </c>
      <c r="J534" s="118" t="n">
        <v>106.6116465759277</v>
      </c>
      <c r="K534" s="120" t="n">
        <v>0.2876609641861781</v>
      </c>
      <c r="L534" s="120" t="n">
        <v>-0.1180693520360501</v>
      </c>
      <c r="M534" s="120" t="n">
        <v>-0.2429715292386554</v>
      </c>
      <c r="N534" t="n">
        <v>53.72167008553484</v>
      </c>
      <c r="O534" t="n">
        <v>0.868149186586165</v>
      </c>
      <c r="P534" t="n">
        <v>98.97817258993989</v>
      </c>
      <c r="Q534" t="n">
        <v>98.68609087010812</v>
      </c>
    </row>
    <row r="535">
      <c r="A535" s="117" t="n">
        <v>45208</v>
      </c>
      <c r="B535" s="118" t="n">
        <v>91.22487895769443</v>
      </c>
      <c r="C535" s="118" t="n">
        <v>91.5642157268435</v>
      </c>
      <c r="D535" s="118" t="n">
        <v>90.41424191933514</v>
      </c>
      <c r="E535" s="118" t="n">
        <v>91.31913757324219</v>
      </c>
      <c r="F535" s="119" t="n">
        <v>5964200</v>
      </c>
      <c r="G535" s="120" t="n">
        <v>-0.002368268305278698</v>
      </c>
      <c r="H535" s="121" t="n">
        <v>58.4049045867345</v>
      </c>
      <c r="I535" s="118" t="n">
        <v>94.20560531616211</v>
      </c>
      <c r="J535" s="118" t="n">
        <v>106.5864039611816</v>
      </c>
      <c r="K535" s="120" t="n">
        <v>0.2859042892159731</v>
      </c>
      <c r="L535" s="120" t="n">
        <v>-0.1201580004370771</v>
      </c>
      <c r="M535" s="120" t="n">
        <v>-0.2447643757721532</v>
      </c>
      <c r="N535" t="n">
        <v>52.85780987697117</v>
      </c>
      <c r="O535" t="n">
        <v>0.8985708476381995</v>
      </c>
      <c r="P535" t="n">
        <v>99.6118577483339</v>
      </c>
      <c r="Q535" t="n">
        <v>99.18939596760235</v>
      </c>
    </row>
    <row r="536">
      <c r="A536" s="117" t="n">
        <v>45209</v>
      </c>
      <c r="B536" s="118" t="n">
        <v>91.66789782676366</v>
      </c>
      <c r="C536" s="118" t="n">
        <v>93.18548519386633</v>
      </c>
      <c r="D536" s="118" t="n">
        <v>91.64904898117508</v>
      </c>
      <c r="E536" s="118" t="n">
        <v>92.01666259765625</v>
      </c>
      <c r="F536" s="119" t="n">
        <v>8499000</v>
      </c>
      <c r="G536" s="120" t="n">
        <v>0.007638322513225937</v>
      </c>
      <c r="H536" s="121" t="n">
        <v>58.85102008432216</v>
      </c>
      <c r="I536" s="118" t="n">
        <v>93.97182205200195</v>
      </c>
      <c r="J536" s="118" t="n">
        <v>106.5059655380249</v>
      </c>
      <c r="K536" s="120" t="n">
        <v>0.2863600831253576</v>
      </c>
      <c r="L536" s="120" t="n">
        <v>-0.1134374834837339</v>
      </c>
      <c r="M536" s="120" t="n">
        <v>-0.2389956425008234</v>
      </c>
      <c r="N536" t="n">
        <v>55.34596091131343</v>
      </c>
      <c r="O536" t="n">
        <v>0.931800804590218</v>
      </c>
      <c r="P536" t="n">
        <v>100.1303141986176</v>
      </c>
      <c r="Q536" t="n">
        <v>99.73871158626977</v>
      </c>
    </row>
    <row r="537">
      <c r="A537" s="117" t="n">
        <v>45210</v>
      </c>
      <c r="B537" s="118" t="n">
        <v>92.66705328766473</v>
      </c>
      <c r="C537" s="118" t="n">
        <v>93.27031703517197</v>
      </c>
      <c r="D537" s="118" t="n">
        <v>92.38427745122323</v>
      </c>
      <c r="E537" s="118" t="n">
        <v>92.98754119873047</v>
      </c>
      <c r="F537" s="119" t="n">
        <v>7642900</v>
      </c>
      <c r="G537" s="120" t="n">
        <v>0.01055111730491021</v>
      </c>
      <c r="H537" s="121" t="n">
        <v>59.47196410074547</v>
      </c>
      <c r="I537" s="118" t="n">
        <v>93.77605743408203</v>
      </c>
      <c r="J537" s="118" t="n">
        <v>106.4260398483276</v>
      </c>
      <c r="K537" s="120" t="n">
        <v>0.2882102397270845</v>
      </c>
      <c r="L537" s="120" t="n">
        <v>-0.1040832583738345</v>
      </c>
      <c r="M537" s="120" t="n">
        <v>-0.2309661962553018</v>
      </c>
      <c r="N537" t="n">
        <v>58.61974452847104</v>
      </c>
      <c r="O537" t="n">
        <v>0.9803700018943406</v>
      </c>
      <c r="P537" t="n">
        <v>100.5404664282371</v>
      </c>
      <c r="Q537" t="n">
        <v>100.4503644722931</v>
      </c>
    </row>
    <row r="538">
      <c r="A538" s="117" t="n">
        <v>45211</v>
      </c>
      <c r="B538" s="118" t="n">
        <v>93.82644794503479</v>
      </c>
      <c r="C538" s="118" t="n">
        <v>94.30717617938042</v>
      </c>
      <c r="D538" s="118" t="n">
        <v>92.8649914763435</v>
      </c>
      <c r="E538" s="118" t="n">
        <v>93.55309295654297</v>
      </c>
      <c r="F538" s="119" t="n">
        <v>10705200</v>
      </c>
      <c r="G538" s="120" t="n">
        <v>0.006082016477926055</v>
      </c>
      <c r="H538" s="121" t="n">
        <v>59.83367356638083</v>
      </c>
      <c r="I538" s="118" t="n">
        <v>93.62711502075196</v>
      </c>
      <c r="J538" s="118" t="n">
        <v>106.3510894393921</v>
      </c>
      <c r="K538" s="120" t="n">
        <v>0.2865600742454333</v>
      </c>
      <c r="L538" s="120" t="n">
        <v>-0.09863427798841429</v>
      </c>
      <c r="M538" s="120" t="n">
        <v>-0.2262889199888444</v>
      </c>
      <c r="N538" t="n">
        <v>60.43921989725622</v>
      </c>
      <c r="O538" t="n">
        <v>1.007905986538911</v>
      </c>
      <c r="P538" t="n">
        <v>99.9275329113176</v>
      </c>
      <c r="Q538" t="n">
        <v>100.1013171140933</v>
      </c>
    </row>
    <row r="539">
      <c r="A539" s="117" t="n">
        <v>45212</v>
      </c>
      <c r="B539" s="118" t="n">
        <v>93.87357761974323</v>
      </c>
      <c r="C539" s="118" t="n">
        <v>95.06125622889959</v>
      </c>
      <c r="D539" s="118" t="n">
        <v>93.7416141288893</v>
      </c>
      <c r="E539" s="118" t="n">
        <v>94.17521667480469</v>
      </c>
      <c r="F539" s="119" t="n">
        <v>8774700</v>
      </c>
      <c r="G539" s="120" t="n">
        <v>0.006649953503415462</v>
      </c>
      <c r="H539" s="121" t="n">
        <v>60.2315647135358</v>
      </c>
      <c r="I539" s="118" t="n">
        <v>93.46938354492187</v>
      </c>
      <c r="J539" s="118" t="n">
        <v>106.2731338119507</v>
      </c>
      <c r="K539" s="120" t="n">
        <v>0.2842501327583979</v>
      </c>
      <c r="L539" s="120" t="n">
        <v>-0.09264023784746467</v>
      </c>
      <c r="M539" s="120" t="n">
        <v>-0.2211437772816929</v>
      </c>
      <c r="N539" t="n">
        <v>62.39786007977764</v>
      </c>
      <c r="O539" t="n">
        <v>1.022128347885071</v>
      </c>
      <c r="P539" t="n">
        <v>99.42981355526584</v>
      </c>
      <c r="Q539" t="n">
        <v>98.84304178542303</v>
      </c>
    </row>
    <row r="540">
      <c r="A540" s="117" t="n">
        <v>45215</v>
      </c>
      <c r="B540" s="118" t="n">
        <v>93.99611262084363</v>
      </c>
      <c r="C540" s="118" t="n">
        <v>96.69195032817886</v>
      </c>
      <c r="D540" s="118" t="n">
        <v>93.88299798441707</v>
      </c>
      <c r="E540" s="118" t="n">
        <v>96.18294525146484</v>
      </c>
      <c r="F540" s="119" t="n">
        <v>10845400</v>
      </c>
      <c r="G540" s="120" t="n">
        <v>0.02131907573510583</v>
      </c>
      <c r="H540" s="121" t="n">
        <v>61.5156460033076</v>
      </c>
      <c r="I540" s="118" t="n">
        <v>93.34861267089843</v>
      </c>
      <c r="J540" s="118" t="n">
        <v>106.2172616195679</v>
      </c>
      <c r="K540" s="120" t="n">
        <v>0.2896662005366102</v>
      </c>
      <c r="L540" s="120" t="n">
        <v>-0.07329616635914715</v>
      </c>
      <c r="M540" s="120" t="n">
        <v>-0.2045392824828028</v>
      </c>
      <c r="N540" t="n">
        <v>67.91815276418495</v>
      </c>
      <c r="O540" t="n">
        <v>1.113356856169707</v>
      </c>
      <c r="P540" t="n">
        <v>100.475956681221</v>
      </c>
      <c r="Q540" t="n">
        <v>99.96059237455319</v>
      </c>
    </row>
    <row r="541">
      <c r="A541" s="117" t="n">
        <v>45216</v>
      </c>
      <c r="B541" s="118" t="n">
        <v>96.11696944513572</v>
      </c>
      <c r="C541" s="118" t="n">
        <v>97.64397757807636</v>
      </c>
      <c r="D541" s="118" t="n">
        <v>96.11696944513572</v>
      </c>
      <c r="E541" s="118" t="n">
        <v>97.09727478027344</v>
      </c>
      <c r="F541" s="119" t="n">
        <v>9253800</v>
      </c>
      <c r="G541" s="120" t="n">
        <v>0.009506150247511558</v>
      </c>
      <c r="H541" s="121" t="n">
        <v>62.10042297678777</v>
      </c>
      <c r="I541" s="118" t="n">
        <v>93.21475051879882</v>
      </c>
      <c r="J541" s="118" t="n">
        <v>106.1548966217041</v>
      </c>
      <c r="K541" s="120" t="n">
        <v>0.2863347203406695</v>
      </c>
      <c r="L541" s="120" t="n">
        <v>-0.06448678048161238</v>
      </c>
      <c r="M541" s="120" t="n">
        <v>-0.196977513386091</v>
      </c>
      <c r="N541" t="n">
        <v>70.07290127098972</v>
      </c>
      <c r="O541" t="n">
        <v>1.175753238007671</v>
      </c>
      <c r="P541" t="n">
        <v>100.471352478959</v>
      </c>
      <c r="Q541" t="n">
        <v>99.63317432408205</v>
      </c>
    </row>
    <row r="542">
      <c r="A542" s="117" t="n">
        <v>45217</v>
      </c>
      <c r="B542" s="118" t="n">
        <v>97.05956837272025</v>
      </c>
      <c r="C542" s="118" t="n">
        <v>97.93618706881395</v>
      </c>
      <c r="D542" s="118" t="n">
        <v>97.02186349217668</v>
      </c>
      <c r="E542" s="118" t="n">
        <v>97.81364440917969</v>
      </c>
      <c r="F542" s="119" t="n">
        <v>8757300</v>
      </c>
      <c r="G542" s="120" t="n">
        <v>0.007377855151211588</v>
      </c>
      <c r="H542" s="121" t="n">
        <v>62.55859090233948</v>
      </c>
      <c r="I542" s="118" t="n">
        <v>93.11005935668945</v>
      </c>
      <c r="J542" s="118" t="n">
        <v>106.0977007675171</v>
      </c>
      <c r="K542" s="120" t="n">
        <v>0.2837444686871071</v>
      </c>
      <c r="L542" s="120" t="n">
        <v>-0.05758469945596212</v>
      </c>
      <c r="M542" s="120" t="n">
        <v>-0.1910529297966879</v>
      </c>
      <c r="N542" t="n">
        <v>71.67792477548963</v>
      </c>
      <c r="O542" t="n">
        <v>1.201494162317691</v>
      </c>
      <c r="P542" t="n">
        <v>99.13255520132996</v>
      </c>
      <c r="Q542" t="n">
        <v>98.32618690826163</v>
      </c>
    </row>
    <row r="543">
      <c r="A543" s="117" t="n">
        <v>45218</v>
      </c>
      <c r="B543" s="118" t="n">
        <v>97.8136224831046</v>
      </c>
      <c r="C543" s="118" t="n">
        <v>98.36033234122891</v>
      </c>
      <c r="D543" s="118" t="n">
        <v>96.94643199940541</v>
      </c>
      <c r="E543" s="118" t="n">
        <v>97.13495635986328</v>
      </c>
      <c r="F543" s="119" t="n">
        <v>8391100</v>
      </c>
      <c r="G543" s="120" t="n">
        <v>-0.006938582581355157</v>
      </c>
      <c r="H543" s="121" t="n">
        <v>62.12452295319039</v>
      </c>
      <c r="I543" s="118" t="n">
        <v>92.99179443359375</v>
      </c>
      <c r="J543" s="118" t="n">
        <v>106.0289882278442</v>
      </c>
      <c r="K543" s="120" t="n">
        <v>0.2633017085150874</v>
      </c>
      <c r="L543" s="120" t="n">
        <v>-0.06412372584471959</v>
      </c>
      <c r="M543" s="120" t="n">
        <v>-0.1966658758472389</v>
      </c>
      <c r="N543" t="n">
        <v>67.95929156655239</v>
      </c>
      <c r="O543" t="n">
        <v>1.111143004047975</v>
      </c>
      <c r="P543" t="n">
        <v>98.26154632823938</v>
      </c>
      <c r="Q543" t="n">
        <v>97.40617784375269</v>
      </c>
    </row>
    <row r="544">
      <c r="A544" s="117" t="n">
        <v>45219</v>
      </c>
      <c r="B544" s="118" t="n">
        <v>97.38947853707404</v>
      </c>
      <c r="C544" s="118" t="n">
        <v>97.81364586442622</v>
      </c>
      <c r="D544" s="118" t="n">
        <v>96.68252819717326</v>
      </c>
      <c r="E544" s="118" t="n">
        <v>96.77678680419922</v>
      </c>
      <c r="F544" s="119" t="n">
        <v>7823500</v>
      </c>
      <c r="G544" s="120" t="n">
        <v>-0.003687339440778925</v>
      </c>
      <c r="H544" s="121" t="n">
        <v>61.89544874946551</v>
      </c>
      <c r="I544" s="118" t="n">
        <v>92.87876663208007</v>
      </c>
      <c r="J544" s="118" t="n">
        <v>105.9470003128052</v>
      </c>
      <c r="K544" s="120" t="n">
        <v>0.2606260987780923</v>
      </c>
      <c r="L544" s="120" t="n">
        <v>-0.06757461934210163</v>
      </c>
      <c r="M544" s="120" t="n">
        <v>-0.199628041447351</v>
      </c>
      <c r="N544" t="n">
        <v>66.0129014465449</v>
      </c>
      <c r="O544" t="n">
        <v>0.9706861563172543</v>
      </c>
      <c r="P544" t="n">
        <v>97.05410337706938</v>
      </c>
      <c r="Q544" t="n">
        <v>95.9530793363511</v>
      </c>
    </row>
    <row r="545">
      <c r="A545" s="117" t="n">
        <v>45222</v>
      </c>
      <c r="B545" s="118" t="n">
        <v>96.26777625242379</v>
      </c>
      <c r="C545" s="118" t="n">
        <v>97.80421950679488</v>
      </c>
      <c r="D545" s="118" t="n">
        <v>95.92843953314369</v>
      </c>
      <c r="E545" s="118" t="n">
        <v>96.90874481201172</v>
      </c>
      <c r="F545" s="119" t="n">
        <v>5966100</v>
      </c>
      <c r="G545" s="120" t="n">
        <v>0.001363529542259823</v>
      </c>
      <c r="H545" s="121" t="n">
        <v>61.97984502236683</v>
      </c>
      <c r="I545" s="118" t="n">
        <v>92.78603988647461</v>
      </c>
      <c r="J545" s="118" t="n">
        <v>105.8684266281128</v>
      </c>
      <c r="K545" s="120" t="n">
        <v>0.259144433323191</v>
      </c>
      <c r="L545" s="120" t="n">
        <v>-0.06630322978962178</v>
      </c>
      <c r="M545" s="120" t="n">
        <v>-0.1985367106370681</v>
      </c>
      <c r="N545" t="n">
        <v>66.39477503394741</v>
      </c>
      <c r="O545" t="n">
        <v>0.8352534191667</v>
      </c>
      <c r="P545" t="n">
        <v>96.88588633802966</v>
      </c>
      <c r="Q545" t="n">
        <v>96.24260834349289</v>
      </c>
    </row>
    <row r="546">
      <c r="A546" s="117" t="n">
        <v>45223</v>
      </c>
      <c r="B546" s="118" t="n">
        <v>97.70995841758754</v>
      </c>
      <c r="C546" s="118" t="n">
        <v>99.58573115201474</v>
      </c>
      <c r="D546" s="118" t="n">
        <v>97.70995841758754</v>
      </c>
      <c r="E546" s="118" t="n">
        <v>99.14270782470703</v>
      </c>
      <c r="F546" s="119" t="n">
        <v>9252200</v>
      </c>
      <c r="G546" s="120" t="n">
        <v>0.02305223349068086</v>
      </c>
      <c r="H546" s="121" t="n">
        <v>63.40861888153865</v>
      </c>
      <c r="I546" s="118" t="n">
        <v>92.74644729614258</v>
      </c>
      <c r="J546" s="118" t="n">
        <v>105.7827688217163</v>
      </c>
      <c r="K546" s="120" t="n">
        <v>0.261966188047086</v>
      </c>
      <c r="L546" s="120" t="n">
        <v>-0.04477943383323746</v>
      </c>
      <c r="M546" s="120" t="n">
        <v>-0.1800611917564646</v>
      </c>
      <c r="N546" t="n">
        <v>72.10831416743153</v>
      </c>
      <c r="O546" t="n">
        <v>0.842310642316041</v>
      </c>
      <c r="P546" t="n">
        <v>97.61634702737986</v>
      </c>
      <c r="Q546" t="n">
        <v>97.17887714360242</v>
      </c>
    </row>
    <row r="547">
      <c r="A547" s="117" t="n">
        <v>45224</v>
      </c>
      <c r="B547" s="118" t="n">
        <v>98.46404588456487</v>
      </c>
      <c r="C547" s="118" t="n">
        <v>99.01075589228675</v>
      </c>
      <c r="D547" s="118" t="n">
        <v>97.5497222626954</v>
      </c>
      <c r="E547" s="118" t="n">
        <v>97.59685516357422</v>
      </c>
      <c r="F547" s="119" t="n">
        <v>7054700</v>
      </c>
      <c r="G547" s="120" t="n">
        <v>-0.0155921972987263</v>
      </c>
      <c r="H547" s="121" t="n">
        <v>62.41993918549795</v>
      </c>
      <c r="I547" s="118" t="n">
        <v>92.69641754150391</v>
      </c>
      <c r="J547" s="118" t="n">
        <v>105.6878879547119</v>
      </c>
      <c r="K547" s="120" t="n">
        <v>0.269097640422117</v>
      </c>
      <c r="L547" s="120" t="n">
        <v>-0.05967342136471065</v>
      </c>
      <c r="M547" s="120" t="n">
        <v>-0.1928458394274803</v>
      </c>
      <c r="N547" t="n">
        <v>63.99959221014784</v>
      </c>
      <c r="O547" t="n">
        <v>0.6951690584922212</v>
      </c>
      <c r="P547" t="n">
        <v>96.21533119343371</v>
      </c>
      <c r="Q547" t="n">
        <v>94.80034965982502</v>
      </c>
    </row>
    <row r="548">
      <c r="A548" s="117" t="n">
        <v>45225</v>
      </c>
      <c r="B548" s="118" t="n">
        <v>96.31492070648073</v>
      </c>
      <c r="C548" s="118" t="n">
        <v>96.73908806074438</v>
      </c>
      <c r="D548" s="118" t="n">
        <v>94.21291839823289</v>
      </c>
      <c r="E548" s="118" t="n">
        <v>94.27890014648438</v>
      </c>
      <c r="F548" s="119" t="n">
        <v>11222600</v>
      </c>
      <c r="G548" s="120" t="n">
        <v>-0.03399653617454057</v>
      </c>
      <c r="H548" s="121" t="n">
        <v>60.29787746496554</v>
      </c>
      <c r="I548" s="118" t="n">
        <v>92.58040466308594</v>
      </c>
      <c r="J548" s="118" t="n">
        <v>105.5717953872681</v>
      </c>
      <c r="K548" s="120" t="n">
        <v>0.3066181767504999</v>
      </c>
      <c r="L548" s="120" t="n">
        <v>-0.09164126791116733</v>
      </c>
      <c r="M548" s="120" t="n">
        <v>-0.2202862850458149</v>
      </c>
      <c r="N548" t="n">
        <v>50.79620371109601</v>
      </c>
      <c r="O548" t="n">
        <v>0.3444161914434136</v>
      </c>
      <c r="P548" t="n">
        <v>95.06319685837727</v>
      </c>
      <c r="Q548" t="n">
        <v>92.99276710244379</v>
      </c>
    </row>
    <row r="549">
      <c r="A549" s="117" t="n">
        <v>45226</v>
      </c>
      <c r="B549" s="118" t="n">
        <v>94.05267167192521</v>
      </c>
      <c r="C549" s="118" t="n">
        <v>94.58052562221435</v>
      </c>
      <c r="D549" s="118" t="n">
        <v>92.19574763633857</v>
      </c>
      <c r="E549" s="118" t="n">
        <v>92.35599517822266</v>
      </c>
      <c r="F549" s="119" t="n">
        <v>9602700</v>
      </c>
      <c r="G549" s="120" t="n">
        <v>-0.02039592067020335</v>
      </c>
      <c r="H549" s="121" t="n">
        <v>59.06804673960846</v>
      </c>
      <c r="I549" s="118" t="n">
        <v>92.45374130249023</v>
      </c>
      <c r="J549" s="118" t="n">
        <v>105.4362843322754</v>
      </c>
      <c r="K549" s="120" t="n">
        <v>0.2199435767865974</v>
      </c>
      <c r="L549" s="120" t="n">
        <v>-0.1101680805509377</v>
      </c>
      <c r="M549" s="120" t="n">
        <v>-0.2361892641214901</v>
      </c>
      <c r="N549" t="n">
        <v>45.00178414422346</v>
      </c>
      <c r="O549" t="n">
        <v>-0.02732539758602659</v>
      </c>
      <c r="P549" t="n">
        <v>94.63231480814709</v>
      </c>
      <c r="Q549" t="n">
        <v>93.43924702490047</v>
      </c>
    </row>
    <row r="550">
      <c r="A550" s="117" t="n">
        <v>45229</v>
      </c>
      <c r="B550" s="118" t="n">
        <v>93.31744200948353</v>
      </c>
      <c r="C550" s="118" t="n">
        <v>96.1923761803033</v>
      </c>
      <c r="D550" s="118" t="n">
        <v>93.31744200948353</v>
      </c>
      <c r="E550" s="118" t="n">
        <v>95.95672607421875</v>
      </c>
      <c r="F550" s="119" t="n">
        <v>8206700</v>
      </c>
      <c r="G550" s="120" t="n">
        <v>0.03898751660948085</v>
      </c>
      <c r="H550" s="121" t="n">
        <v>61.37096319295854</v>
      </c>
      <c r="I550" s="118" t="n">
        <v>92.40360183715821</v>
      </c>
      <c r="J550" s="118" t="n">
        <v>105.3190103912354</v>
      </c>
      <c r="K550" s="120" t="n">
        <v>0.2519935673404837</v>
      </c>
      <c r="L550" s="120" t="n">
        <v>-0.07547574381177113</v>
      </c>
      <c r="M550" s="120" t="n">
        <v>-0.2064101803699269</v>
      </c>
      <c r="N550" t="n">
        <v>55.28731977981251</v>
      </c>
      <c r="O550" t="n">
        <v>-0.0401671858181778</v>
      </c>
      <c r="P550" t="n">
        <v>95.7637120489716</v>
      </c>
      <c r="Q550" t="n">
        <v>94.49187613101856</v>
      </c>
    </row>
    <row r="551">
      <c r="A551" s="117" t="n">
        <v>45230</v>
      </c>
      <c r="B551" s="118" t="n">
        <v>95.57967486575113</v>
      </c>
      <c r="C551" s="118" t="n">
        <v>97.02185221949475</v>
      </c>
      <c r="D551" s="118" t="n">
        <v>95.57967486575113</v>
      </c>
      <c r="E551" s="118" t="n">
        <v>96.87103271484375</v>
      </c>
      <c r="F551" s="119" t="n">
        <v>6558500</v>
      </c>
      <c r="G551" s="120" t="n">
        <v>0.009528322589057669</v>
      </c>
      <c r="H551" s="121" t="n">
        <v>61.95572552786223</v>
      </c>
      <c r="I551" s="118" t="n">
        <v>92.40838714599609</v>
      </c>
      <c r="J551" s="118" t="n">
        <v>105.2018260955811</v>
      </c>
      <c r="K551" s="120" t="n">
        <v>0.2527468526237222</v>
      </c>
      <c r="L551" s="120" t="n">
        <v>-0.05994446918107699</v>
      </c>
      <c r="M551" s="120" t="n">
        <v>-0.1988486005650993</v>
      </c>
      <c r="N551" t="n">
        <v>57.46269499198717</v>
      </c>
      <c r="O551" t="n">
        <v>0.001265884944586348</v>
      </c>
      <c r="P551" t="n">
        <v>96.36512414980434</v>
      </c>
      <c r="Q551" t="n">
        <v>94.94375918542919</v>
      </c>
    </row>
    <row r="552">
      <c r="A552" s="117" t="n">
        <v>45231</v>
      </c>
      <c r="B552" s="118" t="n">
        <v>96.6636791641224</v>
      </c>
      <c r="C552" s="118" t="n">
        <v>96.776786615745</v>
      </c>
      <c r="D552" s="118" t="n">
        <v>94.23176827364638</v>
      </c>
      <c r="E552" s="118" t="n">
        <v>95.08953094482422</v>
      </c>
      <c r="F552" s="119" t="n">
        <v>7272400</v>
      </c>
      <c r="G552" s="120" t="n">
        <v>-0.01839044882760443</v>
      </c>
      <c r="H552" s="121" t="n">
        <v>60.81633192796498</v>
      </c>
      <c r="I552" s="118" t="n">
        <v>92.40384658813477</v>
      </c>
      <c r="J552" s="118" t="n">
        <v>105.0790489959717</v>
      </c>
      <c r="K552" s="120" t="n">
        <v>0.2642036332464919</v>
      </c>
      <c r="L552" s="120" t="n">
        <v>-0.07723251231570882</v>
      </c>
      <c r="M552" s="120" t="n">
        <v>-0.2135821343795706</v>
      </c>
      <c r="N552" t="n">
        <v>52.13975549674914</v>
      </c>
      <c r="O552" t="n">
        <v>-0.09749768426288541</v>
      </c>
      <c r="P552" t="n">
        <v>97.39282137222661</v>
      </c>
      <c r="Q552" t="n">
        <v>96.5916808715621</v>
      </c>
    </row>
    <row r="553">
      <c r="A553" s="117" t="n">
        <v>45232</v>
      </c>
      <c r="B553" s="118" t="n">
        <v>96.1923835598447</v>
      </c>
      <c r="C553" s="118" t="n">
        <v>99.49148529812395</v>
      </c>
      <c r="D553" s="118" t="n">
        <v>96.04156402847438</v>
      </c>
      <c r="E553" s="118" t="n">
        <v>99.0484619140625</v>
      </c>
      <c r="F553" s="119" t="n">
        <v>8135100</v>
      </c>
      <c r="G553" s="120" t="n">
        <v>0.04163372066200899</v>
      </c>
      <c r="H553" s="121" t="n">
        <v>63.3483421031419</v>
      </c>
      <c r="I553" s="118" t="n">
        <v>92.52940307617187</v>
      </c>
      <c r="J553" s="118" t="n">
        <v>104.9840498352051</v>
      </c>
      <c r="K553" s="120" t="n">
        <v>0.2975690203876254</v>
      </c>
      <c r="L553" s="120" t="n">
        <v>-0.03299594963780061</v>
      </c>
      <c r="M553" s="120" t="n">
        <v>-0.1808406326387162</v>
      </c>
      <c r="N553" t="n">
        <v>60.82449009995495</v>
      </c>
      <c r="O553" t="n">
        <v>0.08760678181957182</v>
      </c>
      <c r="P553" t="n">
        <v>99.25929805190577</v>
      </c>
      <c r="Q553" t="n">
        <v>98.34513981988273</v>
      </c>
    </row>
    <row r="554">
      <c r="A554" s="117" t="n">
        <v>45233</v>
      </c>
      <c r="B554" s="118" t="n">
        <v>100.3209668527238</v>
      </c>
      <c r="C554" s="118" t="n">
        <v>101.4709405600572</v>
      </c>
      <c r="D554" s="118" t="n">
        <v>99.96278126825545</v>
      </c>
      <c r="E554" s="118" t="n">
        <v>100.9148025512695</v>
      </c>
      <c r="F554" s="119" t="n">
        <v>7568000</v>
      </c>
      <c r="G554" s="120" t="n">
        <v>0.01884270185665615</v>
      </c>
      <c r="H554" s="121" t="n">
        <v>64.54199602650486</v>
      </c>
      <c r="I554" s="118" t="n">
        <v>92.713330078125</v>
      </c>
      <c r="J554" s="118" t="n">
        <v>104.9072525024414</v>
      </c>
      <c r="K554" s="120" t="n">
        <v>0.300125926360319</v>
      </c>
      <c r="L554" s="120" t="n">
        <v>-0.006206893805480784</v>
      </c>
      <c r="M554" s="120" t="n">
        <v>-0.1654054569064406</v>
      </c>
      <c r="N554" t="n">
        <v>64.12910960563445</v>
      </c>
      <c r="O554" t="n">
        <v>0.3071868511068701</v>
      </c>
      <c r="P554" t="n">
        <v>100.1648784468779</v>
      </c>
      <c r="Q554" t="n">
        <v>99.50058784229869</v>
      </c>
    </row>
    <row r="555">
      <c r="A555" s="117" t="n">
        <v>45236</v>
      </c>
      <c r="B555" s="118" t="n">
        <v>100.8205323651887</v>
      </c>
      <c r="C555" s="118" t="n">
        <v>101.4237960126275</v>
      </c>
      <c r="D555" s="118" t="n">
        <v>100.2644016117407</v>
      </c>
      <c r="E555" s="118" t="n">
        <v>101.0938873291016</v>
      </c>
      <c r="F555" s="119" t="n">
        <v>5231900</v>
      </c>
      <c r="G555" s="120" t="n">
        <v>0.001774613568124028</v>
      </c>
      <c r="H555" s="121" t="n">
        <v>64.6565331283673</v>
      </c>
      <c r="I555" s="118" t="n">
        <v>92.87810424804688</v>
      </c>
      <c r="J555" s="118" t="n">
        <v>104.8215933990479</v>
      </c>
      <c r="K555" s="120" t="n">
        <v>0.2991248920087974</v>
      </c>
      <c r="L555" s="120" t="n">
        <v>-0.0002813425100234301</v>
      </c>
      <c r="M555" s="120" t="n">
        <v>-0.1639243741063846</v>
      </c>
      <c r="N555" t="n">
        <v>64.43908850495865</v>
      </c>
      <c r="O555" t="n">
        <v>0.4284879423294967</v>
      </c>
      <c r="P555" t="n">
        <v>100.3952994949922</v>
      </c>
      <c r="Q555" t="n">
        <v>99.90646876549259</v>
      </c>
    </row>
    <row r="556">
      <c r="A556" s="117" t="n">
        <v>45237</v>
      </c>
      <c r="B556" s="118" t="n">
        <v>101.1598732775916</v>
      </c>
      <c r="C556" s="118" t="n">
        <v>103.0827789306641</v>
      </c>
      <c r="D556" s="118" t="n">
        <v>101.0750426946401</v>
      </c>
      <c r="E556" s="118" t="n">
        <v>103.0827789306641</v>
      </c>
      <c r="F556" s="119" t="n">
        <v>7745800</v>
      </c>
      <c r="G556" s="120" t="n">
        <v>0.01967370781863242</v>
      </c>
      <c r="H556" s="121" t="n">
        <v>65.92856686970052</v>
      </c>
      <c r="I556" s="118" t="n">
        <v>93.06781265258789</v>
      </c>
      <c r="J556" s="118" t="n">
        <v>104.7380824279785</v>
      </c>
      <c r="K556" s="120" t="n">
        <v>0.3034112944518012</v>
      </c>
      <c r="L556" s="120" t="n">
        <v>0</v>
      </c>
      <c r="M556" s="120" t="n">
        <v>-0.1474756665282733</v>
      </c>
      <c r="N556" t="n">
        <v>67.77016900303386</v>
      </c>
      <c r="O556" t="n">
        <v>0.5963519031959095</v>
      </c>
      <c r="P556" t="n">
        <v>100.6810364328413</v>
      </c>
      <c r="Q556" t="n">
        <v>100.850859043446</v>
      </c>
    </row>
    <row r="557">
      <c r="A557" s="117" t="n">
        <v>45238</v>
      </c>
      <c r="B557" s="118" t="n">
        <v>103.0922122517226</v>
      </c>
      <c r="C557" s="118" t="n">
        <v>104.345865365811</v>
      </c>
      <c r="D557" s="118" t="n">
        <v>102.6491888962641</v>
      </c>
      <c r="E557" s="118" t="n">
        <v>103.1110610961914</v>
      </c>
      <c r="F557" s="119" t="n">
        <v>8639700</v>
      </c>
      <c r="G557" s="120" t="n">
        <v>0.0002743636310615916</v>
      </c>
      <c r="H557" s="121" t="n">
        <v>65.94665527069759</v>
      </c>
      <c r="I557" s="118" t="n">
        <v>93.21787857055664</v>
      </c>
      <c r="J557" s="118" t="n">
        <v>104.6615286636353</v>
      </c>
      <c r="K557" s="120" t="n">
        <v>0.3034999667990965</v>
      </c>
      <c r="L557" s="120" t="n">
        <v>0</v>
      </c>
      <c r="M557" s="120" t="n">
        <v>-0.1472417648565736</v>
      </c>
      <c r="N557" t="n">
        <v>67.81633624760283</v>
      </c>
      <c r="O557" t="n">
        <v>0.6581201419881153</v>
      </c>
      <c r="P557" t="n">
        <v>100.7547764052452</v>
      </c>
      <c r="Q557" t="n">
        <v>100.915780526458</v>
      </c>
    </row>
    <row r="558">
      <c r="A558" s="117" t="n">
        <v>45239</v>
      </c>
      <c r="B558" s="118" t="n">
        <v>103.5163866007917</v>
      </c>
      <c r="C558" s="118" t="n">
        <v>103.5917963667291</v>
      </c>
      <c r="D558" s="118" t="n">
        <v>100.7828437130665</v>
      </c>
      <c r="E558" s="118" t="n">
        <v>100.8582534790039</v>
      </c>
      <c r="F558" s="119" t="n">
        <v>9154200</v>
      </c>
      <c r="G558" s="120" t="n">
        <v>-0.02184836033338733</v>
      </c>
      <c r="H558" s="121" t="n">
        <v>64.50582898356171</v>
      </c>
      <c r="I558" s="118" t="n">
        <v>93.31668792724609</v>
      </c>
      <c r="J558" s="118" t="n">
        <v>104.5737576293945</v>
      </c>
      <c r="K558" s="120" t="n">
        <v>0.3184362090370593</v>
      </c>
      <c r="L558" s="120" t="n">
        <v>-0.02184836033338733</v>
      </c>
      <c r="M558" s="120" t="n">
        <v>-0.1658731340552505</v>
      </c>
      <c r="N558" t="n">
        <v>60.39513798570349</v>
      </c>
      <c r="O558" t="n">
        <v>0.503077834636424</v>
      </c>
      <c r="P558" t="n">
        <v>99.96902164702401</v>
      </c>
      <c r="Q558" t="n">
        <v>100.1391809875533</v>
      </c>
    </row>
    <row r="559">
      <c r="A559" s="117" t="n">
        <v>45240</v>
      </c>
      <c r="B559" s="118" t="n">
        <v>101.1787273953372</v>
      </c>
      <c r="C559" s="118" t="n">
        <v>101.6406067870507</v>
      </c>
      <c r="D559" s="118" t="n">
        <v>99.54803266752324</v>
      </c>
      <c r="E559" s="118" t="n">
        <v>100.0193328857422</v>
      </c>
      <c r="F559" s="119" t="n">
        <v>8897700</v>
      </c>
      <c r="G559" s="120" t="n">
        <v>-0.008317817970508123</v>
      </c>
      <c r="H559" s="121" t="n">
        <v>63.96928124003971</v>
      </c>
      <c r="I559" s="118" t="n">
        <v>93.40604629516602</v>
      </c>
      <c r="J559" s="118" t="n">
        <v>104.4784773635864</v>
      </c>
      <c r="K559" s="120" t="n">
        <v>0.3211777204884678</v>
      </c>
      <c r="L559" s="120" t="n">
        <v>-0.02998444761968833</v>
      </c>
      <c r="M559" s="120" t="n">
        <v>-0.1728112494904893</v>
      </c>
      <c r="N559" t="n">
        <v>57.8560938375234</v>
      </c>
      <c r="O559" t="n">
        <v>0.3093548018483905</v>
      </c>
      <c r="P559" t="n">
        <v>101.5290097473796</v>
      </c>
      <c r="Q559" t="n">
        <v>102.3905502913706</v>
      </c>
    </row>
    <row r="560">
      <c r="A560" s="117" t="n">
        <v>45243</v>
      </c>
      <c r="B560" s="118" t="n">
        <v>99.32180389562052</v>
      </c>
      <c r="C560" s="118" t="n">
        <v>99.65171258788872</v>
      </c>
      <c r="D560" s="118" t="n">
        <v>98.2001071504385</v>
      </c>
      <c r="E560" s="118" t="n">
        <v>98.21895599365234</v>
      </c>
      <c r="F560" s="119" t="n">
        <v>7055600</v>
      </c>
      <c r="G560" s="120" t="n">
        <v>-0.01800028894560335</v>
      </c>
      <c r="H560" s="121" t="n">
        <v>62.81781569407643</v>
      </c>
      <c r="I560" s="118" t="n">
        <v>93.44073394775391</v>
      </c>
      <c r="J560" s="118" t="n">
        <v>104.3741952133179</v>
      </c>
      <c r="K560" s="120" t="n">
        <v>0.3220953503848127</v>
      </c>
      <c r="L560" s="120" t="n">
        <v>-0.04744500784426309</v>
      </c>
      <c r="M560" s="120" t="n">
        <v>-0.1877008860122131</v>
      </c>
      <c r="N560" t="n">
        <v>52.73250860891541</v>
      </c>
      <c r="O560" t="n">
        <v>0.03947974419445832</v>
      </c>
      <c r="P560" t="n">
        <v>101.4322414900447</v>
      </c>
      <c r="Q560" t="n">
        <v>102.0712453287869</v>
      </c>
    </row>
    <row r="561">
      <c r="A561" s="117" t="n">
        <v>45244</v>
      </c>
      <c r="B561" s="118" t="n">
        <v>99.50089629783557</v>
      </c>
      <c r="C561" s="118" t="n">
        <v>100.9525017822844</v>
      </c>
      <c r="D561" s="118" t="n">
        <v>99.33122793753712</v>
      </c>
      <c r="E561" s="118" t="n">
        <v>99.67999267578125</v>
      </c>
      <c r="F561" s="119" t="n">
        <v>9674800</v>
      </c>
      <c r="G561" s="120" t="n">
        <v>0.01487530250498015</v>
      </c>
      <c r="H561" s="121" t="n">
        <v>63.7522497052279</v>
      </c>
      <c r="I561" s="118" t="n">
        <v>93.54310058593749</v>
      </c>
      <c r="J561" s="118" t="n">
        <v>104.2826337432861</v>
      </c>
      <c r="K561" s="120" t="n">
        <v>0.3244774344215031</v>
      </c>
      <c r="L561" s="120" t="n">
        <v>-0.0332754641833175</v>
      </c>
      <c r="M561" s="120" t="n">
        <v>-0.1756176909671174</v>
      </c>
      <c r="N561" t="n">
        <v>56.1279421538022</v>
      </c>
      <c r="O561" t="n">
        <v>-0.05593281813900775</v>
      </c>
      <c r="P561" t="n">
        <v>103.400097902942</v>
      </c>
      <c r="Q561" t="n">
        <v>104.2684742436308</v>
      </c>
    </row>
    <row r="562">
      <c r="A562" s="117" t="n">
        <v>45245</v>
      </c>
      <c r="B562" s="118" t="n">
        <v>100.6885869221162</v>
      </c>
      <c r="C562" s="118" t="n">
        <v>102.8000100662452</v>
      </c>
      <c r="D562" s="118" t="n">
        <v>100.5943283087256</v>
      </c>
      <c r="E562" s="118" t="n">
        <v>101.6311874389648</v>
      </c>
      <c r="F562" s="119" t="n">
        <v>11140800</v>
      </c>
      <c r="G562" s="120" t="n">
        <v>0.01957458774630982</v>
      </c>
      <c r="H562" s="121" t="n">
        <v>65.00017371110755</v>
      </c>
      <c r="I562" s="118" t="n">
        <v>93.68713027954101</v>
      </c>
      <c r="J562" s="118" t="n">
        <v>104.1963463973999</v>
      </c>
      <c r="K562" s="120" t="n">
        <v>0.3302395691559862</v>
      </c>
      <c r="L562" s="120" t="n">
        <v>-0.01435222993046315</v>
      </c>
      <c r="M562" s="120" t="n">
        <v>-0.1594807471224479</v>
      </c>
      <c r="N562" t="n">
        <v>60.23608900274442</v>
      </c>
      <c r="O562" t="n">
        <v>-0.005585758285640674</v>
      </c>
      <c r="P562" t="n">
        <v>103.6189902613482</v>
      </c>
      <c r="Q562" t="n">
        <v>104.34694550631</v>
      </c>
    </row>
    <row r="563">
      <c r="A563" s="117" t="n">
        <v>45246</v>
      </c>
      <c r="B563" s="118" t="n">
        <v>100.952506924546</v>
      </c>
      <c r="C563" s="118" t="n">
        <v>101.8008487692506</v>
      </c>
      <c r="D563" s="118" t="n">
        <v>100.8582483176834</v>
      </c>
      <c r="E563" s="118" t="n">
        <v>101.433235168457</v>
      </c>
      <c r="F563" s="119" t="n">
        <v>5386800</v>
      </c>
      <c r="G563" s="120" t="n">
        <v>-0.001947751231645256</v>
      </c>
      <c r="H563" s="121" t="n">
        <v>64.87356954270457</v>
      </c>
      <c r="I563" s="118" t="n">
        <v>93.86961791992188</v>
      </c>
      <c r="J563" s="118" t="n">
        <v>104.0989387512207</v>
      </c>
      <c r="K563" s="120" t="n">
        <v>0.328896155513365</v>
      </c>
      <c r="L563" s="120" t="n">
        <v>-0.01627202658858462</v>
      </c>
      <c r="M563" s="120" t="n">
        <v>-0.1611178695324617</v>
      </c>
      <c r="N563" t="n">
        <v>59.62607650083849</v>
      </c>
      <c r="O563" t="n">
        <v>-0.003659478968649266</v>
      </c>
      <c r="P563" t="n">
        <v>103.7457403855453</v>
      </c>
      <c r="Q563" t="n">
        <v>104.43623981281</v>
      </c>
    </row>
    <row r="564">
      <c r="A564" s="117" t="n">
        <v>45247</v>
      </c>
      <c r="B564" s="118" t="n">
        <v>101.857388933955</v>
      </c>
      <c r="C564" s="118" t="n">
        <v>101.9987804211596</v>
      </c>
      <c r="D564" s="118" t="n">
        <v>99.46318324275846</v>
      </c>
      <c r="E564" s="118" t="n">
        <v>99.8779296875</v>
      </c>
      <c r="F564" s="119" t="n">
        <v>6352600</v>
      </c>
      <c r="G564" s="120" t="n">
        <v>-0.01533329266659034</v>
      </c>
      <c r="H564" s="121" t="n">
        <v>63.87884411457989</v>
      </c>
      <c r="I564" s="118" t="n">
        <v>94.02590087890626</v>
      </c>
      <c r="J564" s="118" t="n">
        <v>103.9958086013794</v>
      </c>
      <c r="K564" s="120" t="n">
        <v>0.3342946552830439</v>
      </c>
      <c r="L564" s="120" t="n">
        <v>-0.03135581550921351</v>
      </c>
      <c r="M564" s="120" t="n">
        <v>-0.1739806947516932</v>
      </c>
      <c r="N564" t="n">
        <v>54.92006573671945</v>
      </c>
      <c r="O564" t="n">
        <v>-0.1187981557437232</v>
      </c>
      <c r="P564" t="n">
        <v>103.8747817004415</v>
      </c>
      <c r="Q564" t="n">
        <v>104.4605958563851</v>
      </c>
    </row>
    <row r="565">
      <c r="A565" s="117" t="n">
        <v>45250</v>
      </c>
      <c r="B565" s="118" t="n">
        <v>99.91565328305434</v>
      </c>
      <c r="C565" s="118" t="n">
        <v>100.4340864361115</v>
      </c>
      <c r="D565" s="118" t="n">
        <v>99.06731139235683</v>
      </c>
      <c r="E565" s="118" t="n">
        <v>100.21728515625</v>
      </c>
      <c r="F565" s="119" t="n">
        <v>6197400</v>
      </c>
      <c r="G565" s="120" t="n">
        <v>0.003397702273282732</v>
      </c>
      <c r="H565" s="121" t="n">
        <v>64.09588540844268</v>
      </c>
      <c r="I565" s="118" t="n">
        <v>94.20556045532227</v>
      </c>
      <c r="J565" s="118" t="n">
        <v>103.9011447143555</v>
      </c>
      <c r="K565" s="120" t="n">
        <v>0.334338383912174</v>
      </c>
      <c r="L565" s="120" t="n">
        <v>-0.02806465096156696</v>
      </c>
      <c r="M565" s="120" t="n">
        <v>-0.1711741270804755</v>
      </c>
      <c r="N565" t="n">
        <v>55.74087702460651</v>
      </c>
      <c r="O565" t="n">
        <v>-0.1800915188138601</v>
      </c>
      <c r="P565" t="n">
        <v>104.6743636126911</v>
      </c>
      <c r="Q565" t="n">
        <v>105.7323957948532</v>
      </c>
    </row>
    <row r="566">
      <c r="A566" s="117" t="n">
        <v>45251</v>
      </c>
      <c r="B566" s="118" t="n">
        <v>100.0758892534035</v>
      </c>
      <c r="C566" s="118" t="n">
        <v>100.5754663472728</v>
      </c>
      <c r="D566" s="118" t="n">
        <v>99.30295716277209</v>
      </c>
      <c r="E566" s="118" t="n">
        <v>100.43408203125</v>
      </c>
      <c r="F566" s="119" t="n">
        <v>5803500</v>
      </c>
      <c r="G566" s="120" t="n">
        <v>0.002163268289117948</v>
      </c>
      <c r="H566" s="121" t="n">
        <v>64.2345420048097</v>
      </c>
      <c r="I566" s="118" t="n">
        <v>94.39879364013672</v>
      </c>
      <c r="J566" s="118" t="n">
        <v>103.8163415527344</v>
      </c>
      <c r="K566" s="120" t="n">
        <v>0.3248904209725268</v>
      </c>
      <c r="L566" s="120" t="n">
        <v>-0.0259620940419194</v>
      </c>
      <c r="M566" s="120" t="n">
        <v>-0.1693811543523883</v>
      </c>
      <c r="N566" t="n">
        <v>56.2884463835501</v>
      </c>
      <c r="O566" t="n">
        <v>-0.2118335211699387</v>
      </c>
      <c r="P566" t="n">
        <v>104.4462337552759</v>
      </c>
      <c r="Q566" t="n">
        <v>105.1181419132608</v>
      </c>
    </row>
    <row r="567">
      <c r="A567" s="117" t="n">
        <v>45252</v>
      </c>
      <c r="B567" s="118" t="n">
        <v>101.3295581073276</v>
      </c>
      <c r="C567" s="118" t="n">
        <v>101.8291352431748</v>
      </c>
      <c r="D567" s="118" t="n">
        <v>100.6885894521061</v>
      </c>
      <c r="E567" s="118" t="n">
        <v>101.7254486083984</v>
      </c>
      <c r="F567" s="119" t="n">
        <v>6280300</v>
      </c>
      <c r="G567" s="120" t="n">
        <v>0.01285785214571522</v>
      </c>
      <c r="H567" s="121" t="n">
        <v>65.06046024855527</v>
      </c>
      <c r="I567" s="118" t="n">
        <v>94.62105911254883</v>
      </c>
      <c r="J567" s="118" t="n">
        <v>103.7398626327515</v>
      </c>
      <c r="K567" s="120" t="n">
        <v>0.3214769514073189</v>
      </c>
      <c r="L567" s="120" t="n">
        <v>-0.01343805866278835</v>
      </c>
      <c r="M567" s="120" t="n">
        <v>-0.1587011800456067</v>
      </c>
      <c r="N567" t="n">
        <v>59.50244952394978</v>
      </c>
      <c r="O567" t="n">
        <v>-0.1543299954761459</v>
      </c>
      <c r="P567" t="n">
        <v>104.8494833183131</v>
      </c>
      <c r="Q567" t="n">
        <v>105.5483872699862</v>
      </c>
    </row>
    <row r="568">
      <c r="A568" s="117" t="n">
        <v>45254</v>
      </c>
      <c r="B568" s="118" t="n">
        <v>101.3295462197144</v>
      </c>
      <c r="C568" s="118" t="n">
        <v>101.8008464346898</v>
      </c>
      <c r="D568" s="118" t="n">
        <v>101.2352876150134</v>
      </c>
      <c r="E568" s="118" t="n">
        <v>101.4615097045898</v>
      </c>
      <c r="F568" s="119" t="n">
        <v>2443600</v>
      </c>
      <c r="G568" s="120" t="n">
        <v>-0.002594620199952602</v>
      </c>
      <c r="H568" s="121" t="n">
        <v>64.89165306417615</v>
      </c>
      <c r="I568" s="118" t="n">
        <v>94.81806259155273</v>
      </c>
      <c r="J568" s="118" t="n">
        <v>103.6733618164063</v>
      </c>
      <c r="K568" s="120" t="n">
        <v>0.2925146051431368</v>
      </c>
      <c r="L568" s="120" t="n">
        <v>-0.01599781220428642</v>
      </c>
      <c r="M568" s="120" t="n">
        <v>-0.1608840309580567</v>
      </c>
      <c r="N568" t="n">
        <v>58.5547927906666</v>
      </c>
      <c r="O568" t="n">
        <v>-0.1428077446508833</v>
      </c>
      <c r="P568" t="n">
        <v>104.9140076125718</v>
      </c>
      <c r="Q568" t="n">
        <v>105.3995662224716</v>
      </c>
    </row>
    <row r="569">
      <c r="A569" s="117" t="n">
        <v>45257</v>
      </c>
      <c r="B569" s="118" t="n">
        <v>101.4803544054703</v>
      </c>
      <c r="C569" s="118" t="n">
        <v>102.008208286013</v>
      </c>
      <c r="D569" s="118" t="n">
        <v>100.7639761451124</v>
      </c>
      <c r="E569" s="118" t="n">
        <v>101.7631301879883</v>
      </c>
      <c r="F569" s="119" t="n">
        <v>5785000</v>
      </c>
      <c r="G569" s="120" t="n">
        <v>0.002972757691824368</v>
      </c>
      <c r="H569" s="121" t="n">
        <v>65.08456022495788</v>
      </c>
      <c r="I569" s="118" t="n">
        <v>95.03863098144531</v>
      </c>
      <c r="J569" s="118" t="n">
        <v>103.6117771148682</v>
      </c>
      <c r="K569" s="120" t="n">
        <v>0.2782507868506326</v>
      </c>
      <c r="L569" s="120" t="n">
        <v>-0.01307261213174471</v>
      </c>
      <c r="M569" s="120" t="n">
        <v>-0.1583895425067545</v>
      </c>
      <c r="N569" t="n">
        <v>59.35150736135789</v>
      </c>
      <c r="O569" t="n">
        <v>-0.1242915149569646</v>
      </c>
      <c r="P569" t="n">
        <v>104.7250680265427</v>
      </c>
      <c r="Q569" t="n">
        <v>105.3075535700817</v>
      </c>
    </row>
    <row r="570">
      <c r="A570" s="117" t="n">
        <v>45258</v>
      </c>
      <c r="B570" s="118" t="n">
        <v>102.3381212585932</v>
      </c>
      <c r="C570" s="118" t="n">
        <v>103.591781468994</v>
      </c>
      <c r="D570" s="118" t="n">
        <v>101.9422308315625</v>
      </c>
      <c r="E570" s="118" t="n">
        <v>102.5077896118164</v>
      </c>
      <c r="F570" s="119" t="n">
        <v>7287400</v>
      </c>
      <c r="G570" s="120" t="n">
        <v>0.007317575849450586</v>
      </c>
      <c r="H570" s="121" t="n">
        <v>65.56082143103215</v>
      </c>
      <c r="I570" s="118" t="n">
        <v>95.28823150634766</v>
      </c>
      <c r="J570" s="118" t="n">
        <v>103.5536822891235</v>
      </c>
      <c r="K570" s="120" t="n">
        <v>0.2480198564426465</v>
      </c>
      <c r="L570" s="120" t="n">
        <v>-0.005850696113118503</v>
      </c>
      <c r="M570" s="120" t="n">
        <v>-0.1522309941483568</v>
      </c>
      <c r="N570" t="n">
        <v>61.328049438279</v>
      </c>
      <c r="O570" t="n">
        <v>-0.07380525049858244</v>
      </c>
      <c r="P570" t="n">
        <v>104.8287534977024</v>
      </c>
      <c r="Q570" t="n">
        <v>105.5835579674257</v>
      </c>
    </row>
    <row r="571">
      <c r="A571" s="117" t="n">
        <v>45259</v>
      </c>
      <c r="B571" s="118" t="n">
        <v>104.4401314032303</v>
      </c>
      <c r="C571" s="118" t="n">
        <v>105.7126405561904</v>
      </c>
      <c r="D571" s="118" t="n">
        <v>103.8274396802583</v>
      </c>
      <c r="E571" s="118" t="n">
        <v>104.0348129272461</v>
      </c>
      <c r="F571" s="119" t="n">
        <v>9601800</v>
      </c>
      <c r="G571" s="120" t="n">
        <v>0.01489665635374959</v>
      </c>
      <c r="H571" s="121" t="n">
        <v>66.53745845815978</v>
      </c>
      <c r="I571" s="118" t="n">
        <v>95.58515060424804</v>
      </c>
      <c r="J571" s="118" t="n">
        <v>103.4895905685425</v>
      </c>
      <c r="K571" s="120" t="n">
        <v>0.250492361162877</v>
      </c>
      <c r="L571" s="120" t="n">
        <v>0</v>
      </c>
      <c r="M571" s="120" t="n">
        <v>-0.1396020706008251</v>
      </c>
      <c r="N571" t="n">
        <v>65.07806117925909</v>
      </c>
      <c r="O571" t="n">
        <v>0.04416949189262409</v>
      </c>
      <c r="P571" t="n">
        <v>104.7550062516772</v>
      </c>
      <c r="Q571" t="n">
        <v>105.4807474410843</v>
      </c>
    </row>
    <row r="572">
      <c r="A572" s="117" t="n">
        <v>45260</v>
      </c>
      <c r="B572" s="118" t="n">
        <v>104.185622248823</v>
      </c>
      <c r="C572" s="118" t="n">
        <v>104.2516039899162</v>
      </c>
      <c r="D572" s="118" t="n">
        <v>102.7057398916148</v>
      </c>
      <c r="E572" s="118" t="n">
        <v>103.940544128418</v>
      </c>
      <c r="F572" s="119" t="n">
        <v>8690900</v>
      </c>
      <c r="G572" s="120" t="n">
        <v>-0.0009061274411484854</v>
      </c>
      <c r="H572" s="121" t="n">
        <v>66.47716704118658</v>
      </c>
      <c r="I572" s="118" t="n">
        <v>95.89111862182617</v>
      </c>
      <c r="J572" s="118" t="n">
        <v>103.42012550354</v>
      </c>
      <c r="K572" s="120" t="n">
        <v>0.2373961935510713</v>
      </c>
      <c r="L572" s="120" t="n">
        <v>-0.0009061274411482634</v>
      </c>
      <c r="M572" s="120" t="n">
        <v>-0.1403817007749609</v>
      </c>
      <c r="N572" t="n">
        <v>64.66120396216539</v>
      </c>
      <c r="O572" t="n">
        <v>0.094692527538353</v>
      </c>
      <c r="P572" t="n">
        <v>105.1674787664809</v>
      </c>
      <c r="Q572" t="n">
        <v>105.2155493076482</v>
      </c>
    </row>
    <row r="573">
      <c r="A573" s="117" t="n">
        <v>45261</v>
      </c>
      <c r="B573" s="118" t="n">
        <v>104.347227046508</v>
      </c>
      <c r="C573" s="118" t="n">
        <v>107.3926198942417</v>
      </c>
      <c r="D573" s="118" t="n">
        <v>103.7986765004369</v>
      </c>
      <c r="E573" s="118" t="n">
        <v>107.326416015625</v>
      </c>
      <c r="F573" s="119" t="n">
        <v>8051800</v>
      </c>
      <c r="G573" s="120" t="n">
        <v>0.03257508333825743</v>
      </c>
      <c r="H573" s="121" t="n">
        <v>68.64266629764448</v>
      </c>
      <c r="I573" s="118" t="n">
        <v>96.31099136352539</v>
      </c>
      <c r="J573" s="118" t="n">
        <v>103.3616140365601</v>
      </c>
      <c r="K573" s="120" t="n">
        <v>0.2201900236235283</v>
      </c>
      <c r="L573" s="120" t="n">
        <v>0</v>
      </c>
      <c r="M573" s="120" t="n">
        <v>-0.1123795630386143</v>
      </c>
      <c r="N573" t="n">
        <v>71.67832393361059</v>
      </c>
      <c r="O573" t="n">
        <v>0.3221682640537864</v>
      </c>
      <c r="P573" t="n">
        <v>105.7896352351668</v>
      </c>
      <c r="Q573" t="n">
        <v>105.5159181385237</v>
      </c>
    </row>
    <row r="574">
      <c r="A574" s="117" t="n">
        <v>45264</v>
      </c>
      <c r="B574" s="118" t="n">
        <v>106.9481093086766</v>
      </c>
      <c r="C574" s="118" t="n">
        <v>109.0666407245457</v>
      </c>
      <c r="D574" s="118" t="n">
        <v>106.8724456684751</v>
      </c>
      <c r="E574" s="118" t="n">
        <v>108.9058609008789</v>
      </c>
      <c r="F574" s="119" t="n">
        <v>10086600</v>
      </c>
      <c r="G574" s="120" t="n">
        <v>0.01471627343844184</v>
      </c>
      <c r="H574" s="121" t="n">
        <v>69.65283054442433</v>
      </c>
      <c r="I574" s="118" t="n">
        <v>96.77640365600585</v>
      </c>
      <c r="J574" s="118" t="n">
        <v>103.3254722213745</v>
      </c>
      <c r="K574" s="120" t="n">
        <v>0.2169926914510723</v>
      </c>
      <c r="L574" s="120" t="n">
        <v>0</v>
      </c>
      <c r="M574" s="120" t="n">
        <v>-0.09931709797874122</v>
      </c>
      <c r="N574" t="n">
        <v>74.24723814770032</v>
      </c>
      <c r="O574" t="n">
        <v>0.5326136335733849</v>
      </c>
      <c r="P574" t="n">
        <v>105.2343087986812</v>
      </c>
      <c r="Q574" t="n">
        <v>104.5363655530873</v>
      </c>
    </row>
    <row r="575">
      <c r="A575" s="117" t="n">
        <v>45265</v>
      </c>
      <c r="B575" s="118" t="n">
        <v>108.4424335257603</v>
      </c>
      <c r="C575" s="118" t="n">
        <v>109.7475988461846</v>
      </c>
      <c r="D575" s="118" t="n">
        <v>108.3856821878762</v>
      </c>
      <c r="E575" s="118" t="n">
        <v>109.1517639160156</v>
      </c>
      <c r="F575" s="119" t="n">
        <v>6960000</v>
      </c>
      <c r="G575" s="120" t="n">
        <v>0.002257941061230229</v>
      </c>
      <c r="H575" s="121" t="n">
        <v>69.81010253054151</v>
      </c>
      <c r="I575" s="118" t="n">
        <v>97.25144668579101</v>
      </c>
      <c r="J575" s="118" t="n">
        <v>103.2884124755859</v>
      </c>
      <c r="K575" s="120" t="n">
        <v>0.2169364983863162</v>
      </c>
      <c r="L575" s="120" t="n">
        <v>0</v>
      </c>
      <c r="M575" s="120" t="n">
        <v>-0.09728340907111943</v>
      </c>
      <c r="N575" t="n">
        <v>74.63302147395083</v>
      </c>
      <c r="O575" t="n">
        <v>0.6350353440168259</v>
      </c>
      <c r="P575" t="n">
        <v>105.2135717044492</v>
      </c>
      <c r="Q575" t="n">
        <v>104.7988285607206</v>
      </c>
    </row>
    <row r="576">
      <c r="A576" s="117" t="n">
        <v>45266</v>
      </c>
      <c r="B576" s="118" t="n">
        <v>109.7097765456735</v>
      </c>
      <c r="C576" s="118" t="n">
        <v>110.7879582551609</v>
      </c>
      <c r="D576" s="118" t="n">
        <v>109.3030934646787</v>
      </c>
      <c r="E576" s="118" t="n">
        <v>109.8138122558594</v>
      </c>
      <c r="F576" s="119" t="n">
        <v>6317000</v>
      </c>
      <c r="G576" s="120" t="n">
        <v>0.006065392954649251</v>
      </c>
      <c r="H576" s="121" t="n">
        <v>70.23352823459359</v>
      </c>
      <c r="I576" s="118" t="n">
        <v>97.74783721923828</v>
      </c>
      <c r="J576" s="118" t="n">
        <v>103.2721231842041</v>
      </c>
      <c r="K576" s="120" t="n">
        <v>0.2090735238772205</v>
      </c>
      <c r="L576" s="120" t="n">
        <v>0</v>
      </c>
      <c r="M576" s="120" t="n">
        <v>-0.09180807822045434</v>
      </c>
      <c r="N576" t="n">
        <v>75.68894852240074</v>
      </c>
      <c r="O576" t="n">
        <v>0.6894908508400803</v>
      </c>
      <c r="P576" t="n">
        <v>104.7895777735588</v>
      </c>
      <c r="Q576" t="n">
        <v>104.1926961569721</v>
      </c>
    </row>
    <row r="577">
      <c r="A577" s="117" t="n">
        <v>45267</v>
      </c>
      <c r="B577" s="118" t="n">
        <v>107.931718107678</v>
      </c>
      <c r="C577" s="118" t="n">
        <v>109.7097704097771</v>
      </c>
      <c r="D577" s="118" t="n">
        <v>107.931718107678</v>
      </c>
      <c r="E577" s="118" t="n">
        <v>108.5842971801758</v>
      </c>
      <c r="F577" s="119" t="n">
        <v>7294500</v>
      </c>
      <c r="G577" s="120" t="n">
        <v>-0.0111963609169573</v>
      </c>
      <c r="H577" s="121" t="n">
        <v>69.44716830400776</v>
      </c>
      <c r="I577" s="118" t="n">
        <v>98.23377685546875</v>
      </c>
      <c r="J577" s="118" t="n">
        <v>103.2552885437012</v>
      </c>
      <c r="K577" s="120" t="n">
        <v>0.2151161937265348</v>
      </c>
      <c r="L577" s="120" t="n">
        <v>-0.01119636091695742</v>
      </c>
      <c r="M577" s="120" t="n">
        <v>-0.1019765227585633</v>
      </c>
      <c r="N577" t="n">
        <v>69.87197566166392</v>
      </c>
      <c r="O577" t="n">
        <v>0.5887407755821927</v>
      </c>
      <c r="P577" t="n">
        <v>105.5891669594297</v>
      </c>
      <c r="Q577" t="n">
        <v>105.6485046203071</v>
      </c>
    </row>
    <row r="578">
      <c r="A578" s="117" t="n">
        <v>45268</v>
      </c>
      <c r="B578" s="118" t="n">
        <v>108.2911120090655</v>
      </c>
      <c r="C578" s="118" t="n">
        <v>109.984048163124</v>
      </c>
      <c r="D578" s="118" t="n">
        <v>108.2627399464544</v>
      </c>
      <c r="E578" s="118" t="n">
        <v>109.6246566772461</v>
      </c>
      <c r="F578" s="119" t="n">
        <v>6122200</v>
      </c>
      <c r="G578" s="120" t="n">
        <v>0.00958112290715496</v>
      </c>
      <c r="H578" s="121" t="n">
        <v>70.11255015908235</v>
      </c>
      <c r="I578" s="118" t="n">
        <v>98.73656448364258</v>
      </c>
      <c r="J578" s="118" t="n">
        <v>103.2433756637573</v>
      </c>
      <c r="K578" s="120" t="n">
        <v>0.1956399944062857</v>
      </c>
      <c r="L578" s="120" t="n">
        <v>-0.001722511719860598</v>
      </c>
      <c r="M578" s="120" t="n">
        <v>-0.09337244944960232</v>
      </c>
      <c r="N578" t="n">
        <v>71.84381971110547</v>
      </c>
      <c r="O578" t="n">
        <v>0.5395085668089883</v>
      </c>
      <c r="P578" t="n">
        <v>106.0431136626972</v>
      </c>
      <c r="Q578" t="n">
        <v>106.1193321963823</v>
      </c>
    </row>
    <row r="579">
      <c r="A579" s="117" t="n">
        <v>45271</v>
      </c>
      <c r="B579" s="118" t="n">
        <v>111.402703639827</v>
      </c>
      <c r="C579" s="118" t="n">
        <v>112.9443124312768</v>
      </c>
      <c r="D579" s="118" t="n">
        <v>111.0622244735698</v>
      </c>
      <c r="E579" s="118" t="n">
        <v>112.1782379150391</v>
      </c>
      <c r="F579" s="119" t="n">
        <v>7972800</v>
      </c>
      <c r="G579" s="120" t="n">
        <v>0.02329385847301801</v>
      </c>
      <c r="H579" s="121" t="n">
        <v>71.74574197967038</v>
      </c>
      <c r="I579" s="118" t="n">
        <v>99.1775001525879</v>
      </c>
      <c r="J579" s="118" t="n">
        <v>103.2531943130493</v>
      </c>
      <c r="K579" s="120" t="n">
        <v>0.2008218232167272</v>
      </c>
      <c r="L579" s="120" t="n">
        <v>0</v>
      </c>
      <c r="M579" s="120" t="n">
        <v>-0.0722535955993423</v>
      </c>
      <c r="N579" t="n">
        <v>75.99649113095928</v>
      </c>
      <c r="O579" t="n">
        <v>0.6204882195935832</v>
      </c>
      <c r="P579" t="n">
        <v>106.4555789038795</v>
      </c>
      <c r="Q579" t="n">
        <v>107.0258250410499</v>
      </c>
    </row>
    <row r="580">
      <c r="A580" s="117" t="n">
        <v>45272</v>
      </c>
      <c r="B580" s="118" t="n">
        <v>113.1902213484857</v>
      </c>
      <c r="C580" s="118" t="n">
        <v>113.4834089503008</v>
      </c>
      <c r="D580" s="118" t="n">
        <v>112.149871495116</v>
      </c>
      <c r="E580" s="118" t="n">
        <v>113.1523895263672</v>
      </c>
      <c r="F580" s="119" t="n">
        <v>7378400</v>
      </c>
      <c r="G580" s="120" t="n">
        <v>0.00868396249962422</v>
      </c>
      <c r="H580" s="121" t="n">
        <v>72.36877931252957</v>
      </c>
      <c r="I580" s="118" t="n">
        <v>99.65790222167969</v>
      </c>
      <c r="J580" s="118" t="n">
        <v>103.2655960464478</v>
      </c>
      <c r="K580" s="120" t="n">
        <v>0.1800957692381351</v>
      </c>
      <c r="L580" s="120" t="n">
        <v>0</v>
      </c>
      <c r="M580" s="120" t="n">
        <v>-0.06419708061436569</v>
      </c>
      <c r="N580" t="n">
        <v>77.36782047359725</v>
      </c>
      <c r="O580" t="n">
        <v>0.6766273302784502</v>
      </c>
      <c r="P580" t="n">
        <v>106.9417768438445</v>
      </c>
      <c r="Q580" t="n">
        <v>107.8782026666134</v>
      </c>
    </row>
    <row r="581">
      <c r="A581" s="117" t="n">
        <v>45273</v>
      </c>
      <c r="B581" s="118" t="n">
        <v>112.8781179919924</v>
      </c>
      <c r="C581" s="118" t="n">
        <v>114.854789273426</v>
      </c>
      <c r="D581" s="118" t="n">
        <v>112.7362504582378</v>
      </c>
      <c r="E581" s="118" t="n">
        <v>114.5994262695312</v>
      </c>
      <c r="F581" s="119" t="n">
        <v>8182900</v>
      </c>
      <c r="G581" s="120" t="n">
        <v>0.01278838873152455</v>
      </c>
      <c r="H581" s="121" t="n">
        <v>73.29425939440411</v>
      </c>
      <c r="I581" s="118" t="n">
        <v>100.1572534179687</v>
      </c>
      <c r="J581" s="118" t="n">
        <v>103.284019203186</v>
      </c>
      <c r="K581" s="120" t="n">
        <v>0.1790597628150526</v>
      </c>
      <c r="L581" s="120" t="n">
        <v>0</v>
      </c>
      <c r="M581" s="120" t="n">
        <v>-0.0522296691051668</v>
      </c>
      <c r="N581" t="n">
        <v>79.26300118853879</v>
      </c>
      <c r="O581" t="n">
        <v>0.742890219283447</v>
      </c>
      <c r="P581" t="n">
        <v>108.416518102952</v>
      </c>
      <c r="Q581" t="n">
        <v>109.2501115654459</v>
      </c>
    </row>
    <row r="582">
      <c r="A582" s="117" t="n">
        <v>45274</v>
      </c>
      <c r="B582" s="118" t="n">
        <v>114.854780556329</v>
      </c>
      <c r="C582" s="118" t="n">
        <v>115.9424147293072</v>
      </c>
      <c r="D582" s="118" t="n">
        <v>113.3226242962935</v>
      </c>
      <c r="E582" s="118" t="n">
        <v>114.4575500488281</v>
      </c>
      <c r="F582" s="119" t="n">
        <v>9590500</v>
      </c>
      <c r="G582" s="120" t="n">
        <v>-0.001238018595044577</v>
      </c>
      <c r="H582" s="121" t="n">
        <v>73.20351973836381</v>
      </c>
      <c r="I582" s="118" t="n">
        <v>100.6386853027344</v>
      </c>
      <c r="J582" s="118" t="n">
        <v>103.3027133560181</v>
      </c>
      <c r="K582" s="120" t="n">
        <v>0.1749577389312797</v>
      </c>
      <c r="L582" s="120" t="n">
        <v>-0.001238018595044688</v>
      </c>
      <c r="M582" s="120" t="n">
        <v>-0.05340302639864614</v>
      </c>
      <c r="N582" t="n">
        <v>78.56831855250724</v>
      </c>
      <c r="O582" t="n">
        <v>0.7089309758288387</v>
      </c>
      <c r="P582" t="n">
        <v>108.7644663234969</v>
      </c>
      <c r="Q582" t="n">
        <v>109.1554225169483</v>
      </c>
    </row>
    <row r="583">
      <c r="A583" s="117" t="n">
        <v>45275</v>
      </c>
      <c r="B583" s="118" t="n">
        <v>114.3724265421044</v>
      </c>
      <c r="C583" s="118" t="n">
        <v>115.4411483442476</v>
      </c>
      <c r="D583" s="118" t="n">
        <v>114.0603194546504</v>
      </c>
      <c r="E583" s="118" t="n">
        <v>114.9588088989258</v>
      </c>
      <c r="F583" s="119" t="n">
        <v>13633300</v>
      </c>
      <c r="G583" s="120" t="n">
        <v>0.004379430189479061</v>
      </c>
      <c r="H583" s="121" t="n">
        <v>73.52410944268213</v>
      </c>
      <c r="I583" s="118" t="n">
        <v>101.1320274353027</v>
      </c>
      <c r="J583" s="118" t="n">
        <v>103.319245262146</v>
      </c>
      <c r="K583" s="120" t="n">
        <v>0.1725623153953917</v>
      </c>
      <c r="L583" s="120" t="n">
        <v>0</v>
      </c>
      <c r="M583" s="120" t="n">
        <v>-0.04925747103518685</v>
      </c>
      <c r="N583" t="n">
        <v>79.25993169784562</v>
      </c>
      <c r="O583" t="n">
        <v>0.653362221672606</v>
      </c>
      <c r="P583" t="n">
        <v>108.5853824942845</v>
      </c>
      <c r="Q583" t="n">
        <v>109.6830836580176</v>
      </c>
    </row>
    <row r="584">
      <c r="A584" s="117" t="n">
        <v>45278</v>
      </c>
      <c r="B584" s="118" t="n">
        <v>114.8264079050769</v>
      </c>
      <c r="C584" s="118" t="n">
        <v>115.2330837381727</v>
      </c>
      <c r="D584" s="118" t="n">
        <v>114.3062293953559</v>
      </c>
      <c r="E584" s="118" t="n">
        <v>114.571044921875</v>
      </c>
      <c r="F584" s="119" t="n">
        <v>6874800</v>
      </c>
      <c r="G584" s="120" t="n">
        <v>-0.003373068847570493</v>
      </c>
      <c r="H584" s="121" t="n">
        <v>73.27610755957565</v>
      </c>
      <c r="I584" s="118" t="n">
        <v>101.5927299499512</v>
      </c>
      <c r="J584" s="118" t="n">
        <v>103.3258792495728</v>
      </c>
      <c r="K584" s="120" t="n">
        <v>0.157181368929978</v>
      </c>
      <c r="L584" s="120" t="n">
        <v>-0.003373068847570604</v>
      </c>
      <c r="M584" s="120" t="n">
        <v>-0.05246439104169853</v>
      </c>
      <c r="N584" t="n">
        <v>77.18487815389715</v>
      </c>
      <c r="O584" t="n">
        <v>0.528937546196298</v>
      </c>
      <c r="P584" t="n">
        <v>109.1961921137941</v>
      </c>
      <c r="Q584" t="n">
        <v>110.3739294520444</v>
      </c>
    </row>
    <row r="585">
      <c r="A585" s="117" t="n">
        <v>45279</v>
      </c>
      <c r="B585" s="118" t="n">
        <v>115.1385100125155</v>
      </c>
      <c r="C585" s="118" t="n">
        <v>116.6517467758243</v>
      </c>
      <c r="D585" s="118" t="n">
        <v>115.043934067749</v>
      </c>
      <c r="E585" s="118" t="n">
        <v>115.9897079467773</v>
      </c>
      <c r="F585" s="119" t="n">
        <v>7697300</v>
      </c>
      <c r="G585" s="120" t="n">
        <v>0.01238238706707895</v>
      </c>
      <c r="H585" s="121" t="n">
        <v>74.18344068614722</v>
      </c>
      <c r="I585" s="118" t="n">
        <v>102.0861413574219</v>
      </c>
      <c r="J585" s="118" t="n">
        <v>103.343211555481</v>
      </c>
      <c r="K585" s="120" t="n">
        <v>0.1577364638778252</v>
      </c>
      <c r="L585" s="120" t="n">
        <v>0</v>
      </c>
      <c r="M585" s="120" t="n">
        <v>-0.04073163837173643</v>
      </c>
      <c r="N585" t="n">
        <v>79.31821798597271</v>
      </c>
      <c r="O585" t="n">
        <v>0.4819542557488896</v>
      </c>
      <c r="P585" t="n">
        <v>109.8601937256285</v>
      </c>
      <c r="Q585" t="n">
        <v>110.9378939346739</v>
      </c>
    </row>
    <row r="586">
      <c r="A586" s="117" t="n">
        <v>45280</v>
      </c>
      <c r="B586" s="118" t="n">
        <v>114.5615942177245</v>
      </c>
      <c r="C586" s="118" t="n">
        <v>116.6990453324997</v>
      </c>
      <c r="D586" s="118" t="n">
        <v>114.4386462037464</v>
      </c>
      <c r="E586" s="118" t="n">
        <v>114.845329284668</v>
      </c>
      <c r="F586" s="119" t="n">
        <v>9176600</v>
      </c>
      <c r="G586" s="120" t="n">
        <v>-0.009866208669431997</v>
      </c>
      <c r="H586" s="121" t="n">
        <v>73.45153138052127</v>
      </c>
      <c r="I586" s="118" t="n">
        <v>102.5427146911621</v>
      </c>
      <c r="J586" s="118" t="n">
        <v>103.3575374221802</v>
      </c>
      <c r="K586" s="120" t="n">
        <v>0.1684314190983489</v>
      </c>
      <c r="L586" s="120" t="n">
        <v>-0.009866208669431775</v>
      </c>
      <c r="M586" s="120" t="n">
        <v>-0.05019598019754501</v>
      </c>
      <c r="N586" t="n">
        <v>73.35929739508065</v>
      </c>
      <c r="O586" t="n">
        <v>0.3213068628995424</v>
      </c>
      <c r="P586" t="n">
        <v>108.3378320680866</v>
      </c>
      <c r="Q586" t="n">
        <v>109.2893849515895</v>
      </c>
    </row>
    <row r="587">
      <c r="A587" s="117" t="n">
        <v>45281</v>
      </c>
      <c r="B587" s="118" t="n">
        <v>115.6681419540781</v>
      </c>
      <c r="C587" s="118" t="n">
        <v>116.6139157812883</v>
      </c>
      <c r="D587" s="118" t="n">
        <v>114.7223681268679</v>
      </c>
      <c r="E587" s="118" t="n">
        <v>115.8856658935547</v>
      </c>
      <c r="F587" s="119" t="n">
        <v>16533300</v>
      </c>
      <c r="G587" s="120" t="n">
        <v>0.009058588759043307</v>
      </c>
      <c r="H587" s="121" t="n">
        <v>74.11689859701937</v>
      </c>
      <c r="I587" s="118" t="n">
        <v>103.0006771850586</v>
      </c>
      <c r="J587" s="118" t="n">
        <v>103.3758009338379</v>
      </c>
      <c r="K587" s="120" t="n">
        <v>0.1671480147588844</v>
      </c>
      <c r="L587" s="120" t="n">
        <v>-0.0008969938373359909</v>
      </c>
      <c r="M587" s="120" t="n">
        <v>-0.04159209618046833</v>
      </c>
      <c r="N587" t="n">
        <v>75.18448204299581</v>
      </c>
      <c r="O587" t="n">
        <v>0.2365295158621694</v>
      </c>
      <c r="P587" t="n">
        <v>109.3650783259903</v>
      </c>
      <c r="Q587" t="n">
        <v>110.561025480885</v>
      </c>
    </row>
    <row r="588">
      <c r="A588" s="117" t="n">
        <v>45282</v>
      </c>
      <c r="B588" s="118" t="n">
        <v>102.3894831530694</v>
      </c>
      <c r="C588" s="118" t="n">
        <v>104.7917496948888</v>
      </c>
      <c r="D588" s="118" t="n">
        <v>101.6234013969924</v>
      </c>
      <c r="E588" s="118" t="n">
        <v>102.1814117431641</v>
      </c>
      <c r="F588" s="119" t="n">
        <v>46666200</v>
      </c>
      <c r="G588" s="120" t="n">
        <v>-0.1182566803644076</v>
      </c>
      <c r="H588" s="121" t="n">
        <v>65.35208021003044</v>
      </c>
      <c r="I588" s="118" t="n">
        <v>103.173243560791</v>
      </c>
      <c r="J588" s="118" t="n">
        <v>103.3348600387573</v>
      </c>
      <c r="K588" s="120" t="n">
        <v>0.4740000984952611</v>
      </c>
      <c r="L588" s="120" t="n">
        <v>-0.1190475986882329</v>
      </c>
      <c r="M588" s="120" t="n">
        <v>-0.1549302333211766</v>
      </c>
      <c r="N588" t="n">
        <v>38.12768945719061</v>
      </c>
      <c r="O588" t="n">
        <v>-0.7377542225039329</v>
      </c>
      <c r="P588" t="n">
        <v>109.5848726134336</v>
      </c>
      <c r="Q588" t="n">
        <v>110.7264250823453</v>
      </c>
    </row>
    <row r="589">
      <c r="A589" s="117" t="n">
        <v>45286</v>
      </c>
      <c r="B589" s="118" t="n">
        <v>102.4273059418374</v>
      </c>
      <c r="C589" s="118" t="n">
        <v>102.7961571484395</v>
      </c>
      <c r="D589" s="118" t="n">
        <v>101.6517717105611</v>
      </c>
      <c r="E589" s="118" t="n">
        <v>102.162483215332</v>
      </c>
      <c r="F589" s="119" t="n">
        <v>12846700</v>
      </c>
      <c r="G589" s="120" t="n">
        <v>-0.0001852443366080481</v>
      </c>
      <c r="H589" s="121" t="n">
        <v>65.33997410728598</v>
      </c>
      <c r="I589" s="118" t="n">
        <v>103.3329888916016</v>
      </c>
      <c r="J589" s="118" t="n">
        <v>103.2956035995483</v>
      </c>
      <c r="K589" s="120" t="n">
        <v>0.4739412384513246</v>
      </c>
      <c r="L589" s="120" t="n">
        <v>-0.1192107901313971</v>
      </c>
      <c r="M589" s="120" t="n">
        <v>-0.1550867777094925</v>
      </c>
      <c r="N589" t="n">
        <v>38.09975707740515</v>
      </c>
      <c r="O589" t="n">
        <v>-1.343442769938607</v>
      </c>
      <c r="P589" t="n">
        <v>110.0476058511916</v>
      </c>
      <c r="Q589" t="n">
        <v>111.4042580539177</v>
      </c>
    </row>
    <row r="590">
      <c r="A590" s="117" t="n">
        <v>45287</v>
      </c>
      <c r="B590" s="118" t="n">
        <v>102.465140554562</v>
      </c>
      <c r="C590" s="118" t="n">
        <v>102.7015840288515</v>
      </c>
      <c r="D590" s="118" t="n">
        <v>101.0559394681877</v>
      </c>
      <c r="E590" s="118" t="n">
        <v>101.3207550048828</v>
      </c>
      <c r="F590" s="119" t="n">
        <v>10157900</v>
      </c>
      <c r="G590" s="120" t="n">
        <v>-0.008239112675786031</v>
      </c>
      <c r="H590" s="121" t="n">
        <v>64.80163069838311</v>
      </c>
      <c r="I590" s="118" t="n">
        <v>103.4357450866699</v>
      </c>
      <c r="J590" s="118" t="n">
        <v>103.2550880432129</v>
      </c>
      <c r="K590" s="120" t="n">
        <v>0.4742548481473468</v>
      </c>
      <c r="L590" s="120" t="n">
        <v>-0.1264677116751211</v>
      </c>
      <c r="M590" s="120" t="n">
        <v>-0.1620481129492054</v>
      </c>
      <c r="N590" t="n">
        <v>36.80837767497177</v>
      </c>
      <c r="O590" t="n">
        <v>-1.735798973774878</v>
      </c>
      <c r="P590" t="n">
        <v>110.2465757609478</v>
      </c>
      <c r="Q590" t="n">
        <v>111.631038576768</v>
      </c>
    </row>
    <row r="591">
      <c r="A591" s="117" t="n">
        <v>45288</v>
      </c>
      <c r="B591" s="118" t="n">
        <v>101.3964241542134</v>
      </c>
      <c r="C591" s="118" t="n">
        <v>103.4676714104757</v>
      </c>
      <c r="D591" s="118" t="n">
        <v>101.0181131316717</v>
      </c>
      <c r="E591" s="118" t="n">
        <v>102.9191207885742</v>
      </c>
      <c r="F591" s="119" t="n">
        <v>9352900</v>
      </c>
      <c r="G591" s="120" t="n">
        <v>0.01577530471041566</v>
      </c>
      <c r="H591" s="121" t="n">
        <v>65.82389616838192</v>
      </c>
      <c r="I591" s="118" t="n">
        <v>103.5521820068359</v>
      </c>
      <c r="J591" s="118" t="n">
        <v>103.2125452041626</v>
      </c>
      <c r="K591" s="120" t="n">
        <v>0.4746341728536649</v>
      </c>
      <c r="L591" s="120" t="n">
        <v>-0.1126874736524095</v>
      </c>
      <c r="M591" s="120" t="n">
        <v>-0.1488291665983112</v>
      </c>
      <c r="N591" t="n">
        <v>40.90451867120263</v>
      </c>
      <c r="O591" t="n">
        <v>-1.814197301856145</v>
      </c>
      <c r="P591" t="n">
        <v>110.2882172427008</v>
      </c>
      <c r="Q591" t="n">
        <v>111.5767723384478</v>
      </c>
    </row>
    <row r="592">
      <c r="A592" s="117" t="n">
        <v>45289</v>
      </c>
      <c r="B592" s="118" t="n">
        <v>103.05151417503</v>
      </c>
      <c r="C592" s="118" t="n">
        <v>103.9972879914848</v>
      </c>
      <c r="D592" s="118" t="n">
        <v>102.228688357069</v>
      </c>
      <c r="E592" s="118" t="n">
        <v>102.6826629638672</v>
      </c>
      <c r="F592" s="119" t="n">
        <v>7667500</v>
      </c>
      <c r="G592" s="120" t="n">
        <v>-0.002297511122280049</v>
      </c>
      <c r="H592" s="121" t="n">
        <v>65.67266503482327</v>
      </c>
      <c r="I592" s="118" t="n">
        <v>103.6495623779297</v>
      </c>
      <c r="J592" s="118" t="n">
        <v>103.1727059173584</v>
      </c>
      <c r="K592" s="120" t="n">
        <v>0.4746917860022178</v>
      </c>
      <c r="L592" s="120" t="n">
        <v>-0.1147260840506313</v>
      </c>
      <c r="M592" s="120" t="n">
        <v>-0.1507847410550121</v>
      </c>
      <c r="N592" t="n">
        <v>40.486412205138</v>
      </c>
      <c r="O592" t="n">
        <v>-1.804662379464029</v>
      </c>
      <c r="P592" t="n">
        <v>109.96894163719</v>
      </c>
      <c r="Q592" t="n">
        <v>111.0938967849099</v>
      </c>
    </row>
    <row r="593">
      <c r="A593" s="117" t="n">
        <v>45293</v>
      </c>
      <c r="B593" s="118" t="n">
        <v>101.7747348702614</v>
      </c>
      <c r="C593" s="118" t="n">
        <v>102.0017185968299</v>
      </c>
      <c r="D593" s="118" t="n">
        <v>100.6776336297625</v>
      </c>
      <c r="E593" s="118" t="n">
        <v>100.772216796875</v>
      </c>
      <c r="F593" s="119" t="n">
        <v>9326600</v>
      </c>
      <c r="G593" s="120" t="n">
        <v>-0.01860534302333439</v>
      </c>
      <c r="H593" s="121" t="n">
        <v>64.45080257459384</v>
      </c>
      <c r="I593" s="118" t="n">
        <v>103.7223075866699</v>
      </c>
      <c r="J593" s="118" t="n">
        <v>103.111703414917</v>
      </c>
      <c r="K593" s="120" t="n">
        <v>0.4624957065413015</v>
      </c>
      <c r="L593" s="120" t="n">
        <v>-0.1311969089264799</v>
      </c>
      <c r="M593" s="120" t="n">
        <v>-0.1665846822483333</v>
      </c>
      <c r="N593" t="n">
        <v>37.17976378071628</v>
      </c>
      <c r="O593" t="n">
        <v>-1.843229270267041</v>
      </c>
      <c r="P593" t="n">
        <v>109.3535132681759</v>
      </c>
      <c r="Q593" t="n">
        <v>109.2139508531452</v>
      </c>
    </row>
    <row r="594">
      <c r="A594" s="117" t="n">
        <v>45294</v>
      </c>
      <c r="B594" s="118" t="n">
        <v>99.98720808555431</v>
      </c>
      <c r="C594" s="118" t="n">
        <v>101.6517720071809</v>
      </c>
      <c r="D594" s="118" t="n">
        <v>98.36047598211037</v>
      </c>
      <c r="E594" s="118" t="n">
        <v>98.39830780029297</v>
      </c>
      <c r="F594" s="119" t="n">
        <v>10573700</v>
      </c>
      <c r="G594" s="120" t="n">
        <v>-0.02355717748441599</v>
      </c>
      <c r="H594" s="121" t="n">
        <v>62.93252357933107</v>
      </c>
      <c r="I594" s="118" t="n">
        <v>103.7547380065918</v>
      </c>
      <c r="J594" s="118" t="n">
        <v>103.0400486755371</v>
      </c>
      <c r="K594" s="120" t="n">
        <v>0.4633180200417295</v>
      </c>
      <c r="L594" s="120" t="n">
        <v>-0.1516634575419082</v>
      </c>
      <c r="M594" s="120" t="n">
        <v>-0.1862175948068403</v>
      </c>
      <c r="N594" t="n">
        <v>33.5166281787141</v>
      </c>
      <c r="O594" t="n">
        <v>-1.935299728245977</v>
      </c>
      <c r="P594" t="n">
        <v>108.4604653226466</v>
      </c>
      <c r="Q594" t="n">
        <v>108.0583014717745</v>
      </c>
    </row>
    <row r="595">
      <c r="A595" s="117" t="n">
        <v>45295</v>
      </c>
      <c r="B595" s="118" t="n">
        <v>96.90398271458774</v>
      </c>
      <c r="C595" s="118" t="n">
        <v>98.00108378648245</v>
      </c>
      <c r="D595" s="118" t="n">
        <v>96.75266265869141</v>
      </c>
      <c r="E595" s="118" t="n">
        <v>96.75266265869141</v>
      </c>
      <c r="F595" s="119" t="n">
        <v>10420600</v>
      </c>
      <c r="G595" s="120" t="n">
        <v>-0.01672432360261245</v>
      </c>
      <c r="H595" s="121" t="n">
        <v>61.8800196898613</v>
      </c>
      <c r="I595" s="118" t="n">
        <v>103.7516163635254</v>
      </c>
      <c r="J595" s="118" t="n">
        <v>102.9563734054565</v>
      </c>
      <c r="K595" s="120" t="n">
        <v>0.4644746694239027</v>
      </c>
      <c r="L595" s="120" t="n">
        <v>-0.1658513124018987</v>
      </c>
      <c r="M595" s="120" t="n">
        <v>-0.1998275550934029</v>
      </c>
      <c r="N595" t="n">
        <v>31.22026899413113</v>
      </c>
      <c r="O595" t="n">
        <v>-2.005191662628713</v>
      </c>
      <c r="P595" t="n">
        <v>108.1111060195759</v>
      </c>
      <c r="Q595" t="n">
        <v>107.5021899883824</v>
      </c>
    </row>
    <row r="596">
      <c r="A596" s="117" t="n">
        <v>45296</v>
      </c>
      <c r="B596" s="118" t="n">
        <v>96.90400058256697</v>
      </c>
      <c r="C596" s="118" t="n">
        <v>98.0578459862184</v>
      </c>
      <c r="D596" s="118" t="n">
        <v>96.37436946574971</v>
      </c>
      <c r="E596" s="118" t="n">
        <v>96.54460906982422</v>
      </c>
      <c r="F596" s="119" t="n">
        <v>8044500</v>
      </c>
      <c r="G596" s="120" t="n">
        <v>-0.002150365510881325</v>
      </c>
      <c r="H596" s="121" t="n">
        <v>61.74695502970756</v>
      </c>
      <c r="I596" s="118" t="n">
        <v>103.6996543884277</v>
      </c>
      <c r="J596" s="118" t="n">
        <v>102.8510110092163</v>
      </c>
      <c r="K596" s="120" t="n">
        <v>0.4626554152926758</v>
      </c>
      <c r="L596" s="120" t="n">
        <v>-0.1676450369706566</v>
      </c>
      <c r="M596" s="120" t="n">
        <v>-0.2015482183216877</v>
      </c>
      <c r="N596" t="n">
        <v>30.93172809251421</v>
      </c>
      <c r="O596" t="n">
        <v>-1.961204705572239</v>
      </c>
      <c r="P596" t="n">
        <v>108.2591824013276</v>
      </c>
      <c r="Q596" t="n">
        <v>107.6296921565569</v>
      </c>
    </row>
    <row r="597">
      <c r="A597" s="117" t="n">
        <v>45299</v>
      </c>
      <c r="B597" s="118" t="n">
        <v>96.54459837779004</v>
      </c>
      <c r="C597" s="118" t="n">
        <v>98.06729488568824</v>
      </c>
      <c r="D597" s="118" t="n">
        <v>96.21357896643869</v>
      </c>
      <c r="E597" s="118" t="n">
        <v>98.00109100341797</v>
      </c>
      <c r="F597" s="119" t="n">
        <v>9414200</v>
      </c>
      <c r="G597" s="120" t="n">
        <v>0.01508610317682657</v>
      </c>
      <c r="H597" s="121" t="n">
        <v>62.6784759641406</v>
      </c>
      <c r="I597" s="118" t="n">
        <v>103.7077391052246</v>
      </c>
      <c r="J597" s="118" t="n">
        <v>102.7815370941162</v>
      </c>
      <c r="K597" s="120" t="n">
        <v>0.4681047798044288</v>
      </c>
      <c r="L597" s="120" t="n">
        <v>-0.1550880441186522</v>
      </c>
      <c r="M597" s="120" t="n">
        <v>-0.1895026923615677</v>
      </c>
      <c r="N597" t="n">
        <v>35.43068173920241</v>
      </c>
      <c r="O597" t="n">
        <v>-1.737449783916426</v>
      </c>
      <c r="P597" t="n">
        <v>109.8046741744982</v>
      </c>
      <c r="Q597" t="n">
        <v>109.8541884298641</v>
      </c>
    </row>
    <row r="598">
      <c r="A598" s="117" t="n">
        <v>45300</v>
      </c>
      <c r="B598" s="118" t="n">
        <v>97.57549104700752</v>
      </c>
      <c r="C598" s="118" t="n">
        <v>97.79302221782817</v>
      </c>
      <c r="D598" s="118" t="n">
        <v>96.94182426891589</v>
      </c>
      <c r="E598" s="118" t="n">
        <v>97.16880798339844</v>
      </c>
      <c r="F598" s="119" t="n">
        <v>7759500</v>
      </c>
      <c r="G598" s="120" t="n">
        <v>-0.008492589332403488</v>
      </c>
      <c r="H598" s="121" t="n">
        <v>62.14617340779623</v>
      </c>
      <c r="I598" s="118" t="n">
        <v>103.7655372619629</v>
      </c>
      <c r="J598" s="118" t="n">
        <v>102.7010193252564</v>
      </c>
      <c r="K598" s="120" t="n">
        <v>0.4651924931339415</v>
      </c>
      <c r="L598" s="120" t="n">
        <v>-0.1622635343819903</v>
      </c>
      <c r="M598" s="120" t="n">
        <v>-0.1963859131503596</v>
      </c>
      <c r="N598" t="n">
        <v>34.06517403016122</v>
      </c>
      <c r="O598" t="n">
        <v>-1.554853020324487</v>
      </c>
      <c r="P598" t="n">
        <v>109.6380864266223</v>
      </c>
      <c r="Q598" t="n">
        <v>110.0712030434063</v>
      </c>
    </row>
    <row r="599">
      <c r="A599" s="117" t="n">
        <v>45301</v>
      </c>
      <c r="B599" s="118" t="n">
        <v>97.12152921287299</v>
      </c>
      <c r="C599" s="118" t="n">
        <v>98.19971093837808</v>
      </c>
      <c r="D599" s="118" t="n">
        <v>96.81888183756773</v>
      </c>
      <c r="E599" s="118" t="n">
        <v>98.14295959472656</v>
      </c>
      <c r="F599" s="119" t="n">
        <v>6784700</v>
      </c>
      <c r="G599" s="120" t="n">
        <v>0.01002535311017261</v>
      </c>
      <c r="H599" s="121" t="n">
        <v>62.76921074065541</v>
      </c>
      <c r="I599" s="118" t="n">
        <v>103.881276550293</v>
      </c>
      <c r="J599" s="118" t="n">
        <v>102.6265896606445</v>
      </c>
      <c r="K599" s="120" t="n">
        <v>0.456575129867349</v>
      </c>
      <c r="L599" s="120" t="n">
        <v>-0.1538649305009018</v>
      </c>
      <c r="M599" s="120" t="n">
        <v>-0.1883293981653831</v>
      </c>
      <c r="N599" t="n">
        <v>37.11987193596401</v>
      </c>
      <c r="O599" t="n">
        <v>-1.288799154355593</v>
      </c>
      <c r="P599" t="n">
        <v>110.2581408187621</v>
      </c>
      <c r="Q599" t="n">
        <v>110.817204411137</v>
      </c>
    </row>
    <row r="600">
      <c r="A600" s="117" t="n">
        <v>45302</v>
      </c>
      <c r="B600" s="118" t="n">
        <v>98.56854001885307</v>
      </c>
      <c r="C600" s="118" t="n">
        <v>100.2614758738652</v>
      </c>
      <c r="D600" s="118" t="n">
        <v>98.105112908141</v>
      </c>
      <c r="E600" s="118" t="n">
        <v>100.1574401855469</v>
      </c>
      <c r="F600" s="119" t="n">
        <v>9537700</v>
      </c>
      <c r="G600" s="120" t="n">
        <v>0.02052598168160968</v>
      </c>
      <c r="H600" s="121" t="n">
        <v>64.0576104104872</v>
      </c>
      <c r="I600" s="118" t="n">
        <v>103.9652908325195</v>
      </c>
      <c r="J600" s="118" t="n">
        <v>102.5758097457886</v>
      </c>
      <c r="K600" s="120" t="n">
        <v>0.4635902051440713</v>
      </c>
      <c r="L600" s="120" t="n">
        <v>-0.1364971775641958</v>
      </c>
      <c r="M600" s="120" t="n">
        <v>-0.1716690622606246</v>
      </c>
      <c r="N600" t="n">
        <v>43.00076948021348</v>
      </c>
      <c r="O600" t="n">
        <v>-0.9150541776938148</v>
      </c>
      <c r="P600" t="n">
        <v>110.2095675759417</v>
      </c>
      <c r="Q600" t="n">
        <v>111.0478023641722</v>
      </c>
    </row>
    <row r="601">
      <c r="A601" s="117" t="n">
        <v>45303</v>
      </c>
      <c r="B601" s="118" t="n">
        <v>100.2520209980462</v>
      </c>
      <c r="C601" s="118" t="n">
        <v>100.5546683199791</v>
      </c>
      <c r="D601" s="118" t="n">
        <v>99.04143171031471</v>
      </c>
      <c r="E601" s="118" t="n">
        <v>99.36299133300781</v>
      </c>
      <c r="F601" s="119" t="n">
        <v>6680900</v>
      </c>
      <c r="G601" s="120" t="n">
        <v>-0.007932000369291647</v>
      </c>
      <c r="H601" s="121" t="n">
        <v>63.54950542105527</v>
      </c>
      <c r="I601" s="118" t="n">
        <v>104.0151300048828</v>
      </c>
      <c r="J601" s="118" t="n">
        <v>102.5207767486572</v>
      </c>
      <c r="K601" s="120" t="n">
        <v>0.4584671036969806</v>
      </c>
      <c r="L601" s="120" t="n">
        <v>-0.143346482270641</v>
      </c>
      <c r="M601" s="120" t="n">
        <v>-0.1782393835646691</v>
      </c>
      <c r="N601" t="n">
        <v>41.35799768293536</v>
      </c>
      <c r="O601" t="n">
        <v>-0.6705765497705982</v>
      </c>
      <c r="P601" t="n">
        <v>110.2859042311379</v>
      </c>
      <c r="Q601" t="n">
        <v>111.104761778513</v>
      </c>
    </row>
    <row r="602">
      <c r="A602" s="117" t="n">
        <v>45307</v>
      </c>
      <c r="B602" s="118" t="n">
        <v>98.30374371094884</v>
      </c>
      <c r="C602" s="118" t="n">
        <v>98.56855925446294</v>
      </c>
      <c r="D602" s="118" t="n">
        <v>95.86364526168477</v>
      </c>
      <c r="E602" s="118" t="n">
        <v>96.20412445068359</v>
      </c>
      <c r="F602" s="119" t="n">
        <v>10547900</v>
      </c>
      <c r="G602" s="120" t="n">
        <v>-0.03179118140412562</v>
      </c>
      <c r="H602" s="121" t="n">
        <v>61.52919156607204</v>
      </c>
      <c r="I602" s="118" t="n">
        <v>104.037421875</v>
      </c>
      <c r="J602" s="118" t="n">
        <v>102.4376829910278</v>
      </c>
      <c r="K602" s="120" t="n">
        <v>0.4664120324067682</v>
      </c>
      <c r="L602" s="120" t="n">
        <v>-0.1705805096532574</v>
      </c>
      <c r="M602" s="120" t="n">
        <v>-0.2043641243925308</v>
      </c>
      <c r="N602" t="n">
        <v>35.54351074278945</v>
      </c>
      <c r="O602" t="n">
        <v>-0.6693003682964875</v>
      </c>
      <c r="P602" t="n">
        <v>109.8810181033156</v>
      </c>
      <c r="Q602" t="n">
        <v>111.0938967849099</v>
      </c>
    </row>
    <row r="603">
      <c r="A603" s="117" t="n">
        <v>45308</v>
      </c>
      <c r="B603" s="118" t="n">
        <v>95.57045169550983</v>
      </c>
      <c r="C603" s="118" t="n">
        <v>95.81634770447813</v>
      </c>
      <c r="D603" s="118" t="n">
        <v>94.80436996019216</v>
      </c>
      <c r="E603" s="118" t="n">
        <v>95.35292053222656</v>
      </c>
      <c r="F603" s="119" t="n">
        <v>8226200</v>
      </c>
      <c r="G603" s="120" t="n">
        <v>-0.008847894238602771</v>
      </c>
      <c r="H603" s="121" t="n">
        <v>60.9847877865087</v>
      </c>
      <c r="I603" s="118" t="n">
        <v>103.9635110473633</v>
      </c>
      <c r="J603" s="118" t="n">
        <v>102.3521591567993</v>
      </c>
      <c r="K603" s="120" t="n">
        <v>0.4640331508034873</v>
      </c>
      <c r="L603" s="120" t="n">
        <v>-0.1779191255832813</v>
      </c>
      <c r="M603" s="120" t="n">
        <v>-0.2114038264723438</v>
      </c>
      <c r="N603" t="n">
        <v>34.15024890685308</v>
      </c>
      <c r="O603" t="n">
        <v>-0.6717299112459365</v>
      </c>
      <c r="P603" t="n">
        <v>109.2702375782911</v>
      </c>
      <c r="Q603" t="n">
        <v>110.4672509376405</v>
      </c>
    </row>
    <row r="604">
      <c r="A604" s="117" t="n">
        <v>45309</v>
      </c>
      <c r="B604" s="118" t="n">
        <v>95.52315189372845</v>
      </c>
      <c r="C604" s="118" t="n">
        <v>95.9298349082399</v>
      </c>
      <c r="D604" s="118" t="n">
        <v>94.64358198865399</v>
      </c>
      <c r="E604" s="118" t="n">
        <v>95.46640777587891</v>
      </c>
      <c r="F604" s="119" t="n">
        <v>8852400</v>
      </c>
      <c r="G604" s="120" t="n">
        <v>0.001190181097955767</v>
      </c>
      <c r="H604" s="121" t="n">
        <v>61.05737072819505</v>
      </c>
      <c r="I604" s="118" t="n">
        <v>103.8545431518555</v>
      </c>
      <c r="J604" s="118" t="n">
        <v>102.2553108596802</v>
      </c>
      <c r="K604" s="120" t="n">
        <v>0.4650321644436443</v>
      </c>
      <c r="L604" s="120" t="n">
        <v>-0.1769407004655595</v>
      </c>
      <c r="M604" s="120" t="n">
        <v>-0.2104652542126909</v>
      </c>
      <c r="N604" t="n">
        <v>34.51879110753967</v>
      </c>
      <c r="O604" t="n">
        <v>-0.6132594252001269</v>
      </c>
      <c r="P604" t="n">
        <v>110.241949737822</v>
      </c>
      <c r="Q604" t="n">
        <v>112.0352415086718</v>
      </c>
    </row>
    <row r="605">
      <c r="A605" s="117" t="n">
        <v>45310</v>
      </c>
      <c r="B605" s="118" t="n">
        <v>95.54205894447396</v>
      </c>
      <c r="C605" s="118" t="n">
        <v>96.63915993382216</v>
      </c>
      <c r="D605" s="118" t="n">
        <v>94.26526585324908</v>
      </c>
      <c r="E605" s="118" t="n">
        <v>96.26084899902344</v>
      </c>
      <c r="F605" s="119" t="n">
        <v>8517200</v>
      </c>
      <c r="G605" s="120" t="n">
        <v>0.008321683424075133</v>
      </c>
      <c r="H605" s="121" t="n">
        <v>61.56547083810148</v>
      </c>
      <c r="I605" s="118" t="n">
        <v>103.7578823852539</v>
      </c>
      <c r="J605" s="118" t="n">
        <v>102.1669761276245</v>
      </c>
      <c r="K605" s="120" t="n">
        <v>0.4628149677044393</v>
      </c>
      <c r="L605" s="120" t="n">
        <v>-0.1700914615355928</v>
      </c>
      <c r="M605" s="120" t="n">
        <v>-0.2038949960059412</v>
      </c>
      <c r="N605" t="n">
        <v>37.16973997420188</v>
      </c>
      <c r="O605" t="n">
        <v>-0.4748284658879358</v>
      </c>
      <c r="P605" t="n">
        <v>111.6162495608548</v>
      </c>
      <c r="Q605" t="n">
        <v>114.2570278260456</v>
      </c>
    </row>
    <row r="606">
      <c r="A606" s="117" t="n">
        <v>45313</v>
      </c>
      <c r="B606" s="118" t="n">
        <v>96.23249072500494</v>
      </c>
      <c r="C606" s="118" t="n">
        <v>96.28923484786387</v>
      </c>
      <c r="D606" s="118" t="n">
        <v>94.6625026462097</v>
      </c>
      <c r="E606" s="118" t="n">
        <v>95.10701751708984</v>
      </c>
      <c r="F606" s="119" t="n">
        <v>9897400</v>
      </c>
      <c r="G606" s="120" t="n">
        <v>-0.01198650847080418</v>
      </c>
      <c r="H606" s="121" t="n">
        <v>60.82751580039153</v>
      </c>
      <c r="I606" s="118" t="n">
        <v>103.5983671569824</v>
      </c>
      <c r="J606" s="118" t="n">
        <v>102.0634148788452</v>
      </c>
      <c r="K606" s="120" t="n">
        <v>0.4629380096771186</v>
      </c>
      <c r="L606" s="120" t="n">
        <v>-0.1800391672618892</v>
      </c>
      <c r="M606" s="120" t="n">
        <v>-0.2134375153799656</v>
      </c>
      <c r="N606" t="n">
        <v>34.95626324830363</v>
      </c>
      <c r="O606" t="n">
        <v>-0.4167885930537727</v>
      </c>
      <c r="P606" t="n">
        <v>111.8522203819957</v>
      </c>
      <c r="Q606" t="n">
        <v>114.4062348115569</v>
      </c>
    </row>
    <row r="607">
      <c r="A607" s="117" t="n">
        <v>45314</v>
      </c>
      <c r="B607" s="118" t="n">
        <v>96.11900375346949</v>
      </c>
      <c r="C607" s="118" t="n">
        <v>96.60135048742028</v>
      </c>
      <c r="D607" s="118" t="n">
        <v>95.74069994675307</v>
      </c>
      <c r="E607" s="118" t="n">
        <v>96.37436676025391</v>
      </c>
      <c r="F607" s="119" t="n">
        <v>8208000</v>
      </c>
      <c r="G607" s="120" t="n">
        <v>0.01332550716287928</v>
      </c>
      <c r="H607" s="121" t="n">
        <v>61.6380732978898</v>
      </c>
      <c r="I607" s="118" t="n">
        <v>103.4636332702637</v>
      </c>
      <c r="J607" s="118" t="n">
        <v>101.9792527770996</v>
      </c>
      <c r="K607" s="120" t="n">
        <v>0.4653813333945737</v>
      </c>
      <c r="L607" s="120" t="n">
        <v>-0.1691127733119571</v>
      </c>
      <c r="M607" s="120" t="n">
        <v>-0.2029561713571092</v>
      </c>
      <c r="N607" t="n">
        <v>39.23649111936652</v>
      </c>
      <c r="O607" t="n">
        <v>-0.2567147987628511</v>
      </c>
      <c r="P607" t="n">
        <v>112.1784495694377</v>
      </c>
      <c r="Q607" t="n">
        <v>114.8809553274251</v>
      </c>
    </row>
    <row r="608">
      <c r="A608" s="117" t="n">
        <v>45315</v>
      </c>
      <c r="B608" s="118" t="n">
        <v>96.26086693367107</v>
      </c>
      <c r="C608" s="118" t="n">
        <v>96.27978645256046</v>
      </c>
      <c r="D608" s="118" t="n">
        <v>95.22997684034931</v>
      </c>
      <c r="E608" s="118" t="n">
        <v>95.29618072509766</v>
      </c>
      <c r="F608" s="119" t="n">
        <v>7879300</v>
      </c>
      <c r="G608" s="120" t="n">
        <v>-0.01118747724525548</v>
      </c>
      <c r="H608" s="121" t="n">
        <v>60.94849875542826</v>
      </c>
      <c r="I608" s="118" t="n">
        <v>103.3523918151855</v>
      </c>
      <c r="J608" s="118" t="n">
        <v>101.8928833389282</v>
      </c>
      <c r="K608" s="120" t="n">
        <v>0.223566831272842</v>
      </c>
      <c r="L608" s="120" t="n">
        <v>-0.1784083052539029</v>
      </c>
      <c r="M608" s="120" t="n">
        <v>-0.2118730810535229</v>
      </c>
      <c r="N608" t="n">
        <v>37.00544225605007</v>
      </c>
      <c r="O608" t="n">
        <v>-0.1901809289443754</v>
      </c>
      <c r="P608" t="n">
        <v>112.3010973712402</v>
      </c>
      <c r="Q608" t="n">
        <v>115.5184493883847</v>
      </c>
    </row>
    <row r="609">
      <c r="A609" s="117" t="n">
        <v>45316</v>
      </c>
      <c r="B609" s="118" t="n">
        <v>96.02440836160325</v>
      </c>
      <c r="C609" s="118" t="n">
        <v>96.22301998462513</v>
      </c>
      <c r="D609" s="118" t="n">
        <v>94.66249184296053</v>
      </c>
      <c r="E609" s="118" t="n">
        <v>95.30561828613281</v>
      </c>
      <c r="F609" s="119" t="n">
        <v>10063700</v>
      </c>
      <c r="G609" s="120" t="n">
        <v>9.903399027488824e-05</v>
      </c>
      <c r="H609" s="121" t="n">
        <v>60.95453472846128</v>
      </c>
      <c r="I609" s="118" t="n">
        <v>103.2581175231934</v>
      </c>
      <c r="J609" s="118" t="n">
        <v>101.7986487197876</v>
      </c>
      <c r="K609" s="120" t="n">
        <v>0.2236231043035813</v>
      </c>
      <c r="L609" s="120" t="n">
        <v>-0.1783269397499956</v>
      </c>
      <c r="M609" s="120" t="n">
        <v>-0.2117950296998966</v>
      </c>
      <c r="N609" t="n">
        <v>37.03918962997895</v>
      </c>
      <c r="O609" t="n">
        <v>-0.1159208291850433</v>
      </c>
      <c r="P609" t="n">
        <v>112.9118778962647</v>
      </c>
      <c r="Q609" t="n">
        <v>115.6595265060957</v>
      </c>
    </row>
    <row r="610">
      <c r="A610" s="117" t="n">
        <v>45317</v>
      </c>
      <c r="B610" s="118" t="n">
        <v>96.06224739782846</v>
      </c>
      <c r="C610" s="118" t="n">
        <v>97.67006001876238</v>
      </c>
      <c r="D610" s="118" t="n">
        <v>95.73122800124578</v>
      </c>
      <c r="E610" s="118" t="n">
        <v>97.17826080322266</v>
      </c>
      <c r="F610" s="119" t="n">
        <v>9735800</v>
      </c>
      <c r="G610" s="120" t="n">
        <v>0.01964881557630394</v>
      </c>
      <c r="H610" s="121" t="n">
        <v>62.15221913988023</v>
      </c>
      <c r="I610" s="118" t="n">
        <v>103.2373036193848</v>
      </c>
      <c r="J610" s="118" t="n">
        <v>101.7072696304321</v>
      </c>
      <c r="K610" s="120" t="n">
        <v>0.2370803338170854</v>
      </c>
      <c r="L610" s="120" t="n">
        <v>-0.1621820373251259</v>
      </c>
      <c r="M610" s="120" t="n">
        <v>-0.1963077356021438</v>
      </c>
      <c r="N610" t="n">
        <v>43.50638669529661</v>
      </c>
      <c r="O610" t="n">
        <v>0.07845867920788141</v>
      </c>
      <c r="P610" t="n">
        <v>112.7684202640175</v>
      </c>
      <c r="Q610" t="n">
        <v>114.9704677727929</v>
      </c>
    </row>
    <row r="611">
      <c r="A611" s="117" t="n">
        <v>45320</v>
      </c>
      <c r="B611" s="118" t="n">
        <v>97.30120496926301</v>
      </c>
      <c r="C611" s="118" t="n">
        <v>98.36993397056705</v>
      </c>
      <c r="D611" s="118" t="n">
        <v>95.84471246600724</v>
      </c>
      <c r="E611" s="118" t="n">
        <v>98.24697875976562</v>
      </c>
      <c r="F611" s="119" t="n">
        <v>8860800</v>
      </c>
      <c r="G611" s="120" t="n">
        <v>0.01099750034328184</v>
      </c>
      <c r="H611" s="121" t="n">
        <v>62.83573819120679</v>
      </c>
      <c r="I611" s="118" t="n">
        <v>103.2086433410645</v>
      </c>
      <c r="J611" s="118" t="n">
        <v>101.6195486068726</v>
      </c>
      <c r="K611" s="120" t="n">
        <v>0.2329047198058316</v>
      </c>
      <c r="L611" s="120" t="n">
        <v>-0.1529681339930012</v>
      </c>
      <c r="M611" s="120" t="n">
        <v>-0.1874691296485355</v>
      </c>
      <c r="N611" t="n">
        <v>46.86106980943008</v>
      </c>
      <c r="O611" t="n">
        <v>0.2864536002656091</v>
      </c>
      <c r="P611" t="n">
        <v>113.6614754831681</v>
      </c>
      <c r="Q611" t="n">
        <v>116.1478303614569</v>
      </c>
    </row>
    <row r="612">
      <c r="A612" s="117" t="n">
        <v>45321</v>
      </c>
      <c r="B612" s="118" t="n">
        <v>97.7362697566754</v>
      </c>
      <c r="C612" s="118" t="n">
        <v>98.65367157911173</v>
      </c>
      <c r="D612" s="118" t="n">
        <v>97.53765810682043</v>
      </c>
      <c r="E612" s="118" t="n">
        <v>98.53072357177734</v>
      </c>
      <c r="F612" s="119" t="n">
        <v>7542800</v>
      </c>
      <c r="G612" s="120" t="n">
        <v>0.002888076718425392</v>
      </c>
      <c r="H612" s="121" t="n">
        <v>63.01721262376189</v>
      </c>
      <c r="I612" s="118" t="n">
        <v>103.1466340637207</v>
      </c>
      <c r="J612" s="118" t="n">
        <v>101.5202777099609</v>
      </c>
      <c r="K612" s="120" t="n">
        <v>0.2336074396881377</v>
      </c>
      <c r="L612" s="120" t="n">
        <v>-0.1505218409810221</v>
      </c>
      <c r="M612" s="120" t="n">
        <v>-0.1851224781588714</v>
      </c>
      <c r="N612" t="n">
        <v>47.74823123997552</v>
      </c>
      <c r="O612" t="n">
        <v>0.4413309228078957</v>
      </c>
      <c r="P612" t="n">
        <v>113.5735810437788</v>
      </c>
      <c r="Q612" t="n">
        <v>115.3746790946532</v>
      </c>
    </row>
    <row r="613">
      <c r="A613" s="117" t="n">
        <v>45322</v>
      </c>
      <c r="B613" s="118" t="n">
        <v>98.44559271433627</v>
      </c>
      <c r="C613" s="118" t="n">
        <v>98.64421156483112</v>
      </c>
      <c r="D613" s="118" t="n">
        <v>95.63665055139258</v>
      </c>
      <c r="E613" s="118" t="n">
        <v>96.0244140625</v>
      </c>
      <c r="F613" s="119" t="n">
        <v>11547600</v>
      </c>
      <c r="G613" s="120" t="n">
        <v>-0.02543683247643624</v>
      </c>
      <c r="H613" s="121" t="n">
        <v>61.41425434311929</v>
      </c>
      <c r="I613" s="118" t="n">
        <v>103.0384576416016</v>
      </c>
      <c r="J613" s="118" t="n">
        <v>101.4107225036621</v>
      </c>
      <c r="K613" s="120" t="n">
        <v>0.2411993866192132</v>
      </c>
      <c r="L613" s="120" t="n">
        <v>-0.1721298746043793</v>
      </c>
      <c r="M613" s="120" t="n">
        <v>-0.2058503811707577</v>
      </c>
      <c r="N613" t="n">
        <v>41.20449355188756</v>
      </c>
      <c r="O613" t="n">
        <v>0.3757356073350842</v>
      </c>
      <c r="P613" t="n">
        <v>111.720356902048</v>
      </c>
      <c r="Q613" t="n">
        <v>113.1149366142985</v>
      </c>
    </row>
    <row r="614">
      <c r="A614" s="117" t="n">
        <v>45323</v>
      </c>
      <c r="B614" s="118" t="n">
        <v>96.37435875325606</v>
      </c>
      <c r="C614" s="118" t="n">
        <v>96.70537816447238</v>
      </c>
      <c r="D614" s="118" t="n">
        <v>95.15430959561706</v>
      </c>
      <c r="E614" s="118" t="n">
        <v>96.24195098876953</v>
      </c>
      <c r="F614" s="119" t="n">
        <v>7666700</v>
      </c>
      <c r="G614" s="120" t="n">
        <v>0.002265433519104132</v>
      </c>
      <c r="H614" s="121" t="n">
        <v>61.55338425345897</v>
      </c>
      <c r="I614" s="118" t="n">
        <v>102.965738067627</v>
      </c>
      <c r="J614" s="118" t="n">
        <v>101.301131362915</v>
      </c>
      <c r="K614" s="120" t="n">
        <v>0.2280748477965365</v>
      </c>
      <c r="L614" s="120" t="n">
        <v>-0.1702543898728432</v>
      </c>
      <c r="M614" s="120" t="n">
        <v>-0.2040512880050781</v>
      </c>
      <c r="N614" t="n">
        <v>41.94814201867442</v>
      </c>
      <c r="O614" t="n">
        <v>0.3483640671094661</v>
      </c>
      <c r="P614" t="n">
        <v>113.1825729853338</v>
      </c>
      <c r="Q614" t="n">
        <v>114.4469261003406</v>
      </c>
    </row>
    <row r="615">
      <c r="A615" s="117" t="n">
        <v>45324</v>
      </c>
      <c r="B615" s="118" t="n">
        <v>95.4096582931507</v>
      </c>
      <c r="C615" s="118" t="n">
        <v>95.9109244680436</v>
      </c>
      <c r="D615" s="118" t="n">
        <v>94.03828917018801</v>
      </c>
      <c r="E615" s="118" t="n">
        <v>95.24887847900391</v>
      </c>
      <c r="F615" s="119" t="n">
        <v>8966900</v>
      </c>
      <c r="G615" s="120" t="n">
        <v>-0.01031849936086093</v>
      </c>
      <c r="H615" s="121" t="n">
        <v>60.91824569738083</v>
      </c>
      <c r="I615" s="118" t="n">
        <v>102.866369934082</v>
      </c>
      <c r="J615" s="118" t="n">
        <v>101.1864812088013</v>
      </c>
      <c r="K615" s="120" t="n">
        <v>0.2233041426534714</v>
      </c>
      <c r="L615" s="120" t="n">
        <v>-0.1788161194206174</v>
      </c>
      <c r="M615" s="120" t="n">
        <v>-0.2095788491009165</v>
      </c>
      <c r="N615" t="n">
        <v>39.49246924401375</v>
      </c>
      <c r="O615" t="n">
        <v>0.2683330518800244</v>
      </c>
      <c r="P615" t="n">
        <v>114.3740794323081</v>
      </c>
      <c r="Q615" t="n">
        <v>116.3811214905126</v>
      </c>
    </row>
    <row r="616">
      <c r="A616" s="117" t="n">
        <v>45327</v>
      </c>
      <c r="B616" s="118" t="n">
        <v>95.05026873945151</v>
      </c>
      <c r="C616" s="118" t="n">
        <v>95.13538491957162</v>
      </c>
      <c r="D616" s="118" t="n">
        <v>93.67889958918479</v>
      </c>
      <c r="E616" s="118" t="n">
        <v>94.27473449707031</v>
      </c>
      <c r="F616" s="119" t="n">
        <v>10097900</v>
      </c>
      <c r="G616" s="120" t="n">
        <v>-0.01022735382809081</v>
      </c>
      <c r="H616" s="121" t="n">
        <v>60.29521324404715</v>
      </c>
      <c r="I616" s="118" t="n">
        <v>102.7431829833984</v>
      </c>
      <c r="J616" s="118" t="n">
        <v>101.0694885253906</v>
      </c>
      <c r="K616" s="120" t="n">
        <v>0.2258316802219106</v>
      </c>
      <c r="L616" s="120" t="n">
        <v>-0.1872146575252274</v>
      </c>
      <c r="M616" s="120" t="n">
        <v>-0.2129349023622378</v>
      </c>
      <c r="N616" t="n">
        <v>37.19241030306529</v>
      </c>
      <c r="O616" t="n">
        <v>0.1600878450873813</v>
      </c>
      <c r="P616" t="n">
        <v>113.9576282466714</v>
      </c>
      <c r="Q616" t="n">
        <v>116.2292129390243</v>
      </c>
    </row>
    <row r="617">
      <c r="A617" s="117" t="n">
        <v>45328</v>
      </c>
      <c r="B617" s="118" t="n">
        <v>94.10449549114013</v>
      </c>
      <c r="C617" s="118" t="n">
        <v>97.06476496271351</v>
      </c>
      <c r="D617" s="118" t="n">
        <v>93.75455657860306</v>
      </c>
      <c r="E617" s="118" t="n">
        <v>97.04585266113281</v>
      </c>
      <c r="F617" s="119" t="n">
        <v>11368600</v>
      </c>
      <c r="G617" s="120" t="n">
        <v>0.02939407020179541</v>
      </c>
      <c r="H617" s="121" t="n">
        <v>62.0675349749749</v>
      </c>
      <c r="I617" s="118" t="n">
        <v>102.6495910644531</v>
      </c>
      <c r="J617" s="118" t="n">
        <v>100.972063331604</v>
      </c>
      <c r="K617" s="120" t="n">
        <v>0.2443761841780401</v>
      </c>
      <c r="L617" s="120" t="n">
        <v>-0.1633235881095335</v>
      </c>
      <c r="M617" s="120" t="n">
        <v>-0.1897998556288905</v>
      </c>
      <c r="N617" t="n">
        <v>46.70182137164581</v>
      </c>
      <c r="O617" t="n">
        <v>0.2784819301902239</v>
      </c>
      <c r="P617" t="n">
        <v>114.2884980044817</v>
      </c>
      <c r="Q617" t="n">
        <v>115.9959134200121</v>
      </c>
    </row>
    <row r="618">
      <c r="A618" s="117" t="n">
        <v>45329</v>
      </c>
      <c r="B618" s="118" t="n">
        <v>96.83778797524296</v>
      </c>
      <c r="C618" s="118" t="n">
        <v>98.68204417362065</v>
      </c>
      <c r="D618" s="118" t="n">
        <v>96.79995615377852</v>
      </c>
      <c r="E618" s="118" t="n">
        <v>98.16187286376953</v>
      </c>
      <c r="F618" s="119" t="n">
        <v>9447800</v>
      </c>
      <c r="G618" s="120" t="n">
        <v>0.01149992680814149</v>
      </c>
      <c r="H618" s="121" t="n">
        <v>62.78130708434888</v>
      </c>
      <c r="I618" s="118" t="n">
        <v>102.5835983276367</v>
      </c>
      <c r="J618" s="118" t="n">
        <v>100.8751617431641</v>
      </c>
      <c r="K618" s="120" t="n">
        <v>0.2458698662940939</v>
      </c>
      <c r="L618" s="120" t="n">
        <v>-0.1537018706106946</v>
      </c>
      <c r="M618" s="120" t="n">
        <v>-0.180482613268677</v>
      </c>
      <c r="N618" t="n">
        <v>49.98605682599564</v>
      </c>
      <c r="O618" t="n">
        <v>0.4264635172048425</v>
      </c>
      <c r="P618" t="n">
        <v>115.2416842506458</v>
      </c>
      <c r="Q618" t="n">
        <v>117.1895441342332</v>
      </c>
    </row>
    <row r="619">
      <c r="A619" s="117" t="n">
        <v>45330</v>
      </c>
      <c r="B619" s="118" t="n">
        <v>98.76717386511508</v>
      </c>
      <c r="C619" s="118" t="n">
        <v>99.26843290399415</v>
      </c>
      <c r="D619" s="118" t="n">
        <v>97.4620084120517</v>
      </c>
      <c r="E619" s="118" t="n">
        <v>98.14295959472656</v>
      </c>
      <c r="F619" s="119" t="n">
        <v>6330400</v>
      </c>
      <c r="G619" s="120" t="n">
        <v>-0.0001926742888169741</v>
      </c>
      <c r="H619" s="121" t="n">
        <v>62.7692107406554</v>
      </c>
      <c r="I619" s="118" t="n">
        <v>102.5111949157715</v>
      </c>
      <c r="J619" s="118" t="n">
        <v>100.7708619689941</v>
      </c>
      <c r="K619" s="120" t="n">
        <v>0.243349487691344</v>
      </c>
      <c r="L619" s="120" t="n">
        <v>-0.1538649305009019</v>
      </c>
      <c r="M619" s="120" t="n">
        <v>-0.1806405131983385</v>
      </c>
      <c r="N619" t="n">
        <v>49.92990525821496</v>
      </c>
      <c r="O619" t="n">
        <v>0.5118317385218276</v>
      </c>
      <c r="P619" t="n">
        <v>115.2925995995141</v>
      </c>
      <c r="Q619" t="n">
        <v>117.4065587477754</v>
      </c>
    </row>
    <row r="620">
      <c r="A620" s="117" t="n">
        <v>45331</v>
      </c>
      <c r="B620" s="118" t="n">
        <v>98.17132759155174</v>
      </c>
      <c r="C620" s="118" t="n">
        <v>99.24950919314131</v>
      </c>
      <c r="D620" s="118" t="n">
        <v>97.72681273172975</v>
      </c>
      <c r="E620" s="118" t="n">
        <v>98.83336639404297</v>
      </c>
      <c r="F620" s="119" t="n">
        <v>5449000</v>
      </c>
      <c r="G620" s="120" t="n">
        <v>0.007034705313222478</v>
      </c>
      <c r="H620" s="121" t="n">
        <v>63.21077364095947</v>
      </c>
      <c r="I620" s="118" t="n">
        <v>102.437706451416</v>
      </c>
      <c r="J620" s="118" t="n">
        <v>100.6813911437988</v>
      </c>
      <c r="K620" s="120" t="n">
        <v>0.232823217522615</v>
      </c>
      <c r="L620" s="120" t="n">
        <v>-0.1479126196317927</v>
      </c>
      <c r="M620" s="120" t="n">
        <v>-0.1748765606630956</v>
      </c>
      <c r="N620" t="n">
        <v>52.04752126930234</v>
      </c>
      <c r="O620" t="n">
        <v>0.5975805536129259</v>
      </c>
      <c r="P620" t="n">
        <v>115.9589142229114</v>
      </c>
      <c r="Q620" t="n">
        <v>118.5621997391897</v>
      </c>
    </row>
    <row r="621">
      <c r="A621" s="117" t="n">
        <v>45334</v>
      </c>
      <c r="B621" s="118" t="n">
        <v>99.06034402297662</v>
      </c>
      <c r="C621" s="118" t="n">
        <v>101.6044778085715</v>
      </c>
      <c r="D621" s="118" t="n">
        <v>98.97522784602339</v>
      </c>
      <c r="E621" s="118" t="n">
        <v>101.368034362793</v>
      </c>
      <c r="F621" s="119" t="n">
        <v>7501900</v>
      </c>
      <c r="G621" s="120" t="n">
        <v>0.02564587306117283</v>
      </c>
      <c r="H621" s="121" t="n">
        <v>64.83186911785404</v>
      </c>
      <c r="I621" s="118" t="n">
        <v>102.384370880127</v>
      </c>
      <c r="J621" s="118" t="n">
        <v>100.6084327316284</v>
      </c>
      <c r="K621" s="120" t="n">
        <v>0.2486947290813401</v>
      </c>
      <c r="L621" s="120" t="n">
        <v>-0.1260600948378425</v>
      </c>
      <c r="M621" s="120" t="n">
        <v>-0.1537155496780631</v>
      </c>
      <c r="N621" t="n">
        <v>58.91710658791249</v>
      </c>
      <c r="O621" t="n">
        <v>0.7954072552711389</v>
      </c>
      <c r="P621" t="n">
        <v>115.9080206949069</v>
      </c>
      <c r="Q621" t="n">
        <v>118.0983274370117</v>
      </c>
    </row>
    <row r="622">
      <c r="A622" s="117" t="n">
        <v>45335</v>
      </c>
      <c r="B622" s="118" t="n">
        <v>99.29679176724748</v>
      </c>
      <c r="C622" s="118" t="n">
        <v>100.0628734713963</v>
      </c>
      <c r="D622" s="118" t="n">
        <v>98.5969211578369</v>
      </c>
      <c r="E622" s="118" t="n">
        <v>99.30625152587891</v>
      </c>
      <c r="F622" s="119" t="n">
        <v>6180500</v>
      </c>
      <c r="G622" s="120" t="n">
        <v>-0.02033957598048131</v>
      </c>
      <c r="H622" s="121" t="n">
        <v>63.51321638997484</v>
      </c>
      <c r="I622" s="118" t="n">
        <v>102.2916850280762</v>
      </c>
      <c r="J622" s="118" t="n">
        <v>100.5164571762085</v>
      </c>
      <c r="K622" s="120" t="n">
        <v>0.2313119288770185</v>
      </c>
      <c r="L622" s="120" t="n">
        <v>-0.1438356619412627</v>
      </c>
      <c r="M622" s="120" t="n">
        <v>-0.1709286165564859</v>
      </c>
      <c r="N622" t="n">
        <v>52.34773426648805</v>
      </c>
      <c r="O622" t="n">
        <v>0.7579641560266812</v>
      </c>
      <c r="P622" t="n">
        <v>114.3116208464892</v>
      </c>
      <c r="Q622" t="n">
        <v>116.256337668228</v>
      </c>
    </row>
    <row r="623">
      <c r="A623" s="117" t="n">
        <v>45336</v>
      </c>
      <c r="B623" s="118" t="n">
        <v>99.13601219220956</v>
      </c>
      <c r="C623" s="118" t="n">
        <v>100.6492488712764</v>
      </c>
      <c r="D623" s="118" t="n">
        <v>98.79553303745931</v>
      </c>
      <c r="E623" s="118" t="n">
        <v>100.5641326904297</v>
      </c>
      <c r="F623" s="119" t="n">
        <v>5743300</v>
      </c>
      <c r="G623" s="120" t="n">
        <v>0.01266668659045078</v>
      </c>
      <c r="H623" s="121" t="n">
        <v>64.31771839633814</v>
      </c>
      <c r="I623" s="118" t="n">
        <v>102.1564393615723</v>
      </c>
      <c r="J623" s="118" t="n">
        <v>100.4259954833984</v>
      </c>
      <c r="K623" s="120" t="n">
        <v>0.2309203323666433</v>
      </c>
      <c r="L623" s="120" t="n">
        <v>-0.1329908966011518</v>
      </c>
      <c r="M623" s="120" t="n">
        <v>-0.1604270291812956</v>
      </c>
      <c r="N623" t="n">
        <v>55.60042418870338</v>
      </c>
      <c r="O623" t="n">
        <v>0.7851469802451849</v>
      </c>
      <c r="P623" t="n">
        <v>115.3504394358285</v>
      </c>
      <c r="Q623" t="n">
        <v>117.5232127022597</v>
      </c>
    </row>
    <row r="624">
      <c r="A624" s="117" t="n">
        <v>45337</v>
      </c>
      <c r="B624" s="118" t="n">
        <v>101.2167109496449</v>
      </c>
      <c r="C624" s="118" t="n">
        <v>101.519358283143</v>
      </c>
      <c r="D624" s="118" t="n">
        <v>100.0912450115298</v>
      </c>
      <c r="E624" s="118" t="n">
        <v>100.29931640625</v>
      </c>
      <c r="F624" s="119" t="n">
        <v>7201300</v>
      </c>
      <c r="G624" s="120" t="n">
        <v>-0.002633307493387194</v>
      </c>
      <c r="H624" s="121" t="n">
        <v>64.14835006652748</v>
      </c>
      <c r="I624" s="118" t="n">
        <v>101.9843084716797</v>
      </c>
      <c r="J624" s="118" t="n">
        <v>100.3285915756226</v>
      </c>
      <c r="K624" s="120" t="n">
        <v>0.2316636897059788</v>
      </c>
      <c r="L624" s="120" t="n">
        <v>-0.135273998169967</v>
      </c>
      <c r="M624" s="120" t="n">
        <v>-0.1626378829765978</v>
      </c>
      <c r="N624" t="n">
        <v>54.75308467866112</v>
      </c>
      <c r="O624" t="n">
        <v>0.7524466100490808</v>
      </c>
      <c r="P624" t="n">
        <v>116.1463263484745</v>
      </c>
      <c r="Q624" t="n">
        <v>117.8731577857998</v>
      </c>
    </row>
    <row r="625">
      <c r="A625" s="117" t="n">
        <v>45338</v>
      </c>
      <c r="B625" s="118" t="n">
        <v>98.95632642170031</v>
      </c>
      <c r="C625" s="118" t="n">
        <v>99.02253030999505</v>
      </c>
      <c r="D625" s="118" t="n">
        <v>96.13792407351526</v>
      </c>
      <c r="E625" s="118" t="n">
        <v>97.89706420898438</v>
      </c>
      <c r="F625" s="119" t="n">
        <v>14590100</v>
      </c>
      <c r="G625" s="120" t="n">
        <v>-0.02395083319945668</v>
      </c>
      <c r="H625" s="121" t="n">
        <v>62.61194363406373</v>
      </c>
      <c r="I625" s="118" t="n">
        <v>101.7592144775391</v>
      </c>
      <c r="J625" s="118" t="n">
        <v>100.2222664260864</v>
      </c>
      <c r="K625" s="120" t="n">
        <v>0.2487369994422123</v>
      </c>
      <c r="L625" s="120" t="n">
        <v>-0.1559849064030312</v>
      </c>
      <c r="M625" s="120" t="n">
        <v>-0.1826934033689692</v>
      </c>
      <c r="N625" t="n">
        <v>47.6577699517435</v>
      </c>
      <c r="O625" t="n">
        <v>0.5458056766029276</v>
      </c>
      <c r="P625" t="n">
        <v>115.5679134380877</v>
      </c>
      <c r="Q625" t="n">
        <v>116.8043192838198</v>
      </c>
    </row>
    <row r="626">
      <c r="A626" s="117" t="n">
        <v>45342</v>
      </c>
      <c r="B626" s="118" t="n">
        <v>97.53765351505039</v>
      </c>
      <c r="C626" s="118" t="n">
        <v>98.2091520755238</v>
      </c>
      <c r="D626" s="118" t="n">
        <v>96.62971149459275</v>
      </c>
      <c r="E626" s="118" t="n">
        <v>97.69844055175781</v>
      </c>
      <c r="F626" s="119" t="n">
        <v>8759500</v>
      </c>
      <c r="G626" s="120" t="n">
        <v>-0.002028903101757518</v>
      </c>
      <c r="H626" s="121" t="n">
        <v>62.48491006741751</v>
      </c>
      <c r="I626" s="118" t="n">
        <v>101.516907043457</v>
      </c>
      <c r="J626" s="118" t="n">
        <v>100.117382774353</v>
      </c>
      <c r="K626" s="120" t="n">
        <v>0.244335547631524</v>
      </c>
      <c r="L626" s="120" t="n">
        <v>-0.1576973312443603</v>
      </c>
      <c r="M626" s="120" t="n">
        <v>-0.1843516392579608</v>
      </c>
      <c r="N626" t="n">
        <v>47.11413007210393</v>
      </c>
      <c r="O626" t="n">
        <v>0.380361050894626</v>
      </c>
      <c r="P626" t="n">
        <v>114.9316679650077</v>
      </c>
      <c r="Q626" t="n">
        <v>115.9226691002014</v>
      </c>
    </row>
    <row r="627">
      <c r="A627" s="117" t="n">
        <v>45343</v>
      </c>
      <c r="B627" s="118" t="n">
        <v>97.74572334900488</v>
      </c>
      <c r="C627" s="118" t="n">
        <v>99.79805081703758</v>
      </c>
      <c r="D627" s="118" t="n">
        <v>97.34850007435629</v>
      </c>
      <c r="E627" s="118" t="n">
        <v>99.56160736083984</v>
      </c>
      <c r="F627" s="119" t="n">
        <v>8888100</v>
      </c>
      <c r="G627" s="120" t="n">
        <v>0.01907058903458125</v>
      </c>
      <c r="H627" s="121" t="n">
        <v>63.676534108176</v>
      </c>
      <c r="I627" s="118" t="n">
        <v>101.3364532470703</v>
      </c>
      <c r="J627" s="118" t="n">
        <v>100.0361880874634</v>
      </c>
      <c r="K627" s="120" t="n">
        <v>0.2488460745151349</v>
      </c>
      <c r="L627" s="120" t="n">
        <v>-0.1416341232057904</v>
      </c>
      <c r="M627" s="120" t="n">
        <v>-0.1687967445735196</v>
      </c>
      <c r="N627" t="n">
        <v>52.5787057186632</v>
      </c>
      <c r="O627" t="n">
        <v>0.3801220845024474</v>
      </c>
      <c r="P627" t="n">
        <v>115.0357898534435</v>
      </c>
      <c r="Q627" t="n">
        <v>115.4587716281541</v>
      </c>
    </row>
    <row r="628">
      <c r="A628" s="117" t="n">
        <v>45344</v>
      </c>
      <c r="B628" s="118" t="n">
        <v>100.0628858825253</v>
      </c>
      <c r="C628" s="118" t="n">
        <v>100.2614975443297</v>
      </c>
      <c r="D628" s="118" t="n">
        <v>98.43615354887093</v>
      </c>
      <c r="E628" s="118" t="n">
        <v>99.38192749023438</v>
      </c>
      <c r="F628" s="119" t="n">
        <v>6705500</v>
      </c>
      <c r="G628" s="120" t="n">
        <v>-0.001804710423710443</v>
      </c>
      <c r="H628" s="121" t="n">
        <v>63.56161640332522</v>
      </c>
      <c r="I628" s="118" t="n">
        <v>101.1315986633301</v>
      </c>
      <c r="J628" s="118" t="n">
        <v>99.94042404174805</v>
      </c>
      <c r="K628" s="120" t="n">
        <v>0.2445708856304273</v>
      </c>
      <c r="L628" s="120" t="n">
        <v>-0.1431832250509983</v>
      </c>
      <c r="M628" s="120" t="n">
        <v>-0.1702968257528097</v>
      </c>
      <c r="N628" t="n">
        <v>52.02046261025115</v>
      </c>
      <c r="O628" t="n">
        <v>0.3522072740605962</v>
      </c>
      <c r="P628" t="n">
        <v>117.416489735829</v>
      </c>
      <c r="Q628" t="n">
        <v>118.838917282832</v>
      </c>
    </row>
    <row r="629">
      <c r="A629" s="117" t="n">
        <v>45345</v>
      </c>
      <c r="B629" s="118" t="n">
        <v>99.5521678663724</v>
      </c>
      <c r="C629" s="118" t="n">
        <v>100.8384210139342</v>
      </c>
      <c r="D629" s="118" t="n">
        <v>99.48596397858684</v>
      </c>
      <c r="E629" s="118" t="n">
        <v>99.902099609375</v>
      </c>
      <c r="F629" s="119" t="n">
        <v>6947300</v>
      </c>
      <c r="G629" s="120" t="n">
        <v>0.005234071548790853</v>
      </c>
      <c r="H629" s="121" t="n">
        <v>63.89430245133701</v>
      </c>
      <c r="I629" s="118" t="n">
        <v>100.8860758972168</v>
      </c>
      <c r="J629" s="118" t="n">
        <v>99.84590316772461</v>
      </c>
      <c r="K629" s="120" t="n">
        <v>0.2446611715792416</v>
      </c>
      <c r="L629" s="120" t="n">
        <v>-0.1386985847467112</v>
      </c>
      <c r="M629" s="120" t="n">
        <v>-0.1659540999745411</v>
      </c>
      <c r="N629" t="n">
        <v>53.55776368523031</v>
      </c>
      <c r="O629" t="n">
        <v>0.3522692886109494</v>
      </c>
      <c r="P629" t="n">
        <v>117.4974742350147</v>
      </c>
      <c r="Q629" t="n">
        <v>118.4889554193791</v>
      </c>
    </row>
    <row r="630">
      <c r="A630" s="117" t="n">
        <v>45348</v>
      </c>
      <c r="B630" s="118" t="n">
        <v>99.59944326155781</v>
      </c>
      <c r="C630" s="118" t="n">
        <v>100.3466054796451</v>
      </c>
      <c r="D630" s="118" t="n">
        <v>98.13349810246262</v>
      </c>
      <c r="E630" s="118" t="n">
        <v>98.87120056152344</v>
      </c>
      <c r="F630" s="119" t="n">
        <v>5831500</v>
      </c>
      <c r="G630" s="120" t="n">
        <v>-0.01031909291078426</v>
      </c>
      <c r="H630" s="121" t="n">
        <v>63.23497120787192</v>
      </c>
      <c r="I630" s="118" t="n">
        <v>100.6004521179199</v>
      </c>
      <c r="J630" s="118" t="n">
        <v>99.75456150054931</v>
      </c>
      <c r="K630" s="120" t="n">
        <v>0.2398317387381113</v>
      </c>
      <c r="L630" s="120" t="n">
        <v>-0.1475864340748998</v>
      </c>
      <c r="M630" s="120" t="n">
        <v>-0.1745606971087624</v>
      </c>
      <c r="N630" t="n">
        <v>50.12967894367107</v>
      </c>
      <c r="O630" t="n">
        <v>0.2700747529021736</v>
      </c>
      <c r="P630" t="n">
        <v>117.0671522536221</v>
      </c>
      <c r="Q630" t="n">
        <v>118.4265593132585</v>
      </c>
    </row>
    <row r="631">
      <c r="A631" s="117" t="n">
        <v>45349</v>
      </c>
      <c r="B631" s="118" t="n">
        <v>99.14548038502289</v>
      </c>
      <c r="C631" s="118" t="n">
        <v>99.54270369412883</v>
      </c>
      <c r="D631" s="118" t="n">
        <v>98.35102655112875</v>
      </c>
      <c r="E631" s="118" t="n">
        <v>99.44812774658203</v>
      </c>
      <c r="F631" s="119" t="n">
        <v>5317400</v>
      </c>
      <c r="G631" s="120" t="n">
        <v>0.005835138865332157</v>
      </c>
      <c r="H631" s="121" t="n">
        <v>63.60395604601513</v>
      </c>
      <c r="I631" s="118" t="n">
        <v>100.2974261474609</v>
      </c>
      <c r="J631" s="118" t="n">
        <v>99.67354854583741</v>
      </c>
      <c r="K631" s="120" t="n">
        <v>0.2376598653147886</v>
      </c>
      <c r="L631" s="120" t="n">
        <v>-0.1426124825470338</v>
      </c>
      <c r="M631" s="120" t="n">
        <v>-0.1697441441514892</v>
      </c>
      <c r="N631" t="n">
        <v>51.98202655621405</v>
      </c>
      <c r="O631" t="n">
        <v>0.2426243374637451</v>
      </c>
      <c r="P631" t="n">
        <v>117.28461898226</v>
      </c>
      <c r="Q631" t="n">
        <v>118.711406724701</v>
      </c>
    </row>
    <row r="632">
      <c r="A632" s="117" t="n">
        <v>45350</v>
      </c>
      <c r="B632" s="118" t="n">
        <v>98.455061956146</v>
      </c>
      <c r="C632" s="118" t="n">
        <v>99.72240273956915</v>
      </c>
      <c r="D632" s="118" t="n">
        <v>98.07675095143689</v>
      </c>
      <c r="E632" s="118" t="n">
        <v>98.69150543212891</v>
      </c>
      <c r="F632" s="119" t="n">
        <v>4219800</v>
      </c>
      <c r="G632" s="120" t="n">
        <v>-0.007608210748634492</v>
      </c>
      <c r="H632" s="121" t="n">
        <v>63.12004374397016</v>
      </c>
      <c r="I632" s="118" t="n">
        <v>99.98210525512695</v>
      </c>
      <c r="J632" s="118" t="n">
        <v>99.594792137146</v>
      </c>
      <c r="K632" s="120" t="n">
        <v>0.2393012636074169</v>
      </c>
      <c r="L632" s="120" t="n">
        <v>-0.1491356674730645</v>
      </c>
      <c r="M632" s="120" t="n">
        <v>-0.1760609056780725</v>
      </c>
      <c r="N632" t="n">
        <v>49.3910050675977</v>
      </c>
      <c r="O632" t="n">
        <v>0.1652684685908923</v>
      </c>
      <c r="P632" t="n">
        <v>117.1296181130623</v>
      </c>
      <c r="Q632" t="n">
        <v>118.0793157956954</v>
      </c>
    </row>
    <row r="633">
      <c r="A633" s="117" t="n">
        <v>45351</v>
      </c>
      <c r="B633" s="118" t="n">
        <v>99.28733877348732</v>
      </c>
      <c r="C633" s="118" t="n">
        <v>99.84534186361957</v>
      </c>
      <c r="D633" s="118" t="n">
        <v>98.05782992152442</v>
      </c>
      <c r="E633" s="118" t="n">
        <v>98.29427337646484</v>
      </c>
      <c r="F633" s="119" t="n">
        <v>10811600</v>
      </c>
      <c r="G633" s="120" t="n">
        <v>-0.004024987296776472</v>
      </c>
      <c r="H633" s="121" t="n">
        <v>62.86598636972871</v>
      </c>
      <c r="I633" s="118" t="n">
        <v>99.64881454467773</v>
      </c>
      <c r="J633" s="118" t="n">
        <v>99.52346000671386</v>
      </c>
      <c r="K633" s="120" t="n">
        <v>0.2201969639252431</v>
      </c>
      <c r="L633" s="120" t="n">
        <v>-0.1525603856027656</v>
      </c>
      <c r="M633" s="120" t="n">
        <v>-0.1793772500660358</v>
      </c>
      <c r="N633" t="n">
        <v>48.0372327930453</v>
      </c>
      <c r="O633" t="n">
        <v>0.08324671724992411</v>
      </c>
      <c r="P633" t="n">
        <v>117.5506807745821</v>
      </c>
      <c r="Q633" t="n">
        <v>119.0912116632475</v>
      </c>
    </row>
    <row r="634">
      <c r="A634" s="117" t="n">
        <v>45352</v>
      </c>
      <c r="B634" s="118" t="n">
        <v>98.58851897571495</v>
      </c>
      <c r="C634" s="118" t="n">
        <v>98.65495939218735</v>
      </c>
      <c r="D634" s="118" t="n">
        <v>96.65224609949649</v>
      </c>
      <c r="E634" s="118" t="n">
        <v>96.69969940185547</v>
      </c>
      <c r="F634" s="119" t="n">
        <v>7349300</v>
      </c>
      <c r="G634" s="120" t="n">
        <v>-0.01622245040158332</v>
      </c>
      <c r="H634" s="121" t="n">
        <v>61.84614602389917</v>
      </c>
      <c r="I634" s="118" t="n">
        <v>99.29138763427734</v>
      </c>
      <c r="J634" s="118" t="n">
        <v>99.44593406677247</v>
      </c>
      <c r="K634" s="120" t="n">
        <v>0.2286925568897488</v>
      </c>
      <c r="L634" s="120" t="n">
        <v>-0.1663079327156617</v>
      </c>
      <c r="M634" s="120" t="n">
        <v>-0.1926897619252504</v>
      </c>
      <c r="N634" t="n">
        <v>42.94827819324282</v>
      </c>
      <c r="O634" t="n">
        <v>-0.07400110325483822</v>
      </c>
      <c r="P634" t="n">
        <v>118.6542855085458</v>
      </c>
      <c r="Q634" t="n">
        <v>120.8843467156214</v>
      </c>
    </row>
    <row r="635">
      <c r="A635" s="117" t="n">
        <v>45355</v>
      </c>
      <c r="B635" s="118" t="n">
        <v>96.48138894112874</v>
      </c>
      <c r="C635" s="118" t="n">
        <v>96.59528264893608</v>
      </c>
      <c r="D635" s="118" t="n">
        <v>93.97562598890519</v>
      </c>
      <c r="E635" s="118" t="n">
        <v>94.47867584228516</v>
      </c>
      <c r="F635" s="119" t="n">
        <v>11050900</v>
      </c>
      <c r="G635" s="120" t="n">
        <v>-0.02296825712291406</v>
      </c>
      <c r="H635" s="121" t="n">
        <v>60.42564783996097</v>
      </c>
      <c r="I635" s="118" t="n">
        <v>98.86116699218751</v>
      </c>
      <c r="J635" s="118" t="n">
        <v>99.37298713684082</v>
      </c>
      <c r="K635" s="120" t="n">
        <v>0.2406064520155894</v>
      </c>
      <c r="L635" s="120" t="n">
        <v>-0.185456386478382</v>
      </c>
      <c r="M635" s="120" t="n">
        <v>-0.2112322710513123</v>
      </c>
      <c r="N635" t="n">
        <v>37.05928786048309</v>
      </c>
      <c r="O635" t="n">
        <v>-0.3099658614783107</v>
      </c>
      <c r="P635" t="n">
        <v>118.5270335044813</v>
      </c>
      <c r="Q635" t="n">
        <v>120.4530190545139</v>
      </c>
    </row>
    <row r="636">
      <c r="A636" s="117" t="n">
        <v>45356</v>
      </c>
      <c r="B636" s="118" t="n">
        <v>93.96614375576996</v>
      </c>
      <c r="C636" s="118" t="n">
        <v>94.12749802224808</v>
      </c>
      <c r="D636" s="118" t="n">
        <v>93.01699078853997</v>
      </c>
      <c r="E636" s="118" t="n">
        <v>93.31122589111328</v>
      </c>
      <c r="F636" s="119" t="n">
        <v>8670600</v>
      </c>
      <c r="G636" s="120" t="n">
        <v>-0.01235675606970532</v>
      </c>
      <c r="H636" s="121" t="n">
        <v>59.67898284924866</v>
      </c>
      <c r="I636" s="118" t="n">
        <v>98.4304849243164</v>
      </c>
      <c r="J636" s="118" t="n">
        <v>99.29186210632324</v>
      </c>
      <c r="K636" s="120" t="n">
        <v>0.241887406836631</v>
      </c>
      <c r="L636" s="120" t="n">
        <v>-0.1955215032188049</v>
      </c>
      <c r="M636" s="120" t="n">
        <v>-0.2209788814735866</v>
      </c>
      <c r="N636" t="n">
        <v>34.3899906595111</v>
      </c>
      <c r="O636" t="n">
        <v>-0.5149561274781318</v>
      </c>
      <c r="P636" t="n">
        <v>117.3424588185745</v>
      </c>
      <c r="Q636" t="n">
        <v>118.2909188873273</v>
      </c>
    </row>
    <row r="637">
      <c r="A637" s="117" t="n">
        <v>45357</v>
      </c>
      <c r="B637" s="118" t="n">
        <v>94.91528152216546</v>
      </c>
      <c r="C637" s="118" t="n">
        <v>95.01019535539535</v>
      </c>
      <c r="D637" s="118" t="n">
        <v>92.12476992814616</v>
      </c>
      <c r="E637" s="118" t="n">
        <v>92.66578674316406</v>
      </c>
      <c r="F637" s="119" t="n">
        <v>10045300</v>
      </c>
      <c r="G637" s="120" t="n">
        <v>-0.006917057854350706</v>
      </c>
      <c r="H637" s="121" t="n">
        <v>59.26617987219161</v>
      </c>
      <c r="I637" s="118" t="n">
        <v>97.96608734130859</v>
      </c>
      <c r="J637" s="118" t="n">
        <v>99.19866123199463</v>
      </c>
      <c r="K637" s="120" t="n">
        <v>0.2154567760780524</v>
      </c>
      <c r="L637" s="120" t="n">
        <v>-0.2010861275236215</v>
      </c>
      <c r="M637" s="120" t="n">
        <v>-0.2263674156201948</v>
      </c>
      <c r="N637" t="n">
        <v>32.97583449359092</v>
      </c>
      <c r="O637" t="n">
        <v>-0.6552990542250334</v>
      </c>
      <c r="P637" t="n">
        <v>117.9370555362801</v>
      </c>
      <c r="Q637" t="n">
        <v>119.0342438589503</v>
      </c>
    </row>
    <row r="638">
      <c r="A638" s="117" t="n">
        <v>45358</v>
      </c>
      <c r="B638" s="118" t="n">
        <v>93.00749934690911</v>
      </c>
      <c r="C638" s="118" t="n">
        <v>93.39665554822757</v>
      </c>
      <c r="D638" s="118" t="n">
        <v>92.7132642376428</v>
      </c>
      <c r="E638" s="118" t="n">
        <v>93.19733428955078</v>
      </c>
      <c r="F638" s="119" t="n">
        <v>8133900</v>
      </c>
      <c r="G638" s="120" t="n">
        <v>0.005736179069627756</v>
      </c>
      <c r="H638" s="121" t="n">
        <v>59.60614129271127</v>
      </c>
      <c r="I638" s="118" t="n">
        <v>97.78640579223632</v>
      </c>
      <c r="J638" s="118" t="n">
        <v>99.12736042022705</v>
      </c>
      <c r="K638" s="120" t="n">
        <v>0.2115247155337712</v>
      </c>
      <c r="L638" s="120" t="n">
        <v>-0.1965034144898872</v>
      </c>
      <c r="M638" s="120" t="n">
        <v>-0.2219297205820934</v>
      </c>
      <c r="N638" t="n">
        <v>35.33420184451509</v>
      </c>
      <c r="O638" t="n">
        <v>-0.6711591727546027</v>
      </c>
      <c r="P638" t="n">
        <v>119.107759426431</v>
      </c>
      <c r="Q638" t="n">
        <v>120.8409370809478</v>
      </c>
    </row>
    <row r="639">
      <c r="A639" s="117" t="n">
        <v>45359</v>
      </c>
      <c r="B639" s="118" t="n">
        <v>93.48207348462017</v>
      </c>
      <c r="C639" s="118" t="n">
        <v>94.26987218343166</v>
      </c>
      <c r="D639" s="118" t="n">
        <v>93.03597043248686</v>
      </c>
      <c r="E639" s="118" t="n">
        <v>94.11801147460938</v>
      </c>
      <c r="F639" s="119" t="n">
        <v>9043500</v>
      </c>
      <c r="G639" s="120" t="n">
        <v>0.009878793122968244</v>
      </c>
      <c r="H639" s="121" t="n">
        <v>60.19497803140038</v>
      </c>
      <c r="I639" s="118" t="n">
        <v>97.62551635742187</v>
      </c>
      <c r="J639" s="118" t="n">
        <v>99.08210578918457</v>
      </c>
      <c r="K639" s="120" t="n">
        <v>0.2159609222235163</v>
      </c>
      <c r="L639" s="120" t="n">
        <v>-0.1885658379466214</v>
      </c>
      <c r="M639" s="120" t="n">
        <v>-0.2142433252565937</v>
      </c>
      <c r="N639" t="n">
        <v>39.31707513750608</v>
      </c>
      <c r="O639" t="n">
        <v>-0.5818014131268482</v>
      </c>
      <c r="P639" t="n">
        <v>118.3928424657282</v>
      </c>
      <c r="Q639" t="n">
        <v>119.0966399650709</v>
      </c>
    </row>
    <row r="640">
      <c r="A640" s="117" t="n">
        <v>45362</v>
      </c>
      <c r="B640" s="118" t="n">
        <v>94.820368036617</v>
      </c>
      <c r="C640" s="118" t="n">
        <v>96.58579285871953</v>
      </c>
      <c r="D640" s="118" t="n">
        <v>94.38375860898945</v>
      </c>
      <c r="E640" s="118" t="n">
        <v>95.94036865234375</v>
      </c>
      <c r="F640" s="119" t="n">
        <v>8537400</v>
      </c>
      <c r="G640" s="120" t="n">
        <v>0.01936247004353686</v>
      </c>
      <c r="H640" s="121" t="n">
        <v>61.36050149030473</v>
      </c>
      <c r="I640" s="118" t="n">
        <v>97.5179086303711</v>
      </c>
      <c r="J640" s="118" t="n">
        <v>99.05251750946044</v>
      </c>
      <c r="K640" s="120" t="n">
        <v>0.2269572849215341</v>
      </c>
      <c r="L640" s="120" t="n">
        <v>-0.1728544682915605</v>
      </c>
      <c r="M640" s="120" t="n">
        <v>-0.1990291351803655</v>
      </c>
      <c r="N640" t="n">
        <v>46.35954654594708</v>
      </c>
      <c r="O640" t="n">
        <v>-0.3723102535449878</v>
      </c>
      <c r="P640" t="n">
        <v>118.2910554097191</v>
      </c>
      <c r="Q640" t="n">
        <v>118.6544473103603</v>
      </c>
    </row>
    <row r="641">
      <c r="A641" s="117" t="n">
        <v>45363</v>
      </c>
      <c r="B641" s="118" t="n">
        <v>95.66512737656723</v>
      </c>
      <c r="C641" s="118" t="n">
        <v>96.21563782941455</v>
      </c>
      <c r="D641" s="118" t="n">
        <v>94.58309358522587</v>
      </c>
      <c r="E641" s="118" t="n">
        <v>95.08614349365234</v>
      </c>
      <c r="F641" s="119" t="n">
        <v>7040900</v>
      </c>
      <c r="G641" s="120" t="n">
        <v>-0.008903709363332069</v>
      </c>
      <c r="H641" s="121" t="n">
        <v>60.81416541864675</v>
      </c>
      <c r="I641" s="118" t="n">
        <v>97.36124908447266</v>
      </c>
      <c r="J641" s="118" t="n">
        <v>99.02095226287842</v>
      </c>
      <c r="K641" s="120" t="n">
        <v>0.2043888360270759</v>
      </c>
      <c r="L641" s="120" t="n">
        <v>-0.1802191317070712</v>
      </c>
      <c r="M641" s="120" t="n">
        <v>-0.2061607469692163</v>
      </c>
      <c r="N641" t="n">
        <v>43.7939060076404</v>
      </c>
      <c r="O641" t="n">
        <v>-0.2684683403434686</v>
      </c>
      <c r="P641" t="n">
        <v>119.563546355879</v>
      </c>
      <c r="Q641" t="n">
        <v>120.3553515714765</v>
      </c>
    </row>
    <row r="642">
      <c r="A642" s="117" t="n">
        <v>45364</v>
      </c>
      <c r="B642" s="118" t="n">
        <v>95.49427393519223</v>
      </c>
      <c r="C642" s="118" t="n">
        <v>96.81359588807551</v>
      </c>
      <c r="D642" s="118" t="n">
        <v>95.22851228158437</v>
      </c>
      <c r="E642" s="118" t="n">
        <v>96.20613861083984</v>
      </c>
      <c r="F642" s="119" t="n">
        <v>7326400</v>
      </c>
      <c r="G642" s="120" t="n">
        <v>0.01177874163402448</v>
      </c>
      <c r="H642" s="121" t="n">
        <v>61.53047976080182</v>
      </c>
      <c r="I642" s="118" t="n">
        <v>97.23171859741211</v>
      </c>
      <c r="J642" s="118" t="n">
        <v>98.99877918243408</v>
      </c>
      <c r="K642" s="120" t="n">
        <v>0.2002436515027014</v>
      </c>
      <c r="L642" s="120" t="n">
        <v>-0.1705631446629325</v>
      </c>
      <c r="M642" s="120" t="n">
        <v>-0.1968103195088198</v>
      </c>
      <c r="N642" t="n">
        <v>47.86763828486372</v>
      </c>
      <c r="O642" t="n">
        <v>-0.1096868731665218</v>
      </c>
      <c r="P642" t="n">
        <v>119.376134230316</v>
      </c>
      <c r="Q642" t="n">
        <v>119.4302917531845</v>
      </c>
    </row>
    <row r="643">
      <c r="A643" s="117" t="n">
        <v>45365</v>
      </c>
      <c r="B643" s="118" t="n">
        <v>97.00341514210105</v>
      </c>
      <c r="C643" s="118" t="n">
        <v>97.27867032840732</v>
      </c>
      <c r="D643" s="118" t="n">
        <v>95.00070211599719</v>
      </c>
      <c r="E643" s="118" t="n">
        <v>95.16206359863281</v>
      </c>
      <c r="F643" s="119" t="n">
        <v>8350900</v>
      </c>
      <c r="G643" s="120" t="n">
        <v>-0.01085247809841305</v>
      </c>
      <c r="H643" s="121" t="n">
        <v>60.86272157681286</v>
      </c>
      <c r="I643" s="118" t="n">
        <v>97.11951553344727</v>
      </c>
      <c r="J643" s="118" t="n">
        <v>98.97124534606934</v>
      </c>
      <c r="K643" s="120" t="n">
        <v>0.1955082585109587</v>
      </c>
      <c r="L643" s="120" t="n">
        <v>-0.1795645899694948</v>
      </c>
      <c r="M643" s="120" t="n">
        <v>-0.2055269179252217</v>
      </c>
      <c r="N643" t="n">
        <v>44.62089736334306</v>
      </c>
      <c r="O643" t="n">
        <v>-0.06264984622138003</v>
      </c>
      <c r="P643" t="n">
        <v>119.1401634091751</v>
      </c>
      <c r="Q643" t="n">
        <v>119.1291762161849</v>
      </c>
    </row>
    <row r="644">
      <c r="A644" s="117" t="n">
        <v>45366</v>
      </c>
      <c r="B644" s="118" t="n">
        <v>95.20005288121769</v>
      </c>
      <c r="C644" s="118" t="n">
        <v>96.0163250755575</v>
      </c>
      <c r="D644" s="118" t="n">
        <v>94.28885958963505</v>
      </c>
      <c r="E644" s="118" t="n">
        <v>94.5736083984375</v>
      </c>
      <c r="F644" s="119" t="n">
        <v>15208500</v>
      </c>
      <c r="G644" s="120" t="n">
        <v>-0.006183716261947136</v>
      </c>
      <c r="H644" s="121" t="n">
        <v>60.48636377565197</v>
      </c>
      <c r="I644" s="118" t="n">
        <v>97.04302154541016</v>
      </c>
      <c r="J644" s="118" t="n">
        <v>98.94540424346924</v>
      </c>
      <c r="K644" s="120" t="n">
        <v>0.195901667881014</v>
      </c>
      <c r="L644" s="120" t="n">
        <v>-0.1846379297563776</v>
      </c>
      <c r="M644" s="120" t="n">
        <v>-0.2104397140425267</v>
      </c>
      <c r="N644" t="n">
        <v>42.85652996390047</v>
      </c>
      <c r="O644" t="n">
        <v>-0.05889844457750848</v>
      </c>
      <c r="P644" t="n">
        <v>118.3220628571799</v>
      </c>
      <c r="Q644" t="n">
        <v>117.7131109765548</v>
      </c>
    </row>
    <row r="645">
      <c r="A645" s="117" t="n">
        <v>45369</v>
      </c>
      <c r="B645" s="118" t="n">
        <v>93.94716227364914</v>
      </c>
      <c r="C645" s="118" t="n">
        <v>94.59258656996995</v>
      </c>
      <c r="D645" s="118" t="n">
        <v>93.51054554371426</v>
      </c>
      <c r="E645" s="118" t="n">
        <v>93.7193603515625</v>
      </c>
      <c r="F645" s="119" t="n">
        <v>7207000</v>
      </c>
      <c r="G645" s="120" t="n">
        <v>-0.009032626134725219</v>
      </c>
      <c r="H645" s="121" t="n">
        <v>59.94001306541751</v>
      </c>
      <c r="I645" s="118" t="n">
        <v>96.98235549926758</v>
      </c>
      <c r="J645" s="118" t="n">
        <v>98.92119094848633</v>
      </c>
      <c r="K645" s="120" t="n">
        <v>0.1812080365204911</v>
      </c>
      <c r="L645" s="120" t="n">
        <v>-0.1912773712872544</v>
      </c>
      <c r="M645" s="120" t="n">
        <v>-0.2175715169164074</v>
      </c>
      <c r="N645" t="n">
        <v>40.36151336506708</v>
      </c>
      <c r="O645" t="n">
        <v>-0.09930232602906708</v>
      </c>
      <c r="P645" t="n">
        <v>119.025269287643</v>
      </c>
      <c r="Q645" t="n">
        <v>118.835787829076</v>
      </c>
    </row>
    <row r="646">
      <c r="A646" s="117" t="n">
        <v>45370</v>
      </c>
      <c r="B646" s="118" t="n">
        <v>93.49155702464907</v>
      </c>
      <c r="C646" s="118" t="n">
        <v>94.95325330294385</v>
      </c>
      <c r="D646" s="118" t="n">
        <v>93.43461017012513</v>
      </c>
      <c r="E646" s="118" t="n">
        <v>94.8773193359375</v>
      </c>
      <c r="F646" s="119" t="n">
        <v>6168900</v>
      </c>
      <c r="G646" s="120" t="n">
        <v>0.01235560059342311</v>
      </c>
      <c r="H646" s="121" t="n">
        <v>60.68060792641838</v>
      </c>
      <c r="I646" s="118" t="n">
        <v>96.94900970458984</v>
      </c>
      <c r="J646" s="118" t="n">
        <v>98.91039878845214</v>
      </c>
      <c r="K646" s="120" t="n">
        <v>0.1883529522710575</v>
      </c>
      <c r="L646" s="120" t="n">
        <v>-0.1812851174960165</v>
      </c>
      <c r="M646" s="120" t="n">
        <v>-0.2079041430865086</v>
      </c>
      <c r="N646" t="n">
        <v>45.03297248715012</v>
      </c>
      <c r="O646" t="n">
        <v>-0.03662316332523008</v>
      </c>
      <c r="P646" t="n">
        <v>119.6867033111703</v>
      </c>
      <c r="Q646" t="n">
        <v>119.1318693922055</v>
      </c>
    </row>
    <row r="647">
      <c r="A647" s="117" t="n">
        <v>45371</v>
      </c>
      <c r="B647" s="118" t="n">
        <v>94.39324950596706</v>
      </c>
      <c r="C647" s="118" t="n">
        <v>95.33291605595348</v>
      </c>
      <c r="D647" s="118" t="n">
        <v>93.99460704070951</v>
      </c>
      <c r="E647" s="118" t="n">
        <v>95.17155456542969</v>
      </c>
      <c r="F647" s="119" t="n">
        <v>7771700</v>
      </c>
      <c r="G647" s="120" t="n">
        <v>0.003101217778406884</v>
      </c>
      <c r="H647" s="121" t="n">
        <v>60.86879170652432</v>
      </c>
      <c r="I647" s="118" t="n">
        <v>96.89241897583008</v>
      </c>
      <c r="J647" s="118" t="n">
        <v>98.87998722076416</v>
      </c>
      <c r="K647" s="120" t="n">
        <v>0.1732622238777168</v>
      </c>
      <c r="L647" s="120" t="n">
        <v>-0.07527820062765833</v>
      </c>
      <c r="M647" s="120" t="n">
        <v>-0.2054476813328461</v>
      </c>
      <c r="N647" t="n">
        <v>46.18643602688715</v>
      </c>
      <c r="O647" t="n">
        <v>0.03234334850030884</v>
      </c>
      <c r="P647" t="n">
        <v>120.7937484679932</v>
      </c>
      <c r="Q647" t="n">
        <v>120.5443689003443</v>
      </c>
    </row>
    <row r="648">
      <c r="A648" s="117" t="n">
        <v>45372</v>
      </c>
      <c r="B648" s="118" t="n">
        <v>95.33292038814947</v>
      </c>
      <c r="C648" s="118" t="n">
        <v>96.73766263664346</v>
      </c>
      <c r="D648" s="118" t="n">
        <v>94.68749612110948</v>
      </c>
      <c r="E648" s="118" t="n">
        <v>95.69359588623047</v>
      </c>
      <c r="F648" s="119" t="n">
        <v>17176000</v>
      </c>
      <c r="G648" s="120" t="n">
        <v>0.005485266298155045</v>
      </c>
      <c r="H648" s="121" t="n">
        <v>61.20267323828153</v>
      </c>
      <c r="I648" s="118" t="n">
        <v>96.86291473388673</v>
      </c>
      <c r="J648" s="118" t="n">
        <v>98.86430477142333</v>
      </c>
      <c r="K648" s="120" t="n">
        <v>0.1753995348068917</v>
      </c>
      <c r="L648" s="120" t="n">
        <v>-0.0702058553063919</v>
      </c>
      <c r="M648" s="120" t="n">
        <v>-0.2010893502771401</v>
      </c>
      <c r="N648" t="n">
        <v>48.26094355958698</v>
      </c>
      <c r="O648" t="n">
        <v>0.1160996459546171</v>
      </c>
      <c r="P648" t="n">
        <v>121.1929320767422</v>
      </c>
      <c r="Q648" t="n">
        <v>121.1148104293534</v>
      </c>
    </row>
    <row r="649">
      <c r="A649" s="117" t="n">
        <v>45373</v>
      </c>
      <c r="B649" s="118" t="n">
        <v>89.07799271106727</v>
      </c>
      <c r="C649" s="118" t="n">
        <v>90.330874171972</v>
      </c>
      <c r="D649" s="118" t="n">
        <v>87.05629976594828</v>
      </c>
      <c r="E649" s="118" t="n">
        <v>89.08748626708984</v>
      </c>
      <c r="F649" s="119" t="n">
        <v>41837400</v>
      </c>
      <c r="G649" s="120" t="n">
        <v>-0.06903397827159286</v>
      </c>
      <c r="H649" s="121" t="n">
        <v>56.97760922378661</v>
      </c>
      <c r="I649" s="118" t="n">
        <v>96.68180526733398</v>
      </c>
      <c r="J649" s="118" t="n">
        <v>98.81094150543213</v>
      </c>
      <c r="K649" s="120" t="n">
        <v>0.2938444809527172</v>
      </c>
      <c r="L649" s="120" t="n">
        <v>-0.1343932440882247</v>
      </c>
      <c r="M649" s="120" t="n">
        <v>-0.2562413307110523</v>
      </c>
      <c r="N649" t="n">
        <v>31.6392563004727</v>
      </c>
      <c r="O649" t="n">
        <v>-0.2504313039024191</v>
      </c>
      <c r="P649" t="n">
        <v>120.9631583809207</v>
      </c>
      <c r="Q649" t="n">
        <v>121.2533621701729</v>
      </c>
    </row>
    <row r="650">
      <c r="A650" s="117" t="n">
        <v>45376</v>
      </c>
      <c r="B650" s="118" t="n">
        <v>89.28680661952123</v>
      </c>
      <c r="C650" s="118" t="n">
        <v>90.66307532938197</v>
      </c>
      <c r="D650" s="118" t="n">
        <v>88.05290504129603</v>
      </c>
      <c r="E650" s="118" t="n">
        <v>88.98307800292969</v>
      </c>
      <c r="F650" s="119" t="n">
        <v>14548800</v>
      </c>
      <c r="G650" s="120" t="n">
        <v>-0.001171974522293007</v>
      </c>
      <c r="H650" s="121" t="n">
        <v>56.91083291743516</v>
      </c>
      <c r="I650" s="118" t="n">
        <v>96.45831802368164</v>
      </c>
      <c r="J650" s="118" t="n">
        <v>98.75282871246338</v>
      </c>
      <c r="K650" s="120" t="n">
        <v>0.2936670103539783</v>
      </c>
      <c r="L650" s="120" t="n">
        <v>-0.1354077131524781</v>
      </c>
      <c r="M650" s="120" t="n">
        <v>-0.2571129969221935</v>
      </c>
      <c r="N650" t="n">
        <v>31.45486479770864</v>
      </c>
      <c r="O650" t="n">
        <v>-0.4644852438917515</v>
      </c>
      <c r="P650" t="n">
        <v>120.6289573045702</v>
      </c>
      <c r="Q650" t="n">
        <v>120.8133005644007</v>
      </c>
    </row>
    <row r="651">
      <c r="A651" s="117" t="n">
        <v>45377</v>
      </c>
      <c r="B651" s="118" t="n">
        <v>88.97359513377458</v>
      </c>
      <c r="C651" s="118" t="n">
        <v>89.08749609422529</v>
      </c>
      <c r="D651" s="118" t="n">
        <v>87.71122721905847</v>
      </c>
      <c r="E651" s="118" t="n">
        <v>87.87258148193359</v>
      </c>
      <c r="F651" s="119" t="n">
        <v>10816900</v>
      </c>
      <c r="G651" s="120" t="n">
        <v>-0.01247986185597594</v>
      </c>
      <c r="H651" s="121" t="n">
        <v>56.20059358451704</v>
      </c>
      <c r="I651" s="118" t="n">
        <v>96.22850982666016</v>
      </c>
      <c r="J651" s="118" t="n">
        <v>98.69334396362305</v>
      </c>
      <c r="K651" s="120" t="n">
        <v>0.2918226901122479</v>
      </c>
      <c r="L651" s="120" t="n">
        <v>-0.1442315679633773</v>
      </c>
      <c r="M651" s="120" t="n">
        <v>-0.2663841240952044</v>
      </c>
      <c r="N651" t="n">
        <v>29.48650304436984</v>
      </c>
      <c r="O651" t="n">
        <v>-0.6348960331440994</v>
      </c>
      <c r="P651" t="n">
        <v>120.4061517379224</v>
      </c>
      <c r="Q651" t="n">
        <v>120.4221524047334</v>
      </c>
    </row>
    <row r="652">
      <c r="A652" s="117" t="n">
        <v>45378</v>
      </c>
      <c r="B652" s="118" t="n">
        <v>88.52749313623914</v>
      </c>
      <c r="C652" s="118" t="n">
        <v>89.36275237315294</v>
      </c>
      <c r="D652" s="118" t="n">
        <v>87.62580072343889</v>
      </c>
      <c r="E652" s="118" t="n">
        <v>89.34376525878906</v>
      </c>
      <c r="F652" s="119" t="n">
        <v>11095700</v>
      </c>
      <c r="G652" s="120" t="n">
        <v>0.01674223918365181</v>
      </c>
      <c r="H652" s="121" t="n">
        <v>57.14151736457224</v>
      </c>
      <c r="I652" s="118" t="n">
        <v>96.09130264282227</v>
      </c>
      <c r="J652" s="118" t="n">
        <v>98.64281215667725</v>
      </c>
      <c r="K652" s="120" t="n">
        <v>0.3026460981567448</v>
      </c>
      <c r="L652" s="120" t="n">
        <v>-0.1186199296414232</v>
      </c>
      <c r="M652" s="120" t="n">
        <v>-0.2541017516318821</v>
      </c>
      <c r="N652" t="n">
        <v>35.26592556697724</v>
      </c>
      <c r="O652" t="n">
        <v>-0.6028150640409853</v>
      </c>
      <c r="P652" t="n">
        <v>121.4180142868466</v>
      </c>
      <c r="Q652" t="n">
        <v>120.8323205956734</v>
      </c>
    </row>
    <row r="653">
      <c r="A653" s="117" t="n">
        <v>45379</v>
      </c>
      <c r="B653" s="118" t="n">
        <v>89.57156218078106</v>
      </c>
      <c r="C653" s="118" t="n">
        <v>89.98918453445589</v>
      </c>
      <c r="D653" s="118" t="n">
        <v>88.67935613352039</v>
      </c>
      <c r="E653" s="118" t="n">
        <v>89.20139312744141</v>
      </c>
      <c r="F653" s="119" t="n">
        <v>11331700</v>
      </c>
      <c r="G653" s="120" t="n">
        <v>-0.001593531803089632</v>
      </c>
      <c r="H653" s="121" t="n">
        <v>57.050460539375</v>
      </c>
      <c r="I653" s="118" t="n">
        <v>95.96827209472656</v>
      </c>
      <c r="J653" s="118" t="n">
        <v>98.58701225280761</v>
      </c>
      <c r="K653" s="120" t="n">
        <v>0.3028501184997651</v>
      </c>
      <c r="L653" s="120" t="n">
        <v>-0.1200244368141489</v>
      </c>
      <c r="M653" s="120" t="n">
        <v>-0.2552903642125255</v>
      </c>
      <c r="N653" t="n">
        <v>34.9672386000494</v>
      </c>
      <c r="O653" t="n">
        <v>-0.5470973521623959</v>
      </c>
      <c r="P653" t="n">
        <v>121.3948187086264</v>
      </c>
      <c r="Q653" t="n">
        <v>120.6095756418756</v>
      </c>
    </row>
    <row r="654">
      <c r="A654" s="117" t="n">
        <v>45383</v>
      </c>
      <c r="B654" s="118" t="n">
        <v>89.04004080084643</v>
      </c>
      <c r="C654" s="118" t="n">
        <v>89.14444821038403</v>
      </c>
      <c r="D654" s="118" t="n">
        <v>87.02784107113139</v>
      </c>
      <c r="E654" s="118" t="n">
        <v>87.85359954833984</v>
      </c>
      <c r="F654" s="119" t="n">
        <v>10360000</v>
      </c>
      <c r="G654" s="120" t="n">
        <v>-0.01510955750630461</v>
      </c>
      <c r="H654" s="121" t="n">
        <v>56.18845332509414</v>
      </c>
      <c r="I654" s="118" t="n">
        <v>95.81601593017578</v>
      </c>
      <c r="J654" s="118" t="n">
        <v>98.52470813751221</v>
      </c>
      <c r="K654" s="120" t="n">
        <v>0.3023120528141016</v>
      </c>
      <c r="L654" s="120" t="n">
        <v>-0.1333204781902484</v>
      </c>
      <c r="M654" s="120" t="n">
        <v>-0.2665425972799556</v>
      </c>
      <c r="N654" t="n">
        <v>32.1879279794971</v>
      </c>
      <c r="O654" t="n">
        <v>-0.5551656375371519</v>
      </c>
      <c r="P654" t="n">
        <v>121.1836145678993</v>
      </c>
      <c r="Q654" t="n">
        <v>120.8649071865262</v>
      </c>
    </row>
    <row r="655">
      <c r="A655" s="117" t="n">
        <v>45384</v>
      </c>
      <c r="B655" s="118" t="n">
        <v>87.09426579982022</v>
      </c>
      <c r="C655" s="118" t="n">
        <v>87.22714661684277</v>
      </c>
      <c r="D655" s="118" t="n">
        <v>86.03121202217837</v>
      </c>
      <c r="E655" s="118" t="n">
        <v>86.32544708251953</v>
      </c>
      <c r="F655" s="119" t="n">
        <v>11107300</v>
      </c>
      <c r="G655" s="120" t="n">
        <v>-0.01739430682039922</v>
      </c>
      <c r="H655" s="121" t="n">
        <v>55.21109412819377</v>
      </c>
      <c r="I655" s="118" t="n">
        <v>95.6173078918457</v>
      </c>
      <c r="J655" s="118" t="n">
        <v>98.4262041091919</v>
      </c>
      <c r="K655" s="120" t="n">
        <v>0.2984449479474211</v>
      </c>
      <c r="L655" s="120" t="n">
        <v>-0.1483957677075641</v>
      </c>
      <c r="M655" s="120" t="n">
        <v>-0.2793005803825611</v>
      </c>
      <c r="N655" t="n">
        <v>29.34038943868707</v>
      </c>
      <c r="O655" t="n">
        <v>-0.6130355454113505</v>
      </c>
      <c r="P655" t="n">
        <v>120.4131416879599</v>
      </c>
      <c r="Q655" t="n">
        <v>119.821817460892</v>
      </c>
    </row>
    <row r="656">
      <c r="A656" s="117" t="n">
        <v>45385</v>
      </c>
      <c r="B656" s="118" t="n">
        <v>86.38240852255258</v>
      </c>
      <c r="C656" s="118" t="n">
        <v>86.79054456424738</v>
      </c>
      <c r="D656" s="118" t="n">
        <v>85.68952371075925</v>
      </c>
      <c r="E656" s="118" t="n">
        <v>85.73698425292969</v>
      </c>
      <c r="F656" s="119" t="n">
        <v>8876600</v>
      </c>
      <c r="G656" s="120" t="n">
        <v>-0.006816794461861564</v>
      </c>
      <c r="H656" s="121" t="n">
        <v>54.83473144750738</v>
      </c>
      <c r="I656" s="118" t="n">
        <v>95.42990722656251</v>
      </c>
      <c r="J656" s="118" t="n">
        <v>98.32687145233155</v>
      </c>
      <c r="K656" s="120" t="n">
        <v>0.2971135223679141</v>
      </c>
      <c r="L656" s="120" t="n">
        <v>-0.1542009787219532</v>
      </c>
      <c r="M656" s="120" t="n">
        <v>-0.2842134401948762</v>
      </c>
      <c r="N656" t="n">
        <v>28.30206806594144</v>
      </c>
      <c r="O656" t="n">
        <v>-0.6377204799439715</v>
      </c>
      <c r="P656" t="n">
        <v>120.5454124906986</v>
      </c>
      <c r="Q656" t="n">
        <v>120.0907323450355</v>
      </c>
    </row>
    <row r="657">
      <c r="A657" s="117" t="n">
        <v>45386</v>
      </c>
      <c r="B657" s="118" t="n">
        <v>86.32545872804009</v>
      </c>
      <c r="C657" s="118" t="n">
        <v>86.42037981711394</v>
      </c>
      <c r="D657" s="118" t="n">
        <v>84.37020594968709</v>
      </c>
      <c r="E657" s="118" t="n">
        <v>84.54105377197266</v>
      </c>
      <c r="F657" s="119" t="n">
        <v>12110300</v>
      </c>
      <c r="G657" s="120" t="n">
        <v>-0.01394882840092626</v>
      </c>
      <c r="H657" s="121" t="n">
        <v>54.06985118813522</v>
      </c>
      <c r="I657" s="118" t="n">
        <v>95.19324096679688</v>
      </c>
      <c r="J657" s="118" t="n">
        <v>98.21601634979248</v>
      </c>
      <c r="K657" s="120" t="n">
        <v>0.299054824461171</v>
      </c>
      <c r="L657" s="120" t="n">
        <v>-0.165998884131432</v>
      </c>
      <c r="M657" s="120" t="n">
        <v>-0.2941978240892872</v>
      </c>
      <c r="N657" t="n">
        <v>26.26756948178186</v>
      </c>
      <c r="O657" t="n">
        <v>-0.6776253634114076</v>
      </c>
      <c r="P657" t="n">
        <v>119.0740170973739</v>
      </c>
      <c r="Q657" t="n">
        <v>118.2544813064638</v>
      </c>
    </row>
    <row r="658">
      <c r="A658" s="117" t="n">
        <v>45387</v>
      </c>
      <c r="B658" s="118" t="n">
        <v>84.61698862139389</v>
      </c>
      <c r="C658" s="118" t="n">
        <v>85.66105543883792</v>
      </c>
      <c r="D658" s="118" t="n">
        <v>84.28478653058839</v>
      </c>
      <c r="E658" s="118" t="n">
        <v>84.32274627685547</v>
      </c>
      <c r="F658" s="119" t="n">
        <v>9716700</v>
      </c>
      <c r="G658" s="120" t="n">
        <v>-0.002582266075201956</v>
      </c>
      <c r="H658" s="121" t="n">
        <v>53.93022844572089</v>
      </c>
      <c r="I658" s="118" t="n">
        <v>94.97377227783203</v>
      </c>
      <c r="J658" s="118" t="n">
        <v>98.1230936050415</v>
      </c>
      <c r="K658" s="120" t="n">
        <v>0.2967627777295258</v>
      </c>
      <c r="L658" s="120" t="n">
        <v>-0.16815249691962</v>
      </c>
      <c r="M658" s="120" t="n">
        <v>-0.2960203931039451</v>
      </c>
      <c r="N658" t="n">
        <v>25.90154321205667</v>
      </c>
      <c r="O658" t="n">
        <v>-0.6610438757572288</v>
      </c>
      <c r="P658" t="n">
        <v>120.3179590800612</v>
      </c>
      <c r="Q658" t="n">
        <v>119.6479775632427</v>
      </c>
    </row>
    <row r="659">
      <c r="A659" s="117" t="n">
        <v>45390</v>
      </c>
      <c r="B659" s="118" t="n">
        <v>84.57901397399061</v>
      </c>
      <c r="C659" s="118" t="n">
        <v>85.67054123761093</v>
      </c>
      <c r="D659" s="118" t="n">
        <v>84.2847788975613</v>
      </c>
      <c r="E659" s="118" t="n">
        <v>85.42375946044922</v>
      </c>
      <c r="F659" s="119" t="n">
        <v>8452500</v>
      </c>
      <c r="G659" s="120" t="n">
        <v>0.01305713146460885</v>
      </c>
      <c r="H659" s="121" t="n">
        <v>54.63440252845305</v>
      </c>
      <c r="I659" s="118" t="n">
        <v>94.77613510131836</v>
      </c>
      <c r="J659" s="118" t="n">
        <v>98.03360912322998</v>
      </c>
      <c r="K659" s="120" t="n">
        <v>0.2990563088779157</v>
      </c>
      <c r="L659" s="120" t="n">
        <v>-0.1572909547133928</v>
      </c>
      <c r="M659" s="120" t="n">
        <v>-0.2868284388282997</v>
      </c>
      <c r="N659" t="n">
        <v>31.11499784373336</v>
      </c>
      <c r="O659" t="n">
        <v>-0.5242244377393934</v>
      </c>
      <c r="P659" t="n">
        <v>120.3852691712651</v>
      </c>
      <c r="Q659" t="n">
        <v>119.6832992798983</v>
      </c>
    </row>
    <row r="660">
      <c r="A660" s="117" t="n">
        <v>45391</v>
      </c>
      <c r="B660" s="118" t="n">
        <v>85.42377178485576</v>
      </c>
      <c r="C660" s="118" t="n">
        <v>86.52479276376275</v>
      </c>
      <c r="D660" s="118" t="n">
        <v>85.30038449920427</v>
      </c>
      <c r="E660" s="118" t="n">
        <v>86.3729248046875</v>
      </c>
      <c r="F660" s="119" t="n">
        <v>7191900</v>
      </c>
      <c r="G660" s="120" t="n">
        <v>0.01111125698790794</v>
      </c>
      <c r="H660" s="121" t="n">
        <v>55.2414594153275</v>
      </c>
      <c r="I660" s="118" t="n">
        <v>94.56002838134765</v>
      </c>
      <c r="J660" s="118" t="n">
        <v>97.94661582946777</v>
      </c>
      <c r="K660" s="120" t="n">
        <v>0.2916065590371645</v>
      </c>
      <c r="L660" s="120" t="n">
        <v>-0.1479273979451788</v>
      </c>
      <c r="M660" s="120" t="n">
        <v>-0.2789042063356535</v>
      </c>
      <c r="N660" t="n">
        <v>35.33871477816361</v>
      </c>
      <c r="O660" t="n">
        <v>-0.3277102436842041</v>
      </c>
      <c r="P660" t="n">
        <v>120.5245153767987</v>
      </c>
      <c r="Q660" t="n">
        <v>120.1260624516475</v>
      </c>
    </row>
    <row r="661">
      <c r="A661" s="117" t="n">
        <v>45392</v>
      </c>
      <c r="B661" s="118" t="n">
        <v>85.32884844618567</v>
      </c>
      <c r="C661" s="118" t="n">
        <v>85.51867613246601</v>
      </c>
      <c r="D661" s="118" t="n">
        <v>84.25630101846176</v>
      </c>
      <c r="E661" s="118" t="n">
        <v>84.474609375</v>
      </c>
      <c r="F661" s="119" t="n">
        <v>7932900</v>
      </c>
      <c r="G661" s="120" t="n">
        <v>-0.02197813069292376</v>
      </c>
      <c r="H661" s="121" t="n">
        <v>54.02735540062958</v>
      </c>
      <c r="I661" s="118" t="n">
        <v>94.28458099365234</v>
      </c>
      <c r="J661" s="118" t="n">
        <v>97.85454635620117</v>
      </c>
      <c r="K661" s="120" t="n">
        <v>0.2975173550010198</v>
      </c>
      <c r="L661" s="120" t="n">
        <v>-0.1666543609529993</v>
      </c>
      <c r="M661" s="120" t="n">
        <v>-0.2947525439309261</v>
      </c>
      <c r="N661" t="n">
        <v>31.21620729397547</v>
      </c>
      <c r="O661" t="n">
        <v>-0.2850547846244429</v>
      </c>
      <c r="P661" t="n">
        <v>119.3176979570577</v>
      </c>
      <c r="Q661" t="n">
        <v>119.0775360342336</v>
      </c>
    </row>
    <row r="662">
      <c r="A662" s="117" t="n">
        <v>45393</v>
      </c>
      <c r="B662" s="118" t="n">
        <v>86.59120757904905</v>
      </c>
      <c r="C662" s="118" t="n">
        <v>87.71120810090646</v>
      </c>
      <c r="D662" s="118" t="n">
        <v>86.21154503509625</v>
      </c>
      <c r="E662" s="118" t="n">
        <v>87.32205200195312</v>
      </c>
      <c r="F662" s="119" t="n">
        <v>15330200</v>
      </c>
      <c r="G662" s="120" t="n">
        <v>0.03370767438903144</v>
      </c>
      <c r="H662" s="121" t="n">
        <v>55.84849190457448</v>
      </c>
      <c r="I662" s="118" t="n">
        <v>94.06040756225586</v>
      </c>
      <c r="J662" s="118" t="n">
        <v>97.76628623962402</v>
      </c>
      <c r="K662" s="120" t="n">
        <v>0.3236646623319824</v>
      </c>
      <c r="L662" s="120" t="n">
        <v>-0.1385642174984838</v>
      </c>
      <c r="M662" s="120" t="n">
        <v>-0.270980292318057</v>
      </c>
      <c r="N662" t="n">
        <v>42.12280860475104</v>
      </c>
      <c r="O662" t="n">
        <v>-0.03755817983600895</v>
      </c>
      <c r="P662" t="n">
        <v>120.2181940907643</v>
      </c>
      <c r="Q662" t="n">
        <v>120.9790022042931</v>
      </c>
    </row>
    <row r="663">
      <c r="A663" s="117" t="n">
        <v>45394</v>
      </c>
      <c r="B663" s="118" t="n">
        <v>87.33154555695364</v>
      </c>
      <c r="C663" s="118" t="n">
        <v>88.14781749194093</v>
      </c>
      <c r="D663" s="118" t="n">
        <v>86.48680019842553</v>
      </c>
      <c r="E663" s="118" t="n">
        <v>87.32205200195312</v>
      </c>
      <c r="F663" s="119" t="n">
        <v>10905900</v>
      </c>
      <c r="G663" s="120" t="n">
        <v>0</v>
      </c>
      <c r="H663" s="121" t="n">
        <v>55.84849190457448</v>
      </c>
      <c r="I663" s="118" t="n">
        <v>93.88636032104492</v>
      </c>
      <c r="J663" s="118" t="n">
        <v>97.66924224853516</v>
      </c>
      <c r="K663" s="120" t="n">
        <v>0.3231899523606617</v>
      </c>
      <c r="L663" s="120" t="n">
        <v>-0.1385642174984838</v>
      </c>
      <c r="M663" s="120" t="n">
        <v>-0.270980292318057</v>
      </c>
      <c r="N663" t="n">
        <v>42.12280860475104</v>
      </c>
      <c r="O663" t="n">
        <v>0.1437231720530372</v>
      </c>
      <c r="P663" t="n">
        <v>118.5587901349326</v>
      </c>
      <c r="Q663" t="n">
        <v>119.0503693552477</v>
      </c>
    </row>
    <row r="664">
      <c r="A664" s="117" t="n">
        <v>45397</v>
      </c>
      <c r="B664" s="118" t="n">
        <v>88.83122521229359</v>
      </c>
      <c r="C664" s="118" t="n">
        <v>89.14444743819317</v>
      </c>
      <c r="D664" s="118" t="n">
        <v>87.83461891369853</v>
      </c>
      <c r="E664" s="118" t="n">
        <v>88.36614227294922</v>
      </c>
      <c r="F664" s="119" t="n">
        <v>11597300</v>
      </c>
      <c r="G664" s="120" t="n">
        <v>0.01195677663384198</v>
      </c>
      <c r="H664" s="121" t="n">
        <v>56.51625984761441</v>
      </c>
      <c r="I664" s="118" t="n">
        <v>93.72884414672852</v>
      </c>
      <c r="J664" s="118" t="n">
        <v>97.5801431274414</v>
      </c>
      <c r="K664" s="120" t="n">
        <v>0.3280088211778162</v>
      </c>
      <c r="L664" s="120" t="n">
        <v>-0.1282642222627142</v>
      </c>
      <c r="M664" s="120" t="n">
        <v>-0.2622635665116352</v>
      </c>
      <c r="N664" t="n">
        <v>45.77895546445374</v>
      </c>
      <c r="O664" t="n">
        <v>0.3403028459365212</v>
      </c>
      <c r="P664" t="n">
        <v>117.0734730305031</v>
      </c>
      <c r="Q664" t="n">
        <v>117.0918766511958</v>
      </c>
    </row>
    <row r="665">
      <c r="A665" s="117" t="n">
        <v>45398</v>
      </c>
      <c r="B665" s="118" t="n">
        <v>88.30918587578952</v>
      </c>
      <c r="C665" s="118" t="n">
        <v>89.40071314908013</v>
      </c>
      <c r="D665" s="118" t="n">
        <v>86.98986393619555</v>
      </c>
      <c r="E665" s="118" t="n">
        <v>88.64138793945312</v>
      </c>
      <c r="F665" s="119" t="n">
        <v>10388200</v>
      </c>
      <c r="G665" s="120" t="n">
        <v>0.003114831760491654</v>
      </c>
      <c r="H665" s="121" t="n">
        <v>56.69229848877196</v>
      </c>
      <c r="I665" s="118" t="n">
        <v>93.5966943359375</v>
      </c>
      <c r="J665" s="118" t="n">
        <v>97.49082313537598</v>
      </c>
      <c r="K665" s="120" t="n">
        <v>0.3279688611895551</v>
      </c>
      <c r="L665" s="120" t="n">
        <v>-0.1255489119754613</v>
      </c>
      <c r="M665" s="120" t="n">
        <v>-0.2599656416377337</v>
      </c>
      <c r="N665" t="n">
        <v>46.73423716780547</v>
      </c>
      <c r="O665" t="n">
        <v>0.4863246948112998</v>
      </c>
      <c r="P665" t="n">
        <v>116.8599486045918</v>
      </c>
      <c r="Q665" t="n">
        <v>117.1027500347553</v>
      </c>
    </row>
    <row r="666">
      <c r="A666" s="117" t="n">
        <v>45399</v>
      </c>
      <c r="B666" s="118" t="n">
        <v>89.79935331478158</v>
      </c>
      <c r="C666" s="118" t="n">
        <v>90.23596276457073</v>
      </c>
      <c r="D666" s="118" t="n">
        <v>88.89766098783079</v>
      </c>
      <c r="E666" s="118" t="n">
        <v>90.01765441894531</v>
      </c>
      <c r="F666" s="119" t="n">
        <v>10181200</v>
      </c>
      <c r="G666" s="120" t="n">
        <v>0.01552622890372901</v>
      </c>
      <c r="H666" s="121" t="n">
        <v>57.57251609218716</v>
      </c>
      <c r="I666" s="118" t="n">
        <v>93.511552734375</v>
      </c>
      <c r="J666" s="118" t="n">
        <v>97.42247627258301</v>
      </c>
      <c r="K666" s="120" t="n">
        <v>0.3300695138748675</v>
      </c>
      <c r="L666" s="120" t="n">
        <v>-0.1119719842176773</v>
      </c>
      <c r="M666" s="120" t="n">
        <v>-0.248475698793177</v>
      </c>
      <c r="N666" t="n">
        <v>51.34970553455212</v>
      </c>
      <c r="O666" t="n">
        <v>0.6621593155774677</v>
      </c>
      <c r="P666" t="n">
        <v>116.1683436000494</v>
      </c>
      <c r="Q666" t="n">
        <v>115.6739320613208</v>
      </c>
    </row>
    <row r="667">
      <c r="A667" s="117" t="n">
        <v>45400</v>
      </c>
      <c r="B667" s="118" t="n">
        <v>90.32139925190759</v>
      </c>
      <c r="C667" s="118" t="n">
        <v>91.00478330105399</v>
      </c>
      <c r="D667" s="118" t="n">
        <v>89.72342825189368</v>
      </c>
      <c r="E667" s="118" t="n">
        <v>90.87190246582031</v>
      </c>
      <c r="F667" s="119" t="n">
        <v>10062900</v>
      </c>
      <c r="G667" s="120" t="n">
        <v>0.009489783447359068</v>
      </c>
      <c r="H667" s="121" t="n">
        <v>58.11886680242162</v>
      </c>
      <c r="I667" s="118" t="n">
        <v>93.38807373046875</v>
      </c>
      <c r="J667" s="118" t="n">
        <v>97.36431915283202</v>
      </c>
      <c r="K667" s="120" t="n">
        <v>0.3322574302338802</v>
      </c>
      <c r="L667" s="120" t="n">
        <v>-0.103544790652715</v>
      </c>
      <c r="M667" s="120" t="n">
        <v>-0.2413438959192964</v>
      </c>
      <c r="N667" t="n">
        <v>54.01328791419009</v>
      </c>
      <c r="O667" t="n">
        <v>0.8126392709616641</v>
      </c>
      <c r="P667" t="n">
        <v>115.9293033107339</v>
      </c>
      <c r="Q667" t="n">
        <v>115.0138522375971</v>
      </c>
    </row>
    <row r="668">
      <c r="A668" s="117" t="n">
        <v>45401</v>
      </c>
      <c r="B668" s="118" t="n">
        <v>90.56815695894583</v>
      </c>
      <c r="C668" s="118" t="n">
        <v>91.32748208312948</v>
      </c>
      <c r="D668" s="118" t="n">
        <v>89.68544457970332</v>
      </c>
      <c r="E668" s="118" t="n">
        <v>89.72341156005859</v>
      </c>
      <c r="F668" s="119" t="n">
        <v>11241900</v>
      </c>
      <c r="G668" s="120" t="n">
        <v>-0.01263857005958136</v>
      </c>
      <c r="H668" s="121" t="n">
        <v>57.38432743255574</v>
      </c>
      <c r="I668" s="118" t="n">
        <v>93.21930450439453</v>
      </c>
      <c r="J668" s="118" t="n">
        <v>97.30986095428467</v>
      </c>
      <c r="K668" s="120" t="n">
        <v>0.3330000801874426</v>
      </c>
      <c r="L668" s="120" t="n">
        <v>-0.1148747026213275</v>
      </c>
      <c r="M668" s="120" t="n">
        <v>-0.2509322242418495</v>
      </c>
      <c r="N668" t="n">
        <v>50.04613066788266</v>
      </c>
      <c r="O668" t="n">
        <v>0.8096767148958717</v>
      </c>
      <c r="P668" t="n">
        <v>114.9174262145672</v>
      </c>
      <c r="Q668" t="n">
        <v>112.6343011791328</v>
      </c>
    </row>
    <row r="669">
      <c r="A669" s="117" t="n">
        <v>45404</v>
      </c>
      <c r="B669" s="118" t="n">
        <v>89.81833339778863</v>
      </c>
      <c r="C669" s="118" t="n">
        <v>90.2264694211682</v>
      </c>
      <c r="D669" s="118" t="n">
        <v>89.07799531850982</v>
      </c>
      <c r="E669" s="118" t="n">
        <v>89.40071105957031</v>
      </c>
      <c r="F669" s="119" t="n">
        <v>8642000</v>
      </c>
      <c r="G669" s="120" t="n">
        <v>-0.003596614249027685</v>
      </c>
      <c r="H669" s="121" t="n">
        <v>57.17793814284094</v>
      </c>
      <c r="I669" s="118" t="n">
        <v>93.04445953369141</v>
      </c>
      <c r="J669" s="118" t="n">
        <v>97.26318386077881</v>
      </c>
      <c r="K669" s="120" t="n">
        <v>0.2241069310448883</v>
      </c>
      <c r="L669" s="120" t="n">
        <v>-0.1180581568780544</v>
      </c>
      <c r="M669" s="120" t="n">
        <v>-0.2536263320776286</v>
      </c>
      <c r="N669" t="n">
        <v>48.95805348172871</v>
      </c>
      <c r="O669" t="n">
        <v>0.7615492648666191</v>
      </c>
      <c r="P669" t="n">
        <v>115.9757235616593</v>
      </c>
      <c r="Q669" t="n">
        <v>113.7670459793943</v>
      </c>
    </row>
    <row r="670">
      <c r="A670" s="117" t="n">
        <v>45405</v>
      </c>
      <c r="B670" s="118" t="n">
        <v>89.57155100404304</v>
      </c>
      <c r="C670" s="118" t="n">
        <v>89.90375303078518</v>
      </c>
      <c r="D670" s="118" t="n">
        <v>89.13494159154467</v>
      </c>
      <c r="E670" s="118" t="n">
        <v>89.23934173583984</v>
      </c>
      <c r="F670" s="119" t="n">
        <v>6582700</v>
      </c>
      <c r="G670" s="120" t="n">
        <v>-0.001805011636014209</v>
      </c>
      <c r="H670" s="121" t="n">
        <v>57.0747312991698</v>
      </c>
      <c r="I670" s="118" t="n">
        <v>92.85257904052735</v>
      </c>
      <c r="J670" s="118" t="n">
        <v>97.2187060546875</v>
      </c>
      <c r="K670" s="120" t="n">
        <v>0.2241722013711279</v>
      </c>
      <c r="L670" s="120" t="n">
        <v>-0.1196500721671775</v>
      </c>
      <c r="M670" s="120" t="n">
        <v>-0.2549735452330432</v>
      </c>
      <c r="N670" t="n">
        <v>48.3914698343515</v>
      </c>
      <c r="O670" t="n">
        <v>0.6961963087292726</v>
      </c>
      <c r="P670" t="n">
        <v>117.3519727151916</v>
      </c>
      <c r="Q670" t="n">
        <v>115.4647704470159</v>
      </c>
    </row>
    <row r="671">
      <c r="A671" s="117" t="n">
        <v>45406</v>
      </c>
      <c r="B671" s="118" t="n">
        <v>89.31528403246351</v>
      </c>
      <c r="C671" s="118" t="n">
        <v>90.34986443111632</v>
      </c>
      <c r="D671" s="118" t="n">
        <v>89.31528403246351</v>
      </c>
      <c r="E671" s="118" t="n">
        <v>89.82782745361328</v>
      </c>
      <c r="F671" s="119" t="n">
        <v>6493200</v>
      </c>
      <c r="G671" s="120" t="n">
        <v>0.006594465023234131</v>
      </c>
      <c r="H671" s="121" t="n">
        <v>57.45110861843267</v>
      </c>
      <c r="I671" s="118" t="n">
        <v>92.62177490234374</v>
      </c>
      <c r="J671" s="118" t="n">
        <v>97.17097034454346</v>
      </c>
      <c r="K671" s="120" t="n">
        <v>0.2200056682909259</v>
      </c>
      <c r="L671" s="120" t="n">
        <v>-0.1138446353598771</v>
      </c>
      <c r="M671" s="120" t="n">
        <v>-0.2500604943356983</v>
      </c>
      <c r="N671" t="n">
        <v>50.63513220029702</v>
      </c>
      <c r="O671" t="n">
        <v>0.6697398737652882</v>
      </c>
      <c r="P671" t="n">
        <v>117.2962713235296</v>
      </c>
      <c r="Q671" t="n">
        <v>115.8559269966396</v>
      </c>
    </row>
    <row r="672">
      <c r="A672" s="117" t="n">
        <v>45407</v>
      </c>
      <c r="B672" s="118" t="n">
        <v>89.22037611923231</v>
      </c>
      <c r="C672" s="118" t="n">
        <v>89.97020780878431</v>
      </c>
      <c r="D672" s="118" t="n">
        <v>87.73969985409595</v>
      </c>
      <c r="E672" s="118" t="n">
        <v>89.16342926025391</v>
      </c>
      <c r="F672" s="119" t="n">
        <v>5317900</v>
      </c>
      <c r="G672" s="120" t="n">
        <v>-0.007396351578273119</v>
      </c>
      <c r="H672" s="121" t="n">
        <v>57.02618002052918</v>
      </c>
      <c r="I672" s="118" t="n">
        <v>92.41891845703125</v>
      </c>
      <c r="J672" s="118" t="n">
        <v>97.11235015869141</v>
      </c>
      <c r="K672" s="120" t="n">
        <v>0.2139792323253734</v>
      </c>
      <c r="L672" s="120" t="n">
        <v>-0.1203989519897283</v>
      </c>
      <c r="M672" s="120" t="n">
        <v>-0.2556073105820278</v>
      </c>
      <c r="N672" t="n">
        <v>48.09301696157675</v>
      </c>
      <c r="O672" t="n">
        <v>0.5875673178699405</v>
      </c>
      <c r="P672" t="n">
        <v>116.8506747374765</v>
      </c>
      <c r="Q672" t="n">
        <v>115.29635885119</v>
      </c>
    </row>
    <row r="673">
      <c r="A673" s="117" t="n">
        <v>45408</v>
      </c>
      <c r="B673" s="118" t="n">
        <v>89.78036240835239</v>
      </c>
      <c r="C673" s="118" t="n">
        <v>90.56816099252292</v>
      </c>
      <c r="D673" s="118" t="n">
        <v>89.13494543795115</v>
      </c>
      <c r="E673" s="118" t="n">
        <v>89.33426666259766</v>
      </c>
      <c r="F673" s="119" t="n">
        <v>6115700</v>
      </c>
      <c r="G673" s="120" t="n">
        <v>0.001916003049244663</v>
      </c>
      <c r="H673" s="121" t="n">
        <v>57.13544235533529</v>
      </c>
      <c r="I673" s="118" t="n">
        <v>92.19432113647461</v>
      </c>
      <c r="J673" s="118" t="n">
        <v>97.05284614562989</v>
      </c>
      <c r="K673" s="120" t="n">
        <v>0.2139985022557345</v>
      </c>
      <c r="L673" s="120" t="n">
        <v>-0.118713633699622</v>
      </c>
      <c r="M673" s="120" t="n">
        <v>-0.2541810519192675</v>
      </c>
      <c r="N673" t="n">
        <v>48.80474196278785</v>
      </c>
      <c r="O673" t="n">
        <v>0.5267441976242484</v>
      </c>
      <c r="P673" t="n">
        <v>117.9577053470569</v>
      </c>
      <c r="Q673" t="n">
        <v>117.0755833557694</v>
      </c>
    </row>
    <row r="674">
      <c r="A674" s="117" t="n">
        <v>45411</v>
      </c>
      <c r="B674" s="118" t="n">
        <v>89.63801126424612</v>
      </c>
      <c r="C674" s="118" t="n">
        <v>90.06512721588362</v>
      </c>
      <c r="D674" s="118" t="n">
        <v>88.93563283331586</v>
      </c>
      <c r="E674" s="118" t="n">
        <v>89.27732849121094</v>
      </c>
      <c r="F674" s="119" t="n">
        <v>5030700</v>
      </c>
      <c r="G674" s="120" t="n">
        <v>-0.00063736093118405</v>
      </c>
      <c r="H674" s="121" t="n">
        <v>57.09902645659207</v>
      </c>
      <c r="I674" s="118" t="n">
        <v>91.97388137817383</v>
      </c>
      <c r="J674" s="118" t="n">
        <v>96.99268169403076</v>
      </c>
      <c r="K674" s="120" t="n">
        <v>0.2063306055279839</v>
      </c>
      <c r="L674" s="120" t="n">
        <v>-0.1192753311986871</v>
      </c>
      <c r="M674" s="120" t="n">
        <v>-0.2546564077785111</v>
      </c>
      <c r="N674" t="n">
        <v>48.56572892839572</v>
      </c>
      <c r="O674" t="n">
        <v>0.4667542769391916</v>
      </c>
      <c r="P674" t="n">
        <v>118.3754439636578</v>
      </c>
      <c r="Q674" t="n">
        <v>117.5509498982842</v>
      </c>
    </row>
    <row r="675">
      <c r="A675" s="117" t="n">
        <v>45412</v>
      </c>
      <c r="B675" s="118" t="n">
        <v>88.18582153246118</v>
      </c>
      <c r="C675" s="118" t="n">
        <v>88.75531196700058</v>
      </c>
      <c r="D675" s="118" t="n">
        <v>87.55937698544321</v>
      </c>
      <c r="E675" s="118" t="n">
        <v>87.56887054443359</v>
      </c>
      <c r="F675" s="119" t="n">
        <v>6493300</v>
      </c>
      <c r="G675" s="120" t="n">
        <v>-0.01913652632365159</v>
      </c>
      <c r="H675" s="121" t="n">
        <v>56.00634943375062</v>
      </c>
      <c r="I675" s="118" t="n">
        <v>91.76731750488281</v>
      </c>
      <c r="J675" s="118" t="n">
        <v>96.92345821380616</v>
      </c>
      <c r="K675" s="120" t="n">
        <v>0.2084593234886575</v>
      </c>
      <c r="L675" s="120" t="n">
        <v>-0.1361293420070926</v>
      </c>
      <c r="M675" s="120" t="n">
        <v>-0.2689196950512226</v>
      </c>
      <c r="N675" t="n">
        <v>41.93024731869468</v>
      </c>
      <c r="O675" t="n">
        <v>0.3039713991420002</v>
      </c>
      <c r="P675" t="n">
        <v>116.500231664837</v>
      </c>
      <c r="Q675" t="n">
        <v>115.3343737438661</v>
      </c>
    </row>
    <row r="676">
      <c r="A676" s="117" t="n">
        <v>45413</v>
      </c>
      <c r="B676" s="118" t="n">
        <v>87.14173123426683</v>
      </c>
      <c r="C676" s="118" t="n">
        <v>87.19868533625338</v>
      </c>
      <c r="D676" s="118" t="n">
        <v>85.50918697892617</v>
      </c>
      <c r="E676" s="118" t="n">
        <v>85.74647521972656</v>
      </c>
      <c r="F676" s="119" t="n">
        <v>9783100</v>
      </c>
      <c r="G676" s="120" t="n">
        <v>-0.0208109949731774</v>
      </c>
      <c r="H676" s="121" t="n">
        <v>54.84080157721883</v>
      </c>
      <c r="I676" s="118" t="n">
        <v>91.52827819824219</v>
      </c>
      <c r="J676" s="118" t="n">
        <v>96.84155288696289</v>
      </c>
      <c r="K676" s="120" t="n">
        <v>0.2207921028961433</v>
      </c>
      <c r="L676" s="120" t="n">
        <v>-0.1541073499280584</v>
      </c>
      <c r="M676" s="120" t="n">
        <v>-0.2804215480125444</v>
      </c>
      <c r="N676" t="n">
        <v>36.24200898497611</v>
      </c>
      <c r="O676" t="n">
        <v>0.07732920511080021</v>
      </c>
      <c r="P676" t="n">
        <v>116.1219378963666</v>
      </c>
      <c r="Q676" t="n">
        <v>114.5004456325368</v>
      </c>
    </row>
    <row r="677">
      <c r="A677" s="117" t="n">
        <v>45414</v>
      </c>
      <c r="B677" s="118" t="n">
        <v>86.68613295478016</v>
      </c>
      <c r="C677" s="118" t="n">
        <v>87.74917952973607</v>
      </c>
      <c r="D677" s="118" t="n">
        <v>86.28749048917169</v>
      </c>
      <c r="E677" s="118" t="n">
        <v>87.71121978759766</v>
      </c>
      <c r="F677" s="119" t="n">
        <v>7333300</v>
      </c>
      <c r="G677" s="120" t="n">
        <v>0.02291341495771593</v>
      </c>
      <c r="H677" s="121" t="n">
        <v>56.0973916203714</v>
      </c>
      <c r="I677" s="118" t="n">
        <v>91.29127044677735</v>
      </c>
      <c r="J677" s="118" t="n">
        <v>96.7647269821167</v>
      </c>
      <c r="K677" s="120" t="n">
        <v>0.2283328525239684</v>
      </c>
      <c r="L677" s="120" t="n">
        <v>-0.1347250606272781</v>
      </c>
      <c r="M677" s="120" t="n">
        <v>-0.2617290608582898</v>
      </c>
      <c r="N677" t="n">
        <v>44.91781284015592</v>
      </c>
      <c r="O677" t="n">
        <v>0.06405235873871806</v>
      </c>
      <c r="P677" t="n">
        <v>117.2080786656685</v>
      </c>
      <c r="Q677" t="n">
        <v>115.9618585867805</v>
      </c>
    </row>
    <row r="678">
      <c r="A678" s="117" t="n">
        <v>45415</v>
      </c>
      <c r="B678" s="118" t="n">
        <v>88.35664588284391</v>
      </c>
      <c r="C678" s="118" t="n">
        <v>88.88817646651734</v>
      </c>
      <c r="D678" s="118" t="n">
        <v>87.19868535037887</v>
      </c>
      <c r="E678" s="118" t="n">
        <v>87.46444702148438</v>
      </c>
      <c r="F678" s="119" t="n">
        <v>5736700</v>
      </c>
      <c r="G678" s="120" t="n">
        <v>-0.002813468638457772</v>
      </c>
      <c r="H678" s="121" t="n">
        <v>55.9395633683482</v>
      </c>
      <c r="I678" s="118" t="n">
        <v>91.05292083740234</v>
      </c>
      <c r="J678" s="118" t="n">
        <v>96.68591571807862</v>
      </c>
      <c r="K678" s="120" t="n">
        <v>0.2283950561459071</v>
      </c>
      <c r="L678" s="120" t="n">
        <v>-0.1371594845328467</v>
      </c>
      <c r="M678" s="120" t="n">
        <v>-0.2638061629922498</v>
      </c>
      <c r="N678" t="n">
        <v>44.10601344757782</v>
      </c>
      <c r="O678" t="n">
        <v>0.04392491490228645</v>
      </c>
      <c r="P678" t="n">
        <v>118.6609190511413</v>
      </c>
      <c r="Q678" t="n">
        <v>118.2925213690093</v>
      </c>
    </row>
    <row r="679">
      <c r="A679" s="117" t="n">
        <v>45418</v>
      </c>
      <c r="B679" s="118" t="n">
        <v>88.09087804915232</v>
      </c>
      <c r="C679" s="118" t="n">
        <v>88.62240859564139</v>
      </c>
      <c r="D679" s="118" t="n">
        <v>87.77766309666814</v>
      </c>
      <c r="E679" s="118" t="n">
        <v>88.6129150390625</v>
      </c>
      <c r="F679" s="119" t="n">
        <v>6696300</v>
      </c>
      <c r="G679" s="120" t="n">
        <v>0.01313068402863182</v>
      </c>
      <c r="H679" s="121" t="n">
        <v>56.67408809963761</v>
      </c>
      <c r="I679" s="118" t="n">
        <v>90.82713714599609</v>
      </c>
      <c r="J679" s="118" t="n">
        <v>96.62388526916504</v>
      </c>
      <c r="K679" s="120" t="n">
        <v>0.2284427329310701</v>
      </c>
      <c r="L679" s="120" t="n">
        <v>-0.1258297983571457</v>
      </c>
      <c r="M679" s="120" t="n">
        <v>-0.2541394343346749</v>
      </c>
      <c r="N679" t="n">
        <v>48.74842557187233</v>
      </c>
      <c r="O679" t="n">
        <v>0.1094996566704102</v>
      </c>
      <c r="P679" t="n">
        <v>119.8862987523555</v>
      </c>
      <c r="Q679" t="n">
        <v>119.5882242934041</v>
      </c>
    </row>
    <row r="680">
      <c r="A680" s="117" t="n">
        <v>45419</v>
      </c>
      <c r="B680" s="118" t="n">
        <v>89.29629964783179</v>
      </c>
      <c r="C680" s="118" t="n">
        <v>89.52409429856414</v>
      </c>
      <c r="D680" s="118" t="n">
        <v>88.47053408191763</v>
      </c>
      <c r="E680" s="118" t="n">
        <v>89.01155090332031</v>
      </c>
      <c r="F680" s="119" t="n">
        <v>7113500</v>
      </c>
      <c r="G680" s="120" t="n">
        <v>0.004498620365689154</v>
      </c>
      <c r="H680" s="121" t="n">
        <v>56.9290433065695</v>
      </c>
      <c r="I680" s="118" t="n">
        <v>90.62994415283202</v>
      </c>
      <c r="J680" s="118" t="n">
        <v>96.55666126251221</v>
      </c>
      <c r="K680" s="120" t="n">
        <v>0.2261127808502864</v>
      </c>
      <c r="L680" s="120" t="n">
        <v>-0.1218972384849565</v>
      </c>
      <c r="M680" s="120" t="n">
        <v>-0.2507840908040084</v>
      </c>
      <c r="N680" t="n">
        <v>50.29172241190022</v>
      </c>
      <c r="O680" t="n">
        <v>0.1772512235803008</v>
      </c>
      <c r="P680" t="n">
        <v>120.0185841023366</v>
      </c>
      <c r="Q680" t="n">
        <v>119.6072275447639</v>
      </c>
    </row>
    <row r="681">
      <c r="A681" s="117" t="n">
        <v>45420</v>
      </c>
      <c r="B681" s="118" t="n">
        <v>88.38512672337913</v>
      </c>
      <c r="C681" s="118" t="n">
        <v>88.87868307902306</v>
      </c>
      <c r="D681" s="118" t="n">
        <v>88.01495764628058</v>
      </c>
      <c r="E681" s="118" t="n">
        <v>88.83122253417969</v>
      </c>
      <c r="F681" s="119" t="n">
        <v>5372900</v>
      </c>
      <c r="G681" s="120" t="n">
        <v>-0.002025898518906666</v>
      </c>
      <c r="H681" s="121" t="n">
        <v>56.81371084205195</v>
      </c>
      <c r="I681" s="118" t="n">
        <v>90.41760604858399</v>
      </c>
      <c r="J681" s="118" t="n">
        <v>96.48989784240723</v>
      </c>
      <c r="K681" s="120" t="n">
        <v>0.2089570826034108</v>
      </c>
      <c r="L681" s="120" t="n">
        <v>-0.1166709227470578</v>
      </c>
      <c r="M681" s="120" t="n">
        <v>-0.2416631729406431</v>
      </c>
      <c r="N681" t="n">
        <v>49.56463514496877</v>
      </c>
      <c r="O681" t="n">
        <v>0.2054633970231079</v>
      </c>
      <c r="P681" t="n">
        <v>120.0301782546361</v>
      </c>
      <c r="Q681" t="n">
        <v>119.5366008913657</v>
      </c>
    </row>
    <row r="682">
      <c r="A682" s="117" t="n">
        <v>45421</v>
      </c>
      <c r="B682" s="118" t="n">
        <v>88.87867616227884</v>
      </c>
      <c r="C682" s="118" t="n">
        <v>89.20139191088197</v>
      </c>
      <c r="D682" s="118" t="n">
        <v>88.28071244768434</v>
      </c>
      <c r="E682" s="118" t="n">
        <v>88.64138793945312</v>
      </c>
      <c r="F682" s="119" t="n">
        <v>6429800</v>
      </c>
      <c r="G682" s="120" t="n">
        <v>-0.002137025578517915</v>
      </c>
      <c r="H682" s="121" t="n">
        <v>56.69229848877197</v>
      </c>
      <c r="I682" s="118" t="n">
        <v>90.21660369873047</v>
      </c>
      <c r="J682" s="118" t="n">
        <v>96.4243928527832</v>
      </c>
      <c r="K682" s="120" t="n">
        <v>0.1739926724590413</v>
      </c>
      <c r="L682" s="120" t="n">
        <v>-0.1185586195793958</v>
      </c>
      <c r="M682" s="120" t="n">
        <v>-0.2357822990628891</v>
      </c>
      <c r="N682" t="n">
        <v>48.76535792870409</v>
      </c>
      <c r="O682" t="n">
        <v>0.2063391581444067</v>
      </c>
      <c r="P682" t="n">
        <v>120.7217905327997</v>
      </c>
      <c r="Q682" t="n">
        <v>119.7973942976653</v>
      </c>
    </row>
    <row r="683">
      <c r="A683" s="117" t="n">
        <v>45422</v>
      </c>
      <c r="B683" s="118" t="n">
        <v>88.33768016221234</v>
      </c>
      <c r="C683" s="118" t="n">
        <v>88.404120590633</v>
      </c>
      <c r="D683" s="118" t="n">
        <v>86.2590325221805</v>
      </c>
      <c r="E683" s="118" t="n">
        <v>86.31598663330078</v>
      </c>
      <c r="F683" s="119" t="n">
        <v>10548400</v>
      </c>
      <c r="G683" s="120" t="n">
        <v>-0.02623380973841161</v>
      </c>
      <c r="H683" s="121" t="n">
        <v>55.2050435165843</v>
      </c>
      <c r="I683" s="118" t="n">
        <v>89.97703796386719</v>
      </c>
      <c r="J683" s="118" t="n">
        <v>96.34256362915039</v>
      </c>
      <c r="K683" s="120" t="n">
        <v>0.1987627106889197</v>
      </c>
      <c r="L683" s="120" t="n">
        <v>-0.1394160027602922</v>
      </c>
      <c r="M683" s="120" t="n">
        <v>-0.2558306408279996</v>
      </c>
      <c r="N683" t="n">
        <v>40.21115898266578</v>
      </c>
      <c r="O683" t="n">
        <v>0.05327790964229639</v>
      </c>
      <c r="P683" t="n">
        <v>120.8772860082436</v>
      </c>
      <c r="Q683" t="n">
        <v>120.0798757413889</v>
      </c>
    </row>
    <row r="684">
      <c r="A684" s="117" t="n">
        <v>45425</v>
      </c>
      <c r="B684" s="118" t="n">
        <v>86.62918652467231</v>
      </c>
      <c r="C684" s="118" t="n">
        <v>88.05291594908749</v>
      </c>
      <c r="D684" s="118" t="n">
        <v>86.51529280525499</v>
      </c>
      <c r="E684" s="118" t="n">
        <v>88.00546264648438</v>
      </c>
      <c r="F684" s="119" t="n">
        <v>8792100</v>
      </c>
      <c r="G684" s="120" t="n">
        <v>0.01957315300537599</v>
      </c>
      <c r="H684" s="121" t="n">
        <v>56.28558028000285</v>
      </c>
      <c r="I684" s="118" t="n">
        <v>89.80315322875977</v>
      </c>
      <c r="J684" s="118" t="n">
        <v>96.27683834075928</v>
      </c>
      <c r="K684" s="120" t="n">
        <v>0.2067731749391064</v>
      </c>
      <c r="L684" s="120" t="n">
        <v>-0.1190829523043795</v>
      </c>
      <c r="M684" s="120" t="n">
        <v>-0.2412649000990134</v>
      </c>
      <c r="N684" t="n">
        <v>47.42674485392713</v>
      </c>
      <c r="O684" t="n">
        <v>0.06785430923334224</v>
      </c>
      <c r="P684" t="n">
        <v>120.89351345729</v>
      </c>
      <c r="Q684" t="n">
        <v>120.3569456632021</v>
      </c>
    </row>
    <row r="685">
      <c r="A685" s="117" t="n">
        <v>45426</v>
      </c>
      <c r="B685" s="118" t="n">
        <v>88.26172709953413</v>
      </c>
      <c r="C685" s="118" t="n">
        <v>89.54308208012272</v>
      </c>
      <c r="D685" s="118" t="n">
        <v>87.89155804384103</v>
      </c>
      <c r="E685" s="118" t="n">
        <v>88.0718994140625</v>
      </c>
      <c r="F685" s="119" t="n">
        <v>7811000</v>
      </c>
      <c r="G685" s="120" t="n">
        <v>0.0007549164060984825</v>
      </c>
      <c r="H685" s="121" t="n">
        <v>56.328071187983</v>
      </c>
      <c r="I685" s="118" t="n">
        <v>89.67501770019531</v>
      </c>
      <c r="J685" s="118" t="n">
        <v>96.20698284149169</v>
      </c>
      <c r="K685" s="120" t="n">
        <v>0.2064523789270106</v>
      </c>
      <c r="L685" s="120" t="n">
        <v>-0.1184179335726622</v>
      </c>
      <c r="M685" s="120" t="n">
        <v>-0.2406921185242152</v>
      </c>
      <c r="N685" t="n">
        <v>47.69407228270554</v>
      </c>
      <c r="O685" t="n">
        <v>0.08300539338014423</v>
      </c>
      <c r="P685" t="n">
        <v>121.4481998151042</v>
      </c>
      <c r="Q685" t="n">
        <v>121.1311037247798</v>
      </c>
    </row>
    <row r="686">
      <c r="A686" s="117" t="n">
        <v>45427</v>
      </c>
      <c r="B686" s="118" t="n">
        <v>87.59731217774069</v>
      </c>
      <c r="C686" s="118" t="n">
        <v>87.91053433753439</v>
      </c>
      <c r="D686" s="118" t="n">
        <v>86.2305298378854</v>
      </c>
      <c r="E686" s="118" t="n">
        <v>87.00883483886719</v>
      </c>
      <c r="F686" s="119" t="n">
        <v>15614400</v>
      </c>
      <c r="G686" s="120" t="n">
        <v>-0.01207041726439217</v>
      </c>
      <c r="H686" s="121" t="n">
        <v>55.64816786504566</v>
      </c>
      <c r="I686" s="118" t="n">
        <v>89.54896987915039</v>
      </c>
      <c r="J686" s="118" t="n">
        <v>96.12349788665772</v>
      </c>
      <c r="K686" s="120" t="n">
        <v>0.2016821808095767</v>
      </c>
      <c r="L686" s="120" t="n">
        <v>-0.1290589969672451</v>
      </c>
      <c r="M686" s="120" t="n">
        <v>-0.2498572814857696</v>
      </c>
      <c r="N686" t="n">
        <v>43.85168794012838</v>
      </c>
      <c r="O686" t="n">
        <v>0.02545111074957429</v>
      </c>
      <c r="P686" t="n">
        <v>122.9520864746281</v>
      </c>
      <c r="Q686" t="n">
        <v>123.0244316370826</v>
      </c>
    </row>
    <row r="687">
      <c r="A687" s="117" t="n">
        <v>45428</v>
      </c>
      <c r="B687" s="118" t="n">
        <v>87.0278482814747</v>
      </c>
      <c r="C687" s="118" t="n">
        <v>88.11936853104413</v>
      </c>
      <c r="D687" s="118" t="n">
        <v>86.87598031266934</v>
      </c>
      <c r="E687" s="118" t="n">
        <v>87.10377502441406</v>
      </c>
      <c r="F687" s="119" t="n">
        <v>12711700</v>
      </c>
      <c r="G687" s="120" t="n">
        <v>0.001091155693817791</v>
      </c>
      <c r="H687" s="121" t="n">
        <v>55.70888868026213</v>
      </c>
      <c r="I687" s="118" t="n">
        <v>89.43772964477539</v>
      </c>
      <c r="J687" s="118" t="n">
        <v>96.04513790130615</v>
      </c>
      <c r="K687" s="120" t="n">
        <v>0.1977094659973378</v>
      </c>
      <c r="L687" s="120" t="n">
        <v>-0.1281086647328066</v>
      </c>
      <c r="M687" s="120" t="n">
        <v>-0.2490387589872869</v>
      </c>
      <c r="N687" t="n">
        <v>44.28340191100546</v>
      </c>
      <c r="O687" t="n">
        <v>-0.0008132463499329612</v>
      </c>
      <c r="P687" t="n">
        <v>122.6991244742077</v>
      </c>
      <c r="Q687" t="n">
        <v>122.7745283942554</v>
      </c>
    </row>
    <row r="688">
      <c r="A688" s="117" t="n">
        <v>45429</v>
      </c>
      <c r="B688" s="118" t="n">
        <v>87.33155042638394</v>
      </c>
      <c r="C688" s="118" t="n">
        <v>87.59731204953103</v>
      </c>
      <c r="D688" s="118" t="n">
        <v>86.69561255218358</v>
      </c>
      <c r="E688" s="118" t="n">
        <v>87.49290466308594</v>
      </c>
      <c r="F688" s="119" t="n">
        <v>12019600</v>
      </c>
      <c r="G688" s="120" t="n">
        <v>0.00446742564903535</v>
      </c>
      <c r="H688" s="121" t="n">
        <v>55.9577639984316</v>
      </c>
      <c r="I688" s="118" t="n">
        <v>89.32364105224609</v>
      </c>
      <c r="J688" s="118" t="n">
        <v>95.97760135650634</v>
      </c>
      <c r="K688" s="120" t="n">
        <v>0.194852401709468</v>
      </c>
      <c r="L688" s="120" t="n">
        <v>-0.1242135550184622</v>
      </c>
      <c r="M688" s="120" t="n">
        <v>-0.2456838954777553</v>
      </c>
      <c r="N688" t="n">
        <v>46.11225299011674</v>
      </c>
      <c r="O688" t="n">
        <v>0.01268747385694446</v>
      </c>
      <c r="P688" t="n">
        <v>122.8755097899302</v>
      </c>
      <c r="Q688" t="n">
        <v>122.7147667344602</v>
      </c>
    </row>
    <row r="689">
      <c r="A689" s="117" t="n">
        <v>45432</v>
      </c>
      <c r="B689" s="118" t="n">
        <v>87.55937168936683</v>
      </c>
      <c r="C689" s="118" t="n">
        <v>87.98648767907109</v>
      </c>
      <c r="D689" s="118" t="n">
        <v>86.21157605280419</v>
      </c>
      <c r="E689" s="118" t="n">
        <v>87.10377502441406</v>
      </c>
      <c r="F689" s="119" t="n">
        <v>9701500</v>
      </c>
      <c r="G689" s="120" t="n">
        <v>-0.004447556520958074</v>
      </c>
      <c r="H689" s="121" t="n">
        <v>55.70888868026213</v>
      </c>
      <c r="I689" s="118" t="n">
        <v>89.18335632324219</v>
      </c>
      <c r="J689" s="118" t="n">
        <v>95.90281127929687</v>
      </c>
      <c r="K689" s="120" t="n">
        <v>0.1950153616972811</v>
      </c>
      <c r="L689" s="120" t="n">
        <v>-0.1241285582934685</v>
      </c>
      <c r="M689" s="120" t="n">
        <v>-0.2490387589872869</v>
      </c>
      <c r="N689" t="n">
        <v>44.53787879204658</v>
      </c>
      <c r="O689" t="n">
        <v>0.0007088378359541014</v>
      </c>
      <c r="P689" t="n">
        <v>123.0170835542692</v>
      </c>
      <c r="Q689" t="n">
        <v>123.5704164430393</v>
      </c>
    </row>
    <row r="690">
      <c r="A690" s="117" t="n">
        <v>45433</v>
      </c>
      <c r="B690" s="118" t="n">
        <v>86.91392365706467</v>
      </c>
      <c r="C690" s="118" t="n">
        <v>88.12883811109663</v>
      </c>
      <c r="D690" s="118" t="n">
        <v>86.80002271145116</v>
      </c>
      <c r="E690" s="118" t="n">
        <v>88.10036468505859</v>
      </c>
      <c r="F690" s="119" t="n">
        <v>7809700</v>
      </c>
      <c r="G690" s="120" t="n">
        <v>0.01144140607413635</v>
      </c>
      <c r="H690" s="121" t="n">
        <v>56.34627669759187</v>
      </c>
      <c r="I690" s="118" t="n">
        <v>89.02655624389648</v>
      </c>
      <c r="J690" s="118" t="n">
        <v>95.83220565795898</v>
      </c>
      <c r="K690" s="120" t="n">
        <v>0.200098449456597</v>
      </c>
      <c r="L690" s="120" t="n">
        <v>-0.1141073574601649</v>
      </c>
      <c r="M690" s="120" t="n">
        <v>-0.2404467064829231</v>
      </c>
      <c r="N690" t="n">
        <v>49.3110967520221</v>
      </c>
      <c r="O690" t="n">
        <v>0.06181992764706712</v>
      </c>
      <c r="P690" t="n">
        <v>123.3187642699353</v>
      </c>
      <c r="Q690" t="n">
        <v>123.8121730381533</v>
      </c>
    </row>
    <row r="691">
      <c r="A691" s="117" t="n">
        <v>45434</v>
      </c>
      <c r="B691" s="118" t="n">
        <v>87.27460910952524</v>
      </c>
      <c r="C691" s="118" t="n">
        <v>88.04342790783534</v>
      </c>
      <c r="D691" s="118" t="n">
        <v>86.98986757510039</v>
      </c>
      <c r="E691" s="118" t="n">
        <v>87.79664611816406</v>
      </c>
      <c r="F691" s="119" t="n">
        <v>7611900</v>
      </c>
      <c r="G691" s="120" t="n">
        <v>-0.003447415546805832</v>
      </c>
      <c r="H691" s="121" t="n">
        <v>56.15202766729996</v>
      </c>
      <c r="I691" s="118" t="n">
        <v>88.88076629638672</v>
      </c>
      <c r="J691" s="118" t="n">
        <v>95.75223697662354</v>
      </c>
      <c r="K691" s="120" t="n">
        <v>0.1985006154385866</v>
      </c>
      <c r="L691" s="120" t="n">
        <v>-0.1103930806026391</v>
      </c>
      <c r="M691" s="120" t="n">
        <v>-0.2430652023156215</v>
      </c>
      <c r="N691" t="n">
        <v>47.95652460595435</v>
      </c>
      <c r="O691" t="n">
        <v>0.08241516387285142</v>
      </c>
      <c r="P691" t="n">
        <v>122.9637097214126</v>
      </c>
      <c r="Q691" t="n">
        <v>123.7877247050573</v>
      </c>
    </row>
    <row r="692">
      <c r="A692" s="117" t="n">
        <v>45435</v>
      </c>
      <c r="B692" s="118" t="n">
        <v>87.74916952697794</v>
      </c>
      <c r="C692" s="118" t="n">
        <v>87.8725640199776</v>
      </c>
      <c r="D692" s="118" t="n">
        <v>86.51527528720727</v>
      </c>
      <c r="E692" s="118" t="n">
        <v>86.7525634765625</v>
      </c>
      <c r="F692" s="119" t="n">
        <v>7729000</v>
      </c>
      <c r="G692" s="120" t="n">
        <v>-0.01189205610652089</v>
      </c>
      <c r="H692" s="121" t="n">
        <v>55.48426460378552</v>
      </c>
      <c r="I692" s="118" t="n">
        <v>88.69169479370117</v>
      </c>
      <c r="J692" s="118" t="n">
        <v>95.67075878143311</v>
      </c>
      <c r="K692" s="120" t="n">
        <v>0.2010268186482164</v>
      </c>
      <c r="L692" s="120" t="n">
        <v>-0.1174199625617843</v>
      </c>
      <c r="M692" s="120" t="n">
        <v>-0.252066713398662</v>
      </c>
      <c r="N692" t="n">
        <v>43.52970874620747</v>
      </c>
      <c r="O692" t="n">
        <v>0.0291000652272253</v>
      </c>
      <c r="P692" t="n">
        <v>122.0655484201327</v>
      </c>
      <c r="Q692" t="n">
        <v>123.2308749054975</v>
      </c>
    </row>
    <row r="693">
      <c r="A693" s="117" t="n">
        <v>45436</v>
      </c>
      <c r="B693" s="118" t="n">
        <v>87.10375770362606</v>
      </c>
      <c r="C693" s="118" t="n">
        <v>87.51189373680251</v>
      </c>
      <c r="D693" s="118" t="n">
        <v>86.83799605252733</v>
      </c>
      <c r="E693" s="118" t="n">
        <v>87.08477783203125</v>
      </c>
      <c r="F693" s="119" t="n">
        <v>6936800</v>
      </c>
      <c r="G693" s="120" t="n">
        <v>0.00382944713280442</v>
      </c>
      <c r="H693" s="121" t="n">
        <v>55.69673866178825</v>
      </c>
      <c r="I693" s="118" t="n">
        <v>88.53014907836913</v>
      </c>
      <c r="J693" s="118" t="n">
        <v>95.59094165802001</v>
      </c>
      <c r="K693" s="120" t="n">
        <v>0.2015460407587765</v>
      </c>
      <c r="L693" s="120" t="n">
        <v>-0.09943072862995561</v>
      </c>
      <c r="M693" s="120" t="n">
        <v>-0.2492025424187576</v>
      </c>
      <c r="N693" t="n">
        <v>45.26114948205191</v>
      </c>
      <c r="O693" t="n">
        <v>0.02002000027265416</v>
      </c>
      <c r="P693" t="n">
        <v>122.8731967783673</v>
      </c>
      <c r="Q693" t="n">
        <v>124.3961979066554</v>
      </c>
    </row>
    <row r="694">
      <c r="A694" s="117" t="n">
        <v>45440</v>
      </c>
      <c r="B694" s="118" t="n">
        <v>87.07527026216469</v>
      </c>
      <c r="C694" s="118" t="n">
        <v>87.81560824006928</v>
      </c>
      <c r="D694" s="118" t="n">
        <v>86.70510127321241</v>
      </c>
      <c r="E694" s="118" t="n">
        <v>87.32205200195312</v>
      </c>
      <c r="F694" s="119" t="n">
        <v>10835000</v>
      </c>
      <c r="G694" s="120" t="n">
        <v>0.002724634268224557</v>
      </c>
      <c r="H694" s="121" t="n">
        <v>55.8484919045745</v>
      </c>
      <c r="I694" s="118" t="n">
        <v>88.38511795043945</v>
      </c>
      <c r="J694" s="118" t="n">
        <v>95.51541103363037</v>
      </c>
      <c r="K694" s="120" t="n">
        <v>0.2020227431152662</v>
      </c>
      <c r="L694" s="120" t="n">
        <v>-0.09234428007575923</v>
      </c>
      <c r="M694" s="120" t="n">
        <v>-0.247156893937336</v>
      </c>
      <c r="N694" t="n">
        <v>46.52232880279242</v>
      </c>
      <c r="O694" t="n">
        <v>0.03303709899538676</v>
      </c>
      <c r="P694" t="n">
        <v>122.9590546038018</v>
      </c>
      <c r="Q694" t="n">
        <v>124.8661277573905</v>
      </c>
    </row>
    <row r="695">
      <c r="A695" s="117" t="n">
        <v>45441</v>
      </c>
      <c r="B695" s="118" t="n">
        <v>87.01832839441094</v>
      </c>
      <c r="C695" s="118" t="n">
        <v>88.00544816858853</v>
      </c>
      <c r="D695" s="118" t="n">
        <v>86.73357965978738</v>
      </c>
      <c r="E695" s="118" t="n">
        <v>87.00883483886719</v>
      </c>
      <c r="F695" s="119" t="n">
        <v>7237300</v>
      </c>
      <c r="G695" s="120" t="n">
        <v>-0.003586919408157474</v>
      </c>
      <c r="H695" s="121" t="n">
        <v>55.64816786504566</v>
      </c>
      <c r="I695" s="118" t="n">
        <v>88.25090744018554</v>
      </c>
      <c r="J695" s="118" t="n">
        <v>95.44272979736328</v>
      </c>
      <c r="K695" s="120" t="n">
        <v>0.1907644594152246</v>
      </c>
      <c r="L695" s="120" t="n">
        <v>-0.09559996799348047</v>
      </c>
      <c r="M695" s="120" t="n">
        <v>-0.2498572814857696</v>
      </c>
      <c r="N695" t="n">
        <v>45.04687502461928</v>
      </c>
      <c r="O695" t="n">
        <v>0.02401552493731213</v>
      </c>
      <c r="P695" t="n">
        <v>122.0980324127107</v>
      </c>
      <c r="Q695" t="n">
        <v>123.986021325759</v>
      </c>
    </row>
    <row r="696">
      <c r="A696" s="117" t="n">
        <v>45442</v>
      </c>
      <c r="B696" s="118" t="n">
        <v>87.54036577965913</v>
      </c>
      <c r="C696" s="118" t="n">
        <v>89.10646210379623</v>
      </c>
      <c r="D696" s="118" t="n">
        <v>87.2840904688817</v>
      </c>
      <c r="E696" s="118" t="n">
        <v>88.69832611083984</v>
      </c>
      <c r="F696" s="119" t="n">
        <v>9300100</v>
      </c>
      <c r="G696" s="120" t="n">
        <v>0.01941746806633438</v>
      </c>
      <c r="H696" s="121" t="n">
        <v>56.7287143875152</v>
      </c>
      <c r="I696" s="118" t="n">
        <v>88.12732757568359</v>
      </c>
      <c r="J696" s="118" t="n">
        <v>95.38060974121093</v>
      </c>
      <c r="K696" s="120" t="n">
        <v>0.1866635902917851</v>
      </c>
      <c r="L696" s="120" t="n">
        <v>-0.07803880925280227</v>
      </c>
      <c r="M696" s="120" t="n">
        <v>-0.2352914092038264</v>
      </c>
      <c r="N696" t="n">
        <v>53.59588362345264</v>
      </c>
      <c r="O696" t="n">
        <v>0.1294069009540184</v>
      </c>
      <c r="P696" t="n">
        <v>121.2880783165345</v>
      </c>
      <c r="Q696" t="n">
        <v>122.6577150305985</v>
      </c>
    </row>
    <row r="697">
      <c r="A697" s="117" t="n">
        <v>45443</v>
      </c>
      <c r="B697" s="118" t="n">
        <v>88.74580519768439</v>
      </c>
      <c r="C697" s="118" t="n">
        <v>90.23597511294956</v>
      </c>
      <c r="D697" s="118" t="n">
        <v>88.24275526803208</v>
      </c>
      <c r="E697" s="118" t="n">
        <v>90.21699523925781</v>
      </c>
      <c r="F697" s="119" t="n">
        <v>12565600</v>
      </c>
      <c r="G697" s="120" t="n">
        <v>0.01712173380273496</v>
      </c>
      <c r="H697" s="121" t="n">
        <v>57.70000833422962</v>
      </c>
      <c r="I697" s="118" t="n">
        <v>88.02823638916016</v>
      </c>
      <c r="J697" s="118" t="n">
        <v>95.33120300292968</v>
      </c>
      <c r="K697" s="120" t="n">
        <v>0.1789301825427437</v>
      </c>
      <c r="L697" s="120" t="n">
        <v>-0.06225323516837611</v>
      </c>
      <c r="M697" s="120" t="n">
        <v>-0.2221982722755498</v>
      </c>
      <c r="N697" t="n">
        <v>59.66951828185898</v>
      </c>
      <c r="O697" t="n">
        <v>0.289788892815075</v>
      </c>
      <c r="P697" t="n">
        <v>122.3927886409307</v>
      </c>
      <c r="Q697" t="n">
        <v>122.4295417749774</v>
      </c>
    </row>
    <row r="698">
      <c r="A698" s="117" t="n">
        <v>45446</v>
      </c>
      <c r="B698" s="118" t="n">
        <v>90.06451884843672</v>
      </c>
      <c r="C698" s="118" t="n">
        <v>90.76011135198122</v>
      </c>
      <c r="D698" s="118" t="n">
        <v>89.61667978615971</v>
      </c>
      <c r="E698" s="118" t="n">
        <v>89.95018005371094</v>
      </c>
      <c r="F698" s="119" t="n">
        <v>9668100</v>
      </c>
      <c r="G698" s="120" t="n">
        <v>-0.00295748251024408</v>
      </c>
      <c r="H698" s="121" t="n">
        <v>57.52936156874019</v>
      </c>
      <c r="I698" s="118" t="n">
        <v>87.91336807250977</v>
      </c>
      <c r="J698" s="118" t="n">
        <v>95.28055618286133</v>
      </c>
      <c r="K698" s="120" t="n">
        <v>0.1789766306645135</v>
      </c>
      <c r="L698" s="120" t="n">
        <v>-0.06502660482440359</v>
      </c>
      <c r="M698" s="120" t="n">
        <v>-0.2244986072817324</v>
      </c>
      <c r="N698" t="n">
        <v>58.22755962630947</v>
      </c>
      <c r="O698" t="n">
        <v>0.3616245231047345</v>
      </c>
      <c r="P698" t="n">
        <v>122.4925536302276</v>
      </c>
      <c r="Q698" t="n">
        <v>123.0869032528112</v>
      </c>
    </row>
    <row r="699">
      <c r="A699" s="117" t="n">
        <v>45447</v>
      </c>
      <c r="B699" s="118" t="n">
        <v>89.84536202644725</v>
      </c>
      <c r="C699" s="118" t="n">
        <v>90.62670860326043</v>
      </c>
      <c r="D699" s="118" t="n">
        <v>89.00684605393762</v>
      </c>
      <c r="E699" s="118" t="n">
        <v>90.27414703369141</v>
      </c>
      <c r="F699" s="119" t="n">
        <v>7838400</v>
      </c>
      <c r="G699" s="120" t="n">
        <v>0.003601626809274006</v>
      </c>
      <c r="H699" s="121" t="n">
        <v>57.73656085968658</v>
      </c>
      <c r="I699" s="118" t="n">
        <v>87.9371012878418</v>
      </c>
      <c r="J699" s="118" t="n">
        <v>95.23848110198975</v>
      </c>
      <c r="K699" s="120" t="n">
        <v>0.1738602926156337</v>
      </c>
      <c r="L699" s="120" t="n">
        <v>-0.0616591795783813</v>
      </c>
      <c r="M699" s="120" t="n">
        <v>-0.221705540675089</v>
      </c>
      <c r="N699" t="n">
        <v>59.50710014567152</v>
      </c>
      <c r="O699" t="n">
        <v>0.41107338913881</v>
      </c>
      <c r="P699" t="n">
        <v>122.6294868241983</v>
      </c>
      <c r="Q699" t="n">
        <v>123.423743224376</v>
      </c>
    </row>
    <row r="700">
      <c r="A700" s="117" t="n">
        <v>45448</v>
      </c>
      <c r="B700" s="118" t="n">
        <v>90.82680918166267</v>
      </c>
      <c r="C700" s="118" t="n">
        <v>90.82680918166267</v>
      </c>
      <c r="D700" s="118" t="n">
        <v>89.28317006281398</v>
      </c>
      <c r="E700" s="118" t="n">
        <v>89.87394714355469</v>
      </c>
      <c r="F700" s="119" t="n">
        <v>7463300</v>
      </c>
      <c r="G700" s="120" t="n">
        <v>-0.004433161688997878</v>
      </c>
      <c r="H700" s="121" t="n">
        <v>57.48060535002892</v>
      </c>
      <c r="I700" s="118" t="n">
        <v>87.95491867065429</v>
      </c>
      <c r="J700" s="118" t="n">
        <v>95.19553234100341</v>
      </c>
      <c r="K700" s="120" t="n">
        <v>0.1743570709993583</v>
      </c>
      <c r="L700" s="120" t="n">
        <v>-0.06581899615469733</v>
      </c>
      <c r="M700" s="120" t="n">
        <v>-0.2251558458549274</v>
      </c>
      <c r="N700" t="n">
        <v>57.17714498840866</v>
      </c>
      <c r="O700" t="n">
        <v>0.3967469165028461</v>
      </c>
      <c r="P700" t="n">
        <v>124.0869750536607</v>
      </c>
      <c r="Q700" t="n">
        <v>125.9119358289146</v>
      </c>
    </row>
    <row r="701">
      <c r="A701" s="117" t="n">
        <v>45449</v>
      </c>
      <c r="B701" s="118" t="n">
        <v>90.38850004261342</v>
      </c>
      <c r="C701" s="118" t="n">
        <v>92.23705485633312</v>
      </c>
      <c r="D701" s="118" t="n">
        <v>89.55950739249189</v>
      </c>
      <c r="E701" s="118" t="n">
        <v>91.20796203613281</v>
      </c>
      <c r="F701" s="119" t="n">
        <v>9760100</v>
      </c>
      <c r="G701" s="120" t="n">
        <v>0.01484317686022307</v>
      </c>
      <c r="H701" s="121" t="n">
        <v>58.33380014127209</v>
      </c>
      <c r="I701" s="118" t="n">
        <v>88.02162628173828</v>
      </c>
      <c r="J701" s="118" t="n">
        <v>95.16841331481933</v>
      </c>
      <c r="K701" s="120" t="n">
        <v>0.181212412593335</v>
      </c>
      <c r="L701" s="120" t="n">
        <v>-0.05195278229516076</v>
      </c>
      <c r="M701" s="120" t="n">
        <v>-0.2136546970358422</v>
      </c>
      <c r="N701" t="n">
        <v>62.45438018131174</v>
      </c>
      <c r="O701" t="n">
        <v>0.4529675840056233</v>
      </c>
      <c r="P701" t="n">
        <v>124.0846474948553</v>
      </c>
      <c r="Q701" t="n">
        <v>125.8684674645459</v>
      </c>
    </row>
    <row r="702">
      <c r="A702" s="117" t="n">
        <v>45450</v>
      </c>
      <c r="B702" s="118" t="n">
        <v>90.89352432422312</v>
      </c>
      <c r="C702" s="118" t="n">
        <v>93.32332583271274</v>
      </c>
      <c r="D702" s="118" t="n">
        <v>90.80777021604099</v>
      </c>
      <c r="E702" s="118" t="n">
        <v>91.99884796142578</v>
      </c>
      <c r="F702" s="119" t="n">
        <v>9397400</v>
      </c>
      <c r="G702" s="120" t="n">
        <v>0.008671237769567242</v>
      </c>
      <c r="H702" s="121" t="n">
        <v>58.83962639229947</v>
      </c>
      <c r="I702" s="118" t="n">
        <v>88.07472793579102</v>
      </c>
      <c r="J702" s="118" t="n">
        <v>95.15182476043701</v>
      </c>
      <c r="K702" s="120" t="n">
        <v>0.1824846422962685</v>
      </c>
      <c r="L702" s="120" t="n">
        <v>-0.03861019006117539</v>
      </c>
      <c r="M702" s="120" t="n">
        <v>-0.2068361099448576</v>
      </c>
      <c r="N702" t="n">
        <v>65.19302063832886</v>
      </c>
      <c r="O702" t="n">
        <v>0.5147650253376951</v>
      </c>
      <c r="P702" t="n">
        <v>123.9337925897797</v>
      </c>
      <c r="Q702" t="n">
        <v>125.7570991826252</v>
      </c>
    </row>
    <row r="703">
      <c r="A703" s="117" t="n">
        <v>45453</v>
      </c>
      <c r="B703" s="118" t="n">
        <v>91.21750000150192</v>
      </c>
      <c r="C703" s="118" t="n">
        <v>92.41810111817236</v>
      </c>
      <c r="D703" s="118" t="n">
        <v>91.09362326503165</v>
      </c>
      <c r="E703" s="118" t="n">
        <v>91.47476959228516</v>
      </c>
      <c r="F703" s="119" t="n">
        <v>7035100</v>
      </c>
      <c r="G703" s="120" t="n">
        <v>-0.005696575345817023</v>
      </c>
      <c r="H703" s="121" t="n">
        <v>58.50444202723602</v>
      </c>
      <c r="I703" s="118" t="n">
        <v>88.12019546508789</v>
      </c>
      <c r="J703" s="118" t="n">
        <v>95.1453454208374</v>
      </c>
      <c r="K703" s="120" t="n">
        <v>0.1525635185985633</v>
      </c>
      <c r="L703" s="120" t="n">
        <v>-0.04408681955019256</v>
      </c>
      <c r="M703" s="120" t="n">
        <v>-0.211354427806138</v>
      </c>
      <c r="N703" t="n">
        <v>61.96745084246185</v>
      </c>
      <c r="O703" t="n">
        <v>0.4917271535824396</v>
      </c>
      <c r="P703" t="n">
        <v>124.3167342022397</v>
      </c>
      <c r="Q703" t="n">
        <v>126.2650607059493</v>
      </c>
    </row>
    <row r="704">
      <c r="A704" s="117" t="n">
        <v>45454</v>
      </c>
      <c r="B704" s="118" t="n">
        <v>91.01738356623594</v>
      </c>
      <c r="C704" s="118" t="n">
        <v>91.47476056776955</v>
      </c>
      <c r="D704" s="118" t="n">
        <v>90.06452147698833</v>
      </c>
      <c r="E704" s="118" t="n">
        <v>91.35089111328125</v>
      </c>
      <c r="F704" s="119" t="n">
        <v>7301500</v>
      </c>
      <c r="G704" s="120" t="n">
        <v>-0.001354236578633095</v>
      </c>
      <c r="H704" s="121" t="n">
        <v>58.42521317183022</v>
      </c>
      <c r="I704" s="118" t="n">
        <v>88.19014129638671</v>
      </c>
      <c r="J704" s="118" t="n">
        <v>95.14350761413574</v>
      </c>
      <c r="K704" s="120" t="n">
        <v>0.1398787890365627</v>
      </c>
      <c r="L704" s="120" t="n">
        <v>-0.04538135214515515</v>
      </c>
      <c r="M704" s="120" t="n">
        <v>-0.21242244048758</v>
      </c>
      <c r="N704" t="n">
        <v>61.19669360614861</v>
      </c>
      <c r="O704" t="n">
        <v>0.4411429108222999</v>
      </c>
      <c r="P704" t="n">
        <v>124.616101906343</v>
      </c>
      <c r="Q704" t="n">
        <v>127.1315754081314</v>
      </c>
    </row>
    <row r="705">
      <c r="A705" s="117" t="n">
        <v>45455</v>
      </c>
      <c r="B705" s="118" t="n">
        <v>91.80826207696384</v>
      </c>
      <c r="C705" s="118" t="n">
        <v>91.95119284622103</v>
      </c>
      <c r="D705" s="118" t="n">
        <v>89.0926065401209</v>
      </c>
      <c r="E705" s="118" t="n">
        <v>89.26412200927734</v>
      </c>
      <c r="F705" s="119" t="n">
        <v>9861300</v>
      </c>
      <c r="G705" s="120" t="n">
        <v>-0.02284344551621476</v>
      </c>
      <c r="H705" s="121" t="n">
        <v>57.09057999796627</v>
      </c>
      <c r="I705" s="118" t="n">
        <v>88.24891479492187</v>
      </c>
      <c r="J705" s="118" t="n">
        <v>95.12555233001709</v>
      </c>
      <c r="K705" s="120" t="n">
        <v>0.1652333144613797</v>
      </c>
      <c r="L705" s="120" t="n">
        <v>-0.06718813121619005</v>
      </c>
      <c r="M705" s="120" t="n">
        <v>-0.2304134255580953</v>
      </c>
      <c r="N705" t="n">
        <v>49.93037508340859</v>
      </c>
      <c r="O705" t="n">
        <v>0.2496722980252851</v>
      </c>
      <c r="P705" t="n">
        <v>125.6395877020517</v>
      </c>
      <c r="Q705" t="n">
        <v>128.7967048949438</v>
      </c>
    </row>
    <row r="706">
      <c r="A706" s="117" t="n">
        <v>45456</v>
      </c>
      <c r="B706" s="118" t="n">
        <v>89.6071546942662</v>
      </c>
      <c r="C706" s="118" t="n">
        <v>90.07405509783061</v>
      </c>
      <c r="D706" s="118" t="n">
        <v>89.30223910646237</v>
      </c>
      <c r="E706" s="118" t="n">
        <v>89.74055480957031</v>
      </c>
      <c r="F706" s="119" t="n">
        <v>8348200</v>
      </c>
      <c r="G706" s="120" t="n">
        <v>0.005337338110416256</v>
      </c>
      <c r="H706" s="121" t="n">
        <v>57.39529172633519</v>
      </c>
      <c r="I706" s="118" t="n">
        <v>88.32898620605469</v>
      </c>
      <c r="J706" s="118" t="n">
        <v>95.10626831054688</v>
      </c>
      <c r="K706" s="120" t="n">
        <v>0.1587835889027115</v>
      </c>
      <c r="L706" s="120" t="n">
        <v>-0.06220939887908161</v>
      </c>
      <c r="M706" s="120" t="n">
        <v>-0.2263058818050618</v>
      </c>
      <c r="N706" t="n">
        <v>52.0986471967304</v>
      </c>
      <c r="O706" t="n">
        <v>0.1429425475791933</v>
      </c>
      <c r="P706" t="n">
        <v>125.8925787969572</v>
      </c>
      <c r="Q706" t="n">
        <v>129.4948163912564</v>
      </c>
    </row>
    <row r="707">
      <c r="A707" s="117" t="n">
        <v>45457</v>
      </c>
      <c r="B707" s="118" t="n">
        <v>89.37846226526391</v>
      </c>
      <c r="C707" s="118" t="n">
        <v>90.31226299345407</v>
      </c>
      <c r="D707" s="118" t="n">
        <v>88.90203124523534</v>
      </c>
      <c r="E707" s="118" t="n">
        <v>88.98778533935547</v>
      </c>
      <c r="F707" s="119" t="n">
        <v>7426800</v>
      </c>
      <c r="G707" s="120" t="n">
        <v>-0.008388286341801887</v>
      </c>
      <c r="H707" s="121" t="n">
        <v>56.91384358466344</v>
      </c>
      <c r="I707" s="118" t="n">
        <v>88.41792083740235</v>
      </c>
      <c r="J707" s="118" t="n">
        <v>95.07316841125488</v>
      </c>
      <c r="K707" s="120" t="n">
        <v>0.1626991164202085</v>
      </c>
      <c r="L707" s="120" t="n">
        <v>-0.07007585496993429</v>
      </c>
      <c r="M707" s="120" t="n">
        <v>-0.2327958496094489</v>
      </c>
      <c r="N707" t="n">
        <v>48.5231728629763</v>
      </c>
      <c r="O707" t="n">
        <v>0.01615106558888119</v>
      </c>
      <c r="P707" t="n">
        <v>125.9691554816552</v>
      </c>
      <c r="Q707" t="n">
        <v>130.1657863784525</v>
      </c>
    </row>
    <row r="708">
      <c r="A708" s="117" t="n">
        <v>45460</v>
      </c>
      <c r="B708" s="118" t="n">
        <v>87.6728408175925</v>
      </c>
      <c r="C708" s="118" t="n">
        <v>90.63624242745512</v>
      </c>
      <c r="D708" s="118" t="n">
        <v>87.6728408175925</v>
      </c>
      <c r="E708" s="118" t="n">
        <v>90.52189636230469</v>
      </c>
      <c r="F708" s="119" t="n">
        <v>6365400</v>
      </c>
      <c r="G708" s="120" t="n">
        <v>0.01723956852166708</v>
      </c>
      <c r="H708" s="121" t="n">
        <v>57.89501369097268</v>
      </c>
      <c r="I708" s="118" t="n">
        <v>88.54190383911133</v>
      </c>
      <c r="J708" s="118" t="n">
        <v>95.04618896484375</v>
      </c>
      <c r="K708" s="120" t="n">
        <v>0.1722218622318252</v>
      </c>
      <c r="L708" s="120" t="n">
        <v>-0.01605402276059342</v>
      </c>
      <c r="M708" s="120" t="n">
        <v>-0.2195695810886836</v>
      </c>
      <c r="N708" t="n">
        <v>55.26171605623546</v>
      </c>
      <c r="O708" t="n">
        <v>0.02933845688431402</v>
      </c>
      <c r="P708" t="n">
        <v>126.9717368898428</v>
      </c>
      <c r="Q708" t="n">
        <v>131.7602808219102</v>
      </c>
    </row>
    <row r="709">
      <c r="A709" s="117" t="n">
        <v>45461</v>
      </c>
      <c r="B709" s="118" t="n">
        <v>90.20746332328743</v>
      </c>
      <c r="C709" s="118" t="n">
        <v>90.76965580526561</v>
      </c>
      <c r="D709" s="118" t="n">
        <v>89.76914758077245</v>
      </c>
      <c r="E709" s="118" t="n">
        <v>90.31227874755859</v>
      </c>
      <c r="F709" s="119" t="n">
        <v>6712000</v>
      </c>
      <c r="G709" s="120" t="n">
        <v>-0.002315656467327232</v>
      </c>
      <c r="H709" s="121" t="n">
        <v>57.76094872809318</v>
      </c>
      <c r="I709" s="118" t="n">
        <v>88.63967422485352</v>
      </c>
      <c r="J709" s="118" t="n">
        <v>95.01999328613282</v>
      </c>
      <c r="K709" s="120" t="n">
        <v>0.1713669909533758</v>
      </c>
      <c r="L709" s="120" t="n">
        <v>-0.01833250362628847</v>
      </c>
      <c r="M709" s="120" t="n">
        <v>-0.2213767898355344</v>
      </c>
      <c r="N709" t="n">
        <v>54.21736072951214</v>
      </c>
      <c r="O709" t="n">
        <v>0.01822303300351358</v>
      </c>
      <c r="P709" t="n">
        <v>127.29432199303</v>
      </c>
      <c r="Q709" t="n">
        <v>131.8010224504326</v>
      </c>
    </row>
    <row r="710">
      <c r="A710" s="117" t="n">
        <v>45463</v>
      </c>
      <c r="B710" s="118" t="n">
        <v>89.45469364205583</v>
      </c>
      <c r="C710" s="118" t="n">
        <v>91.56051806509103</v>
      </c>
      <c r="D710" s="118" t="n">
        <v>89.11166269561234</v>
      </c>
      <c r="E710" s="118" t="n">
        <v>91.06503295898438</v>
      </c>
      <c r="F710" s="119" t="n">
        <v>9393800</v>
      </c>
      <c r="G710" s="120" t="n">
        <v>0.008335015148160263</v>
      </c>
      <c r="H710" s="121" t="n">
        <v>58.24238711071396</v>
      </c>
      <c r="I710" s="118" t="n">
        <v>88.73351638793946</v>
      </c>
      <c r="J710" s="118" t="n">
        <v>94.99289558410645</v>
      </c>
      <c r="K710" s="120" t="n">
        <v>0.1694083114853239</v>
      </c>
      <c r="L710" s="120" t="n">
        <v>-0.01015029017355684</v>
      </c>
      <c r="M710" s="120" t="n">
        <v>-0.2148869535841044</v>
      </c>
      <c r="N710" t="n">
        <v>57.33553461237645</v>
      </c>
      <c r="O710" t="n">
        <v>0.05383255197310033</v>
      </c>
      <c r="P710" t="n">
        <v>126.9485485852439</v>
      </c>
      <c r="Q710" t="n">
        <v>130.7850994037844</v>
      </c>
    </row>
    <row r="711">
      <c r="A711" s="117" t="n">
        <v>45464</v>
      </c>
      <c r="B711" s="118" t="n">
        <v>91.43664346273265</v>
      </c>
      <c r="C711" s="118" t="n">
        <v>92.62772105150796</v>
      </c>
      <c r="D711" s="118" t="n">
        <v>90.92209707201043</v>
      </c>
      <c r="E711" s="118" t="n">
        <v>92.59913635253906</v>
      </c>
      <c r="F711" s="119" t="n">
        <v>15124400</v>
      </c>
      <c r="G711" s="120" t="n">
        <v>0.01684623992005418</v>
      </c>
      <c r="H711" s="121" t="n">
        <v>59.22355233749771</v>
      </c>
      <c r="I711" s="118" t="n">
        <v>88.89600692749023</v>
      </c>
      <c r="J711" s="118" t="n">
        <v>94.98308296203614</v>
      </c>
      <c r="K711" s="120" t="n">
        <v>0.1763853288876191</v>
      </c>
      <c r="L711" s="120" t="n">
        <v>0</v>
      </c>
      <c r="M711" s="120" t="n">
        <v>-0.2016607508398176</v>
      </c>
      <c r="N711" t="n">
        <v>62.88371002696333</v>
      </c>
      <c r="O711" t="n">
        <v>0.1666028342365723</v>
      </c>
      <c r="P711" t="n">
        <v>126.7783313003558</v>
      </c>
      <c r="Q711" t="n">
        <v>130.4346844826831</v>
      </c>
    </row>
    <row r="712">
      <c r="A712" s="117" t="n">
        <v>45467</v>
      </c>
      <c r="B712" s="118" t="n">
        <v>92.71349160231468</v>
      </c>
      <c r="C712" s="118" t="n">
        <v>93.41860756918503</v>
      </c>
      <c r="D712" s="118" t="n">
        <v>92.12271444264627</v>
      </c>
      <c r="E712" s="118" t="n">
        <v>92.58961486816406</v>
      </c>
      <c r="F712" s="119" t="n">
        <v>9466900</v>
      </c>
      <c r="G712" s="120" t="n">
        <v>-0.0001028247643557467</v>
      </c>
      <c r="H712" s="121" t="n">
        <v>59.2174626896843</v>
      </c>
      <c r="I712" s="118" t="n">
        <v>89.00135818481445</v>
      </c>
      <c r="J712" s="118" t="n">
        <v>94.97388252258301</v>
      </c>
      <c r="K712" s="120" t="n">
        <v>0.1682019492561399</v>
      </c>
      <c r="L712" s="120" t="n">
        <v>-0.0001028247643557467</v>
      </c>
      <c r="M712" s="120" t="n">
        <v>-0.2017428398849885</v>
      </c>
      <c r="N712" t="n">
        <v>62.82909911614576</v>
      </c>
      <c r="O712" t="n">
        <v>0.2229341284601345</v>
      </c>
      <c r="P712" t="n">
        <v>126.3662224666155</v>
      </c>
      <c r="Q712" t="n">
        <v>128.94972931064</v>
      </c>
    </row>
    <row r="713">
      <c r="A713" s="117" t="n">
        <v>45468</v>
      </c>
      <c r="B713" s="118" t="n">
        <v>92.72300842117842</v>
      </c>
      <c r="C713" s="118" t="n">
        <v>93.03745465823093</v>
      </c>
      <c r="D713" s="118" t="n">
        <v>90.04546825237829</v>
      </c>
      <c r="E713" s="118" t="n">
        <v>90.28368377685547</v>
      </c>
      <c r="F713" s="119" t="n">
        <v>9006500</v>
      </c>
      <c r="G713" s="120" t="n">
        <v>-0.02490485671197518</v>
      </c>
      <c r="H713" s="121" t="n">
        <v>57.74266026655097</v>
      </c>
      <c r="I713" s="118" t="n">
        <v>89.0605908203125</v>
      </c>
      <c r="J713" s="118" t="n">
        <v>94.96375667572022</v>
      </c>
      <c r="K713" s="120" t="n">
        <v>0.195710684241421</v>
      </c>
      <c r="L713" s="120" t="n">
        <v>-0.02500512064030824</v>
      </c>
      <c r="M713" s="120" t="n">
        <v>-0.2216233200769611</v>
      </c>
      <c r="N713" t="n">
        <v>51.22634730732728</v>
      </c>
      <c r="O713" t="n">
        <v>0.09387797060229197</v>
      </c>
      <c r="P713" t="n">
        <v>126.852842276614</v>
      </c>
      <c r="Q713" t="n">
        <v>130.4243480563364</v>
      </c>
    </row>
    <row r="714">
      <c r="A714" s="117" t="n">
        <v>45469</v>
      </c>
      <c r="B714" s="118" t="n">
        <v>89.65479777556973</v>
      </c>
      <c r="C714" s="118" t="n">
        <v>90.02642070876426</v>
      </c>
      <c r="D714" s="118" t="n">
        <v>88.75911228230696</v>
      </c>
      <c r="E714" s="118" t="n">
        <v>89.62621307373047</v>
      </c>
      <c r="F714" s="119" t="n">
        <v>10160400</v>
      </c>
      <c r="G714" s="120" t="n">
        <v>-0.007282275995184273</v>
      </c>
      <c r="H714" s="121" t="n">
        <v>57.32216227779379</v>
      </c>
      <c r="I714" s="118" t="n">
        <v>89.08579223632813</v>
      </c>
      <c r="J714" s="118" t="n">
        <v>94.95156883239746</v>
      </c>
      <c r="K714" s="120" t="n">
        <v>0.1983421440150534</v>
      </c>
      <c r="L714" s="120" t="n">
        <v>-0.03210530244569687</v>
      </c>
      <c r="M714" s="120" t="n">
        <v>-0.2272916738883759</v>
      </c>
      <c r="N714" t="n">
        <v>48.4774728519242</v>
      </c>
      <c r="O714" t="n">
        <v>-0.03962318963302847</v>
      </c>
      <c r="P714" t="n">
        <v>127.011174464352</v>
      </c>
      <c r="Q714" t="n">
        <v>130.6936824383024</v>
      </c>
    </row>
    <row r="715">
      <c r="A715" s="117" t="n">
        <v>45470</v>
      </c>
      <c r="B715" s="118" t="n">
        <v>89.34986871917272</v>
      </c>
      <c r="C715" s="118" t="n">
        <v>90.27414604486322</v>
      </c>
      <c r="D715" s="118" t="n">
        <v>88.98778376746068</v>
      </c>
      <c r="E715" s="118" t="n">
        <v>89.75007629394531</v>
      </c>
      <c r="F715" s="119" t="n">
        <v>25772700</v>
      </c>
      <c r="G715" s="120" t="n">
        <v>0.001381997698741921</v>
      </c>
      <c r="H715" s="121" t="n">
        <v>57.40138137414861</v>
      </c>
      <c r="I715" s="118" t="n">
        <v>89.10796600341797</v>
      </c>
      <c r="J715" s="118" t="n">
        <v>94.94414768218994</v>
      </c>
      <c r="K715" s="120" t="n">
        <v>0.1974749896533216</v>
      </c>
      <c r="L715" s="120" t="n">
        <v>-0.03076767420105231</v>
      </c>
      <c r="M715" s="120" t="n">
        <v>-0.2262237927598909</v>
      </c>
      <c r="N715" t="n">
        <v>49.03236255175361</v>
      </c>
      <c r="O715" t="n">
        <v>-0.1189588249116655</v>
      </c>
      <c r="P715" t="n">
        <v>127.2113881633448</v>
      </c>
      <c r="Q715" t="n">
        <v>131.0310509771236</v>
      </c>
    </row>
    <row r="716">
      <c r="A716" s="117" t="n">
        <v>45471</v>
      </c>
      <c r="B716" s="118" t="n">
        <v>73.49425473874258</v>
      </c>
      <c r="C716" s="118" t="n">
        <v>75.32375558494931</v>
      </c>
      <c r="D716" s="118" t="n">
        <v>71.03587592591451</v>
      </c>
      <c r="E716" s="118" t="n">
        <v>71.81722259521484</v>
      </c>
      <c r="F716" s="119" t="n">
        <v>129967000</v>
      </c>
      <c r="G716" s="120" t="n">
        <v>-0.1998087850086903</v>
      </c>
      <c r="H716" s="121" t="n">
        <v>45.93208110395951</v>
      </c>
      <c r="I716" s="118" t="n">
        <v>88.74395736694336</v>
      </c>
      <c r="J716" s="118" t="n">
        <v>94.84937168121338</v>
      </c>
      <c r="K716" s="120" t="n">
        <v>0.7355889989174706</v>
      </c>
      <c r="L716" s="120" t="n">
        <v>-0.2244288076100871</v>
      </c>
      <c r="M716" s="120" t="n">
        <v>-0.3808310765971696</v>
      </c>
      <c r="N716" t="n">
        <v>18.30115230279927</v>
      </c>
      <c r="O716" t="n">
        <v>-1.312252012169887</v>
      </c>
      <c r="P716" t="n">
        <v>126.7108175477564</v>
      </c>
      <c r="Q716" t="n">
        <v>130.3508772077015</v>
      </c>
    </row>
    <row r="717">
      <c r="A717" s="117" t="n">
        <v>45474</v>
      </c>
      <c r="B717" s="118" t="n">
        <v>71.94109607078744</v>
      </c>
      <c r="C717" s="118" t="n">
        <v>73.42755877586011</v>
      </c>
      <c r="D717" s="118" t="n">
        <v>70.788133681627</v>
      </c>
      <c r="E717" s="118" t="n">
        <v>73.20840454101562</v>
      </c>
      <c r="F717" s="119" t="n">
        <v>44369000</v>
      </c>
      <c r="G717" s="120" t="n">
        <v>0.01937114657916994</v>
      </c>
      <c r="H717" s="121" t="n">
        <v>46.82183817971063</v>
      </c>
      <c r="I717" s="118" t="n">
        <v>88.39068740844726</v>
      </c>
      <c r="J717" s="118" t="n">
        <v>94.76235282897949</v>
      </c>
      <c r="K717" s="120" t="n">
        <v>0.7367045510182031</v>
      </c>
      <c r="L717" s="120" t="n">
        <v>-0.2094051043597205</v>
      </c>
      <c r="M717" s="120" t="n">
        <v>-0.3688370646246666</v>
      </c>
      <c r="N717" t="n">
        <v>22.36621115232926</v>
      </c>
      <c r="O717" t="n">
        <v>-1.904992113225064</v>
      </c>
      <c r="P717" t="n">
        <v>126.9715914174174</v>
      </c>
      <c r="Q717" t="n">
        <v>131.1154119892308</v>
      </c>
    </row>
    <row r="718">
      <c r="A718" s="117" t="n">
        <v>45475</v>
      </c>
      <c r="B718" s="118" t="n">
        <v>73.19886634681284</v>
      </c>
      <c r="C718" s="118" t="n">
        <v>73.31321241610733</v>
      </c>
      <c r="D718" s="118" t="n">
        <v>71.83627325087045</v>
      </c>
      <c r="E718" s="118" t="n">
        <v>72.45563507080078</v>
      </c>
      <c r="F718" s="119" t="n">
        <v>26183400</v>
      </c>
      <c r="G718" s="120" t="n">
        <v>-0.0102825553286453</v>
      </c>
      <c r="H718" s="121" t="n">
        <v>46.34039003803888</v>
      </c>
      <c r="I718" s="118" t="n">
        <v>88.04533187866211</v>
      </c>
      <c r="J718" s="118" t="n">
        <v>94.66657432556153</v>
      </c>
      <c r="K718" s="120" t="n">
        <v>0.7363370372006539</v>
      </c>
      <c r="L718" s="120" t="n">
        <v>-0.2175344401166862</v>
      </c>
      <c r="M718" s="120" t="n">
        <v>-0.3753270324290536</v>
      </c>
      <c r="N718" t="n">
        <v>21.73598985347353</v>
      </c>
      <c r="O718" t="n">
        <v>-2.222724867283319</v>
      </c>
      <c r="P718" t="n">
        <v>127.8260818966109</v>
      </c>
      <c r="Q718" t="n">
        <v>132.4920696034142</v>
      </c>
    </row>
    <row r="719">
      <c r="A719" s="117" t="n">
        <v>45476</v>
      </c>
      <c r="B719" s="118" t="n">
        <v>71.94109030378355</v>
      </c>
      <c r="C719" s="118" t="n">
        <v>72.34129065079705</v>
      </c>
      <c r="D719" s="118" t="n">
        <v>71.4837132859388</v>
      </c>
      <c r="E719" s="118" t="n">
        <v>71.69334411621094</v>
      </c>
      <c r="F719" s="119" t="n">
        <v>15952000</v>
      </c>
      <c r="G719" s="120" t="n">
        <v>-0.01052079598563949</v>
      </c>
      <c r="H719" s="121" t="n">
        <v>45.85285224855372</v>
      </c>
      <c r="I719" s="118" t="n">
        <v>87.69118453979492</v>
      </c>
      <c r="J719" s="118" t="n">
        <v>94.57136749267578</v>
      </c>
      <c r="K719" s="120" t="n">
        <v>0.7346861197955431</v>
      </c>
      <c r="L719" s="120" t="n">
        <v>-0.2257666006380077</v>
      </c>
      <c r="M719" s="120" t="n">
        <v>-0.3818990892786116</v>
      </c>
      <c r="N719" t="n">
        <v>21.08798364843862</v>
      </c>
      <c r="O719" t="n">
        <v>-2.34697386733069</v>
      </c>
      <c r="P719" t="n">
        <v>128.3965374653317</v>
      </c>
      <c r="Q719" t="n">
        <v>133.5966744897416</v>
      </c>
    </row>
    <row r="720">
      <c r="A720" s="117" t="n">
        <v>45478</v>
      </c>
      <c r="B720" s="118" t="n">
        <v>71.80768196884202</v>
      </c>
      <c r="C720" s="118" t="n">
        <v>72.50326716811468</v>
      </c>
      <c r="D720" s="118" t="n">
        <v>71.25502025588551</v>
      </c>
      <c r="E720" s="118" t="n">
        <v>71.87438201904297</v>
      </c>
      <c r="F720" s="119" t="n">
        <v>19603700</v>
      </c>
      <c r="G720" s="120" t="n">
        <v>0.002525170293891987</v>
      </c>
      <c r="H720" s="121" t="n">
        <v>45.96863850894199</v>
      </c>
      <c r="I720" s="118" t="n">
        <v>87.34388534545899</v>
      </c>
      <c r="J720" s="118" t="n">
        <v>94.48060058593749</v>
      </c>
      <c r="K720" s="120" t="n">
        <v>0.7358368089329219</v>
      </c>
      <c r="L720" s="120" t="n">
        <v>-0.2238115294573997</v>
      </c>
      <c r="M720" s="120" t="n">
        <v>-0.3803382792202303</v>
      </c>
      <c r="N720" t="n">
        <v>21.68512538363481</v>
      </c>
      <c r="O720" t="n">
        <v>-2.277887388792943</v>
      </c>
      <c r="P720" t="n">
        <v>129.1369048268474</v>
      </c>
      <c r="Q720" t="n">
        <v>134.9896673491335</v>
      </c>
    </row>
    <row r="721">
      <c r="A721" s="117" t="n">
        <v>45481</v>
      </c>
      <c r="B721" s="118" t="n">
        <v>71.8553300108468</v>
      </c>
      <c r="C721" s="118" t="n">
        <v>71.93155344911899</v>
      </c>
      <c r="D721" s="118" t="n">
        <v>69.55892900224651</v>
      </c>
      <c r="E721" s="118" t="n">
        <v>69.60657501220703</v>
      </c>
      <c r="F721" s="119" t="n">
        <v>29905000</v>
      </c>
      <c r="G721" s="120" t="n">
        <v>-0.03155236877355116</v>
      </c>
      <c r="H721" s="121" t="n">
        <v>44.51821907468978</v>
      </c>
      <c r="I721" s="118" t="n">
        <v>86.93946029663086</v>
      </c>
      <c r="J721" s="118" t="n">
        <v>94.38268917083741</v>
      </c>
      <c r="K721" s="120" t="n">
        <v>0.7335311691968905</v>
      </c>
      <c r="L721" s="120" t="n">
        <v>-0.2483021143177385</v>
      </c>
      <c r="M721" s="120" t="n">
        <v>-0.3998900743491269</v>
      </c>
      <c r="N721" t="n">
        <v>19.67648130595603</v>
      </c>
      <c r="O721" t="n">
        <v>-2.242331400232099</v>
      </c>
      <c r="P721" t="n">
        <v>129.2859267793637</v>
      </c>
      <c r="Q721" t="n">
        <v>135.3107090327025</v>
      </c>
    </row>
    <row r="722">
      <c r="A722" s="117" t="n">
        <v>45482</v>
      </c>
      <c r="B722" s="118" t="n">
        <v>69.84478805452775</v>
      </c>
      <c r="C722" s="118" t="n">
        <v>70.64518865130704</v>
      </c>
      <c r="D722" s="118" t="n">
        <v>68.96814948264925</v>
      </c>
      <c r="E722" s="118" t="n">
        <v>69.04438018798828</v>
      </c>
      <c r="F722" s="119" t="n">
        <v>23445500</v>
      </c>
      <c r="G722" s="120" t="n">
        <v>-0.008076748843340642</v>
      </c>
      <c r="H722" s="121" t="n">
        <v>44.1586566002707</v>
      </c>
      <c r="I722" s="118" t="n">
        <v>86.53707931518555</v>
      </c>
      <c r="J722" s="118" t="n">
        <v>94.28470035552978</v>
      </c>
      <c r="K722" s="120" t="n">
        <v>0.729588947678905</v>
      </c>
      <c r="L722" s="120" t="n">
        <v>-0.2543733893464644</v>
      </c>
      <c r="M722" s="120" t="n">
        <v>-0.4047370114970049</v>
      </c>
      <c r="N722" t="n">
        <v>19.2016439297015</v>
      </c>
      <c r="O722" t="n">
        <v>-2.115696665157357</v>
      </c>
      <c r="P722" t="n">
        <v>129.4116440493409</v>
      </c>
      <c r="Q722" t="n">
        <v>135.4276818055319</v>
      </c>
    </row>
    <row r="723">
      <c r="A723" s="117" t="n">
        <v>45483</v>
      </c>
      <c r="B723" s="118" t="n">
        <v>68.85382049065333</v>
      </c>
      <c r="C723" s="118" t="n">
        <v>69.2159054878895</v>
      </c>
      <c r="D723" s="118" t="n">
        <v>68.29162804599166</v>
      </c>
      <c r="E723" s="118" t="n">
        <v>69.12062072753906</v>
      </c>
      <c r="F723" s="119" t="n">
        <v>21378200</v>
      </c>
      <c r="G723" s="120" t="n">
        <v>0.001104225128000236</v>
      </c>
      <c r="H723" s="121" t="n">
        <v>44.20741769850745</v>
      </c>
      <c r="I723" s="118" t="n">
        <v>86.13280639648437</v>
      </c>
      <c r="J723" s="118" t="n">
        <v>94.19863956451417</v>
      </c>
      <c r="K723" s="120" t="n">
        <v>0.7309030107874009</v>
      </c>
      <c r="L723" s="120" t="n">
        <v>-0.253550049706875</v>
      </c>
      <c r="M723" s="120" t="n">
        <v>-0.4040797071473313</v>
      </c>
      <c r="N723" t="n">
        <v>19.48540699231161</v>
      </c>
      <c r="O723" t="n">
        <v>-1.893048384247173</v>
      </c>
      <c r="P723" t="n">
        <v>130.6922232623496</v>
      </c>
      <c r="Q723" t="n">
        <v>136.8397366459788</v>
      </c>
    </row>
    <row r="724">
      <c r="A724" s="117" t="n">
        <v>45484</v>
      </c>
      <c r="B724" s="118" t="n">
        <v>69.2730648821621</v>
      </c>
      <c r="C724" s="118" t="n">
        <v>70.27357289569986</v>
      </c>
      <c r="D724" s="118" t="n">
        <v>68.88239524023757</v>
      </c>
      <c r="E724" s="118" t="n">
        <v>69.9305419921875</v>
      </c>
      <c r="F724" s="119" t="n">
        <v>15876700</v>
      </c>
      <c r="G724" s="120" t="n">
        <v>0.01171750566073482</v>
      </c>
      <c r="H724" s="121" t="n">
        <v>44.72541836563618</v>
      </c>
      <c r="I724" s="118" t="n">
        <v>85.7458706665039</v>
      </c>
      <c r="J724" s="118" t="n">
        <v>94.12011604309082</v>
      </c>
      <c r="K724" s="120" t="n">
        <v>0.7350705200494255</v>
      </c>
      <c r="L724" s="120" t="n">
        <v>-0.24480351818886</v>
      </c>
      <c r="M724" s="120" t="n">
        <v>-0.3970970077424835</v>
      </c>
      <c r="N724" t="n">
        <v>22.59541528380461</v>
      </c>
      <c r="O724" t="n">
        <v>-1.570755833637185</v>
      </c>
      <c r="P724" t="n">
        <v>129.5653065722255</v>
      </c>
      <c r="Q724" t="n">
        <v>133.8388170228523</v>
      </c>
    </row>
    <row r="725">
      <c r="A725" s="117" t="n">
        <v>45485</v>
      </c>
      <c r="B725" s="118" t="n">
        <v>70.10206009365542</v>
      </c>
      <c r="C725" s="118" t="n">
        <v>70.5594370722132</v>
      </c>
      <c r="D725" s="118" t="n">
        <v>69.72091382315068</v>
      </c>
      <c r="E725" s="118" t="n">
        <v>69.95912933349609</v>
      </c>
      <c r="F725" s="119" t="n">
        <v>14527500</v>
      </c>
      <c r="G725" s="120" t="n">
        <v>0.000408796221138763</v>
      </c>
      <c r="H725" s="121" t="n">
        <v>44.7437019476529</v>
      </c>
      <c r="I725" s="118" t="n">
        <v>85.39367584228516</v>
      </c>
      <c r="J725" s="118" t="n">
        <v>94.04291362762451</v>
      </c>
      <c r="K725" s="120" t="n">
        <v>0.7352015708579903</v>
      </c>
      <c r="L725" s="120" t="n">
        <v>-0.2444947967208784</v>
      </c>
      <c r="M725" s="120" t="n">
        <v>-0.3968505432775353</v>
      </c>
      <c r="N725" t="n">
        <v>22.70889861861311</v>
      </c>
      <c r="O725" t="n">
        <v>-1.249186128648744</v>
      </c>
      <c r="P725" t="n">
        <v>130.3825561105324</v>
      </c>
      <c r="Q725" t="n">
        <v>134.6250985715007</v>
      </c>
    </row>
    <row r="726">
      <c r="A726" s="117" t="n">
        <v>45488</v>
      </c>
      <c r="B726" s="118" t="n">
        <v>69.55893239399731</v>
      </c>
      <c r="C726" s="118" t="n">
        <v>69.56846305040622</v>
      </c>
      <c r="D726" s="118" t="n">
        <v>67.88189308430763</v>
      </c>
      <c r="E726" s="118" t="n">
        <v>67.94859313964844</v>
      </c>
      <c r="F726" s="119" t="n">
        <v>20775800</v>
      </c>
      <c r="G726" s="120" t="n">
        <v>-0.02873872521002085</v>
      </c>
      <c r="H726" s="121" t="n">
        <v>43.45782499250024</v>
      </c>
      <c r="I726" s="118" t="n">
        <v>85.0377182006836</v>
      </c>
      <c r="J726" s="118" t="n">
        <v>93.95768516540528</v>
      </c>
      <c r="K726" s="120" t="n">
        <v>0.7351403308432312</v>
      </c>
      <c r="L726" s="120" t="n">
        <v>-0.2662070531526579</v>
      </c>
      <c r="M726" s="120" t="n">
        <v>-0.4141842897748557</v>
      </c>
      <c r="N726" t="n">
        <v>20.43927565178812</v>
      </c>
      <c r="O726" t="n">
        <v>-1.072211656974002</v>
      </c>
      <c r="P726" t="n">
        <v>130.7411019972633</v>
      </c>
      <c r="Q726" t="n">
        <v>134.9869490032436</v>
      </c>
    </row>
    <row r="727">
      <c r="A727" s="117" t="n">
        <v>45489</v>
      </c>
      <c r="B727" s="118" t="n">
        <v>68.13916760125871</v>
      </c>
      <c r="C727" s="118" t="n">
        <v>69.52081467336151</v>
      </c>
      <c r="D727" s="118" t="n">
        <v>68.13916760125871</v>
      </c>
      <c r="E727" s="118" t="n">
        <v>69.37788391113281</v>
      </c>
      <c r="F727" s="119" t="n">
        <v>20980700</v>
      </c>
      <c r="G727" s="120" t="n">
        <v>0.02103488395332764</v>
      </c>
      <c r="H727" s="121" t="n">
        <v>44.3719552980815</v>
      </c>
      <c r="I727" s="118" t="n">
        <v>84.6710514831543</v>
      </c>
      <c r="J727" s="118" t="n">
        <v>93.88313800811767</v>
      </c>
      <c r="K727" s="120" t="n">
        <v>0.744759933346093</v>
      </c>
      <c r="L727" s="120" t="n">
        <v>-0.2507718036699539</v>
      </c>
      <c r="M727" s="120" t="n">
        <v>-0.4018617242922335</v>
      </c>
      <c r="N727" t="n">
        <v>26.09423321985433</v>
      </c>
      <c r="O727" t="n">
        <v>-0.7731784623899181</v>
      </c>
      <c r="P727" t="n">
        <v>131.5164263825877</v>
      </c>
      <c r="Q727" t="n">
        <v>135.0386395249337</v>
      </c>
    </row>
    <row r="728">
      <c r="A728" s="117" t="n">
        <v>45490</v>
      </c>
      <c r="B728" s="118" t="n">
        <v>69.11108683423548</v>
      </c>
      <c r="C728" s="118" t="n">
        <v>69.88290280762097</v>
      </c>
      <c r="D728" s="118" t="n">
        <v>69.08250213444504</v>
      </c>
      <c r="E728" s="118" t="n">
        <v>69.62563323974609</v>
      </c>
      <c r="F728" s="119" t="n">
        <v>11161600</v>
      </c>
      <c r="G728" s="120" t="n">
        <v>0.003571013046904437</v>
      </c>
      <c r="H728" s="121" t="n">
        <v>44.53040812936761</v>
      </c>
      <c r="I728" s="118" t="n">
        <v>84.31427520751953</v>
      </c>
      <c r="J728" s="118" t="n">
        <v>93.80883979797363</v>
      </c>
      <c r="K728" s="120" t="n">
        <v>0.7394029767213176</v>
      </c>
      <c r="L728" s="120" t="n">
        <v>-0.2480963000057506</v>
      </c>
      <c r="M728" s="120" t="n">
        <v>-0.3997257647058282</v>
      </c>
      <c r="N728" t="n">
        <v>27.06197876129521</v>
      </c>
      <c r="O728" t="n">
        <v>-0.4869580236197493</v>
      </c>
      <c r="P728" t="n">
        <v>129.672388824517</v>
      </c>
      <c r="Q728" t="n">
        <v>131.0745948511004</v>
      </c>
    </row>
    <row r="729">
      <c r="A729" s="117" t="n">
        <v>45491</v>
      </c>
      <c r="B729" s="118" t="n">
        <v>69.53033962453465</v>
      </c>
      <c r="C729" s="118" t="n">
        <v>70.44508625007929</v>
      </c>
      <c r="D729" s="118" t="n">
        <v>68.93956258168376</v>
      </c>
      <c r="E729" s="118" t="n">
        <v>68.96814727783203</v>
      </c>
      <c r="F729" s="119" t="n">
        <v>14440100</v>
      </c>
      <c r="G729" s="120" t="n">
        <v>-0.009443159527901201</v>
      </c>
      <c r="H729" s="121" t="n">
        <v>44.10990038155943</v>
      </c>
      <c r="I729" s="118" t="n">
        <v>83.92137985229492</v>
      </c>
      <c r="J729" s="118" t="n">
        <v>93.70302326202392</v>
      </c>
      <c r="K729" s="120" t="n">
        <v>0.7386145792681367</v>
      </c>
      <c r="L729" s="120" t="n">
        <v>-0.2551966465944155</v>
      </c>
      <c r="M729" s="120" t="n">
        <v>-0.4053942500701999</v>
      </c>
      <c r="N729" t="n">
        <v>26.08576459764602</v>
      </c>
      <c r="O729" t="n">
        <v>-0.2804326459360595</v>
      </c>
      <c r="P729" t="n">
        <v>128.675902710951</v>
      </c>
      <c r="Q729" t="n">
        <v>130.454266641038</v>
      </c>
    </row>
    <row r="730">
      <c r="A730" s="117" t="n">
        <v>45492</v>
      </c>
      <c r="B730" s="118" t="n">
        <v>68.89193226747383</v>
      </c>
      <c r="C730" s="118" t="n">
        <v>69.38741735739561</v>
      </c>
      <c r="D730" s="118" t="n">
        <v>68.46313996354532</v>
      </c>
      <c r="E730" s="118" t="n">
        <v>69.2730712890625</v>
      </c>
      <c r="F730" s="119" t="n">
        <v>11913300</v>
      </c>
      <c r="G730" s="120" t="n">
        <v>0.004421229556915707</v>
      </c>
      <c r="H730" s="121" t="n">
        <v>44.30492037687899</v>
      </c>
      <c r="I730" s="118" t="n">
        <v>83.52661026000976</v>
      </c>
      <c r="J730" s="118" t="n">
        <v>93.60372718811035</v>
      </c>
      <c r="K730" s="120" t="n">
        <v>0.7372994128477512</v>
      </c>
      <c r="L730" s="120" t="n">
        <v>-0.2519036999942489</v>
      </c>
      <c r="M730" s="120" t="n">
        <v>-0.4027653615538983</v>
      </c>
      <c r="N730" t="n">
        <v>27.39388754012965</v>
      </c>
      <c r="O730" t="n">
        <v>-0.0726270713099666</v>
      </c>
      <c r="P730" t="n">
        <v>127.8214267790001</v>
      </c>
      <c r="Q730" t="n">
        <v>129.2979712330206</v>
      </c>
    </row>
    <row r="731">
      <c r="A731" s="117" t="n">
        <v>45495</v>
      </c>
      <c r="B731" s="118" t="n">
        <v>69.67328258613173</v>
      </c>
      <c r="C731" s="118" t="n">
        <v>71.78863043920433</v>
      </c>
      <c r="D731" s="118" t="n">
        <v>69.62563657102741</v>
      </c>
      <c r="E731" s="118" t="n">
        <v>71.33126068115234</v>
      </c>
      <c r="F731" s="119" t="n">
        <v>19385500</v>
      </c>
      <c r="G731" s="120" t="n">
        <v>0.02971124787439305</v>
      </c>
      <c r="H731" s="121" t="n">
        <v>45.62127484825169</v>
      </c>
      <c r="I731" s="118" t="n">
        <v>83.17661102294922</v>
      </c>
      <c r="J731" s="118" t="n">
        <v>93.51222415924072</v>
      </c>
      <c r="K731" s="120" t="n">
        <v>0.7454408663035472</v>
      </c>
      <c r="L731" s="120" t="n">
        <v>-0.2296768253908615</v>
      </c>
      <c r="M731" s="120" t="n">
        <v>-0.3850207751718525</v>
      </c>
      <c r="N731" t="n">
        <v>35.66976423888897</v>
      </c>
      <c r="O731" t="n">
        <v>0.2371422267990511</v>
      </c>
      <c r="P731" t="n">
        <v>129.1392469328953</v>
      </c>
      <c r="Q731" t="n">
        <v>131.2242297243906</v>
      </c>
    </row>
    <row r="732">
      <c r="A732" s="117" t="n">
        <v>45496</v>
      </c>
      <c r="B732" s="118" t="n">
        <v>71.11210279014112</v>
      </c>
      <c r="C732" s="118" t="n">
        <v>71.50277977844721</v>
      </c>
      <c r="D732" s="118" t="n">
        <v>69.7876249245013</v>
      </c>
      <c r="E732" s="118" t="n">
        <v>69.94008636474609</v>
      </c>
      <c r="F732" s="119" t="n">
        <v>11041800</v>
      </c>
      <c r="G732" s="120" t="n">
        <v>-0.01950301036490498</v>
      </c>
      <c r="H732" s="121" t="n">
        <v>44.73152265202607</v>
      </c>
      <c r="I732" s="118" t="n">
        <v>82.80258499145508</v>
      </c>
      <c r="J732" s="118" t="n">
        <v>93.40999481201172</v>
      </c>
      <c r="K732" s="120" t="n">
        <v>0.7445928472096666</v>
      </c>
      <c r="L732" s="120" t="n">
        <v>-0.2447004462495901</v>
      </c>
      <c r="M732" s="120" t="n">
        <v>-0.3970147213678771</v>
      </c>
      <c r="N732" t="n">
        <v>32.93697907944738</v>
      </c>
      <c r="O732" t="n">
        <v>0.3739109643077434</v>
      </c>
      <c r="P732" t="n">
        <v>128.936676580612</v>
      </c>
      <c r="Q732" t="n">
        <v>130.7617165951575</v>
      </c>
    </row>
    <row r="733">
      <c r="A733" s="117" t="n">
        <v>45497</v>
      </c>
      <c r="B733" s="118" t="n">
        <v>69.79714580246983</v>
      </c>
      <c r="C733" s="118" t="n">
        <v>69.93054590911213</v>
      </c>
      <c r="D733" s="118" t="n">
        <v>67.72943687975354</v>
      </c>
      <c r="E733" s="118" t="n">
        <v>67.73896026611328</v>
      </c>
      <c r="F733" s="119" t="n">
        <v>18563300</v>
      </c>
      <c r="G733" s="120" t="n">
        <v>-0.03147159537598609</v>
      </c>
      <c r="H733" s="121" t="n">
        <v>43.32375027056975</v>
      </c>
      <c r="I733" s="118" t="n">
        <v>82.43104446411132</v>
      </c>
      <c r="J733" s="118" t="n">
        <v>93.29723110198975</v>
      </c>
      <c r="K733" s="120" t="n">
        <v>0.7463781105088237</v>
      </c>
      <c r="L733" s="120" t="n">
        <v>-0.2684709281928858</v>
      </c>
      <c r="M733" s="120" t="n">
        <v>-0.4159916300746636</v>
      </c>
      <c r="N733" t="n">
        <v>29.13377160169541</v>
      </c>
      <c r="O733" t="n">
        <v>0.3425352095214098</v>
      </c>
      <c r="P733" t="n">
        <v>126.0146738035434</v>
      </c>
      <c r="Q733" t="n">
        <v>126.0712527119484</v>
      </c>
    </row>
    <row r="734">
      <c r="A734" s="117" t="n">
        <v>45498</v>
      </c>
      <c r="B734" s="118" t="n">
        <v>68.15821543150253</v>
      </c>
      <c r="C734" s="118" t="n">
        <v>69.01579265695175</v>
      </c>
      <c r="D734" s="118" t="n">
        <v>67.56744566378408</v>
      </c>
      <c r="E734" s="118" t="n">
        <v>68.04387664794922</v>
      </c>
      <c r="F734" s="119" t="n">
        <v>13855400</v>
      </c>
      <c r="G734" s="120" t="n">
        <v>0.004501344287513032</v>
      </c>
      <c r="H734" s="121" t="n">
        <v>43.51876538636382</v>
      </c>
      <c r="I734" s="118" t="n">
        <v>82.03181274414062</v>
      </c>
      <c r="J734" s="118" t="n">
        <v>93.17977088928222</v>
      </c>
      <c r="K734" s="120" t="n">
        <v>0.7487586106724391</v>
      </c>
      <c r="L734" s="120" t="n">
        <v>-0.2651780639843572</v>
      </c>
      <c r="M734" s="120" t="n">
        <v>-0.4133628073348403</v>
      </c>
      <c r="N734" t="n">
        <v>30.33384718666157</v>
      </c>
      <c r="O734" t="n">
        <v>0.3665635828776619</v>
      </c>
      <c r="P734" t="n">
        <v>125.3580840117799</v>
      </c>
      <c r="Q734" t="n">
        <v>124.6809781984463</v>
      </c>
    </row>
    <row r="735">
      <c r="A735" s="117" t="n">
        <v>45499</v>
      </c>
      <c r="B735" s="118" t="n">
        <v>68.60606330799455</v>
      </c>
      <c r="C735" s="118" t="n">
        <v>69.34929449733622</v>
      </c>
      <c r="D735" s="118" t="n">
        <v>68.48219386635762</v>
      </c>
      <c r="E735" s="118" t="n">
        <v>69.13966369628906</v>
      </c>
      <c r="F735" s="119" t="n">
        <v>8892000</v>
      </c>
      <c r="G735" s="120" t="n">
        <v>0.0161041243139235</v>
      </c>
      <c r="H735" s="121" t="n">
        <v>44.21959699413429</v>
      </c>
      <c r="I735" s="118" t="n">
        <v>81.65316802978515</v>
      </c>
      <c r="J735" s="118" t="n">
        <v>93.06887351989747</v>
      </c>
      <c r="K735" s="120" t="n">
        <v>0.7541782242427534</v>
      </c>
      <c r="L735" s="120" t="n">
        <v>-0.2533444001781633</v>
      </c>
      <c r="M735" s="120" t="n">
        <v>-0.4039155290569896</v>
      </c>
      <c r="N735" t="n">
        <v>34.6188575289578</v>
      </c>
      <c r="O735" t="n">
        <v>0.4736946291256476</v>
      </c>
      <c r="P735" t="n">
        <v>126.7620383887179</v>
      </c>
      <c r="Q735" t="n">
        <v>125.9597082409423</v>
      </c>
    </row>
    <row r="736">
      <c r="A736" s="117" t="n">
        <v>45502</v>
      </c>
      <c r="B736" s="118" t="n">
        <v>69.08249973600532</v>
      </c>
      <c r="C736" s="118" t="n">
        <v>70.38792338261332</v>
      </c>
      <c r="D736" s="118" t="n">
        <v>68.79663820850381</v>
      </c>
      <c r="E736" s="118" t="n">
        <v>70.0830078125</v>
      </c>
      <c r="F736" s="119" t="n">
        <v>10471800</v>
      </c>
      <c r="G736" s="120" t="n">
        <v>0.01364403680577309</v>
      </c>
      <c r="H736" s="121" t="n">
        <v>44.82293080305871</v>
      </c>
      <c r="I736" s="118" t="n">
        <v>81.31465148925781</v>
      </c>
      <c r="J736" s="118" t="n">
        <v>92.95920524597167</v>
      </c>
      <c r="K736" s="120" t="n">
        <v>0.279348989296904</v>
      </c>
      <c r="L736" s="120" t="n">
        <v>-0.2431570036929576</v>
      </c>
      <c r="M736" s="120" t="n">
        <v>-0.3957825305960934</v>
      </c>
      <c r="N736" t="n">
        <v>38.14602688777779</v>
      </c>
      <c r="O736" t="n">
        <v>0.6164886366335525</v>
      </c>
      <c r="P736" t="n">
        <v>126.8365348177335</v>
      </c>
      <c r="Q736" t="n">
        <v>126.2127241576126</v>
      </c>
    </row>
    <row r="737">
      <c r="A737" s="117" t="n">
        <v>45503</v>
      </c>
      <c r="B737" s="118" t="n">
        <v>70.21640335140509</v>
      </c>
      <c r="C737" s="118" t="n">
        <v>70.97868859220968</v>
      </c>
      <c r="D737" s="118" t="n">
        <v>69.99724189194568</v>
      </c>
      <c r="E737" s="118" t="n">
        <v>70.81670379638672</v>
      </c>
      <c r="F737" s="119" t="n">
        <v>8515700</v>
      </c>
      <c r="G737" s="120" t="n">
        <v>0.01046895683829163</v>
      </c>
      <c r="H737" s="121" t="n">
        <v>45.29218013100167</v>
      </c>
      <c r="I737" s="118" t="n">
        <v>80.98891006469727</v>
      </c>
      <c r="J737" s="118" t="n">
        <v>92.84835105895996</v>
      </c>
      <c r="K737" s="120" t="n">
        <v>0.2724086988249774</v>
      </c>
      <c r="L737" s="120" t="n">
        <v>-0.2352336470312557</v>
      </c>
      <c r="M737" s="120" t="n">
        <v>-0.3894570039879621</v>
      </c>
      <c r="N737" t="n">
        <v>40.82013203481014</v>
      </c>
      <c r="O737" t="n">
        <v>0.7593656431889411</v>
      </c>
      <c r="P737" t="n">
        <v>126.1939394732876</v>
      </c>
      <c r="Q737" t="n">
        <v>124.4796444135096</v>
      </c>
    </row>
    <row r="738">
      <c r="A738" s="117" t="n">
        <v>45504</v>
      </c>
      <c r="B738" s="118" t="n">
        <v>70.98822972773273</v>
      </c>
      <c r="C738" s="118" t="n">
        <v>71.87439181243985</v>
      </c>
      <c r="D738" s="118" t="n">
        <v>70.43556793947212</v>
      </c>
      <c r="E738" s="118" t="n">
        <v>71.33126068115234</v>
      </c>
      <c r="F738" s="119" t="n">
        <v>14632900</v>
      </c>
      <c r="G738" s="120" t="n">
        <v>0.00726603833814532</v>
      </c>
      <c r="H738" s="121" t="n">
        <v>45.62127484825171</v>
      </c>
      <c r="I738" s="118" t="n">
        <v>80.6656771850586</v>
      </c>
      <c r="J738" s="118" t="n">
        <v>92.737241897583</v>
      </c>
      <c r="K738" s="120" t="n">
        <v>0.2720426338042727</v>
      </c>
      <c r="L738" s="120" t="n">
        <v>-0.2296768253908613</v>
      </c>
      <c r="M738" s="120" t="n">
        <v>-0.3850207751718525</v>
      </c>
      <c r="N738" t="n">
        <v>42.69138593858705</v>
      </c>
      <c r="O738" t="n">
        <v>0.8790891299009091</v>
      </c>
      <c r="P738" t="n">
        <v>128.2451588595248</v>
      </c>
      <c r="Q738" t="n">
        <v>128.1634561519481</v>
      </c>
    </row>
    <row r="739">
      <c r="A739" s="117" t="n">
        <v>45505</v>
      </c>
      <c r="B739" s="118" t="n">
        <v>71.17878959601158</v>
      </c>
      <c r="C739" s="118" t="n">
        <v>71.26455095761693</v>
      </c>
      <c r="D739" s="118" t="n">
        <v>69.80667323816824</v>
      </c>
      <c r="E739" s="118" t="n">
        <v>70.36885833740234</v>
      </c>
      <c r="F739" s="119" t="n">
        <v>9563500</v>
      </c>
      <c r="G739" s="120" t="n">
        <v>-0.01349201366357311</v>
      </c>
      <c r="H739" s="121" t="n">
        <v>45.00575198464947</v>
      </c>
      <c r="I739" s="118" t="n">
        <v>80.33097885131836</v>
      </c>
      <c r="J739" s="118" t="n">
        <v>92.618210105896</v>
      </c>
      <c r="K739" s="120" t="n">
        <v>0.2736733068607272</v>
      </c>
      <c r="L739" s="120" t="n">
        <v>-0.2400700361880549</v>
      </c>
      <c r="M739" s="120" t="n">
        <v>-0.3933180832760474</v>
      </c>
      <c r="N739" t="n">
        <v>40.13520177407849</v>
      </c>
      <c r="O739" t="n">
        <v>0.8817646264598387</v>
      </c>
      <c r="P739" t="n">
        <v>126.4291101960891</v>
      </c>
      <c r="Q739" t="n">
        <v>125.059163875398</v>
      </c>
    </row>
    <row r="740">
      <c r="A740" s="117" t="n">
        <v>45506</v>
      </c>
      <c r="B740" s="118" t="n">
        <v>69.39694661919879</v>
      </c>
      <c r="C740" s="118" t="n">
        <v>70.63566295398925</v>
      </c>
      <c r="D740" s="118" t="n">
        <v>68.52983864206082</v>
      </c>
      <c r="E740" s="118" t="n">
        <v>70.52132415771484</v>
      </c>
      <c r="F740" s="119" t="n">
        <v>11526600</v>
      </c>
      <c r="G740" s="120" t="n">
        <v>0.002166666106496518</v>
      </c>
      <c r="H740" s="121" t="n">
        <v>45.103264422072</v>
      </c>
      <c r="I740" s="118" t="n">
        <v>79.97939804077149</v>
      </c>
      <c r="J740" s="118" t="n">
        <v>92.48990200042725</v>
      </c>
      <c r="K740" s="120" t="n">
        <v>0.2736186619501887</v>
      </c>
      <c r="L740" s="120" t="n">
        <v>-0.2384235216921524</v>
      </c>
      <c r="M740" s="120" t="n">
        <v>-0.3920036061296575</v>
      </c>
      <c r="N740" t="n">
        <v>40.74055653269438</v>
      </c>
      <c r="O740" t="n">
        <v>0.8800750181853672</v>
      </c>
      <c r="P740" t="n">
        <v>124.0751917872083</v>
      </c>
      <c r="Q740" t="n">
        <v>122.0908895728194</v>
      </c>
    </row>
    <row r="741">
      <c r="A741" s="117" t="n">
        <v>45509</v>
      </c>
      <c r="B741" s="118" t="n">
        <v>67.71037484266485</v>
      </c>
      <c r="C741" s="118" t="n">
        <v>69.19684458181858</v>
      </c>
      <c r="D741" s="118" t="n">
        <v>67.41498993394195</v>
      </c>
      <c r="E741" s="118" t="n">
        <v>68.05340576171875</v>
      </c>
      <c r="F741" s="119" t="n">
        <v>13191500</v>
      </c>
      <c r="G741" s="120" t="n">
        <v>-0.03499534964029893</v>
      </c>
      <c r="H741" s="121" t="n">
        <v>43.52485991370274</v>
      </c>
      <c r="I741" s="118" t="n">
        <v>79.58453323364257</v>
      </c>
      <c r="J741" s="118" t="n">
        <v>92.34468265533447</v>
      </c>
      <c r="K741" s="120" t="n">
        <v>0.2789702780737768</v>
      </c>
      <c r="L741" s="120" t="n">
        <v>-0.2650751568283629</v>
      </c>
      <c r="M741" s="120" t="n">
        <v>-0.413280652513191</v>
      </c>
      <c r="N741" t="n">
        <v>34.63534232822094</v>
      </c>
      <c r="O741" t="n">
        <v>0.7065053508483299</v>
      </c>
      <c r="P741" t="n">
        <v>120.4616712890526</v>
      </c>
      <c r="Q741" t="n">
        <v>118.4506049284449</v>
      </c>
    </row>
    <row r="742">
      <c r="A742" s="117" t="n">
        <v>45510</v>
      </c>
      <c r="B742" s="118" t="n">
        <v>68.28209603351445</v>
      </c>
      <c r="C742" s="118" t="n">
        <v>69.78761250430414</v>
      </c>
      <c r="D742" s="118" t="n">
        <v>68.13916527616294</v>
      </c>
      <c r="E742" s="118" t="n">
        <v>69.08249664306641</v>
      </c>
      <c r="F742" s="119" t="n">
        <v>13469700</v>
      </c>
      <c r="G742" s="120" t="n">
        <v>0.01512181307943505</v>
      </c>
      <c r="H742" s="121" t="n">
        <v>44.18303470962635</v>
      </c>
      <c r="I742" s="118" t="n">
        <v>79.23113189697266</v>
      </c>
      <c r="J742" s="118" t="n">
        <v>92.20102691650391</v>
      </c>
      <c r="K742" s="120" t="n">
        <v>0.2832636096304934</v>
      </c>
      <c r="L742" s="120" t="n">
        <v>-0.2539617607224883</v>
      </c>
      <c r="M742" s="120" t="n">
        <v>-0.4044083922104074</v>
      </c>
      <c r="N742" t="n">
        <v>38.75669861566514</v>
      </c>
      <c r="O742" t="n">
        <v>0.6558640949559149</v>
      </c>
      <c r="P742" t="n">
        <v>121.5722659730537</v>
      </c>
      <c r="Q742" t="n">
        <v>119.5824100535841</v>
      </c>
    </row>
    <row r="743">
      <c r="A743" s="117" t="n">
        <v>45511</v>
      </c>
      <c r="B743" s="118" t="n">
        <v>69.44458491179975</v>
      </c>
      <c r="C743" s="118" t="n">
        <v>70.7118932072209</v>
      </c>
      <c r="D743" s="118" t="n">
        <v>69.11108464188909</v>
      </c>
      <c r="E743" s="118" t="n">
        <v>69.19684600830078</v>
      </c>
      <c r="F743" s="119" t="n">
        <v>9571200</v>
      </c>
      <c r="G743" s="120" t="n">
        <v>0.001655258144840799</v>
      </c>
      <c r="H743" s="121" t="n">
        <v>44.25616903769324</v>
      </c>
      <c r="I743" s="118" t="n">
        <v>78.87337326049804</v>
      </c>
      <c r="J743" s="118" t="n">
        <v>92.0613363647461</v>
      </c>
      <c r="K743" s="120" t="n">
        <v>0.2832942094316767</v>
      </c>
      <c r="L743" s="120" t="n">
        <v>-0.2527268748505616</v>
      </c>
      <c r="M743" s="120" t="n">
        <v>-0.4034225343506148</v>
      </c>
      <c r="N743" t="n">
        <v>39.21532179729186</v>
      </c>
      <c r="O743" t="n">
        <v>0.6250551706570255</v>
      </c>
      <c r="P743" t="n">
        <v>120.759678825979</v>
      </c>
      <c r="Q743" t="n">
        <v>118.2873615457923</v>
      </c>
    </row>
    <row r="744">
      <c r="A744" s="117" t="n">
        <v>45512</v>
      </c>
      <c r="B744" s="118" t="n">
        <v>69.77808631415277</v>
      </c>
      <c r="C744" s="118" t="n">
        <v>70.71188698777034</v>
      </c>
      <c r="D744" s="118" t="n">
        <v>69.60657086617567</v>
      </c>
      <c r="E744" s="118" t="n">
        <v>70.69283294677734</v>
      </c>
      <c r="F744" s="119" t="n">
        <v>8828000</v>
      </c>
      <c r="G744" s="120" t="n">
        <v>0.02161929372181359</v>
      </c>
      <c r="H744" s="121" t="n">
        <v>45.21295615512136</v>
      </c>
      <c r="I744" s="118" t="n">
        <v>78.54078887939453</v>
      </c>
      <c r="J744" s="118" t="n">
        <v>91.93091659545898</v>
      </c>
      <c r="K744" s="120" t="n">
        <v>0.2907132403832594</v>
      </c>
      <c r="L744" s="120" t="n">
        <v>-0.2365713576675383</v>
      </c>
      <c r="M744" s="120" t="n">
        <v>-0.3905249508929256</v>
      </c>
      <c r="N744" t="n">
        <v>45.01640709728556</v>
      </c>
      <c r="O744" t="n">
        <v>0.6950400773033873</v>
      </c>
      <c r="P744" t="n">
        <v>123.5513164890808</v>
      </c>
      <c r="Q744" t="n">
        <v>121.9058742531784</v>
      </c>
    </row>
    <row r="745">
      <c r="A745" s="117" t="n">
        <v>45513</v>
      </c>
      <c r="B745" s="118" t="n">
        <v>70.62613847740455</v>
      </c>
      <c r="C745" s="118" t="n">
        <v>71.06445415246627</v>
      </c>
      <c r="D745" s="118" t="n">
        <v>69.91149193267684</v>
      </c>
      <c r="E745" s="118" t="n">
        <v>70.83576202392578</v>
      </c>
      <c r="F745" s="119" t="n">
        <v>7186600</v>
      </c>
      <c r="G745" s="120" t="n">
        <v>0.002021832641168064</v>
      </c>
      <c r="H745" s="121" t="n">
        <v>45.30436918567949</v>
      </c>
      <c r="I745" s="118" t="n">
        <v>78.2173274230957</v>
      </c>
      <c r="J745" s="118" t="n">
        <v>91.80055168151856</v>
      </c>
      <c r="K745" s="120" t="n">
        <v>0.2907480062128985</v>
      </c>
      <c r="L745" s="120" t="n">
        <v>-0.2350278327192679</v>
      </c>
      <c r="M745" s="120" t="n">
        <v>-0.3892926943446634</v>
      </c>
      <c r="N745" t="n">
        <v>45.55107231472059</v>
      </c>
      <c r="O745" t="n">
        <v>0.736598751385837</v>
      </c>
      <c r="P745" t="n">
        <v>124.0961252692145</v>
      </c>
      <c r="Q745" t="n">
        <v>122.5425209285365</v>
      </c>
    </row>
    <row r="746">
      <c r="A746" s="117" t="n">
        <v>45516</v>
      </c>
      <c r="B746" s="118" t="n">
        <v>71.18832022844492</v>
      </c>
      <c r="C746" s="118" t="n">
        <v>71.46465108501152</v>
      </c>
      <c r="D746" s="118" t="n">
        <v>70.55943507917215</v>
      </c>
      <c r="E746" s="118" t="n">
        <v>71.12162017822266</v>
      </c>
      <c r="F746" s="119" t="n">
        <v>7067300</v>
      </c>
      <c r="G746" s="120" t="n">
        <v>0.004035506164249636</v>
      </c>
      <c r="H746" s="121" t="n">
        <v>45.48719524679574</v>
      </c>
      <c r="I746" s="118" t="n">
        <v>77.86579330444336</v>
      </c>
      <c r="J746" s="118" t="n">
        <v>91.66044624328613</v>
      </c>
      <c r="K746" s="120" t="n">
        <v>0.2690779465314953</v>
      </c>
      <c r="L746" s="120" t="n">
        <v>-0.231940782822727</v>
      </c>
      <c r="M746" s="120" t="n">
        <v>-0.3868281812481389</v>
      </c>
      <c r="N746" t="n">
        <v>46.66806627901266</v>
      </c>
      <c r="O746" t="n">
        <v>0.7656043814792235</v>
      </c>
      <c r="P746" t="n">
        <v>124.1613696519786</v>
      </c>
      <c r="Q746" t="n">
        <v>122.8064186187228</v>
      </c>
    </row>
    <row r="747">
      <c r="A747" s="117" t="n">
        <v>45517</v>
      </c>
      <c r="B747" s="118" t="n">
        <v>71.70287315708816</v>
      </c>
      <c r="C747" s="118" t="n">
        <v>75.32375205166277</v>
      </c>
      <c r="D747" s="118" t="n">
        <v>71.53135768798177</v>
      </c>
      <c r="E747" s="118" t="n">
        <v>74.79967498779297</v>
      </c>
      <c r="F747" s="119" t="n">
        <v>22114800</v>
      </c>
      <c r="G747" s="120" t="n">
        <v>0.05171500312216626</v>
      </c>
      <c r="H747" s="121" t="n">
        <v>47.83956569100237</v>
      </c>
      <c r="I747" s="118" t="n">
        <v>77.55744689941406</v>
      </c>
      <c r="J747" s="118" t="n">
        <v>91.54646034240723</v>
      </c>
      <c r="K747" s="120" t="n">
        <v>0.3152947026798145</v>
      </c>
      <c r="L747" s="120" t="n">
        <v>-0.1922205980083959</v>
      </c>
      <c r="M747" s="120" t="n">
        <v>-0.355117998726962</v>
      </c>
      <c r="N747" t="n">
        <v>58.47259352341703</v>
      </c>
      <c r="O747" t="n">
        <v>0.9999585822325137</v>
      </c>
      <c r="P747" t="n">
        <v>126.2032206140241</v>
      </c>
      <c r="Q747" t="n">
        <v>125.8535836818031</v>
      </c>
    </row>
    <row r="748">
      <c r="A748" s="117" t="n">
        <v>45518</v>
      </c>
      <c r="B748" s="118" t="n">
        <v>74.32324051453526</v>
      </c>
      <c r="C748" s="118" t="n">
        <v>75.36185666813792</v>
      </c>
      <c r="D748" s="118" t="n">
        <v>73.77057877622309</v>
      </c>
      <c r="E748" s="118" t="n">
        <v>74.8187255859375</v>
      </c>
      <c r="F748" s="119" t="n">
        <v>13613000</v>
      </c>
      <c r="G748" s="120" t="n">
        <v>0.0002546882476113232</v>
      </c>
      <c r="H748" s="121" t="n">
        <v>47.85174986615471</v>
      </c>
      <c r="I748" s="118" t="n">
        <v>77.2548178100586</v>
      </c>
      <c r="J748" s="118" t="n">
        <v>91.4491594696045</v>
      </c>
      <c r="K748" s="120" t="n">
        <v>0.3155680338065146</v>
      </c>
      <c r="L748" s="120" t="n">
        <v>-0.192014866088046</v>
      </c>
      <c r="M748" s="120" t="n">
        <v>-0.3549537548601418</v>
      </c>
      <c r="N748" t="n">
        <v>58.52380122908862</v>
      </c>
      <c r="O748" t="n">
        <v>1.114947845805174</v>
      </c>
      <c r="P748" t="n">
        <v>126.601393189417</v>
      </c>
      <c r="Q748" t="n">
        <v>125.8944175998464</v>
      </c>
    </row>
    <row r="749">
      <c r="A749" s="117" t="n">
        <v>45519</v>
      </c>
      <c r="B749" s="118" t="n">
        <v>78.22996825041588</v>
      </c>
      <c r="C749" s="118" t="n">
        <v>79.14471489224921</v>
      </c>
      <c r="D749" s="118" t="n">
        <v>76.86737530825829</v>
      </c>
      <c r="E749" s="118" t="n">
        <v>78.61111450195312</v>
      </c>
      <c r="F749" s="119" t="n">
        <v>23583600</v>
      </c>
      <c r="G749" s="120" t="n">
        <v>0.05068769731528833</v>
      </c>
      <c r="H749" s="121" t="n">
        <v>50.27724487937724</v>
      </c>
      <c r="I749" s="118" t="n">
        <v>77.02155715942382</v>
      </c>
      <c r="J749" s="118" t="n">
        <v>91.38043506622314</v>
      </c>
      <c r="K749" s="120" t="n">
        <v>0.3521839725061396</v>
      </c>
      <c r="L749" s="120" t="n">
        <v>-0.1510599601850643</v>
      </c>
      <c r="M749" s="120" t="n">
        <v>-0.3222578460321293</v>
      </c>
      <c r="N749" t="n">
        <v>67.19579507957752</v>
      </c>
      <c r="O749" t="n">
        <v>1.387357996597744</v>
      </c>
      <c r="P749" t="n">
        <v>128.7713617164578</v>
      </c>
      <c r="Q749" t="n">
        <v>129.0748990709213</v>
      </c>
    </row>
    <row r="750">
      <c r="A750" s="117" t="n">
        <v>45520</v>
      </c>
      <c r="B750" s="118" t="n">
        <v>78.97321696066486</v>
      </c>
      <c r="C750" s="118" t="n">
        <v>79.98325584175298</v>
      </c>
      <c r="D750" s="118" t="n">
        <v>78.55396253375746</v>
      </c>
      <c r="E750" s="118" t="n">
        <v>79.30672454833984</v>
      </c>
      <c r="F750" s="119" t="n">
        <v>13794200</v>
      </c>
      <c r="G750" s="120" t="n">
        <v>0.008848749325000904</v>
      </c>
      <c r="H750" s="121" t="n">
        <v>50.72213561606653</v>
      </c>
      <c r="I750" s="118" t="n">
        <v>76.81021270751953</v>
      </c>
      <c r="J750" s="118" t="n">
        <v>91.29718505859375</v>
      </c>
      <c r="K750" s="120" t="n">
        <v>0.3521385603212401</v>
      </c>
      <c r="L750" s="120" t="n">
        <v>-0.1435479025807855</v>
      </c>
      <c r="M750" s="120" t="n">
        <v>-0.3162606756046815</v>
      </c>
      <c r="N750" t="n">
        <v>68.49689610759286</v>
      </c>
      <c r="O750" t="n">
        <v>1.543365057181871</v>
      </c>
      <c r="P750" t="n">
        <v>129.0600662917838</v>
      </c>
      <c r="Q750" t="n">
        <v>129.2408524095073</v>
      </c>
    </row>
    <row r="751">
      <c r="A751" s="117" t="n">
        <v>45523</v>
      </c>
      <c r="B751" s="118" t="n">
        <v>79.30671611505473</v>
      </c>
      <c r="C751" s="118" t="n">
        <v>80.03088607987088</v>
      </c>
      <c r="D751" s="118" t="n">
        <v>79.01132391937566</v>
      </c>
      <c r="E751" s="118" t="n">
        <v>79.35435485839844</v>
      </c>
      <c r="F751" s="119" t="n">
        <v>9627300</v>
      </c>
      <c r="G751" s="120" t="n">
        <v>0.000600583498181928</v>
      </c>
      <c r="H751" s="121" t="n">
        <v>50.75259849371009</v>
      </c>
      <c r="I751" s="118" t="n">
        <v>76.57314056396484</v>
      </c>
      <c r="J751" s="118" t="n">
        <v>91.20960166931152</v>
      </c>
      <c r="K751" s="120" t="n">
        <v>0.3422798688583765</v>
      </c>
      <c r="L751" s="120" t="n">
        <v>-0.1430335315840923</v>
      </c>
      <c r="M751" s="120" t="n">
        <v>-0.3158500330493916</v>
      </c>
      <c r="N751" t="n">
        <v>68.58876505940668</v>
      </c>
      <c r="O751" t="n">
        <v>1.573364573891068</v>
      </c>
      <c r="P751" t="n">
        <v>130.2940797814418</v>
      </c>
      <c r="Q751" t="n">
        <v>130.9385517072595</v>
      </c>
    </row>
    <row r="752">
      <c r="A752" s="117" t="n">
        <v>45524</v>
      </c>
      <c r="B752" s="118" t="n">
        <v>79.55446235192021</v>
      </c>
      <c r="C752" s="118" t="n">
        <v>79.94513934001466</v>
      </c>
      <c r="D752" s="118" t="n">
        <v>78.86840041071348</v>
      </c>
      <c r="E752" s="118" t="n">
        <v>79.62116241455078</v>
      </c>
      <c r="F752" s="119" t="n">
        <v>7863100</v>
      </c>
      <c r="G752" s="120" t="n">
        <v>0.003362229541509665</v>
      </c>
      <c r="H752" s="121" t="n">
        <v>50.92324037967402</v>
      </c>
      <c r="I752" s="118" t="n">
        <v>76.32558685302735</v>
      </c>
      <c r="J752" s="118" t="n">
        <v>91.13225982666016</v>
      </c>
      <c r="K752" s="120" t="n">
        <v>0.3294541599870368</v>
      </c>
      <c r="L752" s="120" t="n">
        <v>-0.1401522136079011</v>
      </c>
      <c r="M752" s="120" t="n">
        <v>-0.3135497638196875</v>
      </c>
      <c r="N752" t="n">
        <v>69.13179796830235</v>
      </c>
      <c r="O752" t="n">
        <v>1.53321374271835</v>
      </c>
      <c r="P752" t="n">
        <v>130.0821846466943</v>
      </c>
      <c r="Q752" t="n">
        <v>130.6637722435573</v>
      </c>
    </row>
    <row r="753">
      <c r="A753" s="117" t="n">
        <v>45525</v>
      </c>
      <c r="B753" s="118" t="n">
        <v>79.72597427825011</v>
      </c>
      <c r="C753" s="118" t="n">
        <v>80.26910541249977</v>
      </c>
      <c r="D753" s="118" t="n">
        <v>79.2971892190177</v>
      </c>
      <c r="E753" s="118" t="n">
        <v>80.04042053222656</v>
      </c>
      <c r="F753" s="119" t="n">
        <v>6915900</v>
      </c>
      <c r="G753" s="120" t="n">
        <v>0.005265661853727899</v>
      </c>
      <c r="H753" s="121" t="n">
        <v>51.19138494400949</v>
      </c>
      <c r="I753" s="118" t="n">
        <v>76.09689987182617</v>
      </c>
      <c r="J753" s="118" t="n">
        <v>91.03721961975097</v>
      </c>
      <c r="K753" s="120" t="n">
        <v>0.2972227440868684</v>
      </c>
      <c r="L753" s="120" t="n">
        <v>-0.1356245459190838</v>
      </c>
      <c r="M753" s="120" t="n">
        <v>-0.3099351489965502</v>
      </c>
      <c r="N753" t="n">
        <v>70.00919723620358</v>
      </c>
      <c r="O753" t="n">
        <v>1.457433339874721</v>
      </c>
      <c r="P753" t="n">
        <v>130.5292359570008</v>
      </c>
      <c r="Q753" t="n">
        <v>131.2732019001907</v>
      </c>
    </row>
    <row r="754">
      <c r="A754" s="117" t="n">
        <v>45526</v>
      </c>
      <c r="B754" s="118" t="n">
        <v>80.46918810099089</v>
      </c>
      <c r="C754" s="118" t="n">
        <v>80.68834954636421</v>
      </c>
      <c r="D754" s="118" t="n">
        <v>79.2876413283409</v>
      </c>
      <c r="E754" s="118" t="n">
        <v>79.47821807861328</v>
      </c>
      <c r="F754" s="119" t="n">
        <v>8485500</v>
      </c>
      <c r="G754" s="120" t="n">
        <v>-0.007023981756654085</v>
      </c>
      <c r="H754" s="121" t="n">
        <v>50.83181759006491</v>
      </c>
      <c r="I754" s="118" t="n">
        <v>75.85944641113281</v>
      </c>
      <c r="J754" s="118" t="n">
        <v>90.93003669738769</v>
      </c>
      <c r="K754" s="120" t="n">
        <v>0.3020770922120261</v>
      </c>
      <c r="L754" s="120" t="n">
        <v>-0.1416959033394477</v>
      </c>
      <c r="M754" s="120" t="n">
        <v>-0.3147821519209066</v>
      </c>
      <c r="N754" t="n">
        <v>67.24883157267612</v>
      </c>
      <c r="O754" t="n">
        <v>1.297337239526663</v>
      </c>
      <c r="P754" t="n">
        <v>129.5048045905274</v>
      </c>
      <c r="Q754" t="n">
        <v>129.1918718437507</v>
      </c>
    </row>
    <row r="755">
      <c r="A755" s="117" t="n">
        <v>45527</v>
      </c>
      <c r="B755" s="118" t="n">
        <v>79.41152001658332</v>
      </c>
      <c r="C755" s="118" t="n">
        <v>80.26909731833315</v>
      </c>
      <c r="D755" s="118" t="n">
        <v>79.29718122285705</v>
      </c>
      <c r="E755" s="118" t="n">
        <v>80.08805847167969</v>
      </c>
      <c r="F755" s="119" t="n">
        <v>9219700</v>
      </c>
      <c r="G755" s="120" t="n">
        <v>0.007673050652232893</v>
      </c>
      <c r="H755" s="121" t="n">
        <v>51.22185270117854</v>
      </c>
      <c r="I755" s="118" t="n">
        <v>75.67592514038085</v>
      </c>
      <c r="J755" s="118" t="n">
        <v>90.82500755310059</v>
      </c>
      <c r="K755" s="120" t="n">
        <v>0.3005432381781423</v>
      </c>
      <c r="L755" s="120" t="n">
        <v>-0.1351100925307523</v>
      </c>
      <c r="M755" s="120" t="n">
        <v>-0.3095244406647818</v>
      </c>
      <c r="N755" t="n">
        <v>68.69091386319135</v>
      </c>
      <c r="O755" t="n">
        <v>1.164626337951921</v>
      </c>
      <c r="P755" t="n">
        <v>130.8807991673154</v>
      </c>
      <c r="Q755" t="n">
        <v>130.5930281307687</v>
      </c>
    </row>
    <row r="756">
      <c r="A756" s="117" t="n">
        <v>45530</v>
      </c>
      <c r="B756" s="118" t="n">
        <v>79.53540444745867</v>
      </c>
      <c r="C756" s="118" t="n">
        <v>80.5263819511427</v>
      </c>
      <c r="D756" s="118" t="n">
        <v>79.44964307408847</v>
      </c>
      <c r="E756" s="118" t="n">
        <v>80.30722045898438</v>
      </c>
      <c r="F756" s="119" t="n">
        <v>7853300</v>
      </c>
      <c r="G756" s="120" t="n">
        <v>0.002736512677257386</v>
      </c>
      <c r="H756" s="121" t="n">
        <v>51.36202195044793</v>
      </c>
      <c r="I756" s="118" t="n">
        <v>75.48725845336914</v>
      </c>
      <c r="J756" s="118" t="n">
        <v>90.71112976074218</v>
      </c>
      <c r="K756" s="120" t="n">
        <v>0.3001009430334057</v>
      </c>
      <c r="L756" s="120" t="n">
        <v>-0.1327433103345308</v>
      </c>
      <c r="M756" s="120" t="n">
        <v>-0.3076349455433246</v>
      </c>
      <c r="N756" t="n">
        <v>69.21551456867226</v>
      </c>
      <c r="O756" t="n">
        <v>1.028450271020147</v>
      </c>
      <c r="P756" t="n">
        <v>130.5688044566927</v>
      </c>
      <c r="Q756" t="n">
        <v>129.3251966417016</v>
      </c>
    </row>
    <row r="757">
      <c r="A757" s="117" t="n">
        <v>45531</v>
      </c>
      <c r="B757" s="118" t="n">
        <v>80.10711464506639</v>
      </c>
      <c r="C757" s="118" t="n">
        <v>81.36489229783884</v>
      </c>
      <c r="D757" s="118" t="n">
        <v>79.66879896134759</v>
      </c>
      <c r="E757" s="118" t="n">
        <v>81.26960754394531</v>
      </c>
      <c r="F757" s="119" t="n">
        <v>14954000</v>
      </c>
      <c r="G757" s="120" t="n">
        <v>0.01198381763757417</v>
      </c>
      <c r="H757" s="121" t="n">
        <v>51.97753505499917</v>
      </c>
      <c r="I757" s="118" t="n">
        <v>75.33289489746093</v>
      </c>
      <c r="J757" s="118" t="n">
        <v>90.60192249298096</v>
      </c>
      <c r="K757" s="120" t="n">
        <v>0.3003812738567507</v>
      </c>
      <c r="L757" s="120" t="n">
        <v>-0.1223502643206137</v>
      </c>
      <c r="M757" s="120" t="n">
        <v>-0.2993377689920866</v>
      </c>
      <c r="N757" t="n">
        <v>71.4756934554165</v>
      </c>
      <c r="O757" t="n">
        <v>0.9423277232441585</v>
      </c>
      <c r="P757" t="n">
        <v>130.7480846736794</v>
      </c>
      <c r="Q757" t="n">
        <v>129.7115289663664</v>
      </c>
    </row>
    <row r="758">
      <c r="A758" s="117" t="n">
        <v>45532</v>
      </c>
      <c r="B758" s="118" t="n">
        <v>81.04092931028151</v>
      </c>
      <c r="C758" s="118" t="n">
        <v>81.40301431260191</v>
      </c>
      <c r="D758" s="118" t="n">
        <v>78.02035074945414</v>
      </c>
      <c r="E758" s="118" t="n">
        <v>78.88745880126953</v>
      </c>
      <c r="F758" s="119" t="n">
        <v>11088600</v>
      </c>
      <c r="G758" s="120" t="n">
        <v>-0.02931168015531105</v>
      </c>
      <c r="H758" s="121" t="n">
        <v>50.45398617220557</v>
      </c>
      <c r="I758" s="118" t="n">
        <v>75.10020614624024</v>
      </c>
      <c r="J758" s="118" t="n">
        <v>90.49206851959228</v>
      </c>
      <c r="K758" s="120" t="n">
        <v>0.3269581171874993</v>
      </c>
      <c r="L758" s="120" t="n">
        <v>-0.148075652661241</v>
      </c>
      <c r="M758" s="120" t="n">
        <v>-0.3198753562042973</v>
      </c>
      <c r="N758" t="n">
        <v>59.77674222670099</v>
      </c>
      <c r="O758" t="n">
        <v>0.6765042192735649</v>
      </c>
      <c r="P758" t="n">
        <v>129.9890822944779</v>
      </c>
      <c r="Q758" t="n">
        <v>128.2396369565163</v>
      </c>
    </row>
    <row r="759">
      <c r="A759" s="117" t="n">
        <v>45533</v>
      </c>
      <c r="B759" s="118" t="n">
        <v>79.51634312443933</v>
      </c>
      <c r="C759" s="118" t="n">
        <v>79.93560479473216</v>
      </c>
      <c r="D759" s="118" t="n">
        <v>78.95415794814782</v>
      </c>
      <c r="E759" s="118" t="n">
        <v>79.33530426025391</v>
      </c>
      <c r="F759" s="119" t="n">
        <v>7477200</v>
      </c>
      <c r="G759" s="120" t="n">
        <v>0.005677017181052513</v>
      </c>
      <c r="H759" s="121" t="n">
        <v>50.74041431855777</v>
      </c>
      <c r="I759" s="118" t="n">
        <v>74.88066665649414</v>
      </c>
      <c r="J759" s="118" t="n">
        <v>90.38864837646484</v>
      </c>
      <c r="K759" s="120" t="n">
        <v>0.319379697051962</v>
      </c>
      <c r="L759" s="120" t="n">
        <v>-0.1432392635044419</v>
      </c>
      <c r="M759" s="120" t="n">
        <v>-0.3160142769162119</v>
      </c>
      <c r="N759" t="n">
        <v>61.06692500920079</v>
      </c>
      <c r="O759" t="n">
        <v>0.4910442732859313</v>
      </c>
      <c r="P759" t="n">
        <v>130.0006909940199</v>
      </c>
      <c r="Q759" t="n">
        <v>128.0519116809419</v>
      </c>
    </row>
    <row r="760">
      <c r="A760" s="117" t="n">
        <v>45534</v>
      </c>
      <c r="B760" s="118" t="n">
        <v>79.65925623306141</v>
      </c>
      <c r="C760" s="118" t="n">
        <v>79.92605641143533</v>
      </c>
      <c r="D760" s="118" t="n">
        <v>78.18232459713165</v>
      </c>
      <c r="E760" s="118" t="n">
        <v>79.3924560546875</v>
      </c>
      <c r="F760" s="119" t="n">
        <v>13755300</v>
      </c>
      <c r="G760" s="120" t="n">
        <v>0.0007203828732553763</v>
      </c>
      <c r="H760" s="121" t="n">
        <v>50.77696684401474</v>
      </c>
      <c r="I760" s="118" t="n">
        <v>74.6472151184082</v>
      </c>
      <c r="J760" s="118" t="n">
        <v>90.29451587677002</v>
      </c>
      <c r="K760" s="120" t="n">
        <v>0.3196633618008025</v>
      </c>
      <c r="L760" s="120" t="n">
        <v>-0.1426220677433928</v>
      </c>
      <c r="M760" s="120" t="n">
        <v>-0.3155215453157511</v>
      </c>
      <c r="N760" t="n">
        <v>61.23779619746185</v>
      </c>
      <c r="O760" t="n">
        <v>0.3396244192010114</v>
      </c>
      <c r="P760" t="n">
        <v>131.2416871600941</v>
      </c>
      <c r="Q760" t="n">
        <v>129.5782209483284</v>
      </c>
    </row>
    <row r="761">
      <c r="A761" s="117" t="n">
        <v>45538</v>
      </c>
      <c r="B761" s="118" t="n">
        <v>79.16276789031704</v>
      </c>
      <c r="C761" s="118" t="n">
        <v>79.38290696129361</v>
      </c>
      <c r="D761" s="118" t="n">
        <v>77.53567968674326</v>
      </c>
      <c r="E761" s="118" t="n">
        <v>77.83238220214844</v>
      </c>
      <c r="F761" s="119" t="n">
        <v>10133700</v>
      </c>
      <c r="G761" s="120" t="n">
        <v>-0.01965015229487854</v>
      </c>
      <c r="H761" s="121" t="n">
        <v>49.77919171245785</v>
      </c>
      <c r="I761" s="118" t="n">
        <v>74.35188003540038</v>
      </c>
      <c r="J761" s="118" t="n">
        <v>90.18527782440185</v>
      </c>
      <c r="K761" s="120" t="n">
        <v>0.2973390907490202</v>
      </c>
      <c r="L761" s="120" t="n">
        <v>-0.1594696746865032</v>
      </c>
      <c r="M761" s="120" t="n">
        <v>-0.3289716511928598</v>
      </c>
      <c r="N761" t="n">
        <v>54.23987876495156</v>
      </c>
      <c r="O761" t="n">
        <v>0.1134962788089942</v>
      </c>
      <c r="P761" t="n">
        <v>128.5408752057521</v>
      </c>
      <c r="Q761" t="n">
        <v>125.6441032491531</v>
      </c>
    </row>
    <row r="762">
      <c r="A762" s="117" t="n">
        <v>45539</v>
      </c>
      <c r="B762" s="118" t="n">
        <v>76.66470066687536</v>
      </c>
      <c r="C762" s="118" t="n">
        <v>77.6122398845104</v>
      </c>
      <c r="D762" s="118" t="n">
        <v>76.25314204876106</v>
      </c>
      <c r="E762" s="118" t="n">
        <v>77.54524230957031</v>
      </c>
      <c r="F762" s="119" t="n">
        <v>12837400</v>
      </c>
      <c r="G762" s="120" t="n">
        <v>-0.003689208584575443</v>
      </c>
      <c r="H762" s="121" t="n">
        <v>49.59554589105903</v>
      </c>
      <c r="I762" s="118" t="n">
        <v>74.05099258422851</v>
      </c>
      <c r="J762" s="118" t="n">
        <v>90.06484809875488</v>
      </c>
      <c r="K762" s="120" t="n">
        <v>0.2979368318875306</v>
      </c>
      <c r="L762" s="120" t="n">
        <v>-0.1625705663782457</v>
      </c>
      <c r="M762" s="120" t="n">
        <v>-0.3314472147377725</v>
      </c>
      <c r="N762" t="n">
        <v>53.03851730717296</v>
      </c>
      <c r="O762" t="n">
        <v>-0.06662656678036094</v>
      </c>
      <c r="P762" t="n">
        <v>128.2777737772856</v>
      </c>
      <c r="Q762" t="n">
        <v>125.317616483848</v>
      </c>
    </row>
    <row r="763">
      <c r="A763" s="117" t="n">
        <v>45540</v>
      </c>
      <c r="B763" s="118" t="n">
        <v>77.65052502458127</v>
      </c>
      <c r="C763" s="118" t="n">
        <v>77.75580797091422</v>
      </c>
      <c r="D763" s="118" t="n">
        <v>76.76998338451303</v>
      </c>
      <c r="E763" s="118" t="n">
        <v>77.36339569091797</v>
      </c>
      <c r="F763" s="119" t="n">
        <v>7596300</v>
      </c>
      <c r="G763" s="120" t="n">
        <v>-0.002345039015113182</v>
      </c>
      <c r="H763" s="121" t="n">
        <v>49.47924240096865</v>
      </c>
      <c r="I763" s="118" t="n">
        <v>73.79258682250976</v>
      </c>
      <c r="J763" s="118" t="n">
        <v>89.94449890136718</v>
      </c>
      <c r="K763" s="120" t="n">
        <v>0.2990395982758521</v>
      </c>
      <c r="L763" s="120" t="n">
        <v>-0.164534371072493</v>
      </c>
      <c r="M763" s="120" t="n">
        <v>-0.333014997102875</v>
      </c>
      <c r="N763" t="n">
        <v>52.24923691042156</v>
      </c>
      <c r="O763" t="n">
        <v>-0.2016004214728842</v>
      </c>
      <c r="P763" t="n">
        <v>127.9657499721779</v>
      </c>
      <c r="Q763" t="n">
        <v>125.4346144265468</v>
      </c>
    </row>
    <row r="764">
      <c r="A764" s="117" t="n">
        <v>45541</v>
      </c>
      <c r="B764" s="118" t="n">
        <v>77.41124464147778</v>
      </c>
      <c r="C764" s="118" t="n">
        <v>78.36835699645138</v>
      </c>
      <c r="D764" s="118" t="n">
        <v>76.90397626169181</v>
      </c>
      <c r="E764" s="118" t="n">
        <v>77.17196655273438</v>
      </c>
      <c r="F764" s="119" t="n">
        <v>8512200</v>
      </c>
      <c r="G764" s="120" t="n">
        <v>-0.002474414889289345</v>
      </c>
      <c r="H764" s="121" t="n">
        <v>49.35681022686094</v>
      </c>
      <c r="I764" s="118" t="n">
        <v>73.54350189208985</v>
      </c>
      <c r="J764" s="118" t="n">
        <v>89.83096908569335</v>
      </c>
      <c r="K764" s="120" t="n">
        <v>0.2942830971418106</v>
      </c>
      <c r="L764" s="120" t="n">
        <v>-0.1666016596642006</v>
      </c>
      <c r="M764" s="120" t="n">
        <v>-0.3346653947249764</v>
      </c>
      <c r="N764" t="n">
        <v>51.38239130599084</v>
      </c>
      <c r="O764" t="n">
        <v>-0.3013522567257341</v>
      </c>
      <c r="P764" t="n">
        <v>125.8121034512601</v>
      </c>
      <c r="Q764" t="n">
        <v>122.0745711075236</v>
      </c>
    </row>
    <row r="765">
      <c r="A765" s="117" t="n">
        <v>45544</v>
      </c>
      <c r="B765" s="118" t="n">
        <v>77.28681989186396</v>
      </c>
      <c r="C765" s="118" t="n">
        <v>78.08122487052205</v>
      </c>
      <c r="D765" s="118" t="n">
        <v>75.63101236419031</v>
      </c>
      <c r="E765" s="118" t="n">
        <v>76.08085632324219</v>
      </c>
      <c r="F765" s="119" t="n">
        <v>8003300</v>
      </c>
      <c r="G765" s="120" t="n">
        <v>-0.01413868634210058</v>
      </c>
      <c r="H765" s="121" t="n">
        <v>48.65896976821678</v>
      </c>
      <c r="I765" s="118" t="n">
        <v>73.27011749267578</v>
      </c>
      <c r="J765" s="118" t="n">
        <v>89.71028694152832</v>
      </c>
      <c r="K765" s="120" t="n">
        <v>0.3016270067146907</v>
      </c>
      <c r="L765" s="120" t="n">
        <v>-0.1783848173962356</v>
      </c>
      <c r="M765" s="120" t="n">
        <v>-0.3440723520215052</v>
      </c>
      <c r="N765" t="n">
        <v>46.63337248920555</v>
      </c>
      <c r="O765" t="n">
        <v>-0.430527159199527</v>
      </c>
      <c r="P765" t="n">
        <v>127.2207129458089</v>
      </c>
      <c r="Q765" t="n">
        <v>123.6443906890611</v>
      </c>
    </row>
    <row r="766">
      <c r="A766" s="117" t="n">
        <v>45545</v>
      </c>
      <c r="B766" s="118" t="n">
        <v>76.147862194791</v>
      </c>
      <c r="C766" s="118" t="n">
        <v>76.147862194791</v>
      </c>
      <c r="D766" s="118" t="n">
        <v>74.2240714781547</v>
      </c>
      <c r="E766" s="118" t="n">
        <v>74.74090576171875</v>
      </c>
      <c r="F766" s="119" t="n">
        <v>9748400</v>
      </c>
      <c r="G766" s="120" t="n">
        <v>-0.01761219084904142</v>
      </c>
      <c r="H766" s="121" t="n">
        <v>47.80197870614121</v>
      </c>
      <c r="I766" s="118" t="n">
        <v>73.32859115600586</v>
      </c>
      <c r="J766" s="118" t="n">
        <v>89.58182106018066</v>
      </c>
      <c r="K766" s="120" t="n">
        <v>0.3109943347493757</v>
      </c>
      <c r="L766" s="120" t="n">
        <v>-0.1928552607967231</v>
      </c>
      <c r="M766" s="120" t="n">
        <v>-0.3556246749408652</v>
      </c>
      <c r="N766" t="n">
        <v>41.5540293668348</v>
      </c>
      <c r="O766" t="n">
        <v>-0.5862714585201267</v>
      </c>
      <c r="P766" t="n">
        <v>127.7748610556493</v>
      </c>
      <c r="Q766" t="n">
        <v>124.7870859776726</v>
      </c>
    </row>
    <row r="767">
      <c r="A767" s="117" t="n">
        <v>45546</v>
      </c>
      <c r="B767" s="118" t="n">
        <v>74.65476649820043</v>
      </c>
      <c r="C767" s="118" t="n">
        <v>75.21945930384169</v>
      </c>
      <c r="D767" s="118" t="n">
        <v>73.44880284092454</v>
      </c>
      <c r="E767" s="118" t="n">
        <v>75.03761291503906</v>
      </c>
      <c r="F767" s="119" t="n">
        <v>8265500</v>
      </c>
      <c r="G767" s="120" t="n">
        <v>0.003969809440980576</v>
      </c>
      <c r="H767" s="121" t="n">
        <v>47.9917434525064</v>
      </c>
      <c r="I767" s="118" t="n">
        <v>73.36517532348633</v>
      </c>
      <c r="J767" s="118" t="n">
        <v>89.44838188171387</v>
      </c>
      <c r="K767" s="120" t="n">
        <v>0.2516290668839014</v>
      </c>
      <c r="L767" s="120" t="n">
        <v>-0.1896510499907962</v>
      </c>
      <c r="M767" s="120" t="n">
        <v>-0.3530666276919106</v>
      </c>
      <c r="N767" t="n">
        <v>43.0336588570613</v>
      </c>
      <c r="O767" t="n">
        <v>-0.6447206644489456</v>
      </c>
      <c r="P767" t="n">
        <v>129.0856839858858</v>
      </c>
      <c r="Q767" t="n">
        <v>127.4968992818447</v>
      </c>
    </row>
    <row r="768">
      <c r="A768" s="117" t="n">
        <v>45547</v>
      </c>
      <c r="B768" s="118" t="n">
        <v>74.87490556109375</v>
      </c>
      <c r="C768" s="118" t="n">
        <v>75.67887646448565</v>
      </c>
      <c r="D768" s="118" t="n">
        <v>74.20492250607914</v>
      </c>
      <c r="E768" s="118" t="n">
        <v>75.03761291503906</v>
      </c>
      <c r="F768" s="119" t="n">
        <v>7176900</v>
      </c>
      <c r="G768" s="120" t="n">
        <v>0</v>
      </c>
      <c r="H768" s="121" t="n">
        <v>47.9917434525064</v>
      </c>
      <c r="I768" s="118" t="n">
        <v>73.41681488037109</v>
      </c>
      <c r="J768" s="118" t="n">
        <v>89.31626239776611</v>
      </c>
      <c r="K768" s="120" t="n">
        <v>0.2516309869824488</v>
      </c>
      <c r="L768" s="120" t="n">
        <v>-0.1896510499907962</v>
      </c>
      <c r="M768" s="120" t="n">
        <v>-0.3530666276919106</v>
      </c>
      <c r="N768" t="n">
        <v>43.0336588570613</v>
      </c>
      <c r="O768" t="n">
        <v>-0.6565888953564856</v>
      </c>
      <c r="P768" t="n">
        <v>130.1729885345903</v>
      </c>
      <c r="Q768" t="n">
        <v>128.7484039156596</v>
      </c>
    </row>
    <row r="769">
      <c r="A769" s="117" t="n">
        <v>45548</v>
      </c>
      <c r="B769" s="118" t="n">
        <v>74.94189584689781</v>
      </c>
      <c r="C769" s="118" t="n">
        <v>76.0808545159183</v>
      </c>
      <c r="D769" s="118" t="n">
        <v>74.76004217359576</v>
      </c>
      <c r="E769" s="118" t="n">
        <v>75.62144470214844</v>
      </c>
      <c r="F769" s="119" t="n">
        <v>5814200</v>
      </c>
      <c r="G769" s="120" t="n">
        <v>0.007780521853359312</v>
      </c>
      <c r="H769" s="121" t="n">
        <v>48.36514426121944</v>
      </c>
      <c r="I769" s="118" t="n">
        <v>73.49537689208984</v>
      </c>
      <c r="J769" s="118" t="n">
        <v>89.18555397033691</v>
      </c>
      <c r="K769" s="120" t="n">
        <v>0.1706586737817896</v>
      </c>
      <c r="L769" s="120" t="n">
        <v>-0.1833461122764027</v>
      </c>
      <c r="M769" s="120" t="n">
        <v>-0.3480331484510001</v>
      </c>
      <c r="N769" t="n">
        <v>46.14503987866116</v>
      </c>
      <c r="O769" t="n">
        <v>-0.5998836416460283</v>
      </c>
      <c r="P769" t="n">
        <v>130.8528393671653</v>
      </c>
      <c r="Q769" t="n">
        <v>129.3251966417016</v>
      </c>
    </row>
    <row r="770">
      <c r="A770" s="117" t="n">
        <v>45551</v>
      </c>
      <c r="B770" s="118" t="n">
        <v>75.92772711746926</v>
      </c>
      <c r="C770" s="118" t="n">
        <v>76.55941749329082</v>
      </c>
      <c r="D770" s="118" t="n">
        <v>75.3151757763504</v>
      </c>
      <c r="E770" s="118" t="n">
        <v>76.37757110595703</v>
      </c>
      <c r="F770" s="119" t="n">
        <v>9547700</v>
      </c>
      <c r="G770" s="120" t="n">
        <v>0.009998835737491607</v>
      </c>
      <c r="H770" s="121" t="n">
        <v>48.84873939410746</v>
      </c>
      <c r="I770" s="118" t="n">
        <v>73.58544067382813</v>
      </c>
      <c r="J770" s="118" t="n">
        <v>89.05490287780762</v>
      </c>
      <c r="K770" s="120" t="n">
        <v>0.1716636189382129</v>
      </c>
      <c r="L770" s="120" t="n">
        <v>-0.1751805241986705</v>
      </c>
      <c r="M770" s="120" t="n">
        <v>-0.341514238996072</v>
      </c>
      <c r="N770" t="n">
        <v>49.95717300153649</v>
      </c>
      <c r="O770" t="n">
        <v>-0.4908077432772738</v>
      </c>
      <c r="P770" t="n">
        <v>131.046099484227</v>
      </c>
      <c r="Q770" t="n">
        <v>128.7538322174829</v>
      </c>
    </row>
    <row r="771">
      <c r="A771" s="117" t="n">
        <v>45552</v>
      </c>
      <c r="B771" s="118" t="n">
        <v>76.57856327457245</v>
      </c>
      <c r="C771" s="118" t="n">
        <v>77.50696344796015</v>
      </c>
      <c r="D771" s="118" t="n">
        <v>76.43499495768575</v>
      </c>
      <c r="E771" s="118" t="n">
        <v>77.18154144287109</v>
      </c>
      <c r="F771" s="119" t="n">
        <v>7580600</v>
      </c>
      <c r="G771" s="120" t="n">
        <v>0.01052626216404207</v>
      </c>
      <c r="H771" s="121" t="n">
        <v>49.36293403135281</v>
      </c>
      <c r="I771" s="118" t="n">
        <v>73.7369400024414</v>
      </c>
      <c r="J771" s="118" t="n">
        <v>88.92063652038574</v>
      </c>
      <c r="K771" s="120" t="n">
        <v>0.1770538645859212</v>
      </c>
      <c r="L771" s="120" t="n">
        <v>-0.1664125447247193</v>
      </c>
      <c r="M771" s="120" t="n">
        <v>-0.334582845244456</v>
      </c>
      <c r="N771" t="n">
        <v>53.70921107696955</v>
      </c>
      <c r="O771" t="n">
        <v>-0.3504529400907935</v>
      </c>
      <c r="P771" t="n">
        <v>131.099676978479</v>
      </c>
      <c r="Q771" t="n">
        <v>128.821866374338</v>
      </c>
    </row>
    <row r="772">
      <c r="A772" s="117" t="n">
        <v>45553</v>
      </c>
      <c r="B772" s="118" t="n">
        <v>77.20069209514492</v>
      </c>
      <c r="C772" s="118" t="n">
        <v>78.25351430752035</v>
      </c>
      <c r="D772" s="118" t="n">
        <v>76.78913345823045</v>
      </c>
      <c r="E772" s="118" t="n">
        <v>77.43039703369141</v>
      </c>
      <c r="F772" s="119" t="n">
        <v>7637000</v>
      </c>
      <c r="G772" s="120" t="n">
        <v>0.003224288944844611</v>
      </c>
      <c r="H772" s="121" t="n">
        <v>49.52209439383519</v>
      </c>
      <c r="I772" s="118" t="n">
        <v>73.90466033935547</v>
      </c>
      <c r="J772" s="118" t="n">
        <v>88.78808578491211</v>
      </c>
      <c r="K772" s="120" t="n">
        <v>0.17700607475835</v>
      </c>
      <c r="L772" s="120" t="n">
        <v>-0.142365554942708</v>
      </c>
      <c r="M772" s="120" t="n">
        <v>-0.3324373480686678</v>
      </c>
      <c r="N772" t="n">
        <v>54.8379439326028</v>
      </c>
      <c r="O772" t="n">
        <v>-0.2324781291526195</v>
      </c>
      <c r="P772" t="n">
        <v>130.7108582800353</v>
      </c>
      <c r="Q772" t="n">
        <v>128.2641188494381</v>
      </c>
    </row>
    <row r="773">
      <c r="A773" s="117" t="n">
        <v>45554</v>
      </c>
      <c r="B773" s="118" t="n">
        <v>79.05748305725285</v>
      </c>
      <c r="C773" s="118" t="n">
        <v>79.55518559622638</v>
      </c>
      <c r="D773" s="118" t="n">
        <v>77.0188362668798</v>
      </c>
      <c r="E773" s="118" t="n">
        <v>77.50696563720703</v>
      </c>
      <c r="F773" s="119" t="n">
        <v>15067100</v>
      </c>
      <c r="G773" s="120" t="n">
        <v>0.0009888700878326606</v>
      </c>
      <c r="H773" s="121" t="n">
        <v>49.57106531166809</v>
      </c>
      <c r="I773" s="118" t="n">
        <v>74.07238723754882</v>
      </c>
      <c r="J773" s="118" t="n">
        <v>88.63898853302003</v>
      </c>
      <c r="K773" s="120" t="n">
        <v>0.1755358908289884</v>
      </c>
      <c r="L773" s="120" t="n">
        <v>-0.1364133732504039</v>
      </c>
      <c r="M773" s="120" t="n">
        <v>-0.3317772153304186</v>
      </c>
      <c r="N773" t="n">
        <v>55.19990637800935</v>
      </c>
      <c r="O773" t="n">
        <v>-0.1451801866708321</v>
      </c>
      <c r="P773" t="n">
        <v>132.9413287887742</v>
      </c>
      <c r="Q773" t="n">
        <v>131.5071726157189</v>
      </c>
    </row>
    <row r="774">
      <c r="A774" s="117" t="n">
        <v>45555</v>
      </c>
      <c r="B774" s="118" t="n">
        <v>84.1014719424747</v>
      </c>
      <c r="C774" s="118" t="n">
        <v>84.22589392971945</v>
      </c>
      <c r="D774" s="118" t="n">
        <v>81.17270293806685</v>
      </c>
      <c r="E774" s="118" t="n">
        <v>82.80936431884766</v>
      </c>
      <c r="F774" s="119" t="n">
        <v>52039300</v>
      </c>
      <c r="G774" s="120" t="n">
        <v>0.06841189869901476</v>
      </c>
      <c r="H774" s="121" t="n">
        <v>52.96231601017216</v>
      </c>
      <c r="I774" s="118" t="n">
        <v>74.32996368408203</v>
      </c>
      <c r="J774" s="118" t="n">
        <v>88.50850605010986</v>
      </c>
      <c r="K774" s="120" t="n">
        <v>0.3025839043011223</v>
      </c>
      <c r="L774" s="120" t="n">
        <v>-0.0773337724233869</v>
      </c>
      <c r="M774" s="120" t="n">
        <v>-0.2860628258772296</v>
      </c>
      <c r="N774" t="n">
        <v>71.95994475582265</v>
      </c>
      <c r="O774" t="n">
        <v>0.2521449486806626</v>
      </c>
      <c r="P774" t="n">
        <v>132.7115405457102</v>
      </c>
      <c r="Q774" t="n">
        <v>131.256883434895</v>
      </c>
    </row>
    <row r="775">
      <c r="A775" s="117" t="n">
        <v>45558</v>
      </c>
      <c r="B775" s="118" t="n">
        <v>81.73739677089108</v>
      </c>
      <c r="C775" s="118" t="n">
        <v>82.81893110581323</v>
      </c>
      <c r="D775" s="118" t="n">
        <v>81.4024089062858</v>
      </c>
      <c r="E775" s="118" t="n">
        <v>82.50308227539062</v>
      </c>
      <c r="F775" s="119" t="n">
        <v>17712400</v>
      </c>
      <c r="G775" s="120" t="n">
        <v>-0.003698640195784253</v>
      </c>
      <c r="H775" s="121" t="n">
        <v>52.76642745931511</v>
      </c>
      <c r="I775" s="118" t="n">
        <v>74.58084274291993</v>
      </c>
      <c r="J775" s="118" t="n">
        <v>88.37526264190674</v>
      </c>
      <c r="K775" s="120" t="n">
        <v>0.3025599761536487</v>
      </c>
      <c r="L775" s="120" t="n">
        <v>-0.003698640195784253</v>
      </c>
      <c r="M775" s="120" t="n">
        <v>-0.2887034226067048</v>
      </c>
      <c r="N775" t="n">
        <v>70.32339299996195</v>
      </c>
      <c r="O775" t="n">
        <v>0.4644530918376718</v>
      </c>
      <c r="P775" t="n">
        <v>133.0431740337534</v>
      </c>
      <c r="Q775" t="n">
        <v>131.6048065389305</v>
      </c>
    </row>
    <row r="776">
      <c r="A776" s="117" t="n">
        <v>45559</v>
      </c>
      <c r="B776" s="118" t="n">
        <v>83.68990637608331</v>
      </c>
      <c r="C776" s="118" t="n">
        <v>84.49387724652591</v>
      </c>
      <c r="D776" s="118" t="n">
        <v>82.94335991004728</v>
      </c>
      <c r="E776" s="118" t="n">
        <v>83.70904541015625</v>
      </c>
      <c r="F776" s="119" t="n">
        <v>21123300</v>
      </c>
      <c r="G776" s="120" t="n">
        <v>0.01461718885532282</v>
      </c>
      <c r="H776" s="121" t="n">
        <v>53.53772429470861</v>
      </c>
      <c r="I776" s="118" t="n">
        <v>74.89605178833008</v>
      </c>
      <c r="J776" s="118" t="n">
        <v>88.24473880767822</v>
      </c>
      <c r="K776" s="120" t="n">
        <v>0.3060423216929395</v>
      </c>
      <c r="L776" s="120" t="n">
        <v>0</v>
      </c>
      <c r="M776" s="120" t="n">
        <v>-0.2783062662028022</v>
      </c>
      <c r="N776" t="n">
        <v>72.93355421953864</v>
      </c>
      <c r="O776" t="n">
        <v>0.645115996823281</v>
      </c>
      <c r="P776" t="n">
        <v>133.4238608236207</v>
      </c>
      <c r="Q776" t="n">
        <v>132.2396074238696</v>
      </c>
    </row>
    <row r="777">
      <c r="A777" s="117" t="n">
        <v>45560</v>
      </c>
      <c r="B777" s="118" t="n">
        <v>84.08230756021194</v>
      </c>
      <c r="C777" s="118" t="n">
        <v>84.32158561661676</v>
      </c>
      <c r="D777" s="118" t="n">
        <v>83.49846851840927</v>
      </c>
      <c r="E777" s="118" t="n">
        <v>84.22587585449219</v>
      </c>
      <c r="F777" s="119" t="n">
        <v>12392800</v>
      </c>
      <c r="G777" s="120" t="n">
        <v>0.006174128994107964</v>
      </c>
      <c r="H777" s="121" t="n">
        <v>53.86827311055513</v>
      </c>
      <c r="I777" s="118" t="n">
        <v>75.19301162719727</v>
      </c>
      <c r="J777" s="118" t="n">
        <v>88.1229467010498</v>
      </c>
      <c r="K777" s="120" t="n">
        <v>0.3042810314858511</v>
      </c>
      <c r="L777" s="120" t="n">
        <v>0</v>
      </c>
      <c r="M777" s="120" t="n">
        <v>-0.2738504359960989</v>
      </c>
      <c r="N777" t="n">
        <v>73.98940399212867</v>
      </c>
      <c r="O777" t="n">
        <v>0.7510244433686712</v>
      </c>
      <c r="P777" t="n">
        <v>133.1295846544042</v>
      </c>
      <c r="Q777" t="n">
        <v>132.3622014675206</v>
      </c>
    </row>
    <row r="778">
      <c r="A778" s="117" t="n">
        <v>45561</v>
      </c>
      <c r="B778" s="118" t="n">
        <v>86.06354280325877</v>
      </c>
      <c r="C778" s="118" t="n">
        <v>86.73352584548175</v>
      </c>
      <c r="D778" s="118" t="n">
        <v>85.23085971238487</v>
      </c>
      <c r="E778" s="118" t="n">
        <v>85.5562744140625</v>
      </c>
      <c r="F778" s="119" t="n">
        <v>13592800</v>
      </c>
      <c r="G778" s="120" t="n">
        <v>0.01579560373903033</v>
      </c>
      <c r="H778" s="121" t="n">
        <v>54.71915500671533</v>
      </c>
      <c r="I778" s="118" t="n">
        <v>75.5116244506836</v>
      </c>
      <c r="J778" s="118" t="n">
        <v>88.00260478973388</v>
      </c>
      <c r="K778" s="120" t="n">
        <v>0.2842676361258071</v>
      </c>
      <c r="L778" s="120" t="n">
        <v>0</v>
      </c>
      <c r="M778" s="120" t="n">
        <v>-0.2623804652278238</v>
      </c>
      <c r="N778" t="n">
        <v>76.52771393515697</v>
      </c>
      <c r="O778" t="n">
        <v>0.8547346276726275</v>
      </c>
      <c r="P778" t="n">
        <v>133.6573877080159</v>
      </c>
      <c r="Q778" t="n">
        <v>133.3566546156127</v>
      </c>
    </row>
    <row r="779">
      <c r="A779" s="117" t="n">
        <v>45562</v>
      </c>
      <c r="B779" s="118" t="n">
        <v>85.61369184193485</v>
      </c>
      <c r="C779" s="118" t="n">
        <v>86.38895776614638</v>
      </c>
      <c r="D779" s="118" t="n">
        <v>85.38398693581422</v>
      </c>
      <c r="E779" s="118" t="n">
        <v>85.6041259765625</v>
      </c>
      <c r="F779" s="119" t="n">
        <v>9181000</v>
      </c>
      <c r="G779" s="120" t="n">
        <v>0.0005592992779046568</v>
      </c>
      <c r="H779" s="121" t="n">
        <v>54.74975939059813</v>
      </c>
      <c r="I779" s="118" t="n">
        <v>75.8443440246582</v>
      </c>
      <c r="J779" s="118" t="n">
        <v>87.8697342300415</v>
      </c>
      <c r="K779" s="120" t="n">
        <v>0.2844986139912579</v>
      </c>
      <c r="L779" s="120" t="n">
        <v>0</v>
      </c>
      <c r="M779" s="120" t="n">
        <v>-0.2619679151546572</v>
      </c>
      <c r="N779" t="n">
        <v>76.61610538005561</v>
      </c>
      <c r="O779" t="n">
        <v>0.8678330583560525</v>
      </c>
      <c r="P779" t="n">
        <v>133.4635457012529</v>
      </c>
      <c r="Q779" t="n">
        <v>132.6155949322312</v>
      </c>
    </row>
    <row r="780">
      <c r="A780" s="117" t="n">
        <v>45565</v>
      </c>
      <c r="B780" s="118" t="n">
        <v>85.85297581822935</v>
      </c>
      <c r="C780" s="118" t="n">
        <v>85.90083435713073</v>
      </c>
      <c r="D780" s="118" t="n">
        <v>83.9674706018326</v>
      </c>
      <c r="E780" s="118" t="n">
        <v>84.60873413085938</v>
      </c>
      <c r="F780" s="119" t="n">
        <v>12027100</v>
      </c>
      <c r="G780" s="120" t="n">
        <v>-0.0116278489424172</v>
      </c>
      <c r="H780" s="121" t="n">
        <v>54.11313745877057</v>
      </c>
      <c r="I780" s="118" t="n">
        <v>76.15105728149415</v>
      </c>
      <c r="J780" s="118" t="n">
        <v>87.72701595306397</v>
      </c>
      <c r="K780" s="120" t="n">
        <v>0.2896915010671106</v>
      </c>
      <c r="L780" s="120" t="n">
        <v>-0.0116278489424172</v>
      </c>
      <c r="M780" s="120" t="n">
        <v>-0.2705496407518961</v>
      </c>
      <c r="N780" t="n">
        <v>70.65558750995885</v>
      </c>
      <c r="O780" t="n">
        <v>0.7548958317416443</v>
      </c>
      <c r="P780" t="n">
        <v>133.9983605257659</v>
      </c>
      <c r="Q780" t="n">
        <v>132.9752220255149</v>
      </c>
    </row>
    <row r="781">
      <c r="A781" s="117" t="n">
        <v>45566</v>
      </c>
      <c r="B781" s="118" t="n">
        <v>84.2258769930649</v>
      </c>
      <c r="C781" s="118" t="n">
        <v>85.79554048012434</v>
      </c>
      <c r="D781" s="118" t="n">
        <v>83.94831356762079</v>
      </c>
      <c r="E781" s="118" t="n">
        <v>85.30741119384766</v>
      </c>
      <c r="F781" s="119" t="n">
        <v>20623400</v>
      </c>
      <c r="G781" s="120" t="n">
        <v>0.008257741593293177</v>
      </c>
      <c r="H781" s="121" t="n">
        <v>54.55998976470745</v>
      </c>
      <c r="I781" s="118" t="n">
        <v>76.43058029174804</v>
      </c>
      <c r="J781" s="118" t="n">
        <v>87.58055587768554</v>
      </c>
      <c r="K781" s="120" t="n">
        <v>0.2769744215936765</v>
      </c>
      <c r="L781" s="120" t="n">
        <v>-0.00346612712097627</v>
      </c>
      <c r="M781" s="120" t="n">
        <v>-0.2645260281800905</v>
      </c>
      <c r="N781" t="n">
        <v>72.28540704069884</v>
      </c>
      <c r="O781" t="n">
        <v>0.6752732126870074</v>
      </c>
      <c r="P781" t="n">
        <v>132.7979366191184</v>
      </c>
      <c r="Q781" t="n">
        <v>131.1225602321264</v>
      </c>
    </row>
    <row r="782">
      <c r="A782" s="117" t="n">
        <v>45567</v>
      </c>
      <c r="B782" s="118" t="n">
        <v>79.33504091615143</v>
      </c>
      <c r="C782" s="118" t="n">
        <v>81.57468757866194</v>
      </c>
      <c r="D782" s="118" t="n">
        <v>78.26307247145888</v>
      </c>
      <c r="E782" s="118" t="n">
        <v>79.53603363037109</v>
      </c>
      <c r="F782" s="119" t="n">
        <v>33208800</v>
      </c>
      <c r="G782" s="120" t="n">
        <v>-0.06765388238499015</v>
      </c>
      <c r="H782" s="121" t="n">
        <v>50.86879463423967</v>
      </c>
      <c r="I782" s="118" t="n">
        <v>76.62249923706055</v>
      </c>
      <c r="J782" s="118" t="n">
        <v>87.40594829559326</v>
      </c>
      <c r="K782" s="120" t="n">
        <v>0.3775748752140293</v>
      </c>
      <c r="L782" s="120" t="n">
        <v>-0.07088551254939246</v>
      </c>
      <c r="M782" s="120" t="n">
        <v>-0.3142836977668162</v>
      </c>
      <c r="N782" t="n">
        <v>48.38104978752417</v>
      </c>
      <c r="O782" t="n">
        <v>0.2062626382215318</v>
      </c>
      <c r="P782" t="n">
        <v>132.8540016918438</v>
      </c>
      <c r="Q782" t="n">
        <v>131.3078272504609</v>
      </c>
    </row>
    <row r="783">
      <c r="A783" s="117" t="n">
        <v>45568</v>
      </c>
      <c r="B783" s="118" t="n">
        <v>78.86606272549905</v>
      </c>
      <c r="C783" s="118" t="n">
        <v>80.18687520042232</v>
      </c>
      <c r="D783" s="118" t="n">
        <v>78.46407727254693</v>
      </c>
      <c r="E783" s="118" t="n">
        <v>78.57892608642578</v>
      </c>
      <c r="F783" s="119" t="n">
        <v>18143800</v>
      </c>
      <c r="G783" s="120" t="n">
        <v>-0.01203363431967563</v>
      </c>
      <c r="H783" s="121" t="n">
        <v>50.25665816132855</v>
      </c>
      <c r="I783" s="118" t="n">
        <v>76.83929855346679</v>
      </c>
      <c r="J783" s="118" t="n">
        <v>87.22404888153076</v>
      </c>
      <c r="K783" s="120" t="n">
        <v>0.3804515811165675</v>
      </c>
      <c r="L783" s="120" t="n">
        <v>-0.08206613653248584</v>
      </c>
      <c r="M783" s="120" t="n">
        <v>-0.3225353569949305</v>
      </c>
      <c r="N783" t="n">
        <v>45.68301740691245</v>
      </c>
      <c r="O783" t="n">
        <v>-0.1754571023217064</v>
      </c>
      <c r="P783" t="n">
        <v>132.6111209304993</v>
      </c>
      <c r="Q783" t="n">
        <v>131.2097318796446</v>
      </c>
    </row>
    <row r="784">
      <c r="A784" s="117" t="n">
        <v>45569</v>
      </c>
      <c r="B784" s="118" t="n">
        <v>79.08618079187521</v>
      </c>
      <c r="C784" s="118" t="n">
        <v>79.95715642463639</v>
      </c>
      <c r="D784" s="118" t="n">
        <v>78.57891247925026</v>
      </c>
      <c r="E784" s="118" t="n">
        <v>78.72248077392578</v>
      </c>
      <c r="F784" s="119" t="n">
        <v>10322600</v>
      </c>
      <c r="G784" s="120" t="n">
        <v>0.001826885332361305</v>
      </c>
      <c r="H784" s="121" t="n">
        <v>50.34847131297697</v>
      </c>
      <c r="I784" s="118" t="n">
        <v>77.05287063598632</v>
      </c>
      <c r="J784" s="118" t="n">
        <v>87.04480606079102</v>
      </c>
      <c r="K784" s="120" t="n">
        <v>0.3802289065241949</v>
      </c>
      <c r="L784" s="120" t="n">
        <v>-0.08038917662123957</v>
      </c>
      <c r="M784" s="120" t="n">
        <v>-0.3212977067754311</v>
      </c>
      <c r="N784" t="n">
        <v>46.16791982984937</v>
      </c>
      <c r="O784" t="n">
        <v>-0.4118126652150451</v>
      </c>
      <c r="P784" t="n">
        <v>133.8161999547575</v>
      </c>
      <c r="Q784" t="n">
        <v>132.7708930261254</v>
      </c>
    </row>
    <row r="785">
      <c r="A785" s="117" t="n">
        <v>45572</v>
      </c>
      <c r="B785" s="118" t="n">
        <v>78.6172105762801</v>
      </c>
      <c r="C785" s="118" t="n">
        <v>78.93305941527892</v>
      </c>
      <c r="D785" s="118" t="n">
        <v>76.65512726973492</v>
      </c>
      <c r="E785" s="118" t="n">
        <v>77.36339569091797</v>
      </c>
      <c r="F785" s="119" t="n">
        <v>12767400</v>
      </c>
      <c r="G785" s="120" t="n">
        <v>-0.017264256279103</v>
      </c>
      <c r="H785" s="121" t="n">
        <v>49.47924240096867</v>
      </c>
      <c r="I785" s="118" t="n">
        <v>77.21734527587891</v>
      </c>
      <c r="J785" s="118" t="n">
        <v>86.85167449951172</v>
      </c>
      <c r="K785" s="120" t="n">
        <v>0.382066101606674</v>
      </c>
      <c r="L785" s="120" t="n">
        <v>-0.09626557355308729</v>
      </c>
      <c r="M785" s="120" t="n">
        <v>-0.333014997102875</v>
      </c>
      <c r="N785" t="n">
        <v>42.31632485339613</v>
      </c>
      <c r="O785" t="n">
        <v>-0.6396229839117553</v>
      </c>
      <c r="P785" t="n">
        <v>132.6064221711609</v>
      </c>
      <c r="Q785" t="n">
        <v>131.3486947283301</v>
      </c>
    </row>
    <row r="786">
      <c r="A786" s="117" t="n">
        <v>45573</v>
      </c>
      <c r="B786" s="118" t="n">
        <v>77.28682257477199</v>
      </c>
      <c r="C786" s="118" t="n">
        <v>77.9280860993379</v>
      </c>
      <c r="D786" s="118" t="n">
        <v>76.50199073668844</v>
      </c>
      <c r="E786" s="118" t="n">
        <v>77.30596160888672</v>
      </c>
      <c r="F786" s="119" t="n">
        <v>10569600</v>
      </c>
      <c r="G786" s="120" t="n">
        <v>-0.0007423934991259706</v>
      </c>
      <c r="H786" s="121" t="n">
        <v>49.44250933306851</v>
      </c>
      <c r="I786" s="118" t="n">
        <v>77.36180435180664</v>
      </c>
      <c r="J786" s="118" t="n">
        <v>86.66397766113282</v>
      </c>
      <c r="K786" s="120" t="n">
        <v>0.375741089069223</v>
      </c>
      <c r="L786" s="120" t="n">
        <v>-0.09693650011621779</v>
      </c>
      <c r="M786" s="120" t="n">
        <v>-0.3335101624330403</v>
      </c>
      <c r="N786" t="n">
        <v>42.15626950229064</v>
      </c>
      <c r="O786" t="n">
        <v>-0.7656089595991309</v>
      </c>
      <c r="P786" t="n">
        <v>133.8605835917282</v>
      </c>
      <c r="Q786" t="n">
        <v>133.3103336660509</v>
      </c>
    </row>
    <row r="787">
      <c r="A787" s="117" t="n">
        <v>45574</v>
      </c>
      <c r="B787" s="118" t="n">
        <v>77.66009507705432</v>
      </c>
      <c r="C787" s="118" t="n">
        <v>79.37332705060055</v>
      </c>
      <c r="D787" s="118" t="n">
        <v>77.59309750500223</v>
      </c>
      <c r="E787" s="118" t="n">
        <v>78.91390991210938</v>
      </c>
      <c r="F787" s="119" t="n">
        <v>11750600</v>
      </c>
      <c r="G787" s="120" t="n">
        <v>0.02079979693361467</v>
      </c>
      <c r="H787" s="121" t="n">
        <v>50.47090348708468</v>
      </c>
      <c r="I787" s="118" t="n">
        <v>77.52374847412109</v>
      </c>
      <c r="J787" s="118" t="n">
        <v>86.47911888122559</v>
      </c>
      <c r="K787" s="120" t="n">
        <v>0.381640596752342</v>
      </c>
      <c r="L787" s="120" t="n">
        <v>-0.07815296270047589</v>
      </c>
      <c r="M787" s="120" t="n">
        <v>-0.3196473091533297</v>
      </c>
      <c r="N787" t="n">
        <v>48.07741389811583</v>
      </c>
      <c r="O787" t="n">
        <v>-0.7131432258503962</v>
      </c>
      <c r="P787" t="n">
        <v>134.7877811891056</v>
      </c>
      <c r="Q787" t="n">
        <v>134.3592795812873</v>
      </c>
    </row>
    <row r="788">
      <c r="A788" s="117" t="n">
        <v>45575</v>
      </c>
      <c r="B788" s="118" t="n">
        <v>79.82317511949252</v>
      </c>
      <c r="C788" s="118" t="n">
        <v>79.87102635787934</v>
      </c>
      <c r="D788" s="118" t="n">
        <v>78.51192851093377</v>
      </c>
      <c r="E788" s="118" t="n">
        <v>78.57892608642578</v>
      </c>
      <c r="F788" s="119" t="n">
        <v>8370200</v>
      </c>
      <c r="G788" s="120" t="n">
        <v>-0.004244927491955264</v>
      </c>
      <c r="H788" s="121" t="n">
        <v>50.25665816132854</v>
      </c>
      <c r="I788" s="118" t="n">
        <v>77.66870178222656</v>
      </c>
      <c r="J788" s="118" t="n">
        <v>86.3611064529419</v>
      </c>
      <c r="K788" s="120" t="n">
        <v>0.3823500254978823</v>
      </c>
      <c r="L788" s="120" t="n">
        <v>-0.08206613653248618</v>
      </c>
      <c r="M788" s="120" t="n">
        <v>-0.3225353569949305</v>
      </c>
      <c r="N788" t="n">
        <v>46.99805546917289</v>
      </c>
      <c r="O788" t="n">
        <v>-0.6739457500271737</v>
      </c>
      <c r="P788" t="n">
        <v>134.5518831041774</v>
      </c>
      <c r="Q788" t="n">
        <v>134.206699833283</v>
      </c>
    </row>
    <row r="789">
      <c r="A789" s="117" t="n">
        <v>45576</v>
      </c>
      <c r="B789" s="118" t="n">
        <v>78.52149471075525</v>
      </c>
      <c r="C789" s="118" t="n">
        <v>78.74162645261188</v>
      </c>
      <c r="D789" s="118" t="n">
        <v>77.69837754079693</v>
      </c>
      <c r="E789" s="118" t="n">
        <v>78.62677764892578</v>
      </c>
      <c r="F789" s="119" t="n">
        <v>10171100</v>
      </c>
      <c r="G789" s="120" t="n">
        <v>0.0006089617774538425</v>
      </c>
      <c r="H789" s="121" t="n">
        <v>50.28726254521136</v>
      </c>
      <c r="I789" s="118" t="n">
        <v>77.83386016845704</v>
      </c>
      <c r="J789" s="118" t="n">
        <v>86.24342792510987</v>
      </c>
      <c r="K789" s="120" t="n">
        <v>0.3819046544252945</v>
      </c>
      <c r="L789" s="120" t="n">
        <v>-0.08150714989540375</v>
      </c>
      <c r="M789" s="120" t="n">
        <v>-0.3221228069217641</v>
      </c>
      <c r="N789" t="n">
        <v>47.18047697331661</v>
      </c>
      <c r="O789" t="n">
        <v>-0.6191516388860814</v>
      </c>
      <c r="P789" t="n">
        <v>135.3575966791549</v>
      </c>
      <c r="Q789" t="n">
        <v>134.4164906943216</v>
      </c>
    </row>
    <row r="790">
      <c r="A790" s="117" t="n">
        <v>45579</v>
      </c>
      <c r="B790" s="118" t="n">
        <v>78.48321107758187</v>
      </c>
      <c r="C790" s="118" t="n">
        <v>78.52149644705297</v>
      </c>
      <c r="D790" s="118" t="n">
        <v>77.33467920219961</v>
      </c>
      <c r="E790" s="118" t="n">
        <v>78.10036468505859</v>
      </c>
      <c r="F790" s="119" t="n">
        <v>8177700</v>
      </c>
      <c r="G790" s="120" t="n">
        <v>-0.006695085053817884</v>
      </c>
      <c r="H790" s="121" t="n">
        <v>49.95058504534749</v>
      </c>
      <c r="I790" s="118" t="n">
        <v>77.98544097900391</v>
      </c>
      <c r="J790" s="118" t="n">
        <v>86.12732597351074</v>
      </c>
      <c r="K790" s="120" t="n">
        <v>0.3819956579858609</v>
      </c>
      <c r="L790" s="120" t="n">
        <v>-0.08765653764817771</v>
      </c>
      <c r="M790" s="120" t="n">
        <v>-0.3266612523854662</v>
      </c>
      <c r="N790" t="n">
        <v>45.33204007560815</v>
      </c>
      <c r="O790" t="n">
        <v>-0.5926913053933739</v>
      </c>
      <c r="P790" t="n">
        <v>136.4646127414928</v>
      </c>
      <c r="Q790" t="n">
        <v>135.54444482945</v>
      </c>
    </row>
    <row r="791">
      <c r="A791" s="117" t="n">
        <v>45580</v>
      </c>
      <c r="B791" s="118" t="n">
        <v>77.57395832236452</v>
      </c>
      <c r="C791" s="118" t="n">
        <v>79.17233418267708</v>
      </c>
      <c r="D791" s="118" t="n">
        <v>77.57395832236452</v>
      </c>
      <c r="E791" s="118" t="n">
        <v>78.59806823730469</v>
      </c>
      <c r="F791" s="119" t="n">
        <v>11804400</v>
      </c>
      <c r="G791" s="120" t="n">
        <v>0.00637261495836916</v>
      </c>
      <c r="H791" s="121" t="n">
        <v>50.26890089078677</v>
      </c>
      <c r="I791" s="118" t="n">
        <v>78.19633422851562</v>
      </c>
      <c r="J791" s="118" t="n">
        <v>86.00572071075439</v>
      </c>
      <c r="K791" s="120" t="n">
        <v>0.3809614053859973</v>
      </c>
      <c r="L791" s="120" t="n">
        <v>-0.081842524052824</v>
      </c>
      <c r="M791" s="120" t="n">
        <v>-0.3223703238103682</v>
      </c>
      <c r="N791" t="n">
        <v>47.42912656579047</v>
      </c>
      <c r="O791" t="n">
        <v>-0.5186695423099316</v>
      </c>
      <c r="P791" t="n">
        <v>135.404307874931</v>
      </c>
      <c r="Q791" t="n">
        <v>133.7326421239743</v>
      </c>
    </row>
    <row r="792">
      <c r="A792" s="117" t="n">
        <v>45581</v>
      </c>
      <c r="B792" s="118" t="n">
        <v>78.61719901001472</v>
      </c>
      <c r="C792" s="118" t="n">
        <v>80.48356496190193</v>
      </c>
      <c r="D792" s="118" t="n">
        <v>78.53106241324464</v>
      </c>
      <c r="E792" s="118" t="n">
        <v>80.34000396728516</v>
      </c>
      <c r="F792" s="119" t="n">
        <v>11220600</v>
      </c>
      <c r="G792" s="120" t="n">
        <v>0.02216257688065792</v>
      </c>
      <c r="H792" s="121" t="n">
        <v>51.382989271485</v>
      </c>
      <c r="I792" s="118" t="n">
        <v>78.42148437500001</v>
      </c>
      <c r="J792" s="118" t="n">
        <v>85.89400741577148</v>
      </c>
      <c r="K792" s="120" t="n">
        <v>0.3881697353680655</v>
      </c>
      <c r="L792" s="120" t="n">
        <v>-0.0614937884035941</v>
      </c>
      <c r="M792" s="120" t="n">
        <v>-0.3073523040152002</v>
      </c>
      <c r="N792" t="n">
        <v>54.07001052075631</v>
      </c>
      <c r="O792" t="n">
        <v>-0.338131396080276</v>
      </c>
      <c r="P792" t="n">
        <v>135.9928602133639</v>
      </c>
      <c r="Q792" t="n">
        <v>133.7489941490959</v>
      </c>
    </row>
    <row r="793">
      <c r="A793" s="117" t="n">
        <v>45582</v>
      </c>
      <c r="B793" s="118" t="n">
        <v>80.50273012717528</v>
      </c>
      <c r="C793" s="118" t="n">
        <v>81.12485469072737</v>
      </c>
      <c r="D793" s="118" t="n">
        <v>79.80403481379153</v>
      </c>
      <c r="E793" s="118" t="n">
        <v>79.82318115234375</v>
      </c>
      <c r="F793" s="119" t="n">
        <v>9204500</v>
      </c>
      <c r="G793" s="120" t="n">
        <v>-0.006432944852129419</v>
      </c>
      <c r="H793" s="121" t="n">
        <v>51.05244533516397</v>
      </c>
      <c r="I793" s="118" t="n">
        <v>78.63401107788086</v>
      </c>
      <c r="J793" s="118" t="n">
        <v>85.78926223754883</v>
      </c>
      <c r="K793" s="120" t="n">
        <v>0.3893515099442481</v>
      </c>
      <c r="L793" s="120" t="n">
        <v>-0.0675311471061748</v>
      </c>
      <c r="M793" s="120" t="n">
        <v>-0.3118080684454249</v>
      </c>
      <c r="N793" t="n">
        <v>51.97229390784231</v>
      </c>
      <c r="O793" t="n">
        <v>-0.2436729760268045</v>
      </c>
      <c r="P793" t="n">
        <v>136.0044980073909</v>
      </c>
      <c r="Q793" t="n">
        <v>133.8416192683067</v>
      </c>
    </row>
    <row r="794">
      <c r="A794" s="117" t="n">
        <v>45583</v>
      </c>
      <c r="B794" s="118" t="n">
        <v>80.18687918577447</v>
      </c>
      <c r="C794" s="118" t="n">
        <v>80.34958654831492</v>
      </c>
      <c r="D794" s="118" t="n">
        <v>79.08619841753966</v>
      </c>
      <c r="E794" s="118" t="n">
        <v>79.36376190185547</v>
      </c>
      <c r="F794" s="119" t="n">
        <v>7214800</v>
      </c>
      <c r="G794" s="120" t="n">
        <v>-0.005755461557106711</v>
      </c>
      <c r="H794" s="121" t="n">
        <v>50.75861494864115</v>
      </c>
      <c r="I794" s="118" t="n">
        <v>78.80742965698242</v>
      </c>
      <c r="J794" s="118" t="n">
        <v>85.69408950805663</v>
      </c>
      <c r="K794" s="120" t="n">
        <v>0.2996229252081781</v>
      </c>
      <c r="L794" s="120" t="n">
        <v>-0.0728979357422046</v>
      </c>
      <c r="M794" s="120" t="n">
        <v>-0.3157689306513983</v>
      </c>
      <c r="N794" t="n">
        <v>50.11116250697716</v>
      </c>
      <c r="O794" t="n">
        <v>-0.2039005857829495</v>
      </c>
      <c r="P794" t="n">
        <v>136.5276750378768</v>
      </c>
      <c r="Q794" t="n">
        <v>134.7189066745709</v>
      </c>
    </row>
    <row r="795">
      <c r="A795" s="117" t="n">
        <v>45586</v>
      </c>
      <c r="B795" s="118" t="n">
        <v>79.29675868753222</v>
      </c>
      <c r="C795" s="118" t="n">
        <v>79.52646361256973</v>
      </c>
      <c r="D795" s="118" t="n">
        <v>77.94723403797545</v>
      </c>
      <c r="E795" s="118" t="n">
        <v>77.98551940917969</v>
      </c>
      <c r="F795" s="119" t="n">
        <v>7550200</v>
      </c>
      <c r="G795" s="120" t="n">
        <v>-0.01736614368633604</v>
      </c>
      <c r="H795" s="121" t="n">
        <v>49.87713354812364</v>
      </c>
      <c r="I795" s="118" t="n">
        <v>78.9504248046875</v>
      </c>
      <c r="J795" s="118" t="n">
        <v>85.60025379180908</v>
      </c>
      <c r="K795" s="120" t="n">
        <v>0.304568578042469</v>
      </c>
      <c r="L795" s="120" t="n">
        <v>-0.08899812340200419</v>
      </c>
      <c r="M795" s="120" t="n">
        <v>-0.3276513857163614</v>
      </c>
      <c r="N795" t="n">
        <v>44.91483956876294</v>
      </c>
      <c r="O795" t="n">
        <v>-0.2586616960945913</v>
      </c>
      <c r="P795" t="n">
        <v>136.3034438414607</v>
      </c>
      <c r="Q795" t="n">
        <v>134.9777536109742</v>
      </c>
    </row>
    <row r="796">
      <c r="A796" s="117" t="n">
        <v>45587</v>
      </c>
      <c r="B796" s="118" t="n">
        <v>77.86108775512913</v>
      </c>
      <c r="C796" s="118" t="n">
        <v>78.88519767153156</v>
      </c>
      <c r="D796" s="118" t="n">
        <v>77.74623894720327</v>
      </c>
      <c r="E796" s="118" t="n">
        <v>77.92808532714844</v>
      </c>
      <c r="F796" s="119" t="n">
        <v>7308800</v>
      </c>
      <c r="G796" s="120" t="n">
        <v>-0.0007364711098466481</v>
      </c>
      <c r="H796" s="121" t="n">
        <v>49.84040048022348</v>
      </c>
      <c r="I796" s="118" t="n">
        <v>79.08655410766602</v>
      </c>
      <c r="J796" s="118" t="n">
        <v>85.5071711730957</v>
      </c>
      <c r="K796" s="120" t="n">
        <v>0.2978373057560678</v>
      </c>
      <c r="L796" s="120" t="n">
        <v>-0.08966904996513481</v>
      </c>
      <c r="M796" s="120" t="n">
        <v>-0.3281465510465268</v>
      </c>
      <c r="N796" t="n">
        <v>44.70679140387785</v>
      </c>
      <c r="O796" t="n">
        <v>-0.2849234557998439</v>
      </c>
      <c r="P796" t="n">
        <v>136.2310567626124</v>
      </c>
      <c r="Q796" t="n">
        <v>135.1248714973293</v>
      </c>
    </row>
    <row r="797">
      <c r="A797" s="117" t="n">
        <v>45588</v>
      </c>
      <c r="B797" s="118" t="n">
        <v>77.52609024091349</v>
      </c>
      <c r="C797" s="118" t="n">
        <v>77.56437560618376</v>
      </c>
      <c r="D797" s="118" t="n">
        <v>76.36798532468819</v>
      </c>
      <c r="E797" s="118" t="n">
        <v>76.61683654785156</v>
      </c>
      <c r="F797" s="119" t="n">
        <v>7253100</v>
      </c>
      <c r="G797" s="120" t="n">
        <v>-0.01682639543615305</v>
      </c>
      <c r="H797" s="121" t="n">
        <v>49.00176619304701</v>
      </c>
      <c r="I797" s="118" t="n">
        <v>79.12289733886719</v>
      </c>
      <c r="J797" s="118" t="n">
        <v>85.40024990081787</v>
      </c>
      <c r="K797" s="120" t="n">
        <v>0.2992182215420851</v>
      </c>
      <c r="L797" s="120" t="n">
        <v>-0.1049866385081902</v>
      </c>
      <c r="M797" s="120" t="n">
        <v>-0.3394514228537612</v>
      </c>
      <c r="N797" t="n">
        <v>40.13584108296661</v>
      </c>
      <c r="O797" t="n">
        <v>-0.3713118164798308</v>
      </c>
      <c r="P797" t="n">
        <v>134.9862346717518</v>
      </c>
      <c r="Q797" t="n">
        <v>133.0542386353633</v>
      </c>
    </row>
    <row r="798">
      <c r="A798" s="117" t="n">
        <v>45589</v>
      </c>
      <c r="B798" s="118" t="n">
        <v>77.04753714093269</v>
      </c>
      <c r="C798" s="118" t="n">
        <v>77.3346737405936</v>
      </c>
      <c r="D798" s="118" t="n">
        <v>75.64058094653095</v>
      </c>
      <c r="E798" s="118" t="n">
        <v>75.65015411376953</v>
      </c>
      <c r="F798" s="119" t="n">
        <v>7424500</v>
      </c>
      <c r="G798" s="120" t="n">
        <v>-0.01261710190133314</v>
      </c>
      <c r="H798" s="121" t="n">
        <v>48.38350591564403</v>
      </c>
      <c r="I798" s="118" t="n">
        <v>79.13952590942382</v>
      </c>
      <c r="J798" s="118" t="n">
        <v>85.29265663146973</v>
      </c>
      <c r="K798" s="120" t="n">
        <v>0.2904639103332725</v>
      </c>
      <c r="L798" s="120" t="n">
        <v>-0.1162791132931872</v>
      </c>
      <c r="M798" s="120" t="n">
        <v>-0.3477856315623959</v>
      </c>
      <c r="N798" t="n">
        <v>37.12246575502142</v>
      </c>
      <c r="O798" t="n">
        <v>-0.4680220312678778</v>
      </c>
      <c r="P798" t="n">
        <v>135.2782123766479</v>
      </c>
      <c r="Q798" t="n">
        <v>134.1331534750401</v>
      </c>
    </row>
    <row r="799">
      <c r="A799" s="117" t="n">
        <v>45590</v>
      </c>
      <c r="B799" s="118" t="n">
        <v>75.82244169414643</v>
      </c>
      <c r="C799" s="118" t="n">
        <v>76.16700272504308</v>
      </c>
      <c r="D799" s="118" t="n">
        <v>75.15245866643065</v>
      </c>
      <c r="E799" s="118" t="n">
        <v>75.46830749511719</v>
      </c>
      <c r="F799" s="119" t="n">
        <v>9385400</v>
      </c>
      <c r="G799" s="120" t="n">
        <v>-0.002403783849255214</v>
      </c>
      <c r="H799" s="121" t="n">
        <v>48.26720242555366</v>
      </c>
      <c r="I799" s="118" t="n">
        <v>79.07666976928711</v>
      </c>
      <c r="J799" s="118" t="n">
        <v>85.17928337097167</v>
      </c>
      <c r="K799" s="120" t="n">
        <v>0.2897700373827817</v>
      </c>
      <c r="L799" s="120" t="n">
        <v>-0.1184033872879025</v>
      </c>
      <c r="M799" s="120" t="n">
        <v>-0.3493534139274984</v>
      </c>
      <c r="N799" t="n">
        <v>36.56629530779335</v>
      </c>
      <c r="O799" t="n">
        <v>-0.5149789698765397</v>
      </c>
      <c r="P799" t="n">
        <v>135.2314720863868</v>
      </c>
      <c r="Q799" t="n">
        <v>134.9504946424673</v>
      </c>
    </row>
    <row r="800">
      <c r="A800" s="117" t="n">
        <v>45593</v>
      </c>
      <c r="B800" s="118" t="n">
        <v>75.91814618763983</v>
      </c>
      <c r="C800" s="118" t="n">
        <v>76.22442182688761</v>
      </c>
      <c r="D800" s="118" t="n">
        <v>75.43959004492849</v>
      </c>
      <c r="E800" s="118" t="n">
        <v>75.52573394775391</v>
      </c>
      <c r="F800" s="119" t="n">
        <v>6617200</v>
      </c>
      <c r="G800" s="120" t="n">
        <v>0.0007609346829520192</v>
      </c>
      <c r="H800" s="121" t="n">
        <v>48.30393061392833</v>
      </c>
      <c r="I800" s="118" t="n">
        <v>79.00104995727538</v>
      </c>
      <c r="J800" s="118" t="n">
        <v>85.05612483978271</v>
      </c>
      <c r="K800" s="120" t="n">
        <v>0.2899828363908579</v>
      </c>
      <c r="L800" s="120" t="n">
        <v>-0.1177325498489169</v>
      </c>
      <c r="M800" s="120" t="n">
        <v>-0.3488583143738115</v>
      </c>
      <c r="N800" t="n">
        <v>36.88786521977065</v>
      </c>
      <c r="O800" t="n">
        <v>-0.5118463688765378</v>
      </c>
      <c r="P800" t="n">
        <v>135.6495307423234</v>
      </c>
      <c r="Q800" t="n">
        <v>134.9722917493251</v>
      </c>
    </row>
    <row r="801">
      <c r="A801" s="117" t="n">
        <v>45594</v>
      </c>
      <c r="B801" s="118" t="n">
        <v>75.49702277349499</v>
      </c>
      <c r="C801" s="118" t="n">
        <v>76.0617228813243</v>
      </c>
      <c r="D801" s="118" t="n">
        <v>74.84618605552572</v>
      </c>
      <c r="E801" s="118" t="n">
        <v>75.03761291503906</v>
      </c>
      <c r="F801" s="119" t="n">
        <v>7241100</v>
      </c>
      <c r="G801" s="120" t="n">
        <v>-0.006462976355218308</v>
      </c>
      <c r="H801" s="121" t="n">
        <v>47.99174345250641</v>
      </c>
      <c r="I801" s="118" t="n">
        <v>78.9147151184082</v>
      </c>
      <c r="J801" s="118" t="n">
        <v>84.93449794769288</v>
      </c>
      <c r="K801" s="120" t="n">
        <v>0.2853919776640604</v>
      </c>
      <c r="L801" s="120" t="n">
        <v>-0.1234346235182221</v>
      </c>
      <c r="M801" s="120" t="n">
        <v>-0.3530666276919106</v>
      </c>
      <c r="N801" t="n">
        <v>35.25202955930843</v>
      </c>
      <c r="O801" t="n">
        <v>-0.5111317955724567</v>
      </c>
      <c r="P801" t="n">
        <v>135.8690777266437</v>
      </c>
      <c r="Q801" t="n">
        <v>136.2691692676229</v>
      </c>
    </row>
    <row r="802">
      <c r="A802" s="117" t="n">
        <v>45595</v>
      </c>
      <c r="B802" s="118" t="n">
        <v>74.65476115154064</v>
      </c>
      <c r="C802" s="118" t="n">
        <v>74.76004409118576</v>
      </c>
      <c r="D802" s="118" t="n">
        <v>73.14252192953572</v>
      </c>
      <c r="E802" s="118" t="n">
        <v>73.17123413085938</v>
      </c>
      <c r="F802" s="119" t="n">
        <v>15691300</v>
      </c>
      <c r="G802" s="120" t="n">
        <v>-0.0248725767208624</v>
      </c>
      <c r="H802" s="121" t="n">
        <v>46.798065131516</v>
      </c>
      <c r="I802" s="118" t="n">
        <v>78.78571655273437</v>
      </c>
      <c r="J802" s="118" t="n">
        <v>84.81933349609375</v>
      </c>
      <c r="K802" s="120" t="n">
        <v>0.1865738439306082</v>
      </c>
      <c r="L802" s="120" t="n">
        <v>-0.1452370630956167</v>
      </c>
      <c r="M802" s="120" t="n">
        <v>-0.3691575276279299</v>
      </c>
      <c r="N802" t="n">
        <v>29.80879000841875</v>
      </c>
      <c r="O802" t="n">
        <v>-0.5987624713802036</v>
      </c>
      <c r="P802" t="n">
        <v>135.4580308416083</v>
      </c>
      <c r="Q802" t="n">
        <v>135.2393021133543</v>
      </c>
    </row>
    <row r="803">
      <c r="A803" s="117" t="n">
        <v>45596</v>
      </c>
      <c r="B803" s="118" t="n">
        <v>72.93196008887509</v>
      </c>
      <c r="C803" s="118" t="n">
        <v>74.02306761271994</v>
      </c>
      <c r="D803" s="118" t="n">
        <v>71.97484771341905</v>
      </c>
      <c r="E803" s="118" t="n">
        <v>73.82207489013672</v>
      </c>
      <c r="F803" s="119" t="n">
        <v>13990100</v>
      </c>
      <c r="G803" s="120" t="n">
        <v>0.008894762634635622</v>
      </c>
      <c r="H803" s="121" t="n">
        <v>47.21432281262105</v>
      </c>
      <c r="I803" s="118" t="n">
        <v>78.66134963989258</v>
      </c>
      <c r="J803" s="118" t="n">
        <v>84.7116792678833</v>
      </c>
      <c r="K803" s="120" t="n">
        <v>0.1895310897771562</v>
      </c>
      <c r="L803" s="120" t="n">
        <v>-0.1376341496629682</v>
      </c>
      <c r="M803" s="120" t="n">
        <v>-0.3635463335763336</v>
      </c>
      <c r="N803" t="n">
        <v>33.65590555164334</v>
      </c>
      <c r="O803" t="n">
        <v>-0.575164721601634</v>
      </c>
      <c r="P803" t="n">
        <v>132.8026062839718</v>
      </c>
      <c r="Q803" t="n">
        <v>131.8254875634416</v>
      </c>
    </row>
    <row r="804">
      <c r="A804" s="117" t="n">
        <v>45597</v>
      </c>
      <c r="B804" s="118" t="n">
        <v>73.74551802230748</v>
      </c>
      <c r="C804" s="118" t="n">
        <v>74.77919393026319</v>
      </c>
      <c r="D804" s="118" t="n">
        <v>73.65937410370117</v>
      </c>
      <c r="E804" s="118" t="n">
        <v>74.71219635009766</v>
      </c>
      <c r="F804" s="119" t="n">
        <v>9623700</v>
      </c>
      <c r="G804" s="120" t="n">
        <v>0.0120576597350539</v>
      </c>
      <c r="H804" s="121" t="n">
        <v>47.78361705171663</v>
      </c>
      <c r="I804" s="118" t="n">
        <v>78.56602920532227</v>
      </c>
      <c r="J804" s="118" t="n">
        <v>84.60790821075439</v>
      </c>
      <c r="K804" s="120" t="n">
        <v>0.1963779286792664</v>
      </c>
      <c r="L804" s="120" t="n">
        <v>-0.1272360356724738</v>
      </c>
      <c r="M804" s="120" t="n">
        <v>-0.3558721918294695</v>
      </c>
      <c r="N804" t="n">
        <v>38.61153143011873</v>
      </c>
      <c r="O804" t="n">
        <v>-0.4665069304963902</v>
      </c>
      <c r="P804" t="n">
        <v>133.363126086042</v>
      </c>
      <c r="Q804" t="n">
        <v>132.8008619505657</v>
      </c>
    </row>
    <row r="805">
      <c r="A805" s="117" t="n">
        <v>45600</v>
      </c>
      <c r="B805" s="118" t="n">
        <v>74.64519451582429</v>
      </c>
      <c r="C805" s="118" t="n">
        <v>75.18118242879069</v>
      </c>
      <c r="D805" s="118" t="n">
        <v>73.80293822714589</v>
      </c>
      <c r="E805" s="118" t="n">
        <v>73.87950897216797</v>
      </c>
      <c r="F805" s="119" t="n">
        <v>6593800</v>
      </c>
      <c r="G805" s="120" t="n">
        <v>-0.01114526701942686</v>
      </c>
      <c r="H805" s="121" t="n">
        <v>47.25105588052121</v>
      </c>
      <c r="I805" s="118" t="n">
        <v>78.44185821533203</v>
      </c>
      <c r="J805" s="118" t="n">
        <v>84.49600151062012</v>
      </c>
      <c r="K805" s="120" t="n">
        <v>0.1914309415454306</v>
      </c>
      <c r="L805" s="120" t="n">
        <v>-0.1369632230998377</v>
      </c>
      <c r="M805" s="120" t="n">
        <v>-0.3630511682461682</v>
      </c>
      <c r="N805" t="n">
        <v>35.90931138154716</v>
      </c>
      <c r="O805" t="n">
        <v>-0.4191135459119978</v>
      </c>
      <c r="P805" t="n">
        <v>133.0758762349694</v>
      </c>
      <c r="Q805" t="n">
        <v>132.4139758887752</v>
      </c>
    </row>
    <row r="806">
      <c r="A806" s="117" t="n">
        <v>45601</v>
      </c>
      <c r="B806" s="118" t="n">
        <v>73.93693248553591</v>
      </c>
      <c r="C806" s="118" t="n">
        <v>74.65476678151198</v>
      </c>
      <c r="D806" s="118" t="n">
        <v>73.6976543868772</v>
      </c>
      <c r="E806" s="118" t="n">
        <v>74.63562774658203</v>
      </c>
      <c r="F806" s="119" t="n">
        <v>5629200</v>
      </c>
      <c r="G806" s="120" t="n">
        <v>0.01023448565012663</v>
      </c>
      <c r="H806" s="121" t="n">
        <v>47.73464613388374</v>
      </c>
      <c r="I806" s="118" t="n">
        <v>78.32842636108398</v>
      </c>
      <c r="J806" s="118" t="n">
        <v>84.39364456176757</v>
      </c>
      <c r="K806" s="120" t="n">
        <v>0.1964632341516626</v>
      </c>
      <c r="L806" s="120" t="n">
        <v>-0.1281304855911213</v>
      </c>
      <c r="M806" s="120" t="n">
        <v>-0.3565323245677187</v>
      </c>
      <c r="N806" t="n">
        <v>40.01458471342816</v>
      </c>
      <c r="O806" t="n">
        <v>-0.3102548025290843</v>
      </c>
      <c r="P806" t="n">
        <v>134.6849903733617</v>
      </c>
      <c r="Q806" t="n">
        <v>134.1031761606433</v>
      </c>
    </row>
    <row r="807">
      <c r="A807" s="117" t="n">
        <v>45602</v>
      </c>
      <c r="B807" s="118" t="n">
        <v>73.57321800430645</v>
      </c>
      <c r="C807" s="118" t="n">
        <v>73.64978143122899</v>
      </c>
      <c r="D807" s="118" t="n">
        <v>71.89827164152307</v>
      </c>
      <c r="E807" s="118" t="n">
        <v>72.08969116210938</v>
      </c>
      <c r="F807" s="119" t="n">
        <v>16193700</v>
      </c>
      <c r="G807" s="120" t="n">
        <v>-0.03411154513387538</v>
      </c>
      <c r="H807" s="121" t="n">
        <v>46.10634359783819</v>
      </c>
      <c r="I807" s="118" t="n">
        <v>78.14482803344727</v>
      </c>
      <c r="J807" s="118" t="n">
        <v>84.27222118377685</v>
      </c>
      <c r="K807" s="120" t="n">
        <v>0.2093827684550769</v>
      </c>
      <c r="L807" s="120" t="n">
        <v>-0.1578713018827298</v>
      </c>
      <c r="M807" s="120" t="n">
        <v>-0.3784820012204168</v>
      </c>
      <c r="N807" t="n">
        <v>32.47230688144472</v>
      </c>
      <c r="O807" t="n">
        <v>-0.3785996435894936</v>
      </c>
      <c r="P807" t="n">
        <v>138.0340129077677</v>
      </c>
      <c r="Q807" t="n">
        <v>137.7458435526497</v>
      </c>
    </row>
    <row r="808">
      <c r="A808" s="117" t="n">
        <v>45603</v>
      </c>
      <c r="B808" s="118" t="n">
        <v>72.45339744568173</v>
      </c>
      <c r="C808" s="118" t="n">
        <v>73.09466822976404</v>
      </c>
      <c r="D808" s="118" t="n">
        <v>71.98441446810641</v>
      </c>
      <c r="E808" s="118" t="n">
        <v>72.66396331787109</v>
      </c>
      <c r="F808" s="119" t="n">
        <v>11831100</v>
      </c>
      <c r="G808" s="120" t="n">
        <v>0.00796607873475752</v>
      </c>
      <c r="H808" s="121" t="n">
        <v>46.47363036111035</v>
      </c>
      <c r="I808" s="118" t="n">
        <v>78.0203581237793</v>
      </c>
      <c r="J808" s="118" t="n">
        <v>84.15906009674072</v>
      </c>
      <c r="K808" s="120" t="n">
        <v>0.2139614805760156</v>
      </c>
      <c r="L808" s="120" t="n">
        <v>-0.1511628383687288</v>
      </c>
      <c r="M808" s="120" t="n">
        <v>-0.3735309399070696</v>
      </c>
      <c r="N808" t="n">
        <v>35.42880688962961</v>
      </c>
      <c r="O808" t="n">
        <v>-0.3544421712763874</v>
      </c>
      <c r="P808" t="n">
        <v>139.1013295452308</v>
      </c>
      <c r="Q808" t="n">
        <v>139.9145633954756</v>
      </c>
    </row>
    <row r="809">
      <c r="A809" s="117" t="n">
        <v>45604</v>
      </c>
      <c r="B809" s="118" t="n">
        <v>72.2619865604812</v>
      </c>
      <c r="C809" s="118" t="n">
        <v>73.27652337284206</v>
      </c>
      <c r="D809" s="118" t="n">
        <v>72.02270845928756</v>
      </c>
      <c r="E809" s="118" t="n">
        <v>72.62568664550781</v>
      </c>
      <c r="F809" s="119" t="n">
        <v>8140800</v>
      </c>
      <c r="G809" s="120" t="n">
        <v>-0.000526762794314406</v>
      </c>
      <c r="H809" s="121" t="n">
        <v>46.4491497817194</v>
      </c>
      <c r="I809" s="118" t="n">
        <v>77.88616577148437</v>
      </c>
      <c r="J809" s="118" t="n">
        <v>84.0456604385376</v>
      </c>
      <c r="K809" s="120" t="n">
        <v>0.2136875913914365</v>
      </c>
      <c r="L809" s="120" t="n">
        <v>-0.1516099742039076</v>
      </c>
      <c r="M809" s="120" t="n">
        <v>-0.3738609404997157</v>
      </c>
      <c r="N809" t="n">
        <v>35.3178150887732</v>
      </c>
      <c r="O809" t="n">
        <v>-0.3118560054059216</v>
      </c>
      <c r="P809" t="n">
        <v>139.7038617837387</v>
      </c>
      <c r="Q809" t="n">
        <v>140.0780416969088</v>
      </c>
    </row>
    <row r="810">
      <c r="A810" s="117" t="n">
        <v>45607</v>
      </c>
      <c r="B810" s="118" t="n">
        <v>72.88411402787342</v>
      </c>
      <c r="C810" s="118" t="n">
        <v>74.08050458216488</v>
      </c>
      <c r="D810" s="118" t="n">
        <v>72.83625548482638</v>
      </c>
      <c r="E810" s="118" t="n">
        <v>73.31481170654297</v>
      </c>
      <c r="F810" s="119" t="n">
        <v>9877200</v>
      </c>
      <c r="G810" s="120" t="n">
        <v>0.009488723520079567</v>
      </c>
      <c r="H810" s="121" t="n">
        <v>46.8898929217409</v>
      </c>
      <c r="I810" s="118" t="n">
        <v>77.76461288452148</v>
      </c>
      <c r="J810" s="118" t="n">
        <v>83.92634319305419</v>
      </c>
      <c r="K810" s="120" t="n">
        <v>0.2185221808436098</v>
      </c>
      <c r="L810" s="120" t="n">
        <v>-0.1435598358119352</v>
      </c>
      <c r="M810" s="120" t="n">
        <v>-0.3679196800789949</v>
      </c>
      <c r="N810" t="n">
        <v>39.02170604891439</v>
      </c>
      <c r="O810" t="n">
        <v>-0.2128196664213475</v>
      </c>
      <c r="P810" t="n">
        <v>139.8369836001656</v>
      </c>
      <c r="Q810" t="n">
        <v>139.9962899612576</v>
      </c>
    </row>
    <row r="811">
      <c r="A811" s="117" t="n">
        <v>45608</v>
      </c>
      <c r="B811" s="118" t="n">
        <v>73.18080369341224</v>
      </c>
      <c r="C811" s="118" t="n">
        <v>74.10920376880618</v>
      </c>
      <c r="D811" s="118" t="n">
        <v>72.87452805740274</v>
      </c>
      <c r="E811" s="118" t="n">
        <v>73.37223052978516</v>
      </c>
      <c r="F811" s="119" t="n">
        <v>9013900</v>
      </c>
      <c r="G811" s="120" t="n">
        <v>0.0007831817596697377</v>
      </c>
      <c r="H811" s="121" t="n">
        <v>46.92661623059007</v>
      </c>
      <c r="I811" s="118" t="n">
        <v>77.67540985107422</v>
      </c>
      <c r="J811" s="118" t="n">
        <v>83.8019694519043</v>
      </c>
      <c r="K811" s="120" t="n">
        <v>0.2162085959608754</v>
      </c>
      <c r="L811" s="120" t="n">
        <v>-0.1428890874970947</v>
      </c>
      <c r="M811" s="120" t="n">
        <v>-0.3674246463017865</v>
      </c>
      <c r="N811" t="n">
        <v>39.33342550647577</v>
      </c>
      <c r="O811" t="n">
        <v>-0.1234220583360137</v>
      </c>
      <c r="P811" t="n">
        <v>139.402573843621</v>
      </c>
      <c r="Q811" t="n">
        <v>139.7429132764599</v>
      </c>
    </row>
    <row r="812">
      <c r="A812" s="117" t="n">
        <v>45609</v>
      </c>
      <c r="B812" s="118" t="n">
        <v>73.61152368490964</v>
      </c>
      <c r="C812" s="118" t="n">
        <v>73.97522379527589</v>
      </c>
      <c r="D812" s="118" t="n">
        <v>73.19039186076762</v>
      </c>
      <c r="E812" s="118" t="n">
        <v>73.23824310302734</v>
      </c>
      <c r="F812" s="119" t="n">
        <v>6835300</v>
      </c>
      <c r="G812" s="120" t="n">
        <v>-0.001826132663411695</v>
      </c>
      <c r="H812" s="121" t="n">
        <v>46.84092200390801</v>
      </c>
      <c r="I812" s="118" t="n">
        <v>77.58926986694335</v>
      </c>
      <c r="J812" s="118" t="n">
        <v>83.67550704956055</v>
      </c>
      <c r="K812" s="120" t="n">
        <v>0.1943330989043622</v>
      </c>
      <c r="L812" s="120" t="n">
        <v>-0.1444542857305828</v>
      </c>
      <c r="M812" s="120" t="n">
        <v>-0.3685798128172441</v>
      </c>
      <c r="N812" t="n">
        <v>38.83453958866568</v>
      </c>
      <c r="O812" t="n">
        <v>-0.05668598626192134</v>
      </c>
      <c r="P812" t="n">
        <v>139.4702912576158</v>
      </c>
      <c r="Q812" t="n">
        <v>139.5630997298181</v>
      </c>
    </row>
    <row r="813">
      <c r="A813" s="117" t="n">
        <v>45610</v>
      </c>
      <c r="B813" s="118" t="n">
        <v>73.39138524594978</v>
      </c>
      <c r="C813" s="118" t="n">
        <v>73.67852191077621</v>
      </c>
      <c r="D813" s="118" t="n">
        <v>72.42469959670208</v>
      </c>
      <c r="E813" s="118" t="n">
        <v>72.43427276611328</v>
      </c>
      <c r="F813" s="119" t="n">
        <v>6991600</v>
      </c>
      <c r="G813" s="120" t="n">
        <v>-0.01097746618229334</v>
      </c>
      <c r="H813" s="121" t="n">
        <v>46.32672736666267</v>
      </c>
      <c r="I813" s="118" t="n">
        <v>77.49068740844727</v>
      </c>
      <c r="J813" s="118" t="n">
        <v>83.55755634307862</v>
      </c>
      <c r="K813" s="120" t="n">
        <v>0.1955842051439782</v>
      </c>
      <c r="L813" s="120" t="n">
        <v>-0.1538460098763813</v>
      </c>
      <c r="M813" s="120" t="n">
        <v>-0.3755112065688602</v>
      </c>
      <c r="N813" t="n">
        <v>35.89277964679404</v>
      </c>
      <c r="O813" t="n">
        <v>-0.05027968640184466</v>
      </c>
      <c r="P813" t="n">
        <v>138.5734828498915</v>
      </c>
      <c r="Q813" t="n">
        <v>138.5931788143866</v>
      </c>
    </row>
    <row r="814">
      <c r="A814" s="117" t="n">
        <v>45611</v>
      </c>
      <c r="B814" s="118" t="n">
        <v>72.74053292303527</v>
      </c>
      <c r="C814" s="118" t="n">
        <v>74.31976963772281</v>
      </c>
      <c r="D814" s="118" t="n">
        <v>72.36725971984204</v>
      </c>
      <c r="E814" s="118" t="n">
        <v>73.37223052978516</v>
      </c>
      <c r="F814" s="119" t="n">
        <v>13584900</v>
      </c>
      <c r="G814" s="120" t="n">
        <v>0.01294908788137472</v>
      </c>
      <c r="H814" s="121" t="n">
        <v>46.92661623059007</v>
      </c>
      <c r="I814" s="118" t="n">
        <v>77.41469268798828</v>
      </c>
      <c r="J814" s="118" t="n">
        <v>83.44320774078369</v>
      </c>
      <c r="K814" s="120" t="n">
        <v>0.2053619205790172</v>
      </c>
      <c r="L814" s="120" t="n">
        <v>-0.1428890874970947</v>
      </c>
      <c r="M814" s="120" t="n">
        <v>-0.3674246463017865</v>
      </c>
      <c r="N814" t="n">
        <v>41.46387953656978</v>
      </c>
      <c r="O814" t="n">
        <v>0.0292576316854074</v>
      </c>
      <c r="P814" t="n">
        <v>136.7985737883414</v>
      </c>
      <c r="Q814" t="n">
        <v>135.2910765346089</v>
      </c>
    </row>
    <row r="815">
      <c r="A815" s="117" t="n">
        <v>45614</v>
      </c>
      <c r="B815" s="118" t="n">
        <v>72.89368318783697</v>
      </c>
      <c r="C815" s="118" t="n">
        <v>72.93196125754321</v>
      </c>
      <c r="D815" s="118" t="n">
        <v>71.06559501637228</v>
      </c>
      <c r="E815" s="118" t="n">
        <v>71.67814636230469</v>
      </c>
      <c r="F815" s="119" t="n">
        <v>12595100</v>
      </c>
      <c r="G815" s="120" t="n">
        <v>-0.02308890100857386</v>
      </c>
      <c r="H815" s="121" t="n">
        <v>45.84313223377464</v>
      </c>
      <c r="I815" s="118" t="n">
        <v>77.32663848876953</v>
      </c>
      <c r="J815" s="118" t="n">
        <v>83.3253540802002</v>
      </c>
      <c r="K815" s="120" t="n">
        <v>0.2112817049374623</v>
      </c>
      <c r="L815" s="120" t="n">
        <v>-0.1626788365092428</v>
      </c>
      <c r="M815" s="120" t="n">
        <v>-0.3820301160237882</v>
      </c>
      <c r="N815" t="n">
        <v>35.46854104448339</v>
      </c>
      <c r="O815" t="n">
        <v>-0.01757487360621601</v>
      </c>
      <c r="P815" t="n">
        <v>137.3590790431691</v>
      </c>
      <c r="Q815" t="n">
        <v>136.2310201356437</v>
      </c>
    </row>
    <row r="816">
      <c r="A816" s="117" t="n">
        <v>45615</v>
      </c>
      <c r="B816" s="118" t="n">
        <v>71.30487378002984</v>
      </c>
      <c r="C816" s="118" t="n">
        <v>71.52501284493094</v>
      </c>
      <c r="D816" s="118" t="n">
        <v>70.44347115983346</v>
      </c>
      <c r="E816" s="118" t="n">
        <v>70.74018096923828</v>
      </c>
      <c r="F816" s="119" t="n">
        <v>12028400</v>
      </c>
      <c r="G816" s="120" t="n">
        <v>-0.01308579309968982</v>
      </c>
      <c r="H816" s="121" t="n">
        <v>45.24323849032174</v>
      </c>
      <c r="I816" s="118" t="n">
        <v>77.24662399291992</v>
      </c>
      <c r="J816" s="118" t="n">
        <v>83.20768131256104</v>
      </c>
      <c r="K816" s="120" t="n">
        <v>0.2131951166272877</v>
      </c>
      <c r="L816" s="120" t="n">
        <v>-0.1736358480126743</v>
      </c>
      <c r="M816" s="120" t="n">
        <v>-0.3901167420673403</v>
      </c>
      <c r="N816" t="n">
        <v>32.65334904606731</v>
      </c>
      <c r="O816" t="n">
        <v>-0.09286470824324145</v>
      </c>
      <c r="P816" t="n">
        <v>137.8612062137086</v>
      </c>
      <c r="Q816" t="n">
        <v>137.1682453907885</v>
      </c>
    </row>
    <row r="817">
      <c r="A817" s="117" t="n">
        <v>45616</v>
      </c>
      <c r="B817" s="118" t="n">
        <v>70.50088933224301</v>
      </c>
      <c r="C817" s="118" t="n">
        <v>70.67316252101554</v>
      </c>
      <c r="D817" s="118" t="n">
        <v>69.5916283457744</v>
      </c>
      <c r="E817" s="118" t="n">
        <v>70.21375274658203</v>
      </c>
      <c r="F817" s="119" t="n">
        <v>12290300</v>
      </c>
      <c r="G817" s="120" t="n">
        <v>-0.007441714389805898</v>
      </c>
      <c r="H817" s="121" t="n">
        <v>44.90655123140689</v>
      </c>
      <c r="I817" s="118" t="n">
        <v>77.15014678955077</v>
      </c>
      <c r="J817" s="118" t="n">
        <v>83.07352081298828</v>
      </c>
      <c r="K817" s="120" t="n">
        <v>0.2086940110772987</v>
      </c>
      <c r="L817" s="120" t="n">
        <v>-0.1797854140137382</v>
      </c>
      <c r="M817" s="120" t="n">
        <v>-0.3946553190839994</v>
      </c>
      <c r="N817" t="n">
        <v>31.15856262960767</v>
      </c>
      <c r="O817" t="n">
        <v>-0.1555692298172295</v>
      </c>
      <c r="P817" t="n">
        <v>137.9079028622421</v>
      </c>
      <c r="Q817" t="n">
        <v>137.0892539508094</v>
      </c>
    </row>
    <row r="818">
      <c r="A818" s="117" t="n">
        <v>45617</v>
      </c>
      <c r="B818" s="118" t="n">
        <v>70.21376170813215</v>
      </c>
      <c r="C818" s="118" t="n">
        <v>72.31940593110532</v>
      </c>
      <c r="D818" s="118" t="n">
        <v>70.06062022898404</v>
      </c>
      <c r="E818" s="118" t="n">
        <v>71.87913513183594</v>
      </c>
      <c r="F818" s="119" t="n">
        <v>12818600</v>
      </c>
      <c r="G818" s="120" t="n">
        <v>0.02371874910695437</v>
      </c>
      <c r="H818" s="121" t="n">
        <v>45.97167845332323</v>
      </c>
      <c r="I818" s="118" t="n">
        <v>77.08697723388671</v>
      </c>
      <c r="J818" s="118" t="n">
        <v>82.94210712432861</v>
      </c>
      <c r="K818" s="120" t="n">
        <v>0.2283521383081464</v>
      </c>
      <c r="L818" s="120" t="n">
        <v>-0.1603309500348655</v>
      </c>
      <c r="M818" s="120" t="n">
        <v>-0.3802973004741235</v>
      </c>
      <c r="N818" t="n">
        <v>40.44647982983878</v>
      </c>
      <c r="O818" t="n">
        <v>-0.06686764007537072</v>
      </c>
      <c r="P818" t="n">
        <v>138.6482411292728</v>
      </c>
      <c r="Q818" t="n">
        <v>137.5823820311294</v>
      </c>
    </row>
    <row r="819">
      <c r="A819" s="117" t="n">
        <v>45618</v>
      </c>
      <c r="B819" s="118" t="n">
        <v>72.86495345734518</v>
      </c>
      <c r="C819" s="118" t="n">
        <v>74.17619987751569</v>
      </c>
      <c r="D819" s="118" t="n">
        <v>72.57782416171217</v>
      </c>
      <c r="E819" s="118" t="n">
        <v>74.08049011230469</v>
      </c>
      <c r="F819" s="119" t="n">
        <v>12248600</v>
      </c>
      <c r="G819" s="120" t="n">
        <v>0.03062578558341267</v>
      </c>
      <c r="H819" s="121" t="n">
        <v>47.3795972205443</v>
      </c>
      <c r="I819" s="118" t="n">
        <v>77.05615814208984</v>
      </c>
      <c r="J819" s="118" t="n">
        <v>82.82179477691651</v>
      </c>
      <c r="K819" s="120" t="n">
        <v>0.256778313939411</v>
      </c>
      <c r="L819" s="120" t="n">
        <v>-0.1346154257496055</v>
      </c>
      <c r="M819" s="120" t="n">
        <v>-0.361318418472982</v>
      </c>
      <c r="N819" t="n">
        <v>50.04136472015772</v>
      </c>
      <c r="O819" t="n">
        <v>0.1464394068833386</v>
      </c>
      <c r="P819" t="n">
        <v>139.0779666737215</v>
      </c>
      <c r="Q819" t="n">
        <v>137.8030630556405</v>
      </c>
    </row>
    <row r="820">
      <c r="A820" s="117" t="n">
        <v>45621</v>
      </c>
      <c r="B820" s="118" t="n">
        <v>75.13331798662921</v>
      </c>
      <c r="C820" s="118" t="n">
        <v>76.43499134101843</v>
      </c>
      <c r="D820" s="118" t="n">
        <v>75.04718138188566</v>
      </c>
      <c r="E820" s="118" t="n">
        <v>75.86072540283203</v>
      </c>
      <c r="F820" s="119" t="n">
        <v>18328900</v>
      </c>
      <c r="G820" s="120" t="n">
        <v>0.02403109493239763</v>
      </c>
      <c r="H820" s="121" t="n">
        <v>48.51818081920996</v>
      </c>
      <c r="I820" s="118" t="n">
        <v>77.04582122802735</v>
      </c>
      <c r="J820" s="118" t="n">
        <v>82.70693157196045</v>
      </c>
      <c r="K820" s="120" t="n">
        <v>0.2715204777290431</v>
      </c>
      <c r="L820" s="120" t="n">
        <v>-0.1138192868927619</v>
      </c>
      <c r="M820" s="120" t="n">
        <v>-0.3459702007557323</v>
      </c>
      <c r="N820" t="n">
        <v>56.18874443718841</v>
      </c>
      <c r="O820" t="n">
        <v>0.3994561927123244</v>
      </c>
      <c r="P820" t="n">
        <v>139.549733749093</v>
      </c>
      <c r="Q820" t="n">
        <v>138.0210173443051</v>
      </c>
    </row>
    <row r="821">
      <c r="A821" s="117" t="n">
        <v>45622</v>
      </c>
      <c r="B821" s="118" t="n">
        <v>75.51616225987927</v>
      </c>
      <c r="C821" s="118" t="n">
        <v>75.51616225987927</v>
      </c>
      <c r="D821" s="118" t="n">
        <v>74.24320114280097</v>
      </c>
      <c r="E821" s="118" t="n">
        <v>74.28148651123047</v>
      </c>
      <c r="F821" s="119" t="n">
        <v>9495600</v>
      </c>
      <c r="G821" s="120" t="n">
        <v>-0.02081760862706705</v>
      </c>
      <c r="H821" s="121" t="n">
        <v>47.50814831961838</v>
      </c>
      <c r="I821" s="118" t="n">
        <v>76.98782012939454</v>
      </c>
      <c r="J821" s="118" t="n">
        <v>82.57149883270263</v>
      </c>
      <c r="K821" s="120" t="n">
        <v>0.2809232821012099</v>
      </c>
      <c r="L821" s="120" t="n">
        <v>-0.1322674501510834</v>
      </c>
      <c r="M821" s="120" t="n">
        <v>-0.3595855371468387</v>
      </c>
      <c r="N821" t="n">
        <v>50.27836055120365</v>
      </c>
      <c r="O821" t="n">
        <v>0.4487944801320647</v>
      </c>
      <c r="P821" t="n">
        <v>140.2783905803689</v>
      </c>
      <c r="Q821" t="n">
        <v>138.7620686377302</v>
      </c>
    </row>
    <row r="822">
      <c r="A822" s="117" t="n">
        <v>45623</v>
      </c>
      <c r="B822" s="118" t="n">
        <v>74.28149845721587</v>
      </c>
      <c r="C822" s="118" t="n">
        <v>75.65974273357836</v>
      </c>
      <c r="D822" s="118" t="n">
        <v>74.26235211882832</v>
      </c>
      <c r="E822" s="118" t="n">
        <v>74.98018646240234</v>
      </c>
      <c r="F822" s="119" t="n">
        <v>8713500</v>
      </c>
      <c r="G822" s="120" t="n">
        <v>0.009406111589679078</v>
      </c>
      <c r="H822" s="121" t="n">
        <v>47.95501526413173</v>
      </c>
      <c r="I822" s="118" t="n">
        <v>76.93881591796875</v>
      </c>
      <c r="J822" s="118" t="n">
        <v>82.44986850738525</v>
      </c>
      <c r="K822" s="120" t="n">
        <v>0.2672671610754013</v>
      </c>
      <c r="L822" s="120" t="n">
        <v>-0.1241054609572078</v>
      </c>
      <c r="M822" s="120" t="n">
        <v>-0.3535617272455974</v>
      </c>
      <c r="N822" t="n">
        <v>52.65137976952349</v>
      </c>
      <c r="O822" t="n">
        <v>0.5122344779662282</v>
      </c>
      <c r="P822" t="n">
        <v>139.8533347007736</v>
      </c>
      <c r="Q822" t="n">
        <v>137.6695452886911</v>
      </c>
    </row>
    <row r="823">
      <c r="A823" s="117" t="n">
        <v>45625</v>
      </c>
      <c r="B823" s="118" t="n">
        <v>74.84617755339511</v>
      </c>
      <c r="C823" s="118" t="n">
        <v>75.78415080299156</v>
      </c>
      <c r="D823" s="118" t="n">
        <v>74.68347021793249</v>
      </c>
      <c r="E823" s="118" t="n">
        <v>75.39173126220703</v>
      </c>
      <c r="F823" s="119" t="n">
        <v>7123500</v>
      </c>
      <c r="G823" s="120" t="n">
        <v>0.005488714008614171</v>
      </c>
      <c r="H823" s="121" t="n">
        <v>48.21822662819528</v>
      </c>
      <c r="I823" s="118" t="n">
        <v>76.89651123046875</v>
      </c>
      <c r="J823" s="118" t="n">
        <v>82.32400650024414</v>
      </c>
      <c r="K823" s="120" t="n">
        <v>0.2662646223681878</v>
      </c>
      <c r="L823" s="120" t="n">
        <v>-0.1192979263306949</v>
      </c>
      <c r="M823" s="120" t="n">
        <v>-0.3500136124422261</v>
      </c>
      <c r="N823" t="n">
        <v>54.04268230760398</v>
      </c>
      <c r="O823" t="n">
        <v>0.5616944682733764</v>
      </c>
      <c r="P823" t="n">
        <v>140.7221396666203</v>
      </c>
      <c r="Q823" t="n">
        <v>138.8792343795579</v>
      </c>
    </row>
    <row r="824">
      <c r="A824" s="117" t="n">
        <v>45628</v>
      </c>
      <c r="B824" s="118" t="n">
        <v>74.95883072213802</v>
      </c>
      <c r="C824" s="118" t="n">
        <v>76.09398787314261</v>
      </c>
      <c r="D824" s="118" t="n">
        <v>74.26619146532747</v>
      </c>
      <c r="E824" s="118" t="n">
        <v>76.08436584472656</v>
      </c>
      <c r="F824" s="119" t="n">
        <v>11221000</v>
      </c>
      <c r="G824" s="120" t="n">
        <v>0.009187142554275551</v>
      </c>
      <c r="H824" s="121" t="n">
        <v>48.66121434994287</v>
      </c>
      <c r="I824" s="118" t="n">
        <v>76.76201126098633</v>
      </c>
      <c r="J824" s="118" t="n">
        <v>82.20293174743652</v>
      </c>
      <c r="K824" s="120" t="n">
        <v>0.2649016599405148</v>
      </c>
      <c r="L824" s="120" t="n">
        <v>-0.111206790832049</v>
      </c>
      <c r="M824" s="120" t="n">
        <v>-0.3440420948413941</v>
      </c>
      <c r="N824" t="n">
        <v>56.3665202341385</v>
      </c>
      <c r="O824" t="n">
        <v>0.6164575642232902</v>
      </c>
      <c r="P824" t="n">
        <v>140.9743306631864</v>
      </c>
      <c r="Q824" t="n">
        <v>140.3913394506741</v>
      </c>
    </row>
    <row r="825">
      <c r="A825" s="117" t="n">
        <v>45629</v>
      </c>
      <c r="B825" s="118" t="n">
        <v>75.99779244835067</v>
      </c>
      <c r="C825" s="118" t="n">
        <v>76.38259286534773</v>
      </c>
      <c r="D825" s="118" t="n">
        <v>74.6606166873654</v>
      </c>
      <c r="E825" s="118" t="n">
        <v>75.86311340332031</v>
      </c>
      <c r="F825" s="119" t="n">
        <v>9414500</v>
      </c>
      <c r="G825" s="120" t="n">
        <v>-0.002907988243705417</v>
      </c>
      <c r="H825" s="121" t="n">
        <v>48.51970811068881</v>
      </c>
      <c r="I825" s="118" t="n">
        <v>76.62921188354493</v>
      </c>
      <c r="J825" s="118" t="n">
        <v>82.0927619934082</v>
      </c>
      <c r="K825" s="120" t="n">
        <v>0.2614663713708263</v>
      </c>
      <c r="L825" s="120" t="n">
        <v>-0.1137913910353946</v>
      </c>
      <c r="M825" s="120" t="n">
        <v>-0.3459496127179611</v>
      </c>
      <c r="N825" t="n">
        <v>55.40279894808333</v>
      </c>
      <c r="O825" t="n">
        <v>0.6119466057247973</v>
      </c>
      <c r="P825" t="n">
        <v>141.0397205183758</v>
      </c>
      <c r="Q825" t="n">
        <v>140.8218281161366</v>
      </c>
    </row>
    <row r="826">
      <c r="A826" s="117" t="n">
        <v>45630</v>
      </c>
      <c r="B826" s="118" t="n">
        <v>74.86263738573849</v>
      </c>
      <c r="C826" s="118" t="n">
        <v>75.52641794046531</v>
      </c>
      <c r="D826" s="118" t="n">
        <v>74.16999808332056</v>
      </c>
      <c r="E826" s="118" t="n">
        <v>75.39173889160156</v>
      </c>
      <c r="F826" s="119" t="n">
        <v>15042600</v>
      </c>
      <c r="G826" s="120" t="n">
        <v>-0.006213487564275422</v>
      </c>
      <c r="H826" s="121" t="n">
        <v>48.21823150772077</v>
      </c>
      <c r="I826" s="118" t="n">
        <v>76.46286575317383</v>
      </c>
      <c r="J826" s="118" t="n">
        <v>81.98122848510742</v>
      </c>
      <c r="K826" s="120" t="n">
        <v>0.2606583685449736</v>
      </c>
      <c r="L826" s="120" t="n">
        <v>-0.11929783720655</v>
      </c>
      <c r="M826" s="120" t="n">
        <v>-0.3500135466657476</v>
      </c>
      <c r="N826" t="n">
        <v>53.31151057672789</v>
      </c>
      <c r="O826" t="n">
        <v>0.5531633338306969</v>
      </c>
      <c r="P826" t="n">
        <v>141.9155081606388</v>
      </c>
      <c r="Q826" t="n">
        <v>142.5627776393899</v>
      </c>
    </row>
    <row r="827">
      <c r="A827" s="117" t="n">
        <v>45631</v>
      </c>
      <c r="B827" s="118" t="n">
        <v>75.28591875425643</v>
      </c>
      <c r="C827" s="118" t="n">
        <v>75.90159650453263</v>
      </c>
      <c r="D827" s="118" t="n">
        <v>75.13199564695852</v>
      </c>
      <c r="E827" s="118" t="n">
        <v>75.59375762939453</v>
      </c>
      <c r="F827" s="119" t="n">
        <v>8316500</v>
      </c>
      <c r="G827" s="120" t="n">
        <v>0.002679587190360877</v>
      </c>
      <c r="H827" s="121" t="n">
        <v>48.34743646321072</v>
      </c>
      <c r="I827" s="118" t="n">
        <v>76.29022338867188</v>
      </c>
      <c r="J827" s="118" t="n">
        <v>81.86138923645019</v>
      </c>
      <c r="K827" s="120" t="n">
        <v>0.226031530593152</v>
      </c>
      <c r="L827" s="120" t="n">
        <v>-0.1169379189726054</v>
      </c>
      <c r="M827" s="120" t="n">
        <v>-0.348271851291485</v>
      </c>
      <c r="N827" t="n">
        <v>54.11097888307708</v>
      </c>
      <c r="O827" t="n">
        <v>0.5051583564602886</v>
      </c>
      <c r="P827" t="n">
        <v>141.6819521817585</v>
      </c>
      <c r="Q827" t="n">
        <v>142.1677113700604</v>
      </c>
    </row>
    <row r="828">
      <c r="A828" s="117" t="n">
        <v>45632</v>
      </c>
      <c r="B828" s="118" t="n">
        <v>76.2094439722287</v>
      </c>
      <c r="C828" s="118" t="n">
        <v>78.09495821247215</v>
      </c>
      <c r="D828" s="118" t="n">
        <v>75.84388022090798</v>
      </c>
      <c r="E828" s="118" t="n">
        <v>75.89198303222656</v>
      </c>
      <c r="F828" s="119" t="n">
        <v>13931100</v>
      </c>
      <c r="G828" s="120" t="n">
        <v>0.003945106212263072</v>
      </c>
      <c r="H828" s="121" t="n">
        <v>48.53817223514872</v>
      </c>
      <c r="I828" s="118" t="n">
        <v>76.09693756103516</v>
      </c>
      <c r="J828" s="118" t="n">
        <v>81.74393951416016</v>
      </c>
      <c r="K828" s="120" t="n">
        <v>0.2251842728021319</v>
      </c>
      <c r="L828" s="120" t="n">
        <v>-0.1134541452709305</v>
      </c>
      <c r="M828" s="120" t="n">
        <v>-0.3457007145233083</v>
      </c>
      <c r="N828" t="n">
        <v>55.32709021118607</v>
      </c>
      <c r="O828" t="n">
        <v>0.471413832054364</v>
      </c>
      <c r="P828" t="n">
        <v>141.9505524679027</v>
      </c>
      <c r="Q828" t="n">
        <v>143.4400650456542</v>
      </c>
    </row>
    <row r="829">
      <c r="A829" s="117" t="n">
        <v>45635</v>
      </c>
      <c r="B829" s="118" t="n">
        <v>76.42108203963815</v>
      </c>
      <c r="C829" s="118" t="n">
        <v>76.43069673001304</v>
      </c>
      <c r="D829" s="118" t="n">
        <v>74.5740413029547</v>
      </c>
      <c r="E829" s="118" t="n">
        <v>74.68948364257812</v>
      </c>
      <c r="F829" s="119" t="n">
        <v>12043400</v>
      </c>
      <c r="G829" s="120" t="n">
        <v>-0.01584488033654108</v>
      </c>
      <c r="H829" s="121" t="n">
        <v>47.76909070432837</v>
      </c>
      <c r="I829" s="118" t="n">
        <v>75.87864471435547</v>
      </c>
      <c r="J829" s="118" t="n">
        <v>81.61787643432618</v>
      </c>
      <c r="K829" s="120" t="n">
        <v>0.2340966723564359</v>
      </c>
      <c r="L829" s="120" t="n">
        <v>-0.1275013582519691</v>
      </c>
      <c r="M829" s="120" t="n">
        <v>-0.3560680084059709</v>
      </c>
      <c r="N829" t="n">
        <v>49.61727134311864</v>
      </c>
      <c r="O829" t="n">
        <v>0.3515292292554227</v>
      </c>
      <c r="P829" t="n">
        <v>141.2195535305788</v>
      </c>
      <c r="Q829" t="n">
        <v>142.3230430237804</v>
      </c>
    </row>
    <row r="830">
      <c r="A830" s="117" t="n">
        <v>45636</v>
      </c>
      <c r="B830" s="118" t="n">
        <v>74.55481253849369</v>
      </c>
      <c r="C830" s="118" t="n">
        <v>75.11277289702616</v>
      </c>
      <c r="D830" s="118" t="n">
        <v>73.70825730929414</v>
      </c>
      <c r="E830" s="118" t="n">
        <v>73.82369232177734</v>
      </c>
      <c r="F830" s="119" t="n">
        <v>12193100</v>
      </c>
      <c r="G830" s="120" t="n">
        <v>-0.01159187717703303</v>
      </c>
      <c r="H830" s="121" t="n">
        <v>47.21535727202524</v>
      </c>
      <c r="I830" s="118" t="n">
        <v>75.66294387817383</v>
      </c>
      <c r="J830" s="118" t="n">
        <v>81.49263889312743</v>
      </c>
      <c r="K830" s="120" t="n">
        <v>0.2365082341265508</v>
      </c>
      <c r="L830" s="120" t="n">
        <v>-0.1376152553442404</v>
      </c>
      <c r="M830" s="120" t="n">
        <v>-0.3635323889628911</v>
      </c>
      <c r="N830" t="n">
        <v>45.94107498118236</v>
      </c>
      <c r="O830" t="n">
        <v>0.2046249592309009</v>
      </c>
      <c r="P830" t="n">
        <v>140.7804886564233</v>
      </c>
      <c r="Q830" t="n">
        <v>141.8380532012171</v>
      </c>
    </row>
    <row r="831">
      <c r="A831" s="117" t="n">
        <v>45637</v>
      </c>
      <c r="B831" s="118" t="n">
        <v>73.87179532210423</v>
      </c>
      <c r="C831" s="118" t="n">
        <v>75.97857237872175</v>
      </c>
      <c r="D831" s="118" t="n">
        <v>73.4100332526347</v>
      </c>
      <c r="E831" s="118" t="n">
        <v>75.85350799560547</v>
      </c>
      <c r="F831" s="119" t="n">
        <v>12033200</v>
      </c>
      <c r="G831" s="120" t="n">
        <v>0.02749545044402169</v>
      </c>
      <c r="H831" s="121" t="n">
        <v>48.513564788095</v>
      </c>
      <c r="I831" s="118" t="n">
        <v>75.47386581420898</v>
      </c>
      <c r="J831" s="118" t="n">
        <v>81.37466579437256</v>
      </c>
      <c r="K831" s="120" t="n">
        <v>0.2552689521439571</v>
      </c>
      <c r="L831" s="120" t="n">
        <v>-0.1139035983338776</v>
      </c>
      <c r="M831" s="120" t="n">
        <v>-0.3460324253043955</v>
      </c>
      <c r="N831" t="n">
        <v>54.46003489523689</v>
      </c>
      <c r="O831" t="n">
        <v>0.2328107418876492</v>
      </c>
      <c r="P831" t="n">
        <v>141.8688115121053</v>
      </c>
      <c r="Q831" t="n">
        <v>144.377290300799</v>
      </c>
    </row>
    <row r="832">
      <c r="A832" s="117" t="n">
        <v>45638</v>
      </c>
      <c r="B832" s="118" t="n">
        <v>75.71882788975509</v>
      </c>
      <c r="C832" s="118" t="n">
        <v>76.35374980919552</v>
      </c>
      <c r="D832" s="118" t="n">
        <v>74.90113142276039</v>
      </c>
      <c r="E832" s="118" t="n">
        <v>74.99732971191406</v>
      </c>
      <c r="F832" s="119" t="n">
        <v>6983200</v>
      </c>
      <c r="G832" s="120" t="n">
        <v>-0.01128726022455029</v>
      </c>
      <c r="H832" s="121" t="n">
        <v>47.96597955791119</v>
      </c>
      <c r="I832" s="118" t="n">
        <v>75.38309173583984</v>
      </c>
      <c r="J832" s="118" t="n">
        <v>81.25619491577149</v>
      </c>
      <c r="K832" s="120" t="n">
        <v>0.2592234007533899</v>
      </c>
      <c r="L832" s="120" t="n">
        <v>-0.1239051990035207</v>
      </c>
      <c r="M832" s="120" t="n">
        <v>-0.3534139274984028</v>
      </c>
      <c r="N832" t="n">
        <v>50.82202852891164</v>
      </c>
      <c r="O832" t="n">
        <v>0.1845540172710134</v>
      </c>
      <c r="P832" t="n">
        <v>141.1378416692664</v>
      </c>
      <c r="Q832" t="n">
        <v>143.4455352972597</v>
      </c>
    </row>
    <row r="833">
      <c r="A833" s="117" t="n">
        <v>45639</v>
      </c>
      <c r="B833" s="118" t="n">
        <v>74.41049881101341</v>
      </c>
      <c r="C833" s="118" t="n">
        <v>74.8722608009938</v>
      </c>
      <c r="D833" s="118" t="n">
        <v>73.85253854712899</v>
      </c>
      <c r="E833" s="118" t="n">
        <v>74.31430053710938</v>
      </c>
      <c r="F833" s="119" t="n">
        <v>8037300</v>
      </c>
      <c r="G833" s="120" t="n">
        <v>-0.009107379921770464</v>
      </c>
      <c r="H833" s="121" t="n">
        <v>47.52913515875741</v>
      </c>
      <c r="I833" s="118" t="n">
        <v>75.29779922485352</v>
      </c>
      <c r="J833" s="118" t="n">
        <v>81.13629505157471</v>
      </c>
      <c r="K833" s="120" t="n">
        <v>0.2581300545669132</v>
      </c>
      <c r="L833" s="120" t="n">
        <v>-0.1318841272036836</v>
      </c>
      <c r="M833" s="120" t="n">
        <v>-0.3593026325128003</v>
      </c>
      <c r="N833" t="n">
        <v>48.06360102100019</v>
      </c>
      <c r="O833" t="n">
        <v>0.1015436429622142</v>
      </c>
      <c r="P833" t="n">
        <v>141.1097800384186</v>
      </c>
      <c r="Q833" t="n">
        <v>144.5435288979044</v>
      </c>
    </row>
    <row r="834">
      <c r="A834" s="117" t="n">
        <v>45642</v>
      </c>
      <c r="B834" s="118" t="n">
        <v>73.8429309204289</v>
      </c>
      <c r="C834" s="118" t="n">
        <v>76.01704000855341</v>
      </c>
      <c r="D834" s="118" t="n">
        <v>73.7467326373235</v>
      </c>
      <c r="E834" s="118" t="n">
        <v>74.26620483398438</v>
      </c>
      <c r="F834" s="119" t="n">
        <v>13034000</v>
      </c>
      <c r="G834" s="120" t="n">
        <v>-0.0006471931078861903</v>
      </c>
      <c r="H834" s="121" t="n">
        <v>47.49837463005888</v>
      </c>
      <c r="I834" s="118" t="n">
        <v>75.20867370605468</v>
      </c>
      <c r="J834" s="118" t="n">
        <v>81.02412757873535</v>
      </c>
      <c r="K834" s="120" t="n">
        <v>0.2545536974492813</v>
      </c>
      <c r="L834" s="120" t="n">
        <v>-0.132445965813404</v>
      </c>
      <c r="M834" s="120" t="n">
        <v>-0.3597172874332788</v>
      </c>
      <c r="N834" t="n">
        <v>47.86658852973528</v>
      </c>
      <c r="O834" t="n">
        <v>0.04139042764562759</v>
      </c>
      <c r="P834" t="n">
        <v>141.7123413714116</v>
      </c>
      <c r="Q834" t="n">
        <v>146.6250267534734</v>
      </c>
    </row>
    <row r="835">
      <c r="A835" s="117" t="n">
        <v>45643</v>
      </c>
      <c r="B835" s="118" t="n">
        <v>74.42012693775513</v>
      </c>
      <c r="C835" s="118" t="n">
        <v>75.77653959169103</v>
      </c>
      <c r="D835" s="118" t="n">
        <v>74.31430662595308</v>
      </c>
      <c r="E835" s="118" t="n">
        <v>75.03580474853516</v>
      </c>
      <c r="F835" s="119" t="n">
        <v>12452400</v>
      </c>
      <c r="G835" s="120" t="n">
        <v>0.01036272038232133</v>
      </c>
      <c r="H835" s="121" t="n">
        <v>47.99058700496492</v>
      </c>
      <c r="I835" s="118" t="n">
        <v>75.16212188720704</v>
      </c>
      <c r="J835" s="118" t="n">
        <v>80.9269132232666</v>
      </c>
      <c r="K835" s="120" t="n">
        <v>0.240341345254157</v>
      </c>
      <c r="L835" s="120" t="n">
        <v>-0.1234557459405734</v>
      </c>
      <c r="M835" s="120" t="n">
        <v>-0.3530822167173157</v>
      </c>
      <c r="N835" t="n">
        <v>51.30609016393335</v>
      </c>
      <c r="O835" t="n">
        <v>0.05080605459095613</v>
      </c>
      <c r="P835" t="n">
        <v>141.1284877923171</v>
      </c>
      <c r="Q835" t="n">
        <v>145.9793189251491</v>
      </c>
    </row>
    <row r="836">
      <c r="A836" s="117" t="n">
        <v>45644</v>
      </c>
      <c r="B836" s="118" t="n">
        <v>75.01655903103953</v>
      </c>
      <c r="C836" s="118" t="n">
        <v>75.99779313070761</v>
      </c>
      <c r="D836" s="118" t="n">
        <v>73.91987526394102</v>
      </c>
      <c r="E836" s="118" t="n">
        <v>73.97760009765625</v>
      </c>
      <c r="F836" s="119" t="n">
        <v>14376900</v>
      </c>
      <c r="G836" s="120" t="n">
        <v>-0.01410266278112471</v>
      </c>
      <c r="H836" s="121" t="n">
        <v>47.31379193976568</v>
      </c>
      <c r="I836" s="118" t="n">
        <v>75.09555465698242</v>
      </c>
      <c r="J836" s="118" t="n">
        <v>80.83024509429931</v>
      </c>
      <c r="K836" s="120" t="n">
        <v>0.2412357671591279</v>
      </c>
      <c r="L836" s="120" t="n">
        <v>-0.135817353968306</v>
      </c>
      <c r="M836" s="120" t="n">
        <v>-0.3622054800620641</v>
      </c>
      <c r="N836" t="n">
        <v>46.73987606937275</v>
      </c>
      <c r="O836" t="n">
        <v>-0.01342951318586729</v>
      </c>
      <c r="P836" t="n">
        <v>136.9223562750616</v>
      </c>
      <c r="Q836" t="n">
        <v>140.7128258019349</v>
      </c>
    </row>
    <row r="837">
      <c r="A837" s="117" t="n">
        <v>45645</v>
      </c>
      <c r="B837" s="118" t="n">
        <v>74.01608240126237</v>
      </c>
      <c r="C837" s="118" t="n">
        <v>74.97807980251835</v>
      </c>
      <c r="D837" s="118" t="n">
        <v>73.52546167157365</v>
      </c>
      <c r="E837" s="118" t="n">
        <v>74.16999816894531</v>
      </c>
      <c r="F837" s="119" t="n">
        <v>27067600</v>
      </c>
      <c r="G837" s="120" t="n">
        <v>0.002600761190348022</v>
      </c>
      <c r="H837" s="121" t="n">
        <v>47.43684381361082</v>
      </c>
      <c r="I837" s="118" t="n">
        <v>75.00067642211914</v>
      </c>
      <c r="J837" s="118" t="n">
        <v>80.73776615142822</v>
      </c>
      <c r="K837" s="120" t="n">
        <v>0.2384476795890051</v>
      </c>
      <c r="L837" s="120" t="n">
        <v>-0.1335698212811345</v>
      </c>
      <c r="M837" s="120" t="n">
        <v>-0.359972628218979</v>
      </c>
      <c r="N837" t="n">
        <v>47.65210182671585</v>
      </c>
      <c r="O837" t="n">
        <v>-0.04061973567685141</v>
      </c>
      <c r="P837" t="n">
        <v>136.8803147441389</v>
      </c>
      <c r="Q837" t="n">
        <v>140.0861967345784</v>
      </c>
    </row>
    <row r="838">
      <c r="A838" s="117" t="n">
        <v>45646</v>
      </c>
      <c r="B838" s="118" t="n">
        <v>73.07332207646351</v>
      </c>
      <c r="C838" s="118" t="n">
        <v>75.03579766536966</v>
      </c>
      <c r="D838" s="118" t="n">
        <v>72.01512639779216</v>
      </c>
      <c r="E838" s="118" t="n">
        <v>74.01608276367188</v>
      </c>
      <c r="F838" s="119" t="n">
        <v>49883400</v>
      </c>
      <c r="G838" s="120" t="n">
        <v>-0.002075170676462013</v>
      </c>
      <c r="H838" s="121" t="n">
        <v>47.3384042663449</v>
      </c>
      <c r="I838" s="118" t="n">
        <v>74.90941955566406</v>
      </c>
      <c r="J838" s="118" t="n">
        <v>80.64185989379882</v>
      </c>
      <c r="K838" s="120" t="n">
        <v>0.2257484330845181</v>
      </c>
      <c r="L838" s="120" t="n">
        <v>-0.1353678117812137</v>
      </c>
      <c r="M838" s="120" t="n">
        <v>-0.3613007942530321</v>
      </c>
      <c r="N838" t="n">
        <v>46.95917609979641</v>
      </c>
      <c r="O838" t="n">
        <v>-0.06517363346622106</v>
      </c>
      <c r="P838" t="n">
        <v>138.5243713590974</v>
      </c>
      <c r="Q838" t="n">
        <v>141.309502724764</v>
      </c>
    </row>
    <row r="839">
      <c r="A839" s="117" t="n">
        <v>45649</v>
      </c>
      <c r="B839" s="118" t="n">
        <v>73.42926682994613</v>
      </c>
      <c r="C839" s="118" t="n">
        <v>75.43022327951289</v>
      </c>
      <c r="D839" s="118" t="n">
        <v>72.8616845201697</v>
      </c>
      <c r="E839" s="118" t="n">
        <v>73.84292602539062</v>
      </c>
      <c r="F839" s="119" t="n">
        <v>14203800</v>
      </c>
      <c r="G839" s="120" t="n">
        <v>-0.002339447479733914</v>
      </c>
      <c r="H839" s="121" t="n">
        <v>47.22765855578938</v>
      </c>
      <c r="I839" s="118" t="n">
        <v>74.81374252319335</v>
      </c>
      <c r="J839" s="118" t="n">
        <v>80.54048446655274</v>
      </c>
      <c r="K839" s="120" t="n">
        <v>0.1980898075044228</v>
      </c>
      <c r="L839" s="120" t="n">
        <v>-0.1343902599787702</v>
      </c>
      <c r="M839" s="120" t="n">
        <v>-0.2825149937193356</v>
      </c>
      <c r="N839" t="n">
        <v>46.14619120621518</v>
      </c>
      <c r="O839" t="n">
        <v>-0.08786737113856986</v>
      </c>
      <c r="P839" t="n">
        <v>139.3539133173453</v>
      </c>
      <c r="Q839" t="n">
        <v>142.6862274585989</v>
      </c>
    </row>
    <row r="840">
      <c r="A840" s="117" t="n">
        <v>45650</v>
      </c>
      <c r="B840" s="118" t="n">
        <v>73.83329961920589</v>
      </c>
      <c r="C840" s="118" t="n">
        <v>74.17961926646561</v>
      </c>
      <c r="D840" s="118" t="n">
        <v>73.45812122458412</v>
      </c>
      <c r="E840" s="118" t="n">
        <v>73.87178039550781</v>
      </c>
      <c r="F840" s="119" t="n">
        <v>4919100</v>
      </c>
      <c r="G840" s="120" t="n">
        <v>0.0003907533418605613</v>
      </c>
      <c r="H840" s="121" t="n">
        <v>47.2461129211983</v>
      </c>
      <c r="I840" s="118" t="n">
        <v>74.72917083740235</v>
      </c>
      <c r="J840" s="118" t="n">
        <v>80.43014152526855</v>
      </c>
      <c r="K840" s="120" t="n">
        <v>0.1765137114465249</v>
      </c>
      <c r="L840" s="120" t="n">
        <v>-0.1340520200801099</v>
      </c>
      <c r="M840" s="120" t="n">
        <v>-0.2822346340553966</v>
      </c>
      <c r="N840" t="n">
        <v>46.31298816374827</v>
      </c>
      <c r="O840" t="n">
        <v>-0.09511340874268945</v>
      </c>
      <c r="P840" t="n">
        <v>140.9028309661327</v>
      </c>
      <c r="Q840" t="n">
        <v>144.6210353155918</v>
      </c>
    </row>
    <row r="841">
      <c r="A841" s="117" t="n">
        <v>45652</v>
      </c>
      <c r="B841" s="118" t="n">
        <v>73.68899982912531</v>
      </c>
      <c r="C841" s="118" t="n">
        <v>74.51631818541293</v>
      </c>
      <c r="D841" s="118" t="n">
        <v>73.63128233339381</v>
      </c>
      <c r="E841" s="118" t="n">
        <v>74.01608276367188</v>
      </c>
      <c r="F841" s="119" t="n">
        <v>6363500</v>
      </c>
      <c r="G841" s="120" t="n">
        <v>0.001953416682141329</v>
      </c>
      <c r="H841" s="121" t="n">
        <v>47.3384042663449</v>
      </c>
      <c r="I841" s="118" t="n">
        <v>74.63753112792969</v>
      </c>
      <c r="J841" s="118" t="n">
        <v>80.32479122161865</v>
      </c>
      <c r="K841" s="120" t="n">
        <v>0.1608801467162779</v>
      </c>
      <c r="L841" s="120" t="n">
        <v>-0.07871447462447734</v>
      </c>
      <c r="M841" s="120" t="n">
        <v>-0.2808325392156972</v>
      </c>
      <c r="N841" t="n">
        <v>47.19383993487778</v>
      </c>
      <c r="O841" t="n">
        <v>-0.08471287372523084</v>
      </c>
      <c r="P841" t="n">
        <v>140.9121993903245</v>
      </c>
      <c r="Q841" t="n">
        <v>144.5227889255593</v>
      </c>
    </row>
    <row r="842">
      <c r="A842" s="117" t="n">
        <v>45653</v>
      </c>
      <c r="B842" s="118" t="n">
        <v>73.61203689394692</v>
      </c>
      <c r="C842" s="118" t="n">
        <v>74.006459345932</v>
      </c>
      <c r="D842" s="118" t="n">
        <v>72.91940493979202</v>
      </c>
      <c r="E842" s="118" t="n">
        <v>73.51583862304688</v>
      </c>
      <c r="F842" s="119" t="n">
        <v>6334400</v>
      </c>
      <c r="G842" s="120" t="n">
        <v>-0.00675858707927357</v>
      </c>
      <c r="H842" s="121" t="n">
        <v>47.01846353891695</v>
      </c>
      <c r="I842" s="118" t="n">
        <v>74.50104782104492</v>
      </c>
      <c r="J842" s="118" t="n">
        <v>80.21133972167969</v>
      </c>
      <c r="K842" s="120" t="n">
        <v>0.1583844024803837</v>
      </c>
      <c r="L842" s="120" t="n">
        <v>-0.08494106307260219</v>
      </c>
      <c r="M842" s="120" t="n">
        <v>-0.285693095123988</v>
      </c>
      <c r="N842" t="n">
        <v>44.46992682516077</v>
      </c>
      <c r="O842" t="n">
        <v>-0.1047373967290528</v>
      </c>
      <c r="P842" t="n">
        <v>139.428875258122</v>
      </c>
      <c r="Q842" t="n">
        <v>142.6016399176675</v>
      </c>
    </row>
    <row r="843">
      <c r="A843" s="117" t="n">
        <v>45656</v>
      </c>
      <c r="B843" s="118" t="n">
        <v>72.72701271010871</v>
      </c>
      <c r="C843" s="118" t="n">
        <v>72.89055053078491</v>
      </c>
      <c r="D843" s="118" t="n">
        <v>71.71691969464509</v>
      </c>
      <c r="E843" s="118" t="n">
        <v>71.81311798095703</v>
      </c>
      <c r="F843" s="119" t="n">
        <v>9042900</v>
      </c>
      <c r="G843" s="120" t="n">
        <v>-0.02316127618186548</v>
      </c>
      <c r="H843" s="121" t="n">
        <v>45.92945591924513</v>
      </c>
      <c r="I843" s="118" t="n">
        <v>74.34084655761718</v>
      </c>
      <c r="J843" s="118" t="n">
        <v>80.09459499359131</v>
      </c>
      <c r="K843" s="120" t="n">
        <v>0.1747665384637477</v>
      </c>
      <c r="L843" s="120" t="n">
        <v>-0.1061349958334618</v>
      </c>
      <c r="M843" s="120" t="n">
        <v>-0.3006305455261984</v>
      </c>
      <c r="N843" t="n">
        <v>36.70438209110202</v>
      </c>
      <c r="O843" t="n">
        <v>-0.2192825614902542</v>
      </c>
      <c r="P843" t="n">
        <v>137.8377706059866</v>
      </c>
      <c r="Q843" t="n">
        <v>140.7050650922184</v>
      </c>
    </row>
    <row r="844">
      <c r="A844" s="117" t="n">
        <v>45657</v>
      </c>
      <c r="B844" s="118" t="n">
        <v>72.05359971507653</v>
      </c>
      <c r="C844" s="118" t="n">
        <v>73.48697364652131</v>
      </c>
      <c r="D844" s="118" t="n">
        <v>71.9381573961075</v>
      </c>
      <c r="E844" s="118" t="n">
        <v>72.79433441162109</v>
      </c>
      <c r="F844" s="119" t="n">
        <v>9425600</v>
      </c>
      <c r="G844" s="120" t="n">
        <v>0.01366347066178442</v>
      </c>
      <c r="H844" s="121" t="n">
        <v>46.55701169270945</v>
      </c>
      <c r="I844" s="118" t="n">
        <v>74.2094580078125</v>
      </c>
      <c r="J844" s="118" t="n">
        <v>79.98569862365723</v>
      </c>
      <c r="K844" s="120" t="n">
        <v>0.1793550910138959</v>
      </c>
      <c r="L844" s="120" t="n">
        <v>-0.0939216975734366</v>
      </c>
      <c r="M844" s="120" t="n">
        <v>-0.2818807736658631</v>
      </c>
      <c r="N844" t="n">
        <v>42.89309361608906</v>
      </c>
      <c r="O844" t="n">
        <v>-0.2152844033914399</v>
      </c>
      <c r="P844" t="n">
        <v>137.3363126086037</v>
      </c>
      <c r="Q844" t="n">
        <v>139.5097899465331</v>
      </c>
    </row>
    <row r="845">
      <c r="A845" s="117" t="n">
        <v>45659</v>
      </c>
      <c r="B845" s="118" t="n">
        <v>73.35229320425672</v>
      </c>
      <c r="C845" s="118" t="n">
        <v>73.77557435956977</v>
      </c>
      <c r="D845" s="118" t="n">
        <v>70.45667931255552</v>
      </c>
      <c r="E845" s="118" t="n">
        <v>70.87033843994141</v>
      </c>
      <c r="F845" s="119" t="n">
        <v>10883400</v>
      </c>
      <c r="G845" s="120" t="n">
        <v>-0.02643057302784457</v>
      </c>
      <c r="H845" s="121" t="n">
        <v>45.32648319520708</v>
      </c>
      <c r="I845" s="118" t="n">
        <v>74.06715438842774</v>
      </c>
      <c r="J845" s="118" t="n">
        <v>79.87145351409912</v>
      </c>
      <c r="K845" s="120" t="n">
        <v>0.1990342339545579</v>
      </c>
      <c r="L845" s="120" t="n">
        <v>-0.1178698663146672</v>
      </c>
      <c r="M845" s="120" t="n">
        <v>-0.3008610763201867</v>
      </c>
      <c r="N845" t="n">
        <v>35.5526458585646</v>
      </c>
      <c r="O845" t="n">
        <v>-0.3221083688527672</v>
      </c>
      <c r="P845" t="n">
        <v>136.998889318032</v>
      </c>
      <c r="Q845" t="n">
        <v>139.2369150029451</v>
      </c>
    </row>
    <row r="846">
      <c r="A846" s="117" t="n">
        <v>45660</v>
      </c>
      <c r="B846" s="118" t="n">
        <v>71.11085164008907</v>
      </c>
      <c r="C846" s="118" t="n">
        <v>71.37059506861672</v>
      </c>
      <c r="D846" s="118" t="n">
        <v>70.23543775374728</v>
      </c>
      <c r="E846" s="118" t="n">
        <v>70.52403259277344</v>
      </c>
      <c r="F846" s="119" t="n">
        <v>10083500</v>
      </c>
      <c r="G846" s="120" t="n">
        <v>-0.004886470909990726</v>
      </c>
      <c r="H846" s="121" t="n">
        <v>45.10499665362152</v>
      </c>
      <c r="I846" s="118" t="n">
        <v>73.91907333374023</v>
      </c>
      <c r="J846" s="118" t="n">
        <v>79.7496870803833</v>
      </c>
      <c r="K846" s="120" t="n">
        <v>0.1988343076638248</v>
      </c>
      <c r="L846" s="120" t="n">
        <v>-0.1221803695517468</v>
      </c>
      <c r="M846" s="120" t="n">
        <v>-0.3042773983327903</v>
      </c>
      <c r="N846" t="n">
        <v>34.41114903921716</v>
      </c>
      <c r="O846" t="n">
        <v>-0.3913749574895633</v>
      </c>
      <c r="P846" t="n">
        <v>138.7118416736306</v>
      </c>
      <c r="Q846" t="n">
        <v>141.5155264953564</v>
      </c>
    </row>
    <row r="847">
      <c r="A847" s="117" t="n">
        <v>45663</v>
      </c>
      <c r="B847" s="118" t="n">
        <v>70.94731238153246</v>
      </c>
      <c r="C847" s="118" t="n">
        <v>71.49565063788597</v>
      </c>
      <c r="D847" s="118" t="n">
        <v>69.23495808412878</v>
      </c>
      <c r="E847" s="118" t="n">
        <v>69.26381683349609</v>
      </c>
      <c r="F847" s="119" t="n">
        <v>14947300</v>
      </c>
      <c r="G847" s="120" t="n">
        <v>-0.01786930941051257</v>
      </c>
      <c r="H847" s="121" t="n">
        <v>44.29900151245783</v>
      </c>
      <c r="I847" s="118" t="n">
        <v>73.77201293945312</v>
      </c>
      <c r="J847" s="118" t="n">
        <v>79.62014839172363</v>
      </c>
      <c r="K847" s="120" t="n">
        <v>0.2040086447396217</v>
      </c>
      <c r="L847" s="120" t="n">
        <v>-0.1378664001348484</v>
      </c>
      <c r="M847" s="120" t="n">
        <v>-0.3167094807658685</v>
      </c>
      <c r="N847" t="n">
        <v>30.56522941301778</v>
      </c>
      <c r="O847" t="n">
        <v>-0.4909018137415978</v>
      </c>
      <c r="P847" t="n">
        <v>139.5109071587702</v>
      </c>
      <c r="Q847" t="n">
        <v>143.1419698929766</v>
      </c>
    </row>
    <row r="848">
      <c r="A848" s="117" t="n">
        <v>45664</v>
      </c>
      <c r="B848" s="118" t="n">
        <v>69.64861175175284</v>
      </c>
      <c r="C848" s="118" t="n">
        <v>70.64908990728354</v>
      </c>
      <c r="D848" s="118" t="n">
        <v>69.24457461378587</v>
      </c>
      <c r="E848" s="118" t="n">
        <v>69.35038757324219</v>
      </c>
      <c r="F848" s="119" t="n">
        <v>10463500</v>
      </c>
      <c r="G848" s="120" t="n">
        <v>0.001249869610192134</v>
      </c>
      <c r="H848" s="121" t="n">
        <v>44.3543694882101</v>
      </c>
      <c r="I848" s="118" t="n">
        <v>73.64601760864258</v>
      </c>
      <c r="J848" s="118" t="n">
        <v>79.48843235015869</v>
      </c>
      <c r="K848" s="120" t="n">
        <v>0.2027872842285725</v>
      </c>
      <c r="L848" s="120" t="n">
        <v>-0.1367888455484516</v>
      </c>
      <c r="M848" s="120" t="n">
        <v>-0.3158554567109454</v>
      </c>
      <c r="N848" t="n">
        <v>31.13462338089286</v>
      </c>
      <c r="O848" t="n">
        <v>-0.5171102246694063</v>
      </c>
      <c r="P848" t="n">
        <v>137.933869690165</v>
      </c>
      <c r="Q848" t="n">
        <v>140.5877147713487</v>
      </c>
    </row>
    <row r="849">
      <c r="A849" s="117" t="n">
        <v>45665</v>
      </c>
      <c r="B849" s="118" t="n">
        <v>68.84052369753137</v>
      </c>
      <c r="C849" s="118" t="n">
        <v>69.09064504788394</v>
      </c>
      <c r="D849" s="118" t="n">
        <v>68.31142959190718</v>
      </c>
      <c r="E849" s="118" t="n">
        <v>68.58078765869141</v>
      </c>
      <c r="F849" s="119" t="n">
        <v>11855000</v>
      </c>
      <c r="G849" s="120" t="n">
        <v>-0.01109726912107001</v>
      </c>
      <c r="H849" s="121" t="n">
        <v>43.86215711330406</v>
      </c>
      <c r="I849" s="118" t="n">
        <v>73.50826721191406</v>
      </c>
      <c r="J849" s="118" t="n">
        <v>79.3858988571167</v>
      </c>
      <c r="K849" s="120" t="n">
        <v>0.1999194410683382</v>
      </c>
      <c r="L849" s="120" t="n">
        <v>-0.1463681320377098</v>
      </c>
      <c r="M849" s="120" t="n">
        <v>-0.3234475928255356</v>
      </c>
      <c r="N849" t="n">
        <v>28.86823345359726</v>
      </c>
      <c r="O849" t="n">
        <v>-0.5494503784579342</v>
      </c>
      <c r="P849" t="n">
        <v>138.1353780937433</v>
      </c>
      <c r="Q849" t="n">
        <v>140.612280563835</v>
      </c>
    </row>
    <row r="850">
      <c r="A850" s="117" t="n">
        <v>45667</v>
      </c>
      <c r="B850" s="118" t="n">
        <v>69.11951674225232</v>
      </c>
      <c r="C850" s="118" t="n">
        <v>69.63899625671699</v>
      </c>
      <c r="D850" s="118" t="n">
        <v>68.38839661010299</v>
      </c>
      <c r="E850" s="118" t="n">
        <v>68.49421691894531</v>
      </c>
      <c r="F850" s="119" t="n">
        <v>15677400</v>
      </c>
      <c r="G850" s="120" t="n">
        <v>-0.001262317665071677</v>
      </c>
      <c r="H850" s="121" t="n">
        <v>43.80678913755178</v>
      </c>
      <c r="I850" s="118" t="n">
        <v>73.36763687133789</v>
      </c>
      <c r="J850" s="118" t="n">
        <v>79.28345455169678</v>
      </c>
      <c r="K850" s="120" t="n">
        <v>0.1981964401949745</v>
      </c>
      <c r="L850" s="120" t="n">
        <v>-0.1474456866241068</v>
      </c>
      <c r="M850" s="120" t="n">
        <v>-0.3243016168804587</v>
      </c>
      <c r="N850" t="n">
        <v>28.61589171004549</v>
      </c>
      <c r="O850" t="n">
        <v>-0.5390968307685629</v>
      </c>
      <c r="P850" t="n">
        <v>136.0264061546468</v>
      </c>
      <c r="Q850" t="n">
        <v>138.4073161091441</v>
      </c>
    </row>
    <row r="851">
      <c r="A851" s="117" t="n">
        <v>45670</v>
      </c>
      <c r="B851" s="118" t="n">
        <v>68.4653684430352</v>
      </c>
      <c r="C851" s="118" t="n">
        <v>69.84102532495758</v>
      </c>
      <c r="D851" s="118" t="n">
        <v>68.09018996064358</v>
      </c>
      <c r="E851" s="118" t="n">
        <v>69.34078979492188</v>
      </c>
      <c r="F851" s="119" t="n">
        <v>14584300</v>
      </c>
      <c r="G851" s="120" t="n">
        <v>0.01235977158448831</v>
      </c>
      <c r="H851" s="121" t="n">
        <v>44.34823104514177</v>
      </c>
      <c r="I851" s="118" t="n">
        <v>73.25370040893554</v>
      </c>
      <c r="J851" s="118" t="n">
        <v>79.19079559326173</v>
      </c>
      <c r="K851" s="120" t="n">
        <v>0.1722133843753941</v>
      </c>
      <c r="L851" s="120" t="n">
        <v>-0.1369083100474104</v>
      </c>
      <c r="M851" s="120" t="n">
        <v>-0.3159501392050931</v>
      </c>
      <c r="N851" t="n">
        <v>34.63322229664443</v>
      </c>
      <c r="O851" t="n">
        <v>-0.4417466918984179</v>
      </c>
      <c r="P851" t="n">
        <v>136.237312076902</v>
      </c>
      <c r="Q851" t="n">
        <v>137.9624973980646</v>
      </c>
    </row>
    <row r="852">
      <c r="A852" s="117" t="n">
        <v>45671</v>
      </c>
      <c r="B852" s="118" t="n">
        <v>69.33115406911263</v>
      </c>
      <c r="C852" s="118" t="n">
        <v>69.46583312134516</v>
      </c>
      <c r="D852" s="118" t="n">
        <v>67.84967715509693</v>
      </c>
      <c r="E852" s="118" t="n">
        <v>68.46535491943359</v>
      </c>
      <c r="F852" s="119" t="n">
        <v>16732900</v>
      </c>
      <c r="G852" s="120" t="n">
        <v>-0.0126251067816997</v>
      </c>
      <c r="H852" s="121" t="n">
        <v>43.78832989261736</v>
      </c>
      <c r="I852" s="118" t="n">
        <v>73.15958282470703</v>
      </c>
      <c r="J852" s="118" t="n">
        <v>79.08640354156495</v>
      </c>
      <c r="K852" s="120" t="n">
        <v>0.1729844779325461</v>
      </c>
      <c r="L852" s="120" t="n">
        <v>-0.1422873164029074</v>
      </c>
      <c r="M852" s="120" t="n">
        <v>-0.3245863417416356</v>
      </c>
      <c r="N852" t="n">
        <v>31.66106349764696</v>
      </c>
      <c r="O852" t="n">
        <v>-0.4038597119306373</v>
      </c>
      <c r="P852" t="n">
        <v>136.4247532969501</v>
      </c>
      <c r="Q852" t="n">
        <v>137.8315133979632</v>
      </c>
    </row>
    <row r="853">
      <c r="A853" s="117" t="n">
        <v>45672</v>
      </c>
      <c r="B853" s="118" t="n">
        <v>69.2541994708949</v>
      </c>
      <c r="C853" s="118" t="n">
        <v>69.50432088136415</v>
      </c>
      <c r="D853" s="118" t="n">
        <v>68.14790085402645</v>
      </c>
      <c r="E853" s="118" t="n">
        <v>68.36916351318359</v>
      </c>
      <c r="F853" s="119" t="n">
        <v>13468100</v>
      </c>
      <c r="G853" s="120" t="n">
        <v>-0.001404964691458788</v>
      </c>
      <c r="H853" s="121" t="n">
        <v>43.72680883522028</v>
      </c>
      <c r="I853" s="118" t="n">
        <v>73.05052459716796</v>
      </c>
      <c r="J853" s="118" t="n">
        <v>78.98224239349365</v>
      </c>
      <c r="K853" s="120" t="n">
        <v>0.1724168223520217</v>
      </c>
      <c r="L853" s="120" t="n">
        <v>-0.1385342393707122</v>
      </c>
      <c r="M853" s="120" t="n">
        <v>-0.3255352740836176</v>
      </c>
      <c r="N853" t="n">
        <v>31.34278027952267</v>
      </c>
      <c r="O853" t="n">
        <v>-0.3545792103373411</v>
      </c>
      <c r="P853" t="n">
        <v>138.9063237590651</v>
      </c>
      <c r="Q853" t="n">
        <v>141.0025142182492</v>
      </c>
    </row>
    <row r="854">
      <c r="A854" s="117" t="n">
        <v>45673</v>
      </c>
      <c r="B854" s="118" t="n">
        <v>68.20562757499083</v>
      </c>
      <c r="C854" s="118" t="n">
        <v>68.52308852708637</v>
      </c>
      <c r="D854" s="118" t="n">
        <v>67.64766723605784</v>
      </c>
      <c r="E854" s="118" t="n">
        <v>68.40764617919922</v>
      </c>
      <c r="F854" s="119" t="n">
        <v>13694600</v>
      </c>
      <c r="G854" s="120" t="n">
        <v>0.0005628658307075263</v>
      </c>
      <c r="H854" s="121" t="n">
        <v>43.75142116179951</v>
      </c>
      <c r="I854" s="118" t="n">
        <v>72.92443359375</v>
      </c>
      <c r="J854" s="118" t="n">
        <v>78.88501262664795</v>
      </c>
      <c r="K854" s="120" t="n">
        <v>0.1727916879115552</v>
      </c>
      <c r="L854" s="120" t="n">
        <v>-0.1228160471654566</v>
      </c>
      <c r="M854" s="120" t="n">
        <v>-0.3251556409353817</v>
      </c>
      <c r="N854" t="n">
        <v>31.63886165444299</v>
      </c>
      <c r="O854" t="n">
        <v>-0.2913380930308955</v>
      </c>
      <c r="P854" t="n">
        <v>138.6392072916593</v>
      </c>
      <c r="Q854" t="n">
        <v>140.0146471859707</v>
      </c>
    </row>
    <row r="855">
      <c r="A855" s="117" t="n">
        <v>45674</v>
      </c>
      <c r="B855" s="118" t="n">
        <v>68.71548581776001</v>
      </c>
      <c r="C855" s="118" t="n">
        <v>68.80206207498459</v>
      </c>
      <c r="D855" s="118" t="n">
        <v>68.14790344238281</v>
      </c>
      <c r="E855" s="118" t="n">
        <v>68.14790344238281</v>
      </c>
      <c r="F855" s="119" t="n">
        <v>9711300</v>
      </c>
      <c r="G855" s="120" t="n">
        <v>-0.003796983982404356</v>
      </c>
      <c r="H855" s="121" t="n">
        <v>43.58529771644073</v>
      </c>
      <c r="I855" s="118" t="n">
        <v>72.8098014831543</v>
      </c>
      <c r="J855" s="118" t="n">
        <v>78.79412490844726</v>
      </c>
      <c r="K855" s="120" t="n">
        <v>0.1642321405774352</v>
      </c>
      <c r="L855" s="120" t="n">
        <v>-0.1255026585563805</v>
      </c>
      <c r="M855" s="120" t="n">
        <v>-0.3277180141573661</v>
      </c>
      <c r="N855" t="n">
        <v>30.67724027982337</v>
      </c>
      <c r="O855" t="n">
        <v>-0.2410299661819015</v>
      </c>
      <c r="P855" t="n">
        <v>140.0311165517792</v>
      </c>
      <c r="Q855" t="n">
        <v>142.3778797791392</v>
      </c>
    </row>
    <row r="856">
      <c r="A856" s="117" t="n">
        <v>45678</v>
      </c>
      <c r="B856" s="118" t="n">
        <v>68.59042037638977</v>
      </c>
      <c r="C856" s="118" t="n">
        <v>70.48554916717765</v>
      </c>
      <c r="D856" s="118" t="n">
        <v>68.43649726312037</v>
      </c>
      <c r="E856" s="118" t="n">
        <v>70.38935089111328</v>
      </c>
      <c r="F856" s="119" t="n">
        <v>14199900</v>
      </c>
      <c r="G856" s="120" t="n">
        <v>0.03289092305863162</v>
      </c>
      <c r="H856" s="121" t="n">
        <v>45.01885839011973</v>
      </c>
      <c r="I856" s="118" t="n">
        <v>72.72487594604492</v>
      </c>
      <c r="J856" s="118" t="n">
        <v>78.71738674163818</v>
      </c>
      <c r="K856" s="120" t="n">
        <v>0.2077043657147505</v>
      </c>
      <c r="L856" s="120" t="n">
        <v>-0.08128090296248192</v>
      </c>
      <c r="M856" s="120" t="n">
        <v>-0.305606039087312</v>
      </c>
      <c r="N856" t="n">
        <v>45.94537408021036</v>
      </c>
      <c r="O856" t="n">
        <v>-0.04129575188406109</v>
      </c>
      <c r="P856" t="n">
        <v>141.3128886386757</v>
      </c>
      <c r="Q856" t="n">
        <v>143.21291536472</v>
      </c>
    </row>
    <row r="857">
      <c r="A857" s="117" t="n">
        <v>45679</v>
      </c>
      <c r="B857" s="118" t="n">
        <v>70.59137360101066</v>
      </c>
      <c r="C857" s="118" t="n">
        <v>71.86121000191372</v>
      </c>
      <c r="D857" s="118" t="n">
        <v>70.23543922481095</v>
      </c>
      <c r="E857" s="118" t="n">
        <v>71.22629547119141</v>
      </c>
      <c r="F857" s="119" t="n">
        <v>13029300</v>
      </c>
      <c r="G857" s="120" t="n">
        <v>0.01189021591309758</v>
      </c>
      <c r="H857" s="121" t="n">
        <v>45.55414233653942</v>
      </c>
      <c r="I857" s="118" t="n">
        <v>72.70760803222656</v>
      </c>
      <c r="J857" s="118" t="n">
        <v>78.65081295013428</v>
      </c>
      <c r="K857" s="120" t="n">
        <v>0.2132161094684086</v>
      </c>
      <c r="L857" s="120" t="n">
        <v>-0.06385109896886698</v>
      </c>
      <c r="M857" s="120" t="n">
        <v>-0.297349544963309</v>
      </c>
      <c r="N857" t="n">
        <v>50.34323378412125</v>
      </c>
      <c r="O857" t="n">
        <v>0.1520874710729143</v>
      </c>
      <c r="P857" t="n">
        <v>142.107284458962</v>
      </c>
      <c r="Q857" t="n">
        <v>145.0440233599877</v>
      </c>
    </row>
    <row r="858">
      <c r="A858" s="117" t="n">
        <v>45680</v>
      </c>
      <c r="B858" s="118" t="n">
        <v>70.55289482433933</v>
      </c>
      <c r="C858" s="118" t="n">
        <v>71.66881547412491</v>
      </c>
      <c r="D858" s="118" t="n">
        <v>69.61976339203626</v>
      </c>
      <c r="E858" s="118" t="n">
        <v>71.466796875</v>
      </c>
      <c r="F858" s="119" t="n">
        <v>10677400</v>
      </c>
      <c r="G858" s="120" t="n">
        <v>0.003376581671383772</v>
      </c>
      <c r="H858" s="121" t="n">
        <v>45.70795961860859</v>
      </c>
      <c r="I858" s="118" t="n">
        <v>72.68366470336915</v>
      </c>
      <c r="J858" s="118" t="n">
        <v>78.586533203125</v>
      </c>
      <c r="K858" s="120" t="n">
        <v>0.2140459407802037</v>
      </c>
      <c r="L858" s="120" t="n">
        <v>-0.06069011574795913</v>
      </c>
      <c r="M858" s="120" t="n">
        <v>-0.2949769883154426</v>
      </c>
      <c r="N858" t="n">
        <v>51.56276643796231</v>
      </c>
      <c r="O858" t="n">
        <v>0.2929422993783395</v>
      </c>
      <c r="P858" t="n">
        <v>142.8829143363797</v>
      </c>
      <c r="Q858" t="n">
        <v>145.3524045992733</v>
      </c>
    </row>
    <row r="859">
      <c r="A859" s="117" t="n">
        <v>45681</v>
      </c>
      <c r="B859" s="118" t="n">
        <v>71.25515340548544</v>
      </c>
      <c r="C859" s="118" t="n">
        <v>71.4283132463276</v>
      </c>
      <c r="D859" s="118" t="n">
        <v>70.46631576152858</v>
      </c>
      <c r="E859" s="118" t="n">
        <v>70.77415466308594</v>
      </c>
      <c r="F859" s="119" t="n">
        <v>8106700</v>
      </c>
      <c r="G859" s="120" t="n">
        <v>-0.009691804337132126</v>
      </c>
      <c r="H859" s="121" t="n">
        <v>45.2649670173355</v>
      </c>
      <c r="I859" s="118" t="n">
        <v>72.6466340637207</v>
      </c>
      <c r="J859" s="118" t="n">
        <v>78.51328517913818</v>
      </c>
      <c r="K859" s="120" t="n">
        <v>0.2159360489490993</v>
      </c>
      <c r="L859" s="120" t="n">
        <v>-0.06979372335806411</v>
      </c>
      <c r="M859" s="120" t="n">
        <v>-0.301809933397865</v>
      </c>
      <c r="N859" t="n">
        <v>47.91316153576297</v>
      </c>
      <c r="O859" t="n">
        <v>0.3332707843907432</v>
      </c>
      <c r="P859" t="n">
        <v>142.4657867039652</v>
      </c>
      <c r="Q859" t="n">
        <v>144.5309943029677</v>
      </c>
    </row>
    <row r="860">
      <c r="A860" s="117" t="n">
        <v>45684</v>
      </c>
      <c r="B860" s="118" t="n">
        <v>70.64908986781346</v>
      </c>
      <c r="C860" s="118" t="n">
        <v>72.96749973486364</v>
      </c>
      <c r="D860" s="118" t="n">
        <v>70.62984581013576</v>
      </c>
      <c r="E860" s="118" t="n">
        <v>72.707763671875</v>
      </c>
      <c r="F860" s="119" t="n">
        <v>11665400</v>
      </c>
      <c r="G860" s="120" t="n">
        <v>0.02732083509854455</v>
      </c>
      <c r="H860" s="121" t="n">
        <v>46.50164371695718</v>
      </c>
      <c r="I860" s="118" t="n">
        <v>72.63449310302734</v>
      </c>
      <c r="J860" s="118" t="n">
        <v>78.44495937347412</v>
      </c>
      <c r="K860" s="120" t="n">
        <v>0.2397857735255776</v>
      </c>
      <c r="L860" s="120" t="n">
        <v>-0.04437971106629868</v>
      </c>
      <c r="M860" s="120" t="n">
        <v>-0.2827347977207861</v>
      </c>
      <c r="N860" t="n">
        <v>57.05210364779551</v>
      </c>
      <c r="O860" t="n">
        <v>0.475318845094155</v>
      </c>
      <c r="P860" t="n">
        <v>140.4505717429991</v>
      </c>
      <c r="Q860" t="n">
        <v>140.3230116453433</v>
      </c>
    </row>
    <row r="861">
      <c r="A861" s="117" t="n">
        <v>45685</v>
      </c>
      <c r="B861" s="118" t="n">
        <v>72.46726821471728</v>
      </c>
      <c r="C861" s="118" t="n">
        <v>72.72700429163983</v>
      </c>
      <c r="D861" s="118" t="n">
        <v>71.34173298228967</v>
      </c>
      <c r="E861" s="118" t="n">
        <v>71.56298828125</v>
      </c>
      <c r="F861" s="119" t="n">
        <v>8694400</v>
      </c>
      <c r="G861" s="120" t="n">
        <v>-0.01574488517885508</v>
      </c>
      <c r="H861" s="121" t="n">
        <v>45.76948067600566</v>
      </c>
      <c r="I861" s="118" t="n">
        <v>72.59830825805665</v>
      </c>
      <c r="J861" s="118" t="n">
        <v>78.38040126800537</v>
      </c>
      <c r="K861" s="120" t="n">
        <v>0.2453667907961734</v>
      </c>
      <c r="L861" s="120" t="n">
        <v>-0.05942584279014407</v>
      </c>
      <c r="M861" s="120" t="n">
        <v>-0.2940280559734606</v>
      </c>
      <c r="N861" t="n">
        <v>51.31195905733271</v>
      </c>
      <c r="O861" t="n">
        <v>0.4761377226412298</v>
      </c>
      <c r="P861" t="n">
        <v>141.6573673418763</v>
      </c>
      <c r="Q861" t="n">
        <v>142.3969585401071</v>
      </c>
    </row>
    <row r="862">
      <c r="A862" s="117" t="n">
        <v>45686</v>
      </c>
      <c r="B862" s="118" t="n">
        <v>71.62070252615796</v>
      </c>
      <c r="C862" s="118" t="n">
        <v>74.17961909851014</v>
      </c>
      <c r="D862" s="118" t="n">
        <v>71.49564550805306</v>
      </c>
      <c r="E862" s="118" t="n">
        <v>73.66976165771484</v>
      </c>
      <c r="F862" s="119" t="n">
        <v>11764800</v>
      </c>
      <c r="G862" s="120" t="n">
        <v>0.02943942709861425</v>
      </c>
      <c r="H862" s="121" t="n">
        <v>47.11690796570836</v>
      </c>
      <c r="I862" s="118" t="n">
        <v>72.60693862915039</v>
      </c>
      <c r="J862" s="118" t="n">
        <v>78.31213981628417</v>
      </c>
      <c r="K862" s="120" t="n">
        <v>0.2678306075038527</v>
      </c>
      <c r="L862" s="120" t="n">
        <v>-0.03173587845812409</v>
      </c>
      <c r="M862" s="120" t="n">
        <v>-0.2732446463936243</v>
      </c>
      <c r="N862" t="n">
        <v>59.40646369476688</v>
      </c>
      <c r="O862" t="n">
        <v>0.5948149892579435</v>
      </c>
      <c r="P862" t="n">
        <v>141.0223220163054</v>
      </c>
      <c r="Q862" t="n">
        <v>142.1295370682118</v>
      </c>
    </row>
    <row r="863">
      <c r="A863" s="117" t="n">
        <v>45687</v>
      </c>
      <c r="B863" s="118" t="n">
        <v>73.92949687970616</v>
      </c>
      <c r="C863" s="118" t="n">
        <v>75.77653008020627</v>
      </c>
      <c r="D863" s="118" t="n">
        <v>73.92949687970616</v>
      </c>
      <c r="E863" s="118" t="n">
        <v>75.35325622558594</v>
      </c>
      <c r="F863" s="119" t="n">
        <v>10902100</v>
      </c>
      <c r="G863" s="120" t="n">
        <v>0.02285190734962561</v>
      </c>
      <c r="H863" s="121" t="n">
        <v>48.19361918114157</v>
      </c>
      <c r="I863" s="118" t="n">
        <v>72.66531829833984</v>
      </c>
      <c r="J863" s="118" t="n">
        <v>78.25229583740234</v>
      </c>
      <c r="K863" s="120" t="n">
        <v>0.2642886474659106</v>
      </c>
      <c r="L863" s="120" t="n">
        <v>-0.009609196462682434</v>
      </c>
      <c r="M863" s="120" t="n">
        <v>-0.2566369003871671</v>
      </c>
      <c r="N863" t="n">
        <v>64.48724930592323</v>
      </c>
      <c r="O863" t="n">
        <v>0.752773984038938</v>
      </c>
      <c r="P863" t="n">
        <v>141.779200498097</v>
      </c>
      <c r="Q863" t="n">
        <v>142.7353758234846</v>
      </c>
    </row>
    <row r="864">
      <c r="A864" s="117" t="n">
        <v>45688</v>
      </c>
      <c r="B864" s="118" t="n">
        <v>75.14161604841699</v>
      </c>
      <c r="C864" s="118" t="n">
        <v>75.86311408446801</v>
      </c>
      <c r="D864" s="118" t="n">
        <v>73.84292105141667</v>
      </c>
      <c r="E864" s="118" t="n">
        <v>73.97760009765625</v>
      </c>
      <c r="F864" s="119" t="n">
        <v>13098000</v>
      </c>
      <c r="G864" s="120" t="n">
        <v>-0.01825609398764894</v>
      </c>
      <c r="H864" s="121" t="n">
        <v>47.31379193976569</v>
      </c>
      <c r="I864" s="118" t="n">
        <v>72.67742568969726</v>
      </c>
      <c r="J864" s="118" t="n">
        <v>78.18035312652587</v>
      </c>
      <c r="K864" s="120" t="n">
        <v>0.2706799021105056</v>
      </c>
      <c r="L864" s="120" t="n">
        <v>-0.02768986405656282</v>
      </c>
      <c r="M864" s="120" t="n">
        <v>-0.2702078070006491</v>
      </c>
      <c r="N864" t="n">
        <v>58.08913832944403</v>
      </c>
      <c r="O864" t="n">
        <v>0.730129958646159</v>
      </c>
      <c r="P864" t="n">
        <v>141.0246786695959</v>
      </c>
      <c r="Q864" t="n">
        <v>142.5279593201214</v>
      </c>
    </row>
    <row r="865">
      <c r="A865" s="117" t="n">
        <v>45691</v>
      </c>
      <c r="B865" s="118" t="n">
        <v>72.05361159913835</v>
      </c>
      <c r="C865" s="118" t="n">
        <v>73.77558794228898</v>
      </c>
      <c r="D865" s="118" t="n">
        <v>70.43745556429842</v>
      </c>
      <c r="E865" s="118" t="n">
        <v>73.67938232421875</v>
      </c>
      <c r="F865" s="119" t="n">
        <v>18539200</v>
      </c>
      <c r="G865" s="120" t="n">
        <v>-0.004031190158153675</v>
      </c>
      <c r="H865" s="121" t="n">
        <v>47.12306104735318</v>
      </c>
      <c r="I865" s="118" t="n">
        <v>72.71745040893555</v>
      </c>
      <c r="J865" s="118" t="n">
        <v>78.1055430984497</v>
      </c>
      <c r="K865" s="120" t="n">
        <v>0.2516432047801123</v>
      </c>
      <c r="L865" s="120" t="n">
        <v>-0.03160943110725112</v>
      </c>
      <c r="M865" s="120" t="n">
        <v>-0.2731497381065654</v>
      </c>
      <c r="N865" t="n">
        <v>56.77410567390644</v>
      </c>
      <c r="O865" t="n">
        <v>0.662569981124329</v>
      </c>
      <c r="P865" t="n">
        <v>140.0756311139327</v>
      </c>
      <c r="Q865" t="n">
        <v>141.3872776210579</v>
      </c>
    </row>
    <row r="866">
      <c r="A866" s="117" t="n">
        <v>45692</v>
      </c>
      <c r="B866" s="118" t="n">
        <v>74.60291069270569</v>
      </c>
      <c r="C866" s="118" t="n">
        <v>75.18972976769891</v>
      </c>
      <c r="D866" s="118" t="n">
        <v>73.15029238088162</v>
      </c>
      <c r="E866" s="118" t="n">
        <v>73.80445098876953</v>
      </c>
      <c r="F866" s="119" t="n">
        <v>11943700</v>
      </c>
      <c r="G866" s="120" t="n">
        <v>0.001697471675324635</v>
      </c>
      <c r="H866" s="121" t="n">
        <v>47.20305110873565</v>
      </c>
      <c r="I866" s="118" t="n">
        <v>72.77873580932618</v>
      </c>
      <c r="J866" s="118" t="n">
        <v>78.02447708129883</v>
      </c>
      <c r="K866" s="120" t="n">
        <v>0.2503130879019621</v>
      </c>
      <c r="L866" s="120" t="n">
        <v>-0.02996561554590416</v>
      </c>
      <c r="M866" s="120" t="n">
        <v>-0.2719159303747989</v>
      </c>
      <c r="N866" t="n">
        <v>57.21159491236651</v>
      </c>
      <c r="O866" t="n">
        <v>0.5959021812208853</v>
      </c>
      <c r="P866" t="n">
        <v>141.0153102454041</v>
      </c>
      <c r="Q866" t="n">
        <v>143.1228407922702</v>
      </c>
    </row>
    <row r="867">
      <c r="A867" s="117" t="n">
        <v>45693</v>
      </c>
      <c r="B867" s="118" t="n">
        <v>73.40041153861378</v>
      </c>
      <c r="C867" s="118" t="n">
        <v>73.8717882544093</v>
      </c>
      <c r="D867" s="118" t="n">
        <v>71.57261483683773</v>
      </c>
      <c r="E867" s="118" t="n">
        <v>71.73615264892578</v>
      </c>
      <c r="F867" s="119" t="n">
        <v>9807400</v>
      </c>
      <c r="G867" s="120" t="n">
        <v>-0.02802403259064246</v>
      </c>
      <c r="H867" s="121" t="n">
        <v>45.88023126608668</v>
      </c>
      <c r="I867" s="118" t="n">
        <v>72.80918380737305</v>
      </c>
      <c r="J867" s="118" t="n">
        <v>77.92879833221436</v>
      </c>
      <c r="K867" s="120" t="n">
        <v>0.2634652511624396</v>
      </c>
      <c r="L867" s="120" t="n">
        <v>-0.05714989074988952</v>
      </c>
      <c r="M867" s="120" t="n">
        <v>-0.2923197820707031</v>
      </c>
      <c r="N867" t="n">
        <v>48.47417568785027</v>
      </c>
      <c r="O867" t="n">
        <v>0.3919546774737052</v>
      </c>
      <c r="P867" t="n">
        <v>141.5870605187104</v>
      </c>
      <c r="Q867" t="n">
        <v>143.7723408809101</v>
      </c>
    </row>
    <row r="868">
      <c r="A868" s="117" t="n">
        <v>45694</v>
      </c>
      <c r="B868" s="118" t="n">
        <v>72.38069382785403</v>
      </c>
      <c r="C868" s="118" t="n">
        <v>72.53461695926404</v>
      </c>
      <c r="D868" s="118" t="n">
        <v>68.90788207459846</v>
      </c>
      <c r="E868" s="118" t="n">
        <v>69.01370239257812</v>
      </c>
      <c r="F868" s="119" t="n">
        <v>16059400</v>
      </c>
      <c r="G868" s="120" t="n">
        <v>-0.03795088188895812</v>
      </c>
      <c r="H868" s="121" t="n">
        <v>44.13903602826934</v>
      </c>
      <c r="I868" s="118" t="n">
        <v>72.75187515258789</v>
      </c>
      <c r="J868" s="118" t="n">
        <v>77.82524978637696</v>
      </c>
      <c r="K868" s="120" t="n">
        <v>0.2990602910067852</v>
      </c>
      <c r="L868" s="120" t="n">
        <v>-0.09293188388503182</v>
      </c>
      <c r="M868" s="120" t="n">
        <v>-0.31917687043649</v>
      </c>
      <c r="N868" t="n">
        <v>39.84769300318173</v>
      </c>
      <c r="O868" t="n">
        <v>0.07001438897342457</v>
      </c>
      <c r="P868" t="n">
        <v>142.0791791863866</v>
      </c>
      <c r="Q868" t="n">
        <v>144.5227889255594</v>
      </c>
    </row>
    <row r="869">
      <c r="A869" s="117" t="n">
        <v>45695</v>
      </c>
      <c r="B869" s="118" t="n">
        <v>67.87854481826062</v>
      </c>
      <c r="C869" s="118" t="n">
        <v>68.1190442058984</v>
      </c>
      <c r="D869" s="118" t="n">
        <v>66.01227456102346</v>
      </c>
      <c r="E869" s="118" t="n">
        <v>66.06999206542969</v>
      </c>
      <c r="F869" s="119" t="n">
        <v>27428700</v>
      </c>
      <c r="G869" s="120" t="n">
        <v>-0.04265399804814718</v>
      </c>
      <c r="H869" s="121" t="n">
        <v>42.25632967167245</v>
      </c>
      <c r="I869" s="118" t="n">
        <v>72.59166519165039</v>
      </c>
      <c r="J869" s="118" t="n">
        <v>77.70859619140624</v>
      </c>
      <c r="K869" s="120" t="n">
        <v>0.333483476524332</v>
      </c>
      <c r="L869" s="120" t="n">
        <v>-0.131621965539336</v>
      </c>
      <c r="M869" s="120" t="n">
        <v>-0.3482166988760255</v>
      </c>
      <c r="N869" t="n">
        <v>33.00766438463342</v>
      </c>
      <c r="O869" t="n">
        <v>-0.3232847269752668</v>
      </c>
      <c r="P869" t="n">
        <v>140.7786411566215</v>
      </c>
      <c r="Q869" t="n">
        <v>142.6998695277871</v>
      </c>
    </row>
    <row r="870">
      <c r="A870" s="117" t="n">
        <v>45698</v>
      </c>
      <c r="B870" s="118" t="n">
        <v>66.72414472269703</v>
      </c>
      <c r="C870" s="118" t="n">
        <v>68.25371716826213</v>
      </c>
      <c r="D870" s="118" t="n">
        <v>66.49326738627286</v>
      </c>
      <c r="E870" s="118" t="n">
        <v>68.24410247802734</v>
      </c>
      <c r="F870" s="119" t="n">
        <v>16201300</v>
      </c>
      <c r="G870" s="120" t="n">
        <v>0.03290617032986187</v>
      </c>
      <c r="H870" s="121" t="n">
        <v>43.64682365336329</v>
      </c>
      <c r="I870" s="118" t="n">
        <v>72.4393327331543</v>
      </c>
      <c r="J870" s="118" t="n">
        <v>77.60361999511719</v>
      </c>
      <c r="K870" s="120" t="n">
        <v>0.3553523561235106</v>
      </c>
      <c r="L870" s="120" t="n">
        <v>-0.1030469700266629</v>
      </c>
      <c r="M870" s="120" t="n">
        <v>-0.3267690065510802</v>
      </c>
      <c r="N870" t="n">
        <v>41.05533915755595</v>
      </c>
      <c r="O870" t="n">
        <v>-0.4133485892296619</v>
      </c>
      <c r="P870" t="n">
        <v>141.734700483186</v>
      </c>
      <c r="Q870" t="n">
        <v>144.4272776613297</v>
      </c>
    </row>
    <row r="871">
      <c r="A871" s="117" t="n">
        <v>45699</v>
      </c>
      <c r="B871" s="118" t="n">
        <v>67.88815622259229</v>
      </c>
      <c r="C871" s="118" t="n">
        <v>69.25419076908562</v>
      </c>
      <c r="D871" s="118" t="n">
        <v>67.83043872722031</v>
      </c>
      <c r="E871" s="118" t="n">
        <v>68.62889099121094</v>
      </c>
      <c r="F871" s="119" t="n">
        <v>9636600</v>
      </c>
      <c r="G871" s="120" t="n">
        <v>0.005638414151720728</v>
      </c>
      <c r="H871" s="121" t="n">
        <v>43.89292252152808</v>
      </c>
      <c r="I871" s="118" t="n">
        <v>72.3262808227539</v>
      </c>
      <c r="J871" s="118" t="n">
        <v>77.49762531280517</v>
      </c>
      <c r="K871" s="120" t="n">
        <v>0.3530592225299723</v>
      </c>
      <c r="L871" s="120" t="n">
        <v>-0.09798957736903235</v>
      </c>
      <c r="M871" s="120" t="n">
        <v>-0.3229730513902408</v>
      </c>
      <c r="N871" t="n">
        <v>42.37475967636743</v>
      </c>
      <c r="O871" t="n">
        <v>-0.4218774110204254</v>
      </c>
      <c r="P871" t="n">
        <v>141.842481003119</v>
      </c>
      <c r="Q871" t="n">
        <v>144.0834572459983</v>
      </c>
    </row>
    <row r="872">
      <c r="A872" s="117" t="n">
        <v>45700</v>
      </c>
      <c r="B872" s="118" t="n">
        <v>67.91701213420151</v>
      </c>
      <c r="C872" s="118" t="n">
        <v>69.69670578194561</v>
      </c>
      <c r="D872" s="118" t="n">
        <v>67.65727607641595</v>
      </c>
      <c r="E872" s="118" t="n">
        <v>69.51393127441406</v>
      </c>
      <c r="F872" s="119" t="n">
        <v>10810900</v>
      </c>
      <c r="G872" s="120" t="n">
        <v>0.01289603067192902</v>
      </c>
      <c r="H872" s="121" t="n">
        <v>44.45896699664631</v>
      </c>
      <c r="I872" s="118" t="n">
        <v>72.21695571899414</v>
      </c>
      <c r="J872" s="118" t="n">
        <v>77.39937782287598</v>
      </c>
      <c r="K872" s="120" t="n">
        <v>0.3528460213580885</v>
      </c>
      <c r="L872" s="120" t="n">
        <v>-0.08635722329238371</v>
      </c>
      <c r="M872" s="120" t="n">
        <v>-0.3142420910952469</v>
      </c>
      <c r="N872" t="n">
        <v>45.40196181320978</v>
      </c>
      <c r="O872" t="n">
        <v>-0.3459681108732925</v>
      </c>
      <c r="P872" t="n">
        <v>141.3855375678895</v>
      </c>
      <c r="Q872" t="n">
        <v>144.1680447869298</v>
      </c>
    </row>
    <row r="873">
      <c r="A873" s="117" t="n">
        <v>45701</v>
      </c>
      <c r="B873" s="118" t="n">
        <v>69.69670587822603</v>
      </c>
      <c r="C873" s="118" t="n">
        <v>70.80300431141924</v>
      </c>
      <c r="D873" s="118" t="n">
        <v>68.90786833567613</v>
      </c>
      <c r="E873" s="118" t="n">
        <v>70.42782592773438</v>
      </c>
      <c r="F873" s="119" t="n">
        <v>9739600</v>
      </c>
      <c r="G873" s="120" t="n">
        <v>0.01314692805550899</v>
      </c>
      <c r="H873" s="121" t="n">
        <v>45.04346583717347</v>
      </c>
      <c r="I873" s="118" t="n">
        <v>72.11767761230469</v>
      </c>
      <c r="J873" s="118" t="n">
        <v>77.30484561920166</v>
      </c>
      <c r="K873" s="120" t="n">
        <v>0.3553051442790057</v>
      </c>
      <c r="L873" s="120" t="n">
        <v>-0.0743456274385732</v>
      </c>
      <c r="M873" s="120" t="n">
        <v>-0.2996725169943545</v>
      </c>
      <c r="N873" t="n">
        <v>48.41542775088761</v>
      </c>
      <c r="O873" t="n">
        <v>-0.2184839728829889</v>
      </c>
      <c r="P873" t="n">
        <v>142.8782155770412</v>
      </c>
      <c r="Q873" t="n">
        <v>146.2420084616065</v>
      </c>
    </row>
    <row r="874">
      <c r="A874" s="117" t="n">
        <v>45702</v>
      </c>
      <c r="B874" s="118" t="n">
        <v>70.38934687375749</v>
      </c>
      <c r="C874" s="118" t="n">
        <v>70.70680777216354</v>
      </c>
      <c r="D874" s="118" t="n">
        <v>69.59088728302378</v>
      </c>
      <c r="E874" s="118" t="n">
        <v>70.26428985595703</v>
      </c>
      <c r="F874" s="119" t="n">
        <v>9254400</v>
      </c>
      <c r="G874" s="120" t="n">
        <v>-0.002322037768781149</v>
      </c>
      <c r="H874" s="121" t="n">
        <v>44.93887320826275</v>
      </c>
      <c r="I874" s="118" t="n">
        <v>72.0012760925293</v>
      </c>
      <c r="J874" s="118" t="n">
        <v>77.20978042602539</v>
      </c>
      <c r="K874" s="120" t="n">
        <v>0.3555775888294996</v>
      </c>
      <c r="L874" s="120" t="n">
        <v>-0.07649503185249829</v>
      </c>
      <c r="M874" s="120" t="n">
        <v>-0.301298703860409</v>
      </c>
      <c r="N874" t="n">
        <v>47.90588546724195</v>
      </c>
      <c r="O874" t="n">
        <v>-0.1336177975063802</v>
      </c>
      <c r="P874" t="n">
        <v>142.8711892588973</v>
      </c>
      <c r="Q874" t="n">
        <v>146.8560358143748</v>
      </c>
    </row>
    <row r="875">
      <c r="A875" s="117" t="n">
        <v>45706</v>
      </c>
      <c r="B875" s="118" t="n">
        <v>71.6688116452944</v>
      </c>
      <c r="C875" s="118" t="n">
        <v>74.72796389903428</v>
      </c>
      <c r="D875" s="118" t="n">
        <v>71.6688116452944</v>
      </c>
      <c r="E875" s="118" t="n">
        <v>74.64138031005859</v>
      </c>
      <c r="F875" s="119" t="n">
        <v>28252400</v>
      </c>
      <c r="G875" s="120" t="n">
        <v>0.06229466579787069</v>
      </c>
      <c r="H875" s="121" t="n">
        <v>47.73832529610436</v>
      </c>
      <c r="I875" s="118" t="n">
        <v>71.97684143066407</v>
      </c>
      <c r="J875" s="118" t="n">
        <v>77.14514297485351</v>
      </c>
      <c r="K875" s="120" t="n">
        <v>0.4147870462809488</v>
      </c>
      <c r="L875" s="120" t="n">
        <v>-0.01896559849907642</v>
      </c>
      <c r="M875" s="120" t="n">
        <v>-0.2558136686821184</v>
      </c>
      <c r="N875" t="n">
        <v>60.03079719579432</v>
      </c>
      <c r="O875" t="n">
        <v>0.2101641585419046</v>
      </c>
      <c r="P875" t="n">
        <v>143.2906444501172</v>
      </c>
      <c r="Q875" t="n">
        <v>147.1889325064079</v>
      </c>
    </row>
    <row r="876">
      <c r="A876" s="117" t="n">
        <v>45707</v>
      </c>
      <c r="B876" s="118" t="n">
        <v>73.90064813938494</v>
      </c>
      <c r="C876" s="118" t="n">
        <v>74.72796658194839</v>
      </c>
      <c r="D876" s="118" t="n">
        <v>73.19838673043373</v>
      </c>
      <c r="E876" s="118" t="n">
        <v>73.86216735839844</v>
      </c>
      <c r="F876" s="119" t="n">
        <v>14184100</v>
      </c>
      <c r="G876" s="120" t="n">
        <v>-0.01043942312459023</v>
      </c>
      <c r="H876" s="121" t="n">
        <v>47.239964719079</v>
      </c>
      <c r="I876" s="118" t="n">
        <v>71.94625000000001</v>
      </c>
      <c r="J876" s="118" t="n">
        <v>77.08572143554687</v>
      </c>
      <c r="K876" s="120" t="n">
        <v>0.4043683005009291</v>
      </c>
      <c r="L876" s="120" t="n">
        <v>-0.02920703171612371</v>
      </c>
      <c r="M876" s="120" t="n">
        <v>-0.2606545042876449</v>
      </c>
      <c r="N876" t="n">
        <v>57.46654725753762</v>
      </c>
      <c r="O876" t="n">
        <v>0.3686656477542363</v>
      </c>
      <c r="P876" t="n">
        <v>143.628096835174</v>
      </c>
      <c r="Q876" t="n">
        <v>147.2298922737981</v>
      </c>
    </row>
    <row r="877">
      <c r="A877" s="117" t="n">
        <v>45708</v>
      </c>
      <c r="B877" s="118" t="n">
        <v>73.98722794083432</v>
      </c>
      <c r="C877" s="118" t="n">
        <v>74.33354027305295</v>
      </c>
      <c r="D877" s="118" t="n">
        <v>73.43888234446432</v>
      </c>
      <c r="E877" s="118" t="n">
        <v>74.29506683349609</v>
      </c>
      <c r="F877" s="119" t="n">
        <v>10689600</v>
      </c>
      <c r="G877" s="120" t="n">
        <v>0.005860909455812635</v>
      </c>
      <c r="H877" s="121" t="n">
        <v>47.5168338749933</v>
      </c>
      <c r="I877" s="118" t="n">
        <v>71.92027618408203</v>
      </c>
      <c r="J877" s="118" t="n">
        <v>77.01864067077636</v>
      </c>
      <c r="K877" s="120" t="n">
        <v>0.4031186895686402</v>
      </c>
      <c r="L877" s="120" t="n">
        <v>-0.0235173020286723</v>
      </c>
      <c r="M877" s="120" t="n">
        <v>-0.2563212672807118</v>
      </c>
      <c r="N877" t="n">
        <v>58.52646670161186</v>
      </c>
      <c r="O877" t="n">
        <v>0.4792419396325231</v>
      </c>
      <c r="P877" t="n">
        <v>143.0305397536127</v>
      </c>
      <c r="Q877" t="n">
        <v>146.6049411977316</v>
      </c>
    </row>
    <row r="878">
      <c r="A878" s="117" t="n">
        <v>45709</v>
      </c>
      <c r="B878" s="118" t="n">
        <v>74.45860311655888</v>
      </c>
      <c r="C878" s="118" t="n">
        <v>75.02617808163861</v>
      </c>
      <c r="D878" s="118" t="n">
        <v>72.97712618234915</v>
      </c>
      <c r="E878" s="118" t="n">
        <v>73.59280395507812</v>
      </c>
      <c r="F878" s="119" t="n">
        <v>12823400</v>
      </c>
      <c r="G878" s="120" t="n">
        <v>-0.009452348700241697</v>
      </c>
      <c r="H878" s="121" t="n">
        <v>47.06768819207541</v>
      </c>
      <c r="I878" s="118" t="n">
        <v>71.87429260253906</v>
      </c>
      <c r="J878" s="118" t="n">
        <v>76.94928245544433</v>
      </c>
      <c r="K878" s="120" t="n">
        <v>0.4052794455672327</v>
      </c>
      <c r="L878" s="120" t="n">
        <v>-0.03274735698965014</v>
      </c>
      <c r="M878" s="120" t="n">
        <v>-0.2633507779833284</v>
      </c>
      <c r="N878" t="n">
        <v>56.08480888003552</v>
      </c>
      <c r="O878" t="n">
        <v>0.4804473555720564</v>
      </c>
      <c r="P878" t="n">
        <v>140.5841445239445</v>
      </c>
      <c r="Q878" t="n">
        <v>143.5622060316571</v>
      </c>
    </row>
    <row r="879">
      <c r="A879" s="117" t="n">
        <v>45712</v>
      </c>
      <c r="B879" s="118" t="n">
        <v>75.88235105835578</v>
      </c>
      <c r="C879" s="118" t="n">
        <v>78.00836439767968</v>
      </c>
      <c r="D879" s="118" t="n">
        <v>75.75729404055706</v>
      </c>
      <c r="E879" s="118" t="n">
        <v>77.22914886474609</v>
      </c>
      <c r="F879" s="119" t="n">
        <v>24553500</v>
      </c>
      <c r="G879" s="120" t="n">
        <v>0.04941169128285461</v>
      </c>
      <c r="H879" s="121" t="n">
        <v>49.3933822704199</v>
      </c>
      <c r="I879" s="118" t="n">
        <v>71.92508590698242</v>
      </c>
      <c r="J879" s="118" t="n">
        <v>76.89236362457275</v>
      </c>
      <c r="K879" s="120" t="n">
        <v>0.4362218482818715</v>
      </c>
      <c r="L879" s="120" t="n">
        <v>0</v>
      </c>
      <c r="M879" s="120" t="n">
        <v>-0.2269516940412856</v>
      </c>
      <c r="N879" t="n">
        <v>64.3730314664236</v>
      </c>
      <c r="O879" t="n">
        <v>0.6888228119926704</v>
      </c>
      <c r="P879" t="n">
        <v>139.9444149862776</v>
      </c>
      <c r="Q879" t="n">
        <v>141.8675690680092</v>
      </c>
    </row>
    <row r="880">
      <c r="A880" s="117" t="n">
        <v>45713</v>
      </c>
      <c r="B880" s="118" t="n">
        <v>77.2580133525028</v>
      </c>
      <c r="C880" s="118" t="n">
        <v>78.84531062299514</v>
      </c>
      <c r="D880" s="118" t="n">
        <v>77.00789929832102</v>
      </c>
      <c r="E880" s="118" t="n">
        <v>78.61443328857422</v>
      </c>
      <c r="F880" s="119" t="n">
        <v>15522500</v>
      </c>
      <c r="G880" s="120" t="n">
        <v>0.0179373260509994</v>
      </c>
      <c r="H880" s="121" t="n">
        <v>50.27936747296607</v>
      </c>
      <c r="I880" s="118" t="n">
        <v>72.02090072631836</v>
      </c>
      <c r="J880" s="118" t="n">
        <v>76.84037803649902</v>
      </c>
      <c r="K880" s="120" t="n">
        <v>0.4310170773636504</v>
      </c>
      <c r="L880" s="120" t="n">
        <v>0</v>
      </c>
      <c r="M880" s="120" t="n">
        <v>-0.2130852745241313</v>
      </c>
      <c r="N880" t="n">
        <v>66.93335761682167</v>
      </c>
      <c r="O880" t="n">
        <v>0.870897662644863</v>
      </c>
      <c r="P880" t="n">
        <v>139.2484603562177</v>
      </c>
      <c r="Q880" t="n">
        <v>140.0801475759779</v>
      </c>
    </row>
    <row r="881">
      <c r="A881" s="117" t="n">
        <v>45714</v>
      </c>
      <c r="B881" s="118" t="n">
        <v>78.97997730665693</v>
      </c>
      <c r="C881" s="118" t="n">
        <v>79.30706020701557</v>
      </c>
      <c r="D881" s="118" t="n">
        <v>77.76785864678644</v>
      </c>
      <c r="E881" s="118" t="n">
        <v>78.08531951904297</v>
      </c>
      <c r="F881" s="119" t="n">
        <v>16058100</v>
      </c>
      <c r="G881" s="120" t="n">
        <v>-0.006730491430104291</v>
      </c>
      <c r="H881" s="121" t="n">
        <v>49.94096262107821</v>
      </c>
      <c r="I881" s="118" t="n">
        <v>72.06553695678711</v>
      </c>
      <c r="J881" s="118" t="n">
        <v>76.78664852142334</v>
      </c>
      <c r="K881" s="120" t="n">
        <v>0.4266333021585719</v>
      </c>
      <c r="L881" s="120" t="n">
        <v>-0.00673049143010418</v>
      </c>
      <c r="M881" s="120" t="n">
        <v>-0.2148135788134361</v>
      </c>
      <c r="N881" t="n">
        <v>65.0115851233235</v>
      </c>
      <c r="O881" t="n">
        <v>0.9027857663386031</v>
      </c>
      <c r="P881" t="n">
        <v>139.318723537656</v>
      </c>
      <c r="Q881" t="n">
        <v>140.4184977397038</v>
      </c>
    </row>
    <row r="882">
      <c r="A882" s="117" t="n">
        <v>45715</v>
      </c>
      <c r="B882" s="118" t="n">
        <v>78.3931718809481</v>
      </c>
      <c r="C882" s="118" t="n">
        <v>78.3931718809481</v>
      </c>
      <c r="D882" s="118" t="n">
        <v>76.44031818852841</v>
      </c>
      <c r="E882" s="118" t="n">
        <v>76.97903442382812</v>
      </c>
      <c r="F882" s="119" t="n">
        <v>11651900</v>
      </c>
      <c r="G882" s="120" t="n">
        <v>-0.01416764510959134</v>
      </c>
      <c r="H882" s="121" t="n">
        <v>49.23341678623141</v>
      </c>
      <c r="I882" s="118" t="n">
        <v>72.10517105102539</v>
      </c>
      <c r="J882" s="118" t="n">
        <v>76.72833675384521</v>
      </c>
      <c r="K882" s="120" t="n">
        <v>0.4211551149874736</v>
      </c>
      <c r="L882" s="120" t="n">
        <v>-0.02080278132570068</v>
      </c>
      <c r="M882" s="120" t="n">
        <v>-0.2259378213736775</v>
      </c>
      <c r="N882" t="n">
        <v>61.06386520111659</v>
      </c>
      <c r="O882" t="n">
        <v>0.7999767425474091</v>
      </c>
      <c r="P882" t="n">
        <v>137.0949447604827</v>
      </c>
      <c r="Q882" t="n">
        <v>136.5189131012777</v>
      </c>
    </row>
    <row r="883">
      <c r="A883" s="117" t="n">
        <v>45716</v>
      </c>
      <c r="B883" s="118" t="n">
        <v>76.23830103479486</v>
      </c>
      <c r="C883" s="118" t="n">
        <v>76.97903587226966</v>
      </c>
      <c r="D883" s="118" t="n">
        <v>75.2089640147173</v>
      </c>
      <c r="E883" s="118" t="n">
        <v>76.41146087646484</v>
      </c>
      <c r="F883" s="119" t="n">
        <v>14113800</v>
      </c>
      <c r="G883" s="120" t="n">
        <v>-0.007373092577887652</v>
      </c>
      <c r="H883" s="121" t="n">
        <v>48.8704142463408</v>
      </c>
      <c r="I883" s="118" t="n">
        <v>72.1471142578125</v>
      </c>
      <c r="J883" s="118" t="n">
        <v>76.67881412506104</v>
      </c>
      <c r="K883" s="120" t="n">
        <v>0.4154391112319802</v>
      </c>
      <c r="L883" s="120" t="n">
        <v>-0.02802249307099636</v>
      </c>
      <c r="M883" s="120" t="n">
        <v>-0.2257544300100505</v>
      </c>
      <c r="N883" t="n">
        <v>59.08166254263585</v>
      </c>
      <c r="O883" t="n">
        <v>0.650687591317235</v>
      </c>
      <c r="P883" t="n">
        <v>139.23440771993</v>
      </c>
      <c r="Q883" t="n">
        <v>138.674745970996</v>
      </c>
    </row>
    <row r="884">
      <c r="A884" s="117" t="n">
        <v>45719</v>
      </c>
      <c r="B884" s="118" t="n">
        <v>77.33963973541843</v>
      </c>
      <c r="C884" s="118" t="n">
        <v>78.27750130505945</v>
      </c>
      <c r="D884" s="118" t="n">
        <v>75.30922181104171</v>
      </c>
      <c r="E884" s="118" t="n">
        <v>75.81199645996094</v>
      </c>
      <c r="F884" s="119" t="n">
        <v>8628800</v>
      </c>
      <c r="G884" s="120" t="n">
        <v>-0.00784521601377397</v>
      </c>
      <c r="H884" s="121" t="n">
        <v>48.48701528989564</v>
      </c>
      <c r="I884" s="118" t="n">
        <v>72.17803009033203</v>
      </c>
      <c r="J884" s="118" t="n">
        <v>76.61784679412841</v>
      </c>
      <c r="K884" s="120" t="n">
        <v>0.4106484565404699</v>
      </c>
      <c r="L884" s="120" t="n">
        <v>-0.03564786657338392</v>
      </c>
      <c r="M884" s="120" t="n">
        <v>-0.2287241783699575</v>
      </c>
      <c r="N884" t="n">
        <v>56.97790266242174</v>
      </c>
      <c r="O884" t="n">
        <v>0.4765733312672624</v>
      </c>
      <c r="P884" t="n">
        <v>136.7950097139206</v>
      </c>
      <c r="Q884" t="n">
        <v>135.6402077923734</v>
      </c>
    </row>
    <row r="885">
      <c r="A885" s="117" t="n">
        <v>45720</v>
      </c>
      <c r="B885" s="118" t="n">
        <v>75.12552429114103</v>
      </c>
      <c r="C885" s="118" t="n">
        <v>76.04405189444948</v>
      </c>
      <c r="D885" s="118" t="n">
        <v>74.23600887925568</v>
      </c>
      <c r="E885" s="118" t="n">
        <v>74.75811767578125</v>
      </c>
      <c r="F885" s="119" t="n">
        <v>10034100</v>
      </c>
      <c r="G885" s="120" t="n">
        <v>-0.01390121396863986</v>
      </c>
      <c r="H885" s="121" t="n">
        <v>47.81298691565009</v>
      </c>
      <c r="I885" s="118" t="n">
        <v>72.17247634887696</v>
      </c>
      <c r="J885" s="118" t="n">
        <v>76.55127788543702</v>
      </c>
      <c r="K885" s="120" t="n">
        <v>0.4139060607287384</v>
      </c>
      <c r="L885" s="120" t="n">
        <v>-0.0490535319212615</v>
      </c>
      <c r="M885" s="120" t="n">
        <v>-0.2269043426380414</v>
      </c>
      <c r="N885" t="n">
        <v>53.37934367027434</v>
      </c>
      <c r="O885" t="n">
        <v>0.2659406608002326</v>
      </c>
      <c r="P885" t="n">
        <v>135.1757852419673</v>
      </c>
      <c r="Q885" t="n">
        <v>135.2308869870348</v>
      </c>
    </row>
    <row r="886">
      <c r="A886" s="117" t="n">
        <v>45721</v>
      </c>
      <c r="B886" s="118" t="n">
        <v>74.76779598008582</v>
      </c>
      <c r="C886" s="118" t="n">
        <v>75.71532111758778</v>
      </c>
      <c r="D886" s="118" t="n">
        <v>73.92661938215075</v>
      </c>
      <c r="E886" s="118" t="n">
        <v>75.23188781738281</v>
      </c>
      <c r="F886" s="119" t="n">
        <v>9853600</v>
      </c>
      <c r="G886" s="120" t="n">
        <v>0.006337373870972218</v>
      </c>
      <c r="H886" s="121" t="n">
        <v>48.11599568962247</v>
      </c>
      <c r="I886" s="118" t="n">
        <v>72.19756210327148</v>
      </c>
      <c r="J886" s="118" t="n">
        <v>76.49239315032959</v>
      </c>
      <c r="K886" s="120" t="n">
        <v>0.4143303207213568</v>
      </c>
      <c r="L886" s="120" t="n">
        <v>-0.04302702862176599</v>
      </c>
      <c r="M886" s="120" t="n">
        <v>-0.2180136433736235</v>
      </c>
      <c r="N886" t="n">
        <v>54.76253462328962</v>
      </c>
      <c r="O886" t="n">
        <v>0.1403455238195361</v>
      </c>
      <c r="P886" t="n">
        <v>136.6286329010614</v>
      </c>
      <c r="Q886" t="n">
        <v>136.9937510765362</v>
      </c>
    </row>
    <row r="887">
      <c r="A887" s="117" t="n">
        <v>45722</v>
      </c>
      <c r="B887" s="118" t="n">
        <v>74.19733121028609</v>
      </c>
      <c r="C887" s="118" t="n">
        <v>75.73465274104447</v>
      </c>
      <c r="D887" s="118" t="n">
        <v>74.19733121028609</v>
      </c>
      <c r="E887" s="118" t="n">
        <v>75.13519287109375</v>
      </c>
      <c r="F887" s="119" t="n">
        <v>9623700</v>
      </c>
      <c r="G887" s="120" t="n">
        <v>-0.001285292036320773</v>
      </c>
      <c r="H887" s="121" t="n">
        <v>48.05415258354295</v>
      </c>
      <c r="I887" s="118" t="n">
        <v>72.21686599731446</v>
      </c>
      <c r="J887" s="118" t="n">
        <v>76.43255023956299</v>
      </c>
      <c r="K887" s="120" t="n">
        <v>0.399868023586073</v>
      </c>
      <c r="L887" s="120" t="n">
        <v>-0.04425701836085272</v>
      </c>
      <c r="M887" s="120" t="n">
        <v>-0.219018724210307</v>
      </c>
      <c r="N887" t="n">
        <v>54.40773335548776</v>
      </c>
      <c r="O887" t="n">
        <v>0.03790854495743101</v>
      </c>
      <c r="P887" t="n">
        <v>134.2033020785821</v>
      </c>
      <c r="Q887" t="n">
        <v>133.2251252683422</v>
      </c>
    </row>
    <row r="888">
      <c r="A888" s="117" t="n">
        <v>45723</v>
      </c>
      <c r="B888" s="118" t="n">
        <v>74.91282312985726</v>
      </c>
      <c r="C888" s="118" t="n">
        <v>76.38245703211005</v>
      </c>
      <c r="D888" s="118" t="n">
        <v>74.41971912660526</v>
      </c>
      <c r="E888" s="118" t="n">
        <v>75.98603820800781</v>
      </c>
      <c r="F888" s="119" t="n">
        <v>9294300</v>
      </c>
      <c r="G888" s="120" t="n">
        <v>0.01132419182544475</v>
      </c>
      <c r="H888" s="121" t="n">
        <v>48.59832702540818</v>
      </c>
      <c r="I888" s="118" t="n">
        <v>72.25626510620117</v>
      </c>
      <c r="J888" s="118" t="n">
        <v>76.3750159072876</v>
      </c>
      <c r="K888" s="120" t="n">
        <v>0.3707614238260217</v>
      </c>
      <c r="L888" s="120" t="n">
        <v>-0.03343400150094855</v>
      </c>
      <c r="M888" s="120" t="n">
        <v>-0.2101747424311838</v>
      </c>
      <c r="N888" t="n">
        <v>57.04495899920101</v>
      </c>
      <c r="O888" t="n">
        <v>0.01573997266212857</v>
      </c>
      <c r="P888" t="n">
        <v>134.9554963482778</v>
      </c>
      <c r="Q888" t="n">
        <v>134.2048037031254</v>
      </c>
    </row>
    <row r="889">
      <c r="A889" s="117" t="n">
        <v>45726</v>
      </c>
      <c r="B889" s="118" t="n">
        <v>74.94182903777558</v>
      </c>
      <c r="C889" s="118" t="n">
        <v>77.53303171041476</v>
      </c>
      <c r="D889" s="118" t="n">
        <v>73.53986810155662</v>
      </c>
      <c r="E889" s="118" t="n">
        <v>73.86860656738281</v>
      </c>
      <c r="F889" s="119" t="n">
        <v>15822600</v>
      </c>
      <c r="G889" s="120" t="n">
        <v>-0.02786606185242402</v>
      </c>
      <c r="H889" s="121" t="n">
        <v>47.24408303859383</v>
      </c>
      <c r="I889" s="118" t="n">
        <v>72.25677871704102</v>
      </c>
      <c r="J889" s="118" t="n">
        <v>76.30884006500244</v>
      </c>
      <c r="K889" s="120" t="n">
        <v>0.3485615936553307</v>
      </c>
      <c r="L889" s="120" t="n">
        <v>-0.06036838939957312</v>
      </c>
      <c r="M889" s="120" t="n">
        <v>-0.2321840619112031</v>
      </c>
      <c r="N889" t="n">
        <v>49.38853907559782</v>
      </c>
      <c r="O889" t="n">
        <v>-0.1444201811148931</v>
      </c>
      <c r="P889" t="n">
        <v>131.3609018126585</v>
      </c>
      <c r="Q889" t="n">
        <v>129.0035173214426</v>
      </c>
    </row>
    <row r="890">
      <c r="A890" s="117" t="n">
        <v>45727</v>
      </c>
      <c r="B890" s="118" t="n">
        <v>73.39483928197011</v>
      </c>
      <c r="C890" s="118" t="n">
        <v>73.5592048159715</v>
      </c>
      <c r="D890" s="118" t="n">
        <v>71.18071412003722</v>
      </c>
      <c r="E890" s="118" t="n">
        <v>71.71248626708984</v>
      </c>
      <c r="F890" s="119" t="n">
        <v>12837000</v>
      </c>
      <c r="G890" s="120" t="n">
        <v>-0.0291885876894965</v>
      </c>
      <c r="H890" s="121" t="n">
        <v>45.86509497801198</v>
      </c>
      <c r="I890" s="118" t="n">
        <v>72.21359283447265</v>
      </c>
      <c r="J890" s="118" t="n">
        <v>76.22690067291259</v>
      </c>
      <c r="K890" s="120" t="n">
        <v>0.3542040301014125</v>
      </c>
      <c r="L890" s="120" t="n">
        <v>-0.08779490906140641</v>
      </c>
      <c r="M890" s="120" t="n">
        <v>-0.254595524749501</v>
      </c>
      <c r="N890" t="n">
        <v>43.05202594401585</v>
      </c>
      <c r="O890" t="n">
        <v>-0.3848147819806492</v>
      </c>
      <c r="P890" t="n">
        <v>130.268883957373</v>
      </c>
      <c r="Q890" t="n">
        <v>128.69515286207</v>
      </c>
    </row>
    <row r="891">
      <c r="A891" s="117" t="n">
        <v>45728</v>
      </c>
      <c r="B891" s="118" t="n">
        <v>71.89619881253563</v>
      </c>
      <c r="C891" s="118" t="n">
        <v>72.03155954235247</v>
      </c>
      <c r="D891" s="118" t="n">
        <v>70.80364224284072</v>
      </c>
      <c r="E891" s="118" t="n">
        <v>71.14204406738281</v>
      </c>
      <c r="F891" s="119" t="n">
        <v>12304900</v>
      </c>
      <c r="G891" s="120" t="n">
        <v>-0.007954572897981071</v>
      </c>
      <c r="H891" s="121" t="n">
        <v>45.50025773653656</v>
      </c>
      <c r="I891" s="118" t="n">
        <v>72.15611206054687</v>
      </c>
      <c r="J891" s="118" t="n">
        <v>76.14362766265869</v>
      </c>
      <c r="K891" s="120" t="n">
        <v>0.3559972706018879</v>
      </c>
      <c r="L891" s="120" t="n">
        <v>-0.09505111095518681</v>
      </c>
      <c r="M891" s="120" t="n">
        <v>-0.2605248989863624</v>
      </c>
      <c r="N891" t="n">
        <v>41.53375696929106</v>
      </c>
      <c r="O891" t="n">
        <v>-0.5608255549970733</v>
      </c>
      <c r="P891" t="n">
        <v>130.9601834698222</v>
      </c>
      <c r="Q891" t="n">
        <v>130.1469257563524</v>
      </c>
    </row>
    <row r="892">
      <c r="A892" s="117" t="n">
        <v>45729</v>
      </c>
      <c r="B892" s="118" t="n">
        <v>70.75528594468133</v>
      </c>
      <c r="C892" s="118" t="n">
        <v>71.4901065000695</v>
      </c>
      <c r="D892" s="118" t="n">
        <v>69.29531556369584</v>
      </c>
      <c r="E892" s="118" t="n">
        <v>70.23317718505859</v>
      </c>
      <c r="F892" s="119" t="n">
        <v>10195900</v>
      </c>
      <c r="G892" s="120" t="n">
        <v>-0.01277538330868566</v>
      </c>
      <c r="H892" s="121" t="n">
        <v>44.91897450330831</v>
      </c>
      <c r="I892" s="118" t="n">
        <v>72.0904588317871</v>
      </c>
      <c r="J892" s="118" t="n">
        <v>76.06103073120117</v>
      </c>
      <c r="K892" s="120" t="n">
        <v>0.3572690002685304</v>
      </c>
      <c r="L892" s="120" t="n">
        <v>-0.1066121798875037</v>
      </c>
      <c r="M892" s="120" t="n">
        <v>-0.2699719768490406</v>
      </c>
      <c r="N892" t="n">
        <v>39.16393993875113</v>
      </c>
      <c r="O892" t="n">
        <v>-0.7075742542136991</v>
      </c>
      <c r="P892" t="n">
        <v>129.2144125350673</v>
      </c>
      <c r="Q892" t="n">
        <v>127.8055238298674</v>
      </c>
    </row>
    <row r="893">
      <c r="A893" s="117" t="n">
        <v>45730</v>
      </c>
      <c r="B893" s="118" t="n">
        <v>70.8519788636498</v>
      </c>
      <c r="C893" s="118" t="n">
        <v>71.10336622947369</v>
      </c>
      <c r="D893" s="118" t="n">
        <v>68.95692133063763</v>
      </c>
      <c r="E893" s="118" t="n">
        <v>69.28565979003906</v>
      </c>
      <c r="F893" s="119" t="n">
        <v>12183000</v>
      </c>
      <c r="G893" s="120" t="n">
        <v>-0.01349102280426384</v>
      </c>
      <c r="H893" s="121" t="n">
        <v>44.31297159394003</v>
      </c>
      <c r="I893" s="118" t="n">
        <v>72.03990966796874</v>
      </c>
      <c r="J893" s="118" t="n">
        <v>75.97203514099121</v>
      </c>
      <c r="K893" s="120" t="n">
        <v>0.3575227455802577</v>
      </c>
      <c r="L893" s="120" t="n">
        <v>-0.1186648953416929</v>
      </c>
      <c r="M893" s="120" t="n">
        <v>-0.279820801557122</v>
      </c>
      <c r="N893" t="n">
        <v>36.80614756724142</v>
      </c>
      <c r="O893" t="n">
        <v>-0.829143123742201</v>
      </c>
      <c r="P893" t="n">
        <v>131.8834533117155</v>
      </c>
      <c r="Q893" t="n">
        <v>130.894638675199</v>
      </c>
    </row>
    <row r="894">
      <c r="A894" s="117" t="n">
        <v>45733</v>
      </c>
      <c r="B894" s="118" t="n">
        <v>69.74975475991991</v>
      </c>
      <c r="C894" s="118" t="n">
        <v>71.49978091595122</v>
      </c>
      <c r="D894" s="118" t="n">
        <v>69.64339884558143</v>
      </c>
      <c r="E894" s="118" t="n">
        <v>71.25806427001953</v>
      </c>
      <c r="F894" s="119" t="n">
        <v>15996900</v>
      </c>
      <c r="G894" s="120" t="n">
        <v>0.0284677159163611</v>
      </c>
      <c r="H894" s="121" t="n">
        <v>45.57446068068609</v>
      </c>
      <c r="I894" s="118" t="n">
        <v>72.00918426513672</v>
      </c>
      <c r="J894" s="118" t="n">
        <v>75.89171520233154</v>
      </c>
      <c r="K894" s="120" t="n">
        <v>0.3719485282001409</v>
      </c>
      <c r="L894" s="120" t="n">
        <v>-0.09357529795516395</v>
      </c>
      <c r="M894" s="120" t="n">
        <v>-0.2553517964280723</v>
      </c>
      <c r="N894" t="n">
        <v>44.32075033889988</v>
      </c>
      <c r="O894" t="n">
        <v>-0.7403245453228027</v>
      </c>
      <c r="P894" t="n">
        <v>132.9004364900115</v>
      </c>
      <c r="Q894" t="n">
        <v>131.7433331098808</v>
      </c>
    </row>
    <row r="895">
      <c r="A895" s="117" t="n">
        <v>45734</v>
      </c>
      <c r="B895" s="118" t="n">
        <v>71.4417657911635</v>
      </c>
      <c r="C895" s="118" t="n">
        <v>71.70282387960719</v>
      </c>
      <c r="D895" s="118" t="n">
        <v>70.31053374552363</v>
      </c>
      <c r="E895" s="118" t="n">
        <v>70.8809814453125</v>
      </c>
      <c r="F895" s="119" t="n">
        <v>8972300</v>
      </c>
      <c r="G895" s="120" t="n">
        <v>-0.005291791582748395</v>
      </c>
      <c r="H895" s="121" t="n">
        <v>45.33329013326775</v>
      </c>
      <c r="I895" s="118" t="n">
        <v>72.00939712524413</v>
      </c>
      <c r="J895" s="118" t="n">
        <v>75.81107593536377</v>
      </c>
      <c r="K895" s="120" t="n">
        <v>0.2931490203135903</v>
      </c>
      <c r="L895" s="120" t="n">
        <v>-0.09837190856383993</v>
      </c>
      <c r="M895" s="120" t="n">
        <v>-0.2592923195238429</v>
      </c>
      <c r="N895" t="n">
        <v>43.26159614499421</v>
      </c>
      <c r="O895" t="n">
        <v>-0.6725466486217183</v>
      </c>
      <c r="P895" t="n">
        <v>131.4639981204956</v>
      </c>
      <c r="Q895" t="n">
        <v>129.497434057669</v>
      </c>
    </row>
    <row r="896">
      <c r="A896" s="117" t="n">
        <v>45735</v>
      </c>
      <c r="B896" s="118" t="n">
        <v>70.23317720278246</v>
      </c>
      <c r="C896" s="118" t="n">
        <v>70.99700257113039</v>
      </c>
      <c r="D896" s="118" t="n">
        <v>69.89477542607274</v>
      </c>
      <c r="E896" s="118" t="n">
        <v>70.57157897949219</v>
      </c>
      <c r="F896" s="119" t="n">
        <v>10830500</v>
      </c>
      <c r="G896" s="120" t="n">
        <v>-0.004365098500491715</v>
      </c>
      <c r="H896" s="121" t="n">
        <v>45.13540585648466</v>
      </c>
      <c r="I896" s="118" t="n">
        <v>72.01034805297851</v>
      </c>
      <c r="J896" s="118" t="n">
        <v>75.72044219970704</v>
      </c>
      <c r="K896" s="120" t="n">
        <v>0.2917349398136408</v>
      </c>
      <c r="L896" s="120" t="n">
        <v>-0.1023076039937691</v>
      </c>
      <c r="M896" s="120" t="n">
        <v>-0.262525581509192</v>
      </c>
      <c r="N896" t="n">
        <v>42.36695061837511</v>
      </c>
      <c r="O896" t="n">
        <v>-0.6156576006937482</v>
      </c>
      <c r="P896" t="n">
        <v>132.8957522779157</v>
      </c>
      <c r="Q896" t="n">
        <v>131.2303040528607</v>
      </c>
    </row>
    <row r="897">
      <c r="A897" s="117" t="n">
        <v>45736</v>
      </c>
      <c r="B897" s="118" t="n">
        <v>70.50389517482051</v>
      </c>
      <c r="C897" s="118" t="n">
        <v>71.20971088308849</v>
      </c>
      <c r="D897" s="118" t="n">
        <v>69.15028075760031</v>
      </c>
      <c r="E897" s="118" t="n">
        <v>69.47901916503906</v>
      </c>
      <c r="F897" s="119" t="n">
        <v>25202300</v>
      </c>
      <c r="G897" s="120" t="n">
        <v>-0.01548158380827247</v>
      </c>
      <c r="H897" s="121" t="n">
        <v>44.43663828799711</v>
      </c>
      <c r="I897" s="118" t="n">
        <v>72.01465209960938</v>
      </c>
      <c r="J897" s="118" t="n">
        <v>75.61675231933594</v>
      </c>
      <c r="K897" s="120" t="n">
        <v>0.2938226699584824</v>
      </c>
      <c r="L897" s="120" t="n">
        <v>-0.1162053040565885</v>
      </c>
      <c r="M897" s="120" t="n">
        <v>-0.2739428535255145</v>
      </c>
      <c r="N897" t="n">
        <v>39.2780462121824</v>
      </c>
      <c r="O897" t="n">
        <v>-0.61715175430646</v>
      </c>
      <c r="P897" t="n">
        <v>132.5114577719</v>
      </c>
      <c r="Q897" t="n">
        <v>130.7854853417812</v>
      </c>
    </row>
    <row r="898">
      <c r="A898" s="117" t="n">
        <v>45737</v>
      </c>
      <c r="B898" s="118" t="n">
        <v>64.38362830243913</v>
      </c>
      <c r="C898" s="118" t="n">
        <v>66.45272912922914</v>
      </c>
      <c r="D898" s="118" t="n">
        <v>63.01067982177527</v>
      </c>
      <c r="E898" s="118" t="n">
        <v>65.68890380859375</v>
      </c>
      <c r="F898" s="119" t="n">
        <v>77287000</v>
      </c>
      <c r="G898" s="120" t="n">
        <v>-0.05455050174848253</v>
      </c>
      <c r="H898" s="121" t="n">
        <v>42.01259737337103</v>
      </c>
      <c r="I898" s="118" t="n">
        <v>71.9414224243164</v>
      </c>
      <c r="J898" s="118" t="n">
        <v>75.49544593811035</v>
      </c>
      <c r="K898" s="120" t="n">
        <v>0.345624469001909</v>
      </c>
      <c r="L898" s="120" t="n">
        <v>-0.1644167481629492</v>
      </c>
      <c r="M898" s="120" t="n">
        <v>-0.3135496351637691</v>
      </c>
      <c r="N898" t="n">
        <v>30.86983733714341</v>
      </c>
      <c r="O898" t="n">
        <v>-0.8259061205962646</v>
      </c>
      <c r="P898" t="n">
        <v>132.5551576884716</v>
      </c>
      <c r="Q898" t="n">
        <v>131.2166535937161</v>
      </c>
    </row>
    <row r="899">
      <c r="A899" s="117" t="n">
        <v>45740</v>
      </c>
      <c r="B899" s="118" t="n">
        <v>66.28836708196621</v>
      </c>
      <c r="C899" s="118" t="n">
        <v>66.60743480795291</v>
      </c>
      <c r="D899" s="118" t="n">
        <v>64.48033138792071</v>
      </c>
      <c r="E899" s="118" t="n">
        <v>65.15713500976562</v>
      </c>
      <c r="F899" s="119" t="n">
        <v>26552500</v>
      </c>
      <c r="G899" s="120" t="n">
        <v>-0.008095260660424652</v>
      </c>
      <c r="H899" s="121" t="n">
        <v>41.67249444661212</v>
      </c>
      <c r="I899" s="118" t="n">
        <v>71.8729493713379</v>
      </c>
      <c r="J899" s="118" t="n">
        <v>75.36986087799072</v>
      </c>
      <c r="K899" s="120" t="n">
        <v>0.2783029607407955</v>
      </c>
      <c r="L899" s="120" t="n">
        <v>-0.1711810123900553</v>
      </c>
      <c r="M899" s="120" t="n">
        <v>-0.319106629797562</v>
      </c>
      <c r="N899" t="n">
        <v>29.90263317863838</v>
      </c>
      <c r="O899" t="n">
        <v>-0.9438014517354242</v>
      </c>
      <c r="P899" t="n">
        <v>134.9290349141087</v>
      </c>
      <c r="Q899" t="n">
        <v>134.0961118173123</v>
      </c>
    </row>
    <row r="900">
      <c r="A900" s="117" t="n">
        <v>45741</v>
      </c>
      <c r="B900" s="118" t="n">
        <v>65.32149719730459</v>
      </c>
      <c r="C900" s="118" t="n">
        <v>65.79526708488666</v>
      </c>
      <c r="D900" s="118" t="n">
        <v>64.04523373546651</v>
      </c>
      <c r="E900" s="118" t="n">
        <v>64.33529663085938</v>
      </c>
      <c r="F900" s="119" t="n">
        <v>17394100</v>
      </c>
      <c r="G900" s="120" t="n">
        <v>-0.01261317549924612</v>
      </c>
      <c r="H900" s="121" t="n">
        <v>41.14687196066564</v>
      </c>
      <c r="I900" s="118" t="n">
        <v>71.78977096557617</v>
      </c>
      <c r="J900" s="118" t="n">
        <v>75.24216762542724</v>
      </c>
      <c r="K900" s="120" t="n">
        <v>0.2606492041066314</v>
      </c>
      <c r="L900" s="120" t="n">
        <v>-0.1816350517378871</v>
      </c>
      <c r="M900" s="120" t="n">
        <v>-0.3052278977427493</v>
      </c>
      <c r="N900" t="n">
        <v>28.42057606390932</v>
      </c>
      <c r="O900" t="n">
        <v>-1.014928280328319</v>
      </c>
      <c r="P900" t="n">
        <v>135.2533656864</v>
      </c>
      <c r="Q900" t="n">
        <v>134.8613513551834</v>
      </c>
    </row>
    <row r="901">
      <c r="A901" s="117" t="n">
        <v>45742</v>
      </c>
      <c r="B901" s="118" t="n">
        <v>64.18059203102551</v>
      </c>
      <c r="C901" s="118" t="n">
        <v>64.38363309949639</v>
      </c>
      <c r="D901" s="118" t="n">
        <v>62.79797271815708</v>
      </c>
      <c r="E901" s="118" t="n">
        <v>63.56179809570312</v>
      </c>
      <c r="F901" s="119" t="n">
        <v>18688300</v>
      </c>
      <c r="G901" s="120" t="n">
        <v>-0.0120229263819891</v>
      </c>
      <c r="H901" s="121" t="n">
        <v>40.65216614823343</v>
      </c>
      <c r="I901" s="118" t="n">
        <v>71.6741911315918</v>
      </c>
      <c r="J901" s="118" t="n">
        <v>75.1039368057251</v>
      </c>
      <c r="K901" s="120" t="n">
        <v>0.2604881261751143</v>
      </c>
      <c r="L901" s="120" t="n">
        <v>-0.1914741932644428</v>
      </c>
      <c r="M901" s="120" t="n">
        <v>-0.3135810915804479</v>
      </c>
      <c r="N901" t="n">
        <v>27.06113830435243</v>
      </c>
      <c r="O901" t="n">
        <v>-1.047614768948142</v>
      </c>
      <c r="P901" t="n">
        <v>133.6386945013599</v>
      </c>
      <c r="Q901" t="n">
        <v>132.3798119861098</v>
      </c>
    </row>
    <row r="902">
      <c r="A902" s="117" t="n">
        <v>45743</v>
      </c>
      <c r="B902" s="118" t="n">
        <v>63.32975673595502</v>
      </c>
      <c r="C902" s="118" t="n">
        <v>64.8767416847182</v>
      </c>
      <c r="D902" s="118" t="n">
        <v>63.12671565298667</v>
      </c>
      <c r="E902" s="118" t="n">
        <v>63.61981964111328</v>
      </c>
      <c r="F902" s="119" t="n">
        <v>16435800</v>
      </c>
      <c r="G902" s="120" t="n">
        <v>0.000912836753340418</v>
      </c>
      <c r="H902" s="121" t="n">
        <v>40.68927493959644</v>
      </c>
      <c r="I902" s="118" t="n">
        <v>71.5772804260254</v>
      </c>
      <c r="J902" s="118" t="n">
        <v>74.96204166412353</v>
      </c>
      <c r="K902" s="120" t="n">
        <v>0.2628596054837127</v>
      </c>
      <c r="L902" s="120" t="n">
        <v>-0.1907361411920303</v>
      </c>
      <c r="M902" s="120" t="n">
        <v>-0.3129545031726548</v>
      </c>
      <c r="N902" t="n">
        <v>27.34189170060202</v>
      </c>
      <c r="O902" t="n">
        <v>-0.9990407225123177</v>
      </c>
      <c r="P902" t="n">
        <v>133.283799972505</v>
      </c>
      <c r="Q902" t="n">
        <v>131.6255045614934</v>
      </c>
    </row>
    <row r="903">
      <c r="A903" s="117" t="n">
        <v>45744</v>
      </c>
      <c r="B903" s="118" t="n">
        <v>63.67782833192778</v>
      </c>
      <c r="C903" s="118" t="n">
        <v>63.67782833192778</v>
      </c>
      <c r="D903" s="118" t="n">
        <v>61.04795026953153</v>
      </c>
      <c r="E903" s="118" t="n">
        <v>61.1929817199707</v>
      </c>
      <c r="F903" s="119" t="n">
        <v>19600300</v>
      </c>
      <c r="G903" s="120" t="n">
        <v>-0.03814594154514506</v>
      </c>
      <c r="H903" s="121" t="n">
        <v>39.13714423623625</v>
      </c>
      <c r="I903" s="118" t="n">
        <v>71.43375679016113</v>
      </c>
      <c r="J903" s="118" t="n">
        <v>74.81063272476196</v>
      </c>
      <c r="K903" s="120" t="n">
        <v>0.2817993031682158</v>
      </c>
      <c r="L903" s="120" t="n">
        <v>-0.2216062730447177</v>
      </c>
      <c r="M903" s="120" t="n">
        <v>-0.3391625005334858</v>
      </c>
      <c r="N903" t="n">
        <v>23.30179644238386</v>
      </c>
      <c r="O903" t="n">
        <v>-1.058381388939596</v>
      </c>
      <c r="P903" t="n">
        <v>130.5996737053493</v>
      </c>
      <c r="Q903" t="n">
        <v>128.160100169368</v>
      </c>
    </row>
    <row r="904">
      <c r="A904" s="117" t="n">
        <v>45747</v>
      </c>
      <c r="B904" s="118" t="n">
        <v>60.75788833880252</v>
      </c>
      <c r="C904" s="118" t="n">
        <v>61.86978624028472</v>
      </c>
      <c r="D904" s="118" t="n">
        <v>60.57418503966059</v>
      </c>
      <c r="E904" s="118" t="n">
        <v>61.37668228149414</v>
      </c>
      <c r="F904" s="119" t="n">
        <v>17400000</v>
      </c>
      <c r="G904" s="120" t="n">
        <v>0.003001987423395747</v>
      </c>
      <c r="H904" s="121" t="n">
        <v>39.25463345102106</v>
      </c>
      <c r="I904" s="118" t="n">
        <v>71.29313751220702</v>
      </c>
      <c r="J904" s="118" t="n">
        <v>74.66076168060303</v>
      </c>
      <c r="K904" s="120" t="n">
        <v>0.2859544274822691</v>
      </c>
      <c r="L904" s="120" t="n">
        <v>-0.2192695448659479</v>
      </c>
      <c r="M904" s="120" t="n">
        <v>-0.3371786746711791</v>
      </c>
      <c r="N904" t="n">
        <v>24.21465330076721</v>
      </c>
      <c r="O904" t="n">
        <v>-1.013239438400366</v>
      </c>
      <c r="P904" t="n">
        <v>131.4763632766493</v>
      </c>
      <c r="Q904" t="n">
        <v>128.1546215278059</v>
      </c>
    </row>
    <row r="905">
      <c r="A905" s="117" t="n">
        <v>45748</v>
      </c>
      <c r="B905" s="118" t="n">
        <v>61.71509074189338</v>
      </c>
      <c r="C905" s="118" t="n">
        <v>63.00102496304031</v>
      </c>
      <c r="D905" s="118" t="n">
        <v>61.2026489865514</v>
      </c>
      <c r="E905" s="118" t="n">
        <v>62.61427688598633</v>
      </c>
      <c r="F905" s="119" t="n">
        <v>13489500</v>
      </c>
      <c r="G905" s="120" t="n">
        <v>0.02016392151690716</v>
      </c>
      <c r="H905" s="121" t="n">
        <v>40.0461607991024</v>
      </c>
      <c r="I905" s="118" t="n">
        <v>71.18246498107911</v>
      </c>
      <c r="J905" s="118" t="n">
        <v>74.52751245498658</v>
      </c>
      <c r="K905" s="120" t="n">
        <v>0.3052568266017378</v>
      </c>
      <c r="L905" s="120" t="n">
        <v>-0.2035269572427657</v>
      </c>
      <c r="M905" s="120" t="n">
        <v>-0.3238135974875165</v>
      </c>
      <c r="N905" t="n">
        <v>30.23865317730342</v>
      </c>
      <c r="O905" t="n">
        <v>-0.8354097899809778</v>
      </c>
      <c r="P905" t="n">
        <v>131.8477252840524</v>
      </c>
      <c r="Q905" t="n">
        <v>129.1876936454385</v>
      </c>
    </row>
    <row r="906">
      <c r="A906" s="117" t="n">
        <v>45749</v>
      </c>
      <c r="B906" s="118" t="n">
        <v>62.16951964329046</v>
      </c>
      <c r="C906" s="118" t="n">
        <v>63.23307133067395</v>
      </c>
      <c r="D906" s="118" t="n">
        <v>62.03415892180198</v>
      </c>
      <c r="E906" s="118" t="n">
        <v>62.80764770507812</v>
      </c>
      <c r="F906" s="119" t="n">
        <v>11161400</v>
      </c>
      <c r="G906" s="120" t="n">
        <v>0.003088286389442807</v>
      </c>
      <c r="H906" s="121" t="n">
        <v>40.16983481244771</v>
      </c>
      <c r="I906" s="118" t="n">
        <v>71.0308309173584</v>
      </c>
      <c r="J906" s="118" t="n">
        <v>74.39284791946412</v>
      </c>
      <c r="K906" s="120" t="n">
        <v>0.3033535637872114</v>
      </c>
      <c r="L906" s="120" t="n">
        <v>-0.2010672203852604</v>
      </c>
      <c r="M906" s="120" t="n">
        <v>-0.3217253402239109</v>
      </c>
      <c r="N906" t="n">
        <v>31.15940281069922</v>
      </c>
      <c r="O906" t="n">
        <v>-0.6484720417275915</v>
      </c>
      <c r="P906" t="n">
        <v>132.6820969268216</v>
      </c>
      <c r="Q906" t="n">
        <v>130.1305737312308</v>
      </c>
    </row>
    <row r="907">
      <c r="A907" s="117" t="n">
        <v>45750</v>
      </c>
      <c r="B907" s="118" t="n">
        <v>54.50226706278995</v>
      </c>
      <c r="C907" s="118" t="n">
        <v>56.73573014861778</v>
      </c>
      <c r="D907" s="118" t="n">
        <v>53.56440900577229</v>
      </c>
      <c r="E907" s="118" t="n">
        <v>53.73844528198242</v>
      </c>
      <c r="F907" s="119" t="n">
        <v>71499500</v>
      </c>
      <c r="G907" s="120" t="n">
        <v>-0.1443964669029062</v>
      </c>
      <c r="H907" s="121" t="n">
        <v>34.3694525894569</v>
      </c>
      <c r="I907" s="118" t="n">
        <v>70.68107391357422</v>
      </c>
      <c r="J907" s="118" t="n">
        <v>74.21660121917725</v>
      </c>
      <c r="K907" s="120" t="n">
        <v>0.5670292817274843</v>
      </c>
      <c r="L907" s="120" t="n">
        <v>-0.3164302910545469</v>
      </c>
      <c r="M907" s="120" t="n">
        <v>-0.4196658046853488</v>
      </c>
      <c r="N907" t="n">
        <v>18.69597231279413</v>
      </c>
      <c r="O907" t="n">
        <v>-1.055262884915809</v>
      </c>
      <c r="P907" t="n">
        <v>126.14343144721</v>
      </c>
      <c r="Q907" t="n">
        <v>123.1642167015003</v>
      </c>
    </row>
    <row r="908">
      <c r="A908" s="117" t="n">
        <v>45751</v>
      </c>
      <c r="B908" s="118" t="n">
        <v>51.45663661460339</v>
      </c>
      <c r="C908" s="118" t="n">
        <v>57.25783564891528</v>
      </c>
      <c r="D908" s="118" t="n">
        <v>50.760491550229</v>
      </c>
      <c r="E908" s="118" t="n">
        <v>55.35310745239258</v>
      </c>
      <c r="F908" s="119" t="n">
        <v>67775700</v>
      </c>
      <c r="G908" s="120" t="n">
        <v>0.03004668560725055</v>
      </c>
      <c r="H908" s="121" t="n">
        <v>35.4021407259056</v>
      </c>
      <c r="I908" s="118" t="n">
        <v>70.35880012512207</v>
      </c>
      <c r="J908" s="118" t="n">
        <v>74.04075727462768</v>
      </c>
      <c r="K908" s="120" t="n">
        <v>0.5826587912516982</v>
      </c>
      <c r="L908" s="120" t="n">
        <v>-0.2958912869192233</v>
      </c>
      <c r="M908" s="120" t="n">
        <v>-0.4022286855715929</v>
      </c>
      <c r="N908" t="n">
        <v>24.48714628917826</v>
      </c>
      <c r="O908" t="n">
        <v>-1.128642222121183</v>
      </c>
      <c r="P908" t="n">
        <v>118.7586037847555</v>
      </c>
      <c r="Q908" t="n">
        <v>115.5146319581998</v>
      </c>
    </row>
    <row r="909">
      <c r="A909" s="117" t="n">
        <v>45754</v>
      </c>
      <c r="B909" s="118" t="n">
        <v>53.56440353850915</v>
      </c>
      <c r="C909" s="118" t="n">
        <v>55.28542466280955</v>
      </c>
      <c r="D909" s="118" t="n">
        <v>51.63067061204028</v>
      </c>
      <c r="E909" s="118" t="n">
        <v>53.7674446105957</v>
      </c>
      <c r="F909" s="119" t="n">
        <v>45374400</v>
      </c>
      <c r="G909" s="120" t="n">
        <v>-0.02864632022982005</v>
      </c>
      <c r="H909" s="121" t="n">
        <v>34.38799966585016</v>
      </c>
      <c r="I909" s="118" t="n">
        <v>70.01866592407227</v>
      </c>
      <c r="J909" s="118" t="n">
        <v>73.85803310394287</v>
      </c>
      <c r="K909" s="120" t="n">
        <v>0.5828933481809347</v>
      </c>
      <c r="L909" s="120" t="n">
        <v>-0.3160614105907417</v>
      </c>
      <c r="M909" s="120" t="n">
        <v>-0.4193526340689094</v>
      </c>
      <c r="N909" t="n">
        <v>22.77174869723788</v>
      </c>
      <c r="O909" t="n">
        <v>-1.19086388233209</v>
      </c>
      <c r="P909" t="n">
        <v>118.5470723310714</v>
      </c>
      <c r="Q909" t="n">
        <v>115.7933882612595</v>
      </c>
    </row>
    <row r="910">
      <c r="A910" s="117" t="n">
        <v>45755</v>
      </c>
      <c r="B910" s="118" t="n">
        <v>56.82274385583447</v>
      </c>
      <c r="C910" s="118" t="n">
        <v>56.82274385583447</v>
      </c>
      <c r="D910" s="118" t="n">
        <v>50.63479686673546</v>
      </c>
      <c r="E910" s="118" t="n">
        <v>51.50497817993164</v>
      </c>
      <c r="F910" s="119" t="n">
        <v>30404300</v>
      </c>
      <c r="G910" s="120" t="n">
        <v>-0.0420787420166554</v>
      </c>
      <c r="H910" s="121" t="n">
        <v>32.94099589944202</v>
      </c>
      <c r="I910" s="118" t="n">
        <v>69.5946102142334</v>
      </c>
      <c r="J910" s="118" t="n">
        <v>73.6602328300476</v>
      </c>
      <c r="K910" s="120" t="n">
        <v>0.5888011891517496</v>
      </c>
      <c r="L910" s="120" t="n">
        <v>-0.3448406860497291</v>
      </c>
      <c r="M910" s="120" t="n">
        <v>-0.4437855447825743</v>
      </c>
      <c r="N910" t="n">
        <v>20.55875852999557</v>
      </c>
      <c r="O910" t="n">
        <v>-1.283308168748392</v>
      </c>
      <c r="P910" t="n">
        <v>116.6902986621622</v>
      </c>
      <c r="Q910" t="n">
        <v>113.7081233152442</v>
      </c>
    </row>
    <row r="911">
      <c r="A911" s="117" t="n">
        <v>45756</v>
      </c>
      <c r="B911" s="118" t="n">
        <v>51.51464450754676</v>
      </c>
      <c r="C911" s="118" t="n">
        <v>57.57689773660199</v>
      </c>
      <c r="D911" s="118" t="n">
        <v>50.74115206671178</v>
      </c>
      <c r="E911" s="118" t="n">
        <v>57.35451889038086</v>
      </c>
      <c r="F911" s="119" t="n">
        <v>44732500</v>
      </c>
      <c r="G911" s="120" t="n">
        <v>0.1135723364451096</v>
      </c>
      <c r="H911" s="121" t="n">
        <v>36.68218176857042</v>
      </c>
      <c r="I911" s="118" t="n">
        <v>69.31044082641601</v>
      </c>
      <c r="J911" s="118" t="n">
        <v>73.48400974273682</v>
      </c>
      <c r="K911" s="120" t="n">
        <v>0.7468459471546676</v>
      </c>
      <c r="L911" s="120" t="n">
        <v>-0.2704327120206217</v>
      </c>
      <c r="M911" s="120" t="n">
        <v>-0.3806149695389874</v>
      </c>
      <c r="N911" t="n">
        <v>37.47675466576165</v>
      </c>
      <c r="O911" t="n">
        <v>-0.8692350659885908</v>
      </c>
      <c r="P911" t="n">
        <v>128.9450412450688</v>
      </c>
      <c r="Q911" t="n">
        <v>127.3566024300837</v>
      </c>
    </row>
    <row r="912">
      <c r="A912" s="117" t="n">
        <v>45757</v>
      </c>
      <c r="B912" s="118" t="n">
        <v>55.33376821523471</v>
      </c>
      <c r="C912" s="118" t="n">
        <v>55.35310598743366</v>
      </c>
      <c r="D912" s="118" t="n">
        <v>50.54777840093139</v>
      </c>
      <c r="E912" s="118" t="n">
        <v>52.59753799438477</v>
      </c>
      <c r="F912" s="119" t="n">
        <v>53919800</v>
      </c>
      <c r="G912" s="120" t="n">
        <v>-0.08293994942382654</v>
      </c>
      <c r="H912" s="121" t="n">
        <v>33.63976346792958</v>
      </c>
      <c r="I912" s="118" t="n">
        <v>68.88899635314941</v>
      </c>
      <c r="J912" s="118" t="n">
        <v>73.28404935836792</v>
      </c>
      <c r="K912" s="120" t="n">
        <v>0.7909831654390685</v>
      </c>
      <c r="L912" s="120" t="n">
        <v>-0.3309429859869096</v>
      </c>
      <c r="M912" s="120" t="n">
        <v>-0.4319867326392991</v>
      </c>
      <c r="N912" t="n">
        <v>31.58576087559786</v>
      </c>
      <c r="O912" t="n">
        <v>-0.8342953404470848</v>
      </c>
      <c r="P912" t="n">
        <v>123.2947758669968</v>
      </c>
      <c r="Q912" t="n">
        <v>121.939836796889</v>
      </c>
    </row>
    <row r="913">
      <c r="A913" s="117" t="n">
        <v>45758</v>
      </c>
      <c r="B913" s="118" t="n">
        <v>52.59753846715427</v>
      </c>
      <c r="C913" s="118" t="n">
        <v>53.20666169953303</v>
      </c>
      <c r="D913" s="118" t="n">
        <v>51.10856318917805</v>
      </c>
      <c r="E913" s="118" t="n">
        <v>52.58786773681641</v>
      </c>
      <c r="F913" s="119" t="n">
        <v>22617100</v>
      </c>
      <c r="G913" s="120" t="n">
        <v>-0.0001838538064156126</v>
      </c>
      <c r="H913" s="121" t="n">
        <v>33.63357866936909</v>
      </c>
      <c r="I913" s="118" t="n">
        <v>68.43368858337402</v>
      </c>
      <c r="J913" s="118" t="n">
        <v>73.09557027816773</v>
      </c>
      <c r="K913" s="120" t="n">
        <v>0.7923148523356602</v>
      </c>
      <c r="L913" s="120" t="n">
        <v>-0.3310659946656449</v>
      </c>
      <c r="M913" s="120" t="n">
        <v>-0.432091164040598</v>
      </c>
      <c r="N913" t="n">
        <v>31.574895122716</v>
      </c>
      <c r="O913" t="n">
        <v>-0.7339568666572971</v>
      </c>
      <c r="P913" t="n">
        <v>125.4946971664147</v>
      </c>
      <c r="Q913" t="n">
        <v>124.1863483159217</v>
      </c>
    </row>
    <row r="914">
      <c r="A914" s="117" t="n">
        <v>45761</v>
      </c>
      <c r="B914" s="118" t="n">
        <v>53.79644881824925</v>
      </c>
      <c r="C914" s="118" t="n">
        <v>54.81165785554909</v>
      </c>
      <c r="D914" s="118" t="n">
        <v>52.85858717921941</v>
      </c>
      <c r="E914" s="118" t="n">
        <v>53.57406997680664</v>
      </c>
      <c r="F914" s="119" t="n">
        <v>28346600</v>
      </c>
      <c r="G914" s="120" t="n">
        <v>0.01875341751686577</v>
      </c>
      <c r="H914" s="121" t="n">
        <v>34.26432321274211</v>
      </c>
      <c r="I914" s="118" t="n">
        <v>68.02561798095704</v>
      </c>
      <c r="J914" s="118" t="n">
        <v>72.91530956268311</v>
      </c>
      <c r="K914" s="120" t="n">
        <v>0.7863846428139761</v>
      </c>
      <c r="L914" s="120" t="n">
        <v>-0.3185211959723805</v>
      </c>
      <c r="M914" s="120" t="n">
        <v>-0.421440932528334</v>
      </c>
      <c r="N914" t="n">
        <v>34.06599181193016</v>
      </c>
      <c r="O914" t="n">
        <v>-0.5326605406295322</v>
      </c>
      <c r="P914" t="n">
        <v>126.7121995357968</v>
      </c>
      <c r="Q914" t="n">
        <v>125.0281126465756</v>
      </c>
    </row>
    <row r="915">
      <c r="A915" s="117" t="n">
        <v>45762</v>
      </c>
      <c r="B915" s="118" t="n">
        <v>52.86825895922033</v>
      </c>
      <c r="C915" s="118" t="n">
        <v>53.55473326882557</v>
      </c>
      <c r="D915" s="118" t="n">
        <v>52.37515499328206</v>
      </c>
      <c r="E915" s="118" t="n">
        <v>53.01329040527344</v>
      </c>
      <c r="F915" s="119" t="n">
        <v>15977100</v>
      </c>
      <c r="G915" s="120" t="n">
        <v>-0.01046736922873281</v>
      </c>
      <c r="H915" s="121" t="n">
        <v>33.9056658903017</v>
      </c>
      <c r="I915" s="118" t="n">
        <v>67.61229614257813</v>
      </c>
      <c r="J915" s="118" t="n">
        <v>72.73162563323974</v>
      </c>
      <c r="K915" s="120" t="n">
        <v>0.7859294254192359</v>
      </c>
      <c r="L915" s="120" t="n">
        <v>-0.3256544862356929</v>
      </c>
      <c r="M915" s="120" t="n">
        <v>-0.4274969239081913</v>
      </c>
      <c r="N915" t="n">
        <v>33.32309026020498</v>
      </c>
      <c r="O915" t="n">
        <v>-0.3761487987960059</v>
      </c>
      <c r="P915" t="n">
        <v>126.3572904596995</v>
      </c>
      <c r="Q915" t="n">
        <v>125.1674866031272</v>
      </c>
    </row>
    <row r="916">
      <c r="A916" s="117" t="n">
        <v>45763</v>
      </c>
      <c r="B916" s="118" t="n">
        <v>52.90693532262429</v>
      </c>
      <c r="C916" s="118" t="n">
        <v>53.32268820689207</v>
      </c>
      <c r="D916" s="118" t="n">
        <v>51.57265853850205</v>
      </c>
      <c r="E916" s="118" t="n">
        <v>51.77569961547852</v>
      </c>
      <c r="F916" s="119" t="n">
        <v>19094900</v>
      </c>
      <c r="G916" s="120" t="n">
        <v>-0.02334491559255891</v>
      </c>
      <c r="H916" s="121" t="n">
        <v>33.11414098198311</v>
      </c>
      <c r="I916" s="118" t="n">
        <v>67.17172111511231</v>
      </c>
      <c r="J916" s="118" t="n">
        <v>72.63141801834107</v>
      </c>
      <c r="K916" s="120" t="n">
        <v>0.785980071275804</v>
      </c>
      <c r="L916" s="120" t="n">
        <v>-0.3413970253347414</v>
      </c>
      <c r="M916" s="120" t="n">
        <v>-0.4408619598960349</v>
      </c>
      <c r="N916" t="n">
        <v>31.68106595597858</v>
      </c>
      <c r="O916" t="n">
        <v>-0.2982469624396771</v>
      </c>
      <c r="P916" t="n">
        <v>123.5486107019693</v>
      </c>
      <c r="Q916" t="n">
        <v>121.3932479140679</v>
      </c>
    </row>
    <row r="917">
      <c r="A917" s="117" t="n">
        <v>45764</v>
      </c>
      <c r="B917" s="118" t="n">
        <v>52.03675218108553</v>
      </c>
      <c r="C917" s="118" t="n">
        <v>54.16385911435237</v>
      </c>
      <c r="D917" s="118" t="n">
        <v>51.87238665453767</v>
      </c>
      <c r="E917" s="118" t="n">
        <v>53.91247177124023</v>
      </c>
      <c r="F917" s="119" t="n">
        <v>18935100</v>
      </c>
      <c r="G917" s="120" t="n">
        <v>0.0412697881753572</v>
      </c>
      <c r="H917" s="121" t="n">
        <v>34.48075456591846</v>
      </c>
      <c r="I917" s="118" t="n">
        <v>66.81524749755859</v>
      </c>
      <c r="J917" s="118" t="n">
        <v>72.53493835449218</v>
      </c>
      <c r="K917" s="120" t="n">
        <v>0.8101687046787726</v>
      </c>
      <c r="L917" s="120" t="n">
        <v>-0.314216620078646</v>
      </c>
      <c r="M917" s="120" t="n">
        <v>-0.4177864514201599</v>
      </c>
      <c r="N917" t="n">
        <v>37.41521414758184</v>
      </c>
      <c r="O917" t="n">
        <v>-0.05767630968311366</v>
      </c>
      <c r="P917" t="n">
        <v>123.724894186994</v>
      </c>
      <c r="Q917" t="n">
        <v>121.371392077515</v>
      </c>
    </row>
    <row r="918">
      <c r="A918" s="117" t="n">
        <v>45768</v>
      </c>
      <c r="B918" s="118" t="n">
        <v>53.40003327791428</v>
      </c>
      <c r="C918" s="118" t="n">
        <v>54.49259339273533</v>
      </c>
      <c r="D918" s="118" t="n">
        <v>51.72735477181455</v>
      </c>
      <c r="E918" s="118" t="n">
        <v>54.26054382324219</v>
      </c>
      <c r="F918" s="119" t="n">
        <v>17280900</v>
      </c>
      <c r="G918" s="120" t="n">
        <v>0.006456243621677737</v>
      </c>
      <c r="H918" s="121" t="n">
        <v>34.70337071765531</v>
      </c>
      <c r="I918" s="118" t="n">
        <v>66.52018432617187</v>
      </c>
      <c r="J918" s="118" t="n">
        <v>72.4439628982544</v>
      </c>
      <c r="K918" s="120" t="n">
        <v>0.795821215783366</v>
      </c>
      <c r="L918" s="120" t="n">
        <v>-0.3097890355061761</v>
      </c>
      <c r="M918" s="120" t="n">
        <v>-0.414027538910687</v>
      </c>
      <c r="N918" t="n">
        <v>38.32333641435268</v>
      </c>
      <c r="O918" t="n">
        <v>0.158221688716921</v>
      </c>
      <c r="P918" t="n">
        <v>120.7799140403432</v>
      </c>
      <c r="Q918" t="n">
        <v>118.3678380080631</v>
      </c>
    </row>
    <row r="919">
      <c r="A919" s="117" t="n">
        <v>45769</v>
      </c>
      <c r="B919" s="118" t="n">
        <v>54.77298796403282</v>
      </c>
      <c r="C919" s="118" t="n">
        <v>56.16527437752787</v>
      </c>
      <c r="D919" s="118" t="n">
        <v>54.37657285189377</v>
      </c>
      <c r="E919" s="118" t="n">
        <v>55.16940307617188</v>
      </c>
      <c r="F919" s="119" t="n">
        <v>16852200</v>
      </c>
      <c r="G919" s="120" t="n">
        <v>0.01674991050385266</v>
      </c>
      <c r="H919" s="121" t="n">
        <v>35.28464907135805</v>
      </c>
      <c r="I919" s="118" t="n">
        <v>66.30217254638671</v>
      </c>
      <c r="J919" s="118" t="n">
        <v>72.3613431930542</v>
      </c>
      <c r="K919" s="120" t="n">
        <v>0.8007703837464348</v>
      </c>
      <c r="L919" s="120" t="n">
        <v>-0.2982280636221268</v>
      </c>
      <c r="M919" s="120" t="n">
        <v>-0.4042125526297187</v>
      </c>
      <c r="N919" t="n">
        <v>40.74124693836952</v>
      </c>
      <c r="O919" t="n">
        <v>0.3827651253528819</v>
      </c>
      <c r="P919" t="n">
        <v>123.9223293626629</v>
      </c>
      <c r="Q919" t="n">
        <v>121.4752345684998</v>
      </c>
    </row>
    <row r="920">
      <c r="A920" s="117" t="n">
        <v>45770</v>
      </c>
      <c r="B920" s="118" t="n">
        <v>57.04511991270665</v>
      </c>
      <c r="C920" s="118" t="n">
        <v>57.23849393820689</v>
      </c>
      <c r="D920" s="118" t="n">
        <v>54.82132784021084</v>
      </c>
      <c r="E920" s="118" t="n">
        <v>55.48846435546875</v>
      </c>
      <c r="F920" s="119" t="n">
        <v>21660300</v>
      </c>
      <c r="G920" s="120" t="n">
        <v>0.00578330127763671</v>
      </c>
      <c r="H920" s="121" t="n">
        <v>35.4887108274134</v>
      </c>
      <c r="I920" s="118" t="n">
        <v>66.04705978393555</v>
      </c>
      <c r="J920" s="118" t="n">
        <v>72.27941360473633</v>
      </c>
      <c r="K920" s="120" t="n">
        <v>0.8017345966691473</v>
      </c>
      <c r="L920" s="120" t="n">
        <v>-0.2941695050858631</v>
      </c>
      <c r="M920" s="120" t="n">
        <v>-0.4007669343241422</v>
      </c>
      <c r="N920" t="n">
        <v>41.60670197623024</v>
      </c>
      <c r="O920" t="n">
        <v>0.5624444892485201</v>
      </c>
      <c r="P920" t="n">
        <v>125.8425508298832</v>
      </c>
      <c r="Q920" t="n">
        <v>124.2300767689404</v>
      </c>
    </row>
    <row r="921">
      <c r="A921" s="117" t="n">
        <v>45771</v>
      </c>
      <c r="B921" s="118" t="n">
        <v>55.89455577499363</v>
      </c>
      <c r="C921" s="118" t="n">
        <v>56.75506640192121</v>
      </c>
      <c r="D921" s="118" t="n">
        <v>55.2370862354371</v>
      </c>
      <c r="E921" s="118" t="n">
        <v>56.54235458374023</v>
      </c>
      <c r="F921" s="119" t="n">
        <v>14508500</v>
      </c>
      <c r="G921" s="120" t="n">
        <v>0.01899296079848378</v>
      </c>
      <c r="H921" s="121" t="n">
        <v>36.16274652094719</v>
      </c>
      <c r="I921" s="118" t="n">
        <v>65.80532905578613</v>
      </c>
      <c r="J921" s="118" t="n">
        <v>72.214092502594</v>
      </c>
      <c r="K921" s="120" t="n">
        <v>0.8062530389894131</v>
      </c>
      <c r="L921" s="120" t="n">
        <v>-0.2807636941655843</v>
      </c>
      <c r="M921" s="120" t="n">
        <v>-0.3893857241986054</v>
      </c>
      <c r="N921" t="n">
        <v>44.49050275280421</v>
      </c>
      <c r="O921" t="n">
        <v>0.7501979744178868</v>
      </c>
      <c r="P921" t="n">
        <v>128.4914291283795</v>
      </c>
      <c r="Q921" t="n">
        <v>127.7255591549399</v>
      </c>
    </row>
    <row r="922">
      <c r="A922" s="117" t="n">
        <v>45772</v>
      </c>
      <c r="B922" s="118" t="n">
        <v>56.28129346836015</v>
      </c>
      <c r="C922" s="118" t="n">
        <v>56.31996901038396</v>
      </c>
      <c r="D922" s="118" t="n">
        <v>54.73430867043463</v>
      </c>
      <c r="E922" s="118" t="n">
        <v>55.71084213256836</v>
      </c>
      <c r="F922" s="119" t="n">
        <v>17156000</v>
      </c>
      <c r="G922" s="120" t="n">
        <v>-0.01470601034027319</v>
      </c>
      <c r="H922" s="121" t="n">
        <v>35.63093679667747</v>
      </c>
      <c r="I922" s="118" t="n">
        <v>65.52926727294921</v>
      </c>
      <c r="J922" s="118" t="n">
        <v>72.1474248123169</v>
      </c>
      <c r="K922" s="120" t="n">
        <v>0.8067501903900524</v>
      </c>
      <c r="L922" s="120" t="n">
        <v>-0.2913407907162852</v>
      </c>
      <c r="M922" s="120" t="n">
        <v>-0.3983654240524591</v>
      </c>
      <c r="N922" t="n">
        <v>42.69876032195994</v>
      </c>
      <c r="O922" t="n">
        <v>0.8111379671486247</v>
      </c>
      <c r="P922" t="n">
        <v>129.4197905051596</v>
      </c>
      <c r="Q922" t="n">
        <v>129.1494354440253</v>
      </c>
    </row>
    <row r="923">
      <c r="A923" s="117" t="n">
        <v>45775</v>
      </c>
      <c r="B923" s="118" t="n">
        <v>55.81720353480619</v>
      </c>
      <c r="C923" s="118" t="n">
        <v>56.15560902844091</v>
      </c>
      <c r="D923" s="118" t="n">
        <v>54.91801737972143</v>
      </c>
      <c r="E923" s="118" t="n">
        <v>55.4111213684082</v>
      </c>
      <c r="F923" s="119" t="n">
        <v>13321200</v>
      </c>
      <c r="G923" s="120" t="n">
        <v>-0.005379935981706163</v>
      </c>
      <c r="H923" s="121" t="n">
        <v>35.43924463774312</v>
      </c>
      <c r="I923" s="118" t="n">
        <v>65.2289331817627</v>
      </c>
      <c r="J923" s="118" t="n">
        <v>72.07887731552124</v>
      </c>
      <c r="K923" s="120" t="n">
        <v>0.7974144082296396</v>
      </c>
      <c r="L923" s="120" t="n">
        <v>-0.2951533318950781</v>
      </c>
      <c r="M923" s="120" t="n">
        <v>-0.4016021795554378</v>
      </c>
      <c r="N923" t="n">
        <v>42.04152710369199</v>
      </c>
      <c r="O923" t="n">
        <v>0.8214881000861967</v>
      </c>
      <c r="P923" t="n">
        <v>129.4691492990768</v>
      </c>
      <c r="Q923" t="n">
        <v>129.1084337268529</v>
      </c>
    </row>
    <row r="924">
      <c r="A924" s="117" t="n">
        <v>45776</v>
      </c>
      <c r="B924" s="118" t="n">
        <v>55.11139035171986</v>
      </c>
      <c r="C924" s="118" t="n">
        <v>55.82687318264813</v>
      </c>
      <c r="D924" s="118" t="n">
        <v>54.86000668524954</v>
      </c>
      <c r="E924" s="118" t="n">
        <v>55.63349914550781</v>
      </c>
      <c r="F924" s="119" t="n">
        <v>12968000</v>
      </c>
      <c r="G924" s="120" t="n">
        <v>0.004013233654325488</v>
      </c>
      <c r="H924" s="121" t="n">
        <v>35.58147060700719</v>
      </c>
      <c r="I924" s="118" t="n">
        <v>64.93631736755371</v>
      </c>
      <c r="J924" s="118" t="n">
        <v>72.00739210128785</v>
      </c>
      <c r="K924" s="120" t="n">
        <v>0.7975354267280825</v>
      </c>
      <c r="L924" s="120" t="n">
        <v>-0.2923246175255002</v>
      </c>
      <c r="M924" s="120" t="n">
        <v>-0.3992006692837546</v>
      </c>
      <c r="N924" t="n">
        <v>42.74568763569555</v>
      </c>
      <c r="O924" t="n">
        <v>0.8310336895582493</v>
      </c>
      <c r="P924" t="n">
        <v>130.2847259044923</v>
      </c>
      <c r="Q924" t="n">
        <v>129.961121780805</v>
      </c>
    </row>
    <row r="925">
      <c r="A925" s="117" t="n">
        <v>45777</v>
      </c>
      <c r="B925" s="118" t="n">
        <v>54.00916408520813</v>
      </c>
      <c r="C925" s="118" t="n">
        <v>54.71497619813286</v>
      </c>
      <c r="D925" s="118" t="n">
        <v>52.93594166408182</v>
      </c>
      <c r="E925" s="118" t="n">
        <v>54.53127288818359</v>
      </c>
      <c r="F925" s="119" t="n">
        <v>17205900</v>
      </c>
      <c r="G925" s="120" t="n">
        <v>-0.01981227631289872</v>
      </c>
      <c r="H925" s="121" t="n">
        <v>34.87652067972188</v>
      </c>
      <c r="I925" s="118" t="n">
        <v>64.53411521911622</v>
      </c>
      <c r="J925" s="118" t="n">
        <v>71.93025281906128</v>
      </c>
      <c r="K925" s="120" t="n">
        <v>0.7943126232133321</v>
      </c>
      <c r="L925" s="120" t="n">
        <v>-0.3063452777429213</v>
      </c>
      <c r="M925" s="120" t="n">
        <v>-0.4111038716325096</v>
      </c>
      <c r="N925" t="n">
        <v>40.14240014050733</v>
      </c>
      <c r="O925" t="n">
        <v>0.7531473823595229</v>
      </c>
      <c r="P925" t="n">
        <v>130.3364268044575</v>
      </c>
      <c r="Q925" t="n">
        <v>129.9447278059012</v>
      </c>
    </row>
    <row r="926">
      <c r="A926" s="117" t="n">
        <v>45778</v>
      </c>
      <c r="B926" s="118" t="n">
        <v>54.8019937231122</v>
      </c>
      <c r="C926" s="118" t="n">
        <v>55.31443178980064</v>
      </c>
      <c r="D926" s="118" t="n">
        <v>54.39590787365299</v>
      </c>
      <c r="E926" s="118" t="n">
        <v>54.87934112548828</v>
      </c>
      <c r="F926" s="119" t="n">
        <v>10527000</v>
      </c>
      <c r="G926" s="120" t="n">
        <v>0.006382910555167154</v>
      </c>
      <c r="H926" s="121" t="n">
        <v>35.09913439169598</v>
      </c>
      <c r="I926" s="118" t="n">
        <v>64.15445869445801</v>
      </c>
      <c r="J926" s="118" t="n">
        <v>71.86490655899048</v>
      </c>
      <c r="K926" s="120" t="n">
        <v>0.7948798589912819</v>
      </c>
      <c r="L926" s="120" t="n">
        <v>-0.3019177416945851</v>
      </c>
      <c r="M926" s="120" t="n">
        <v>-0.4073450003188557</v>
      </c>
      <c r="N926" t="n">
        <v>41.35697561982228</v>
      </c>
      <c r="O926" t="n">
        <v>0.7153812163536326</v>
      </c>
      <c r="P926" t="n">
        <v>131.2601039691417</v>
      </c>
      <c r="Q926" t="n">
        <v>131.6418985363971</v>
      </c>
    </row>
    <row r="927">
      <c r="A927" s="117" t="n">
        <v>45779</v>
      </c>
      <c r="B927" s="118" t="n">
        <v>55.95256328372849</v>
      </c>
      <c r="C927" s="118" t="n">
        <v>56.75506424856107</v>
      </c>
      <c r="D927" s="118" t="n">
        <v>55.41112040461542</v>
      </c>
      <c r="E927" s="118" t="n">
        <v>56.64870834350586</v>
      </c>
      <c r="F927" s="119" t="n">
        <v>14723900</v>
      </c>
      <c r="G927" s="120" t="n">
        <v>0.03224104338227574</v>
      </c>
      <c r="H927" s="121" t="n">
        <v>36.23076710629898</v>
      </c>
      <c r="I927" s="118" t="n">
        <v>63.8015315246582</v>
      </c>
      <c r="J927" s="118" t="n">
        <v>71.80126068115234</v>
      </c>
      <c r="K927" s="120" t="n">
        <v>0.6116728692568026</v>
      </c>
      <c r="L927" s="120" t="n">
        <v>-0.2794108413201631</v>
      </c>
      <c r="M927" s="120" t="n">
        <v>-0.3882371847634133</v>
      </c>
      <c r="N927" t="n">
        <v>47.21989261783662</v>
      </c>
      <c r="O927" t="n">
        <v>0.7938148244554943</v>
      </c>
      <c r="P927" t="n">
        <v>133.2085616341201</v>
      </c>
      <c r="Q927" t="n">
        <v>133.5959781233562</v>
      </c>
    </row>
    <row r="928">
      <c r="A928" s="117" t="n">
        <v>45782</v>
      </c>
      <c r="B928" s="118" t="n">
        <v>56.19427858412659</v>
      </c>
      <c r="C928" s="118" t="n">
        <v>56.40699038922362</v>
      </c>
      <c r="D928" s="118" t="n">
        <v>55.39178132651094</v>
      </c>
      <c r="E928" s="118" t="n">
        <v>55.44979095458984</v>
      </c>
      <c r="F928" s="119" t="n">
        <v>15971000</v>
      </c>
      <c r="G928" s="120" t="n">
        <v>-0.0211640728266218</v>
      </c>
      <c r="H928" s="121" t="n">
        <v>35.4639765126969</v>
      </c>
      <c r="I928" s="118" t="n">
        <v>63.43867126464843</v>
      </c>
      <c r="J928" s="118" t="n">
        <v>71.73038146972657</v>
      </c>
      <c r="K928" s="120" t="n">
        <v>0.6090171293649224</v>
      </c>
      <c r="L928" s="120" t="n">
        <v>-0.2946614427525373</v>
      </c>
      <c r="M928" s="120" t="n">
        <v>-0.4011845775376995</v>
      </c>
      <c r="N928" t="n">
        <v>44.00921311628998</v>
      </c>
      <c r="O928" t="n">
        <v>0.7497303267446846</v>
      </c>
      <c r="P928" t="n">
        <v>132.4447150231549</v>
      </c>
      <c r="Q928" t="n">
        <v>132.8034124973266</v>
      </c>
    </row>
    <row r="929">
      <c r="A929" s="117" t="n">
        <v>45783</v>
      </c>
      <c r="B929" s="118" t="n">
        <v>55.25642228149835</v>
      </c>
      <c r="C929" s="118" t="n">
        <v>55.80753589473718</v>
      </c>
      <c r="D929" s="118" t="n">
        <v>54.90834974928371</v>
      </c>
      <c r="E929" s="118" t="n">
        <v>55.15006637573242</v>
      </c>
      <c r="F929" s="119" t="n">
        <v>11440300</v>
      </c>
      <c r="G929" s="120" t="n">
        <v>-0.005405332891207482</v>
      </c>
      <c r="H929" s="121" t="n">
        <v>35.27228191399981</v>
      </c>
      <c r="I929" s="118" t="n">
        <v>62.99708961486817</v>
      </c>
      <c r="J929" s="118" t="n">
        <v>71.66129106521606</v>
      </c>
      <c r="K929" s="120" t="n">
        <v>0.5996413506520142</v>
      </c>
      <c r="L929" s="120" t="n">
        <v>-0.2984740324554638</v>
      </c>
      <c r="M929" s="120" t="n">
        <v>-0.4044213742364973</v>
      </c>
      <c r="N929" t="n">
        <v>43.21806989631924</v>
      </c>
      <c r="O929" t="n">
        <v>0.6868404334868918</v>
      </c>
      <c r="P929" t="n">
        <v>131.337669866332</v>
      </c>
      <c r="Q929" t="n">
        <v>131.5681172593736</v>
      </c>
    </row>
    <row r="930">
      <c r="A930" s="117" t="n">
        <v>45784</v>
      </c>
      <c r="B930" s="118" t="n">
        <v>55.95255786780947</v>
      </c>
      <c r="C930" s="118" t="n">
        <v>56.86141464972461</v>
      </c>
      <c r="D930" s="118" t="n">
        <v>55.65283164254182</v>
      </c>
      <c r="E930" s="118" t="n">
        <v>56.67770767211914</v>
      </c>
      <c r="F930" s="119" t="n">
        <v>11883500</v>
      </c>
      <c r="G930" s="120" t="n">
        <v>0.02769971818309402</v>
      </c>
      <c r="H930" s="121" t="n">
        <v>36.24931418269225</v>
      </c>
      <c r="I930" s="118" t="n">
        <v>62.55835510253906</v>
      </c>
      <c r="J930" s="118" t="n">
        <v>71.59831424713134</v>
      </c>
      <c r="K930" s="120" t="n">
        <v>0.5826222015466032</v>
      </c>
      <c r="L930" s="120" t="n">
        <v>-0.2790419608563578</v>
      </c>
      <c r="M930" s="120" t="n">
        <v>-0.3879240141469739</v>
      </c>
      <c r="N930" t="n">
        <v>48.31768266897221</v>
      </c>
      <c r="O930" t="n">
        <v>0.7305132475632541</v>
      </c>
      <c r="P930" t="n">
        <v>131.8900286653407</v>
      </c>
      <c r="Q930" t="n">
        <v>132.0846449282334</v>
      </c>
    </row>
    <row r="931">
      <c r="A931" s="117" t="n">
        <v>45785</v>
      </c>
      <c r="B931" s="118" t="n">
        <v>57.7122617059164</v>
      </c>
      <c r="C931" s="118" t="n">
        <v>58.38906901291181</v>
      </c>
      <c r="D931" s="118" t="n">
        <v>56.85175108646209</v>
      </c>
      <c r="E931" s="118" t="n">
        <v>56.95810699462891</v>
      </c>
      <c r="F931" s="119" t="n">
        <v>19009000</v>
      </c>
      <c r="G931" s="120" t="n">
        <v>0.004947259408088156</v>
      </c>
      <c r="H931" s="121" t="n">
        <v>36.42864894331932</v>
      </c>
      <c r="I931" s="118" t="n">
        <v>62.13581085205078</v>
      </c>
      <c r="J931" s="118" t="n">
        <v>71.52644847869873</v>
      </c>
      <c r="K931" s="120" t="n">
        <v>0.4201244286301585</v>
      </c>
      <c r="L931" s="120" t="n">
        <v>-0.2754751944143675</v>
      </c>
      <c r="M931" s="120" t="n">
        <v>-0.3848959154674976</v>
      </c>
      <c r="N931" t="n">
        <v>49.21918523547269</v>
      </c>
      <c r="O931" t="n">
        <v>0.7574270446071656</v>
      </c>
      <c r="P931" t="n">
        <v>132.8090070706865</v>
      </c>
      <c r="Q931" t="n">
        <v>133.4483987893962</v>
      </c>
    </row>
    <row r="932">
      <c r="A932" s="117" t="n">
        <v>45786</v>
      </c>
      <c r="B932" s="118" t="n">
        <v>57.18048079457397</v>
      </c>
      <c r="C932" s="118" t="n">
        <v>57.41253036352676</v>
      </c>
      <c r="D932" s="118" t="n">
        <v>56.29096543824428</v>
      </c>
      <c r="E932" s="118" t="n">
        <v>56.36831283569336</v>
      </c>
      <c r="F932" s="119" t="n">
        <v>13954400</v>
      </c>
      <c r="G932" s="120" t="n">
        <v>-0.01035487641805166</v>
      </c>
      <c r="H932" s="121" t="n">
        <v>36.05143478543466</v>
      </c>
      <c r="I932" s="118" t="n">
        <v>61.72359642028809</v>
      </c>
      <c r="J932" s="118" t="n">
        <v>71.45858961105347</v>
      </c>
      <c r="K932" s="120" t="n">
        <v>0.2884544786645317</v>
      </c>
      <c r="L932" s="120" t="n">
        <v>-0.2829775592380196</v>
      </c>
      <c r="M932" s="120" t="n">
        <v>-0.3912652422470705</v>
      </c>
      <c r="N932" t="n">
        <v>47.34833968910294</v>
      </c>
      <c r="O932" t="n">
        <v>0.7151657042356787</v>
      </c>
      <c r="P932" t="n">
        <v>132.6397935455332</v>
      </c>
      <c r="Q932" t="n">
        <v>133.3609418833588</v>
      </c>
    </row>
    <row r="933">
      <c r="A933" s="117" t="n">
        <v>45789</v>
      </c>
      <c r="B933" s="118" t="n">
        <v>60.31312622915907</v>
      </c>
      <c r="C933" s="118" t="n">
        <v>61.36701073809087</v>
      </c>
      <c r="D933" s="118" t="n">
        <v>59.76201268385829</v>
      </c>
      <c r="E933" s="118" t="n">
        <v>60.50650024414062</v>
      </c>
      <c r="F933" s="119" t="n">
        <v>29776600</v>
      </c>
      <c r="G933" s="120" t="n">
        <v>0.0734133629386704</v>
      </c>
      <c r="H933" s="121" t="n">
        <v>38.69809185179758</v>
      </c>
      <c r="I933" s="118" t="n">
        <v>61.4054972076416</v>
      </c>
      <c r="J933" s="118" t="n">
        <v>71.4224273109436</v>
      </c>
      <c r="K933" s="120" t="n">
        <v>0.3795015843846494</v>
      </c>
      <c r="L933" s="120" t="n">
        <v>-0.2303385305591891</v>
      </c>
      <c r="M933" s="120" t="n">
        <v>-0.3465759765427711</v>
      </c>
      <c r="N933" t="n">
        <v>59.09625816276886</v>
      </c>
      <c r="O933" t="n">
        <v>0.9318608680734075</v>
      </c>
      <c r="P933" t="n">
        <v>137.0231977603058</v>
      </c>
      <c r="Q933" t="n">
        <v>138.7941014914572</v>
      </c>
    </row>
    <row r="934">
      <c r="A934" s="117" t="n">
        <v>45790</v>
      </c>
      <c r="B934" s="118" t="n">
        <v>60.53550766239014</v>
      </c>
      <c r="C934" s="118" t="n">
        <v>60.69987318480605</v>
      </c>
      <c r="D934" s="118" t="n">
        <v>59.91671373844338</v>
      </c>
      <c r="E934" s="118" t="n">
        <v>60.32279586791992</v>
      </c>
      <c r="F934" s="119" t="n">
        <v>17003100</v>
      </c>
      <c r="G934" s="120" t="n">
        <v>-0.003036109764727235</v>
      </c>
      <c r="H934" s="121" t="n">
        <v>38.58060019725003</v>
      </c>
      <c r="I934" s="118" t="n">
        <v>61.09571319580078</v>
      </c>
      <c r="J934" s="118" t="n">
        <v>71.38382190704345</v>
      </c>
      <c r="K934" s="120" t="n">
        <v>0.3786630059660836</v>
      </c>
      <c r="L934" s="120" t="n">
        <v>-0.2326753072620926</v>
      </c>
      <c r="M934" s="120" t="n">
        <v>-0.3485598436008969</v>
      </c>
      <c r="N934" t="n">
        <v>58.47253083065793</v>
      </c>
      <c r="O934" t="n">
        <v>1.021568496983469</v>
      </c>
      <c r="P934" t="n">
        <v>137.9280798876363</v>
      </c>
      <c r="Q934" t="n">
        <v>140.9094192614773</v>
      </c>
    </row>
    <row r="935">
      <c r="A935" s="117" t="n">
        <v>45791</v>
      </c>
      <c r="B935" s="118" t="n">
        <v>59.99405881524559</v>
      </c>
      <c r="C935" s="118" t="n">
        <v>60.78688896068716</v>
      </c>
      <c r="D935" s="118" t="n">
        <v>59.48162080834625</v>
      </c>
      <c r="E935" s="118" t="n">
        <v>59.68466186523438</v>
      </c>
      <c r="F935" s="119" t="n">
        <v>13736300</v>
      </c>
      <c r="G935" s="120" t="n">
        <v>-0.01057865427993054</v>
      </c>
      <c r="H935" s="121" t="n">
        <v>38.1724693658511</v>
      </c>
      <c r="I935" s="118" t="n">
        <v>60.79424407958984</v>
      </c>
      <c r="J935" s="118" t="n">
        <v>71.33654689788818</v>
      </c>
      <c r="K935" s="120" t="n">
        <v>0.378728228505035</v>
      </c>
      <c r="L935" s="120" t="n">
        <v>-0.2407925699070208</v>
      </c>
      <c r="M935" s="120" t="n">
        <v>-0.3554512037995069</v>
      </c>
      <c r="N935" t="n">
        <v>56.25154240618112</v>
      </c>
      <c r="O935" t="n">
        <v>0.9956511786387459</v>
      </c>
      <c r="P935" t="n">
        <v>138.104363372661</v>
      </c>
      <c r="Q935" t="n">
        <v>141.753901938021</v>
      </c>
    </row>
    <row r="936">
      <c r="A936" s="117" t="n">
        <v>45792</v>
      </c>
      <c r="B936" s="118" t="n">
        <v>58.63078286675255</v>
      </c>
      <c r="C936" s="118" t="n">
        <v>60.60319137483506</v>
      </c>
      <c r="D936" s="118" t="n">
        <v>58.4180710604977</v>
      </c>
      <c r="E936" s="118" t="n">
        <v>60.33246994018555</v>
      </c>
      <c r="F936" s="119" t="n">
        <v>14371100</v>
      </c>
      <c r="G936" s="120" t="n">
        <v>0.01085384510368681</v>
      </c>
      <c r="H936" s="121" t="n">
        <v>38.58678743557328</v>
      </c>
      <c r="I936" s="118" t="n">
        <v>60.4962557220459</v>
      </c>
      <c r="J936" s="118" t="n">
        <v>71.28779420852661</v>
      </c>
      <c r="K936" s="120" t="n">
        <v>0.362438534288462</v>
      </c>
      <c r="L936" s="120" t="n">
        <v>-0.2325522500592235</v>
      </c>
      <c r="M936" s="120" t="n">
        <v>-0.348455371003779</v>
      </c>
      <c r="N936" t="n">
        <v>57.99578323706259</v>
      </c>
      <c r="O936" t="n">
        <v>0.9784175408001267</v>
      </c>
      <c r="P936" t="n">
        <v>138.7789044617112</v>
      </c>
      <c r="Q936" t="n">
        <v>141.9096866493893</v>
      </c>
    </row>
    <row r="937">
      <c r="A937" s="117" t="n">
        <v>45793</v>
      </c>
      <c r="B937" s="118" t="n">
        <v>60.42915464713658</v>
      </c>
      <c r="C937" s="118" t="n">
        <v>61.63773774007931</v>
      </c>
      <c r="D937" s="118" t="n">
        <v>60.42915464713658</v>
      </c>
      <c r="E937" s="118" t="n">
        <v>61.01894378662109</v>
      </c>
      <c r="F937" s="119" t="n">
        <v>12950600</v>
      </c>
      <c r="G937" s="120" t="n">
        <v>0.01137818238033561</v>
      </c>
      <c r="H937" s="121" t="n">
        <v>39.02583494048648</v>
      </c>
      <c r="I937" s="118" t="n">
        <v>60.21393074035645</v>
      </c>
      <c r="J937" s="118" t="n">
        <v>71.23880540847779</v>
      </c>
      <c r="K937" s="120" t="n">
        <v>0.3408445946138577</v>
      </c>
      <c r="L937" s="120" t="n">
        <v>-0.2238200895930191</v>
      </c>
      <c r="M937" s="120" t="n">
        <v>-0.3410419773861318</v>
      </c>
      <c r="N937" t="n">
        <v>59.82377869529744</v>
      </c>
      <c r="O937" t="n">
        <v>0.9677676291614631</v>
      </c>
      <c r="P937" t="n">
        <v>139.6579361390592</v>
      </c>
      <c r="Q937" t="n">
        <v>142.5273552432569</v>
      </c>
    </row>
    <row r="938">
      <c r="A938" s="117" t="n">
        <v>45796</v>
      </c>
      <c r="B938" s="118" t="n">
        <v>60.09075164583956</v>
      </c>
      <c r="C938" s="118" t="n">
        <v>60.36147307294783</v>
      </c>
      <c r="D938" s="118" t="n">
        <v>59.71367063026371</v>
      </c>
      <c r="E938" s="118" t="n">
        <v>60.0230712890625</v>
      </c>
      <c r="F938" s="119" t="n">
        <v>15105300</v>
      </c>
      <c r="G938" s="120" t="n">
        <v>-0.01632071018864389</v>
      </c>
      <c r="H938" s="121" t="n">
        <v>38.38890559855294</v>
      </c>
      <c r="I938" s="118" t="n">
        <v>59.89467140197754</v>
      </c>
      <c r="J938" s="118" t="n">
        <v>71.18226446151733</v>
      </c>
      <c r="K938" s="120" t="n">
        <v>0.3502743863037179</v>
      </c>
      <c r="L938" s="120" t="n">
        <v>-0.2364878969650192</v>
      </c>
      <c r="M938" s="120" t="n">
        <v>-0.3517966402996946</v>
      </c>
      <c r="N938" t="n">
        <v>56.0152853560401</v>
      </c>
      <c r="O938" t="n">
        <v>0.8522334039311817</v>
      </c>
      <c r="P938" t="n">
        <v>139.8107112801493</v>
      </c>
      <c r="Q938" t="n">
        <v>142.6640108539187</v>
      </c>
    </row>
    <row r="939">
      <c r="A939" s="117" t="n">
        <v>45797</v>
      </c>
      <c r="B939" s="118" t="n">
        <v>60.42915785376697</v>
      </c>
      <c r="C939" s="118" t="n">
        <v>61.09629442868344</v>
      </c>
      <c r="D939" s="118" t="n">
        <v>60.21644603786472</v>
      </c>
      <c r="E939" s="118" t="n">
        <v>60.4871711730957</v>
      </c>
      <c r="F939" s="119" t="n">
        <v>10771800</v>
      </c>
      <c r="G939" s="120" t="n">
        <v>0.007732024937513904</v>
      </c>
      <c r="H939" s="121" t="n">
        <v>38.68572957396482</v>
      </c>
      <c r="I939" s="118" t="n">
        <v>59.6270426940918</v>
      </c>
      <c r="J939" s="118" t="n">
        <v>71.1328560256958</v>
      </c>
      <c r="K939" s="120" t="n">
        <v>0.3478135180473872</v>
      </c>
      <c r="L939" s="120" t="n">
        <v>-0.2305844023442589</v>
      </c>
      <c r="M939" s="120" t="n">
        <v>-0.3467847157579116</v>
      </c>
      <c r="N939" t="n">
        <v>57.37709015110483</v>
      </c>
      <c r="O939" t="n">
        <v>0.7682458322011612</v>
      </c>
      <c r="P939" t="n">
        <v>139.3406316849118</v>
      </c>
      <c r="Q939" t="n">
        <v>142.1884681223183</v>
      </c>
    </row>
    <row r="940">
      <c r="A940" s="117" t="n">
        <v>45798</v>
      </c>
      <c r="B940" s="118" t="n">
        <v>59.14321882310345</v>
      </c>
      <c r="C940" s="118" t="n">
        <v>59.71367017465973</v>
      </c>
      <c r="D940" s="118" t="n">
        <v>57.8959639089404</v>
      </c>
      <c r="E940" s="118" t="n">
        <v>57.99264907836914</v>
      </c>
      <c r="F940" s="119" t="n">
        <v>17354700</v>
      </c>
      <c r="G940" s="120" t="n">
        <v>-0.04124051507695747</v>
      </c>
      <c r="H940" s="121" t="n">
        <v>37.09031016020663</v>
      </c>
      <c r="I940" s="118" t="n">
        <v>59.35264595031738</v>
      </c>
      <c r="J940" s="118" t="n">
        <v>71.07021265029907</v>
      </c>
      <c r="K940" s="120" t="n">
        <v>0.3842547611415306</v>
      </c>
      <c r="L940" s="120" t="n">
        <v>-0.2573168754950632</v>
      </c>
      <c r="M940" s="120" t="n">
        <v>-0.3737236505361965</v>
      </c>
      <c r="N940" t="n">
        <v>48.65703384329699</v>
      </c>
      <c r="O940" t="n">
        <v>0.5178705285620548</v>
      </c>
      <c r="P940" t="n">
        <v>136.9926340037422</v>
      </c>
      <c r="Q940" t="n">
        <v>140.2124991389805</v>
      </c>
    </row>
    <row r="941">
      <c r="A941" s="117" t="n">
        <v>45799</v>
      </c>
      <c r="B941" s="118" t="n">
        <v>58.57277086735591</v>
      </c>
      <c r="C941" s="118" t="n">
        <v>59.57830916462297</v>
      </c>
      <c r="D941" s="118" t="n">
        <v>58.16668504351691</v>
      </c>
      <c r="E941" s="118" t="n">
        <v>59.28824996948242</v>
      </c>
      <c r="F941" s="119" t="n">
        <v>16764500</v>
      </c>
      <c r="G941" s="120" t="n">
        <v>0.02234077786932009</v>
      </c>
      <c r="H941" s="121" t="n">
        <v>37.91893654059999</v>
      </c>
      <c r="I941" s="118" t="n">
        <v>59.11557006835938</v>
      </c>
      <c r="J941" s="118" t="n">
        <v>71.02638687133789</v>
      </c>
      <c r="K941" s="120" t="n">
        <v>0.3863406910113925</v>
      </c>
      <c r="L941" s="120" t="n">
        <v>-0.2298130209966582</v>
      </c>
      <c r="M941" s="120" t="n">
        <v>-0.3597321497280169</v>
      </c>
      <c r="N941" t="n">
        <v>52.67955345819813</v>
      </c>
      <c r="O941" t="n">
        <v>0.4170281680195999</v>
      </c>
      <c r="P941" t="n">
        <v>137.0467206514829</v>
      </c>
      <c r="Q941" t="n">
        <v>140.4748698570928</v>
      </c>
    </row>
    <row r="942">
      <c r="A942" s="117" t="n">
        <v>45800</v>
      </c>
      <c r="B942" s="118" t="n">
        <v>57.87663160994732</v>
      </c>
      <c r="C942" s="118" t="n">
        <v>58.37940265278269</v>
      </c>
      <c r="D942" s="118" t="n">
        <v>57.51889202327138</v>
      </c>
      <c r="E942" s="118" t="n">
        <v>58.03133010864258</v>
      </c>
      <c r="F942" s="119" t="n">
        <v>14282400</v>
      </c>
      <c r="G942" s="120" t="n">
        <v>-0.02120015115114415</v>
      </c>
      <c r="H942" s="121" t="n">
        <v>37.11504935444862</v>
      </c>
      <c r="I942" s="118" t="n">
        <v>58.87153312683105</v>
      </c>
      <c r="J942" s="118" t="n">
        <v>70.97113103866577</v>
      </c>
      <c r="K942" s="120" t="n">
        <v>0.3908713312171433</v>
      </c>
      <c r="L942" s="120" t="n">
        <v>-0.2405415438599923</v>
      </c>
      <c r="M942" s="120" t="n">
        <v>-0.3733059249310011</v>
      </c>
      <c r="N942" t="n">
        <v>48.69378739669168</v>
      </c>
      <c r="O942" t="n">
        <v>0.251350079662559</v>
      </c>
      <c r="P942" t="n">
        <v>136.1112456731038</v>
      </c>
      <c r="Q942" t="n">
        <v>139.1739735496553</v>
      </c>
    </row>
    <row r="943">
      <c r="A943" s="117" t="n">
        <v>45804</v>
      </c>
      <c r="B943" s="118" t="n">
        <v>59.10454860709228</v>
      </c>
      <c r="C943" s="118" t="n">
        <v>60.75788939296401</v>
      </c>
      <c r="D943" s="118" t="n">
        <v>58.82415644435064</v>
      </c>
      <c r="E943" s="118" t="n">
        <v>60.74822235107422</v>
      </c>
      <c r="F943" s="119" t="n">
        <v>16642100</v>
      </c>
      <c r="G943" s="120" t="n">
        <v>0.04681767999019226</v>
      </c>
      <c r="H943" s="121" t="n">
        <v>38.85268985794539</v>
      </c>
      <c r="I943" s="118" t="n">
        <v>58.70078437805176</v>
      </c>
      <c r="J943" s="118" t="n">
        <v>70.92888792037964</v>
      </c>
      <c r="K943" s="120" t="n">
        <v>0.4200490895032483</v>
      </c>
      <c r="L943" s="120" t="n">
        <v>-0.2005344167993186</v>
      </c>
      <c r="M943" s="120" t="n">
        <v>-0.3439655622726712</v>
      </c>
      <c r="N943" t="n">
        <v>56.3768782619558</v>
      </c>
      <c r="O943" t="n">
        <v>0.3067458595565379</v>
      </c>
      <c r="P943" t="n">
        <v>138.9410916687207</v>
      </c>
      <c r="Q943" t="n">
        <v>142.448086934715</v>
      </c>
    </row>
    <row r="944">
      <c r="A944" s="117" t="n">
        <v>45805</v>
      </c>
      <c r="B944" s="118" t="n">
        <v>60.66120395272073</v>
      </c>
      <c r="C944" s="118" t="n">
        <v>61.01894351390812</v>
      </c>
      <c r="D944" s="118" t="n">
        <v>59.52030122301762</v>
      </c>
      <c r="E944" s="118" t="n">
        <v>59.73300933837891</v>
      </c>
      <c r="F944" s="119" t="n">
        <v>10015600</v>
      </c>
      <c r="G944" s="120" t="n">
        <v>-0.0167118143281334</v>
      </c>
      <c r="H944" s="121" t="n">
        <v>38.20339091889085</v>
      </c>
      <c r="I944" s="118" t="n">
        <v>58.47028327941894</v>
      </c>
      <c r="J944" s="118" t="n">
        <v>70.87408880233765</v>
      </c>
      <c r="K944" s="120" t="n">
        <v>0.4270365754521024</v>
      </c>
      <c r="L944" s="120" t="n">
        <v>-0.2138949371875013</v>
      </c>
      <c r="M944" s="120" t="n">
        <v>-0.3549290879888316</v>
      </c>
      <c r="N944" t="n">
        <v>53.17264779532787</v>
      </c>
      <c r="O944" t="n">
        <v>0.2589291444724172</v>
      </c>
      <c r="P944" t="n">
        <v>138.13725468803</v>
      </c>
      <c r="Q944" t="n">
        <v>141.8167427118335</v>
      </c>
    </row>
    <row r="945">
      <c r="A945" s="117" t="n">
        <v>45806</v>
      </c>
      <c r="B945" s="118" t="n">
        <v>60.41948672066727</v>
      </c>
      <c r="C945" s="118" t="n">
        <v>60.8159018218166</v>
      </c>
      <c r="D945" s="118" t="n">
        <v>59.10454774466864</v>
      </c>
      <c r="E945" s="118" t="n">
        <v>59.40427398681641</v>
      </c>
      <c r="F945" s="119" t="n">
        <v>12218000</v>
      </c>
      <c r="G945" s="120" t="n">
        <v>-0.005503411852235018</v>
      </c>
      <c r="H945" s="121" t="n">
        <v>37.99314192451227</v>
      </c>
      <c r="I945" s="118" t="n">
        <v>58.24074913024902</v>
      </c>
      <c r="J945" s="118" t="n">
        <v>70.8169313621521</v>
      </c>
      <c r="K945" s="120" t="n">
        <v>0.4194521141697105</v>
      </c>
      <c r="L945" s="120" t="n">
        <v>-0.2182211971072855</v>
      </c>
      <c r="M945" s="120" t="n">
        <v>-0.3584791788915259</v>
      </c>
      <c r="N945" t="n">
        <v>52.13926426122383</v>
      </c>
      <c r="O945" t="n">
        <v>0.1921467170127008</v>
      </c>
      <c r="P945" t="n">
        <v>138.6825435271673</v>
      </c>
      <c r="Q945" t="n">
        <v>142.0955409646754</v>
      </c>
    </row>
    <row r="946">
      <c r="A946" s="117" t="n">
        <v>45807</v>
      </c>
      <c r="B946" s="118" t="n">
        <v>58.97885068630238</v>
      </c>
      <c r="C946" s="118" t="n">
        <v>59.09487362214086</v>
      </c>
      <c r="D946" s="118" t="n">
        <v>58.10866944675719</v>
      </c>
      <c r="E946" s="118" t="n">
        <v>58.58243560791016</v>
      </c>
      <c r="F946" s="119" t="n">
        <v>18155100</v>
      </c>
      <c r="G946" s="120" t="n">
        <v>-0.01383466750369911</v>
      </c>
      <c r="H946" s="121" t="n">
        <v>37.46751943856579</v>
      </c>
      <c r="I946" s="118" t="n">
        <v>58.00096626281739</v>
      </c>
      <c r="J946" s="118" t="n">
        <v>70.75423543930054</v>
      </c>
      <c r="K946" s="120" t="n">
        <v>0.4244313467576509</v>
      </c>
      <c r="L946" s="120" t="n">
        <v>-0.2290368469067461</v>
      </c>
      <c r="M946" s="120" t="n">
        <v>-0.3673544061482618</v>
      </c>
      <c r="N946" t="n">
        <v>49.54679560501063</v>
      </c>
      <c r="O946" t="n">
        <v>0.08507116920117419</v>
      </c>
      <c r="P946" t="n">
        <v>138.5274262800293</v>
      </c>
      <c r="Q946" t="n">
        <v>141.8714284479762</v>
      </c>
    </row>
    <row r="947">
      <c r="A947" s="117" t="n">
        <v>45810</v>
      </c>
      <c r="B947" s="118" t="n">
        <v>58.44617872999164</v>
      </c>
      <c r="C947" s="118" t="n">
        <v>59.95478045508012</v>
      </c>
      <c r="D947" s="118" t="n">
        <v>58.00819662585266</v>
      </c>
      <c r="E947" s="118" t="n">
        <v>59.92558288574219</v>
      </c>
      <c r="F947" s="119" t="n">
        <v>14065300</v>
      </c>
      <c r="G947" s="120" t="n">
        <v>0.02292747414637497</v>
      </c>
      <c r="H947" s="121" t="n">
        <v>38.32655502182231</v>
      </c>
      <c r="I947" s="118" t="n">
        <v>57.80989753723144</v>
      </c>
      <c r="J947" s="118" t="n">
        <v>70.67986497879028</v>
      </c>
      <c r="K947" s="120" t="n">
        <v>0.4173247292398844</v>
      </c>
      <c r="L947" s="120" t="n">
        <v>-0.2113606091463928</v>
      </c>
      <c r="M947" s="120" t="n">
        <v>-0.3528494406514081</v>
      </c>
      <c r="N947" t="n">
        <v>53.60678575203239</v>
      </c>
      <c r="O947" t="n">
        <v>0.09632418371987445</v>
      </c>
      <c r="P947" t="n">
        <v>139.3077549167854</v>
      </c>
      <c r="Q947" t="n">
        <v>142.9919574716462</v>
      </c>
    </row>
    <row r="948">
      <c r="A948" s="117" t="n">
        <v>45811</v>
      </c>
      <c r="B948" s="118" t="n">
        <v>59.60439506159408</v>
      </c>
      <c r="C948" s="118" t="n">
        <v>60.78207731956885</v>
      </c>
      <c r="D948" s="118" t="n">
        <v>58.84522488707983</v>
      </c>
      <c r="E948" s="118" t="n">
        <v>60.7042121887207</v>
      </c>
      <c r="F948" s="119" t="n">
        <v>10286100</v>
      </c>
      <c r="G948" s="120" t="n">
        <v>0.0129932704111213</v>
      </c>
      <c r="H948" s="121" t="n">
        <v>38.82454231514757</v>
      </c>
      <c r="I948" s="118" t="n">
        <v>57.71020370483399</v>
      </c>
      <c r="J948" s="118" t="n">
        <v>70.6092924118042</v>
      </c>
      <c r="K948" s="120" t="n">
        <v>0.4084621290182751</v>
      </c>
      <c r="L948" s="120" t="n">
        <v>-0.1782136551696498</v>
      </c>
      <c r="M948" s="120" t="n">
        <v>-0.3444408384370834</v>
      </c>
      <c r="N948" t="n">
        <v>55.825978159187</v>
      </c>
      <c r="O948" t="n">
        <v>0.1449075864488708</v>
      </c>
      <c r="P948" t="n">
        <v>140.1021507370717</v>
      </c>
      <c r="Q948" t="n">
        <v>144.1097345896005</v>
      </c>
    </row>
    <row r="949">
      <c r="A949" s="117" t="n">
        <v>45812</v>
      </c>
      <c r="B949" s="118" t="n">
        <v>60.71394552708292</v>
      </c>
      <c r="C949" s="118" t="n">
        <v>61.35631798776798</v>
      </c>
      <c r="D949" s="118" t="n">
        <v>60.6068828314998</v>
      </c>
      <c r="E949" s="118" t="n">
        <v>61.09352874755859</v>
      </c>
      <c r="F949" s="119" t="n">
        <v>10242300</v>
      </c>
      <c r="G949" s="120" t="n">
        <v>0.006413336814709902</v>
      </c>
      <c r="H949" s="121" t="n">
        <v>39.07353718169156</v>
      </c>
      <c r="I949" s="118" t="n">
        <v>57.62893157958985</v>
      </c>
      <c r="J949" s="118" t="n">
        <v>70.52170448303222</v>
      </c>
      <c r="K949" s="120" t="n">
        <v>0.406678595955883</v>
      </c>
      <c r="L949" s="120" t="n">
        <v>-0.1480768283501066</v>
      </c>
      <c r="M949" s="120" t="n">
        <v>-0.3402365167320115</v>
      </c>
      <c r="N949" t="n">
        <v>56.93520331873576</v>
      </c>
      <c r="O949" t="n">
        <v>0.1891668275201518</v>
      </c>
      <c r="P949" t="n">
        <v>140.0645606623643</v>
      </c>
      <c r="Q949" t="n">
        <v>144.5114792642644</v>
      </c>
    </row>
    <row r="950">
      <c r="A950" s="117" t="n">
        <v>45813</v>
      </c>
      <c r="B950" s="118" t="n">
        <v>61.25898981562648</v>
      </c>
      <c r="C950" s="118" t="n">
        <v>61.95976115990126</v>
      </c>
      <c r="D950" s="118" t="n">
        <v>60.56795346936323</v>
      </c>
      <c r="E950" s="118" t="n">
        <v>60.99620056152344</v>
      </c>
      <c r="F950" s="119" t="n">
        <v>12336300</v>
      </c>
      <c r="G950" s="120" t="n">
        <v>-0.001593101397650787</v>
      </c>
      <c r="H950" s="121" t="n">
        <v>39.01128907499626</v>
      </c>
      <c r="I950" s="118" t="n">
        <v>57.56214965820313</v>
      </c>
      <c r="J950" s="118" t="n">
        <v>70.43015186309815</v>
      </c>
      <c r="K950" s="120" t="n">
        <v>0.3986228617108119</v>
      </c>
      <c r="L950" s="120" t="n">
        <v>-0.1440098578823387</v>
      </c>
      <c r="M950" s="120" t="n">
        <v>-0.3412875868593247</v>
      </c>
      <c r="N950" t="n">
        <v>56.55288249559985</v>
      </c>
      <c r="O950" t="n">
        <v>0.1969079450940496</v>
      </c>
      <c r="P950" t="n">
        <v>139.3876338255385</v>
      </c>
      <c r="Q950" t="n">
        <v>143.4237549703149</v>
      </c>
    </row>
    <row r="951">
      <c r="A951" s="117" t="n">
        <v>45814</v>
      </c>
      <c r="B951" s="118" t="n">
        <v>60.99620126920625</v>
      </c>
      <c r="C951" s="118" t="n">
        <v>61.40498579571392</v>
      </c>
      <c r="D951" s="118" t="n">
        <v>60.46089146959182</v>
      </c>
      <c r="E951" s="118" t="n">
        <v>61.12273025512695</v>
      </c>
      <c r="F951" s="119" t="n">
        <v>13299600</v>
      </c>
      <c r="G951" s="120" t="n">
        <v>0.002074386477169066</v>
      </c>
      <c r="H951" s="121" t="n">
        <v>39.09221356551036</v>
      </c>
      <c r="I951" s="118" t="n">
        <v>57.5133683013916</v>
      </c>
      <c r="J951" s="118" t="n">
        <v>70.33899374008179</v>
      </c>
      <c r="K951" s="120" t="n">
        <v>0.3986600927737173</v>
      </c>
      <c r="L951" s="120" t="n">
        <v>-0.1422342035069399</v>
      </c>
      <c r="M951" s="120" t="n">
        <v>-0.3399211627371622</v>
      </c>
      <c r="N951" t="n">
        <v>56.95753545191954</v>
      </c>
      <c r="O951" t="n">
        <v>0.1951917020270535</v>
      </c>
      <c r="P951" t="n">
        <v>140.8190097546527</v>
      </c>
      <c r="Q951" t="n">
        <v>144.825750252978</v>
      </c>
    </row>
    <row r="952">
      <c r="A952" s="117" t="n">
        <v>45817</v>
      </c>
      <c r="B952" s="118" t="n">
        <v>61.60937536557721</v>
      </c>
      <c r="C952" s="118" t="n">
        <v>61.79430319929067</v>
      </c>
      <c r="D952" s="118" t="n">
        <v>60.22730267579171</v>
      </c>
      <c r="E952" s="118" t="n">
        <v>60.25650024414062</v>
      </c>
      <c r="F952" s="119" t="n">
        <v>11640000</v>
      </c>
      <c r="G952" s="120" t="n">
        <v>-0.01417197836828743</v>
      </c>
      <c r="H952" s="121" t="n">
        <v>38.53819956049147</v>
      </c>
      <c r="I952" s="118" t="n">
        <v>57.44610191345215</v>
      </c>
      <c r="J952" s="118" t="n">
        <v>70.24217042922973</v>
      </c>
      <c r="K952" s="120" t="n">
        <v>0.4006863801786931</v>
      </c>
      <c r="L952" s="120" t="n">
        <v>-0.1543904418198965</v>
      </c>
      <c r="M952" s="120" t="n">
        <v>-0.3492757857402156</v>
      </c>
      <c r="N952" t="n">
        <v>53.29774644320758</v>
      </c>
      <c r="O952" t="n">
        <v>0.1238372503760166</v>
      </c>
      <c r="P952" t="n">
        <v>140.9459344457603</v>
      </c>
      <c r="Q952" t="n">
        <v>145.0389390463789</v>
      </c>
    </row>
    <row r="953">
      <c r="A953" s="117" t="n">
        <v>45818</v>
      </c>
      <c r="B953" s="118" t="n">
        <v>60.7139474416271</v>
      </c>
      <c r="C953" s="118" t="n">
        <v>62.4464094821409</v>
      </c>
      <c r="D953" s="118" t="n">
        <v>60.58741845987403</v>
      </c>
      <c r="E953" s="118" t="n">
        <v>62.16415023803711</v>
      </c>
      <c r="F953" s="119" t="n">
        <v>15287000</v>
      </c>
      <c r="G953" s="120" t="n">
        <v>0.03165882495941985</v>
      </c>
      <c r="H953" s="121" t="n">
        <v>39.75827367462826</v>
      </c>
      <c r="I953" s="118" t="n">
        <v>57.46552528381348</v>
      </c>
      <c r="J953" s="118" t="n">
        <v>70.15278907775878</v>
      </c>
      <c r="K953" s="120" t="n">
        <v>0.3243975721537901</v>
      </c>
      <c r="L953" s="120" t="n">
        <v>-0.1276194368334601</v>
      </c>
      <c r="M953" s="120" t="n">
        <v>-0.328674621744109</v>
      </c>
      <c r="N953" t="n">
        <v>59.4735512512761</v>
      </c>
      <c r="O953" t="n">
        <v>0.1893157284428268</v>
      </c>
      <c r="P953" t="n">
        <v>141.74505811987</v>
      </c>
      <c r="Q953" t="n">
        <v>145.9982131070751</v>
      </c>
    </row>
    <row r="954">
      <c r="A954" s="117" t="n">
        <v>45819</v>
      </c>
      <c r="B954" s="118" t="n">
        <v>62.68000120465984</v>
      </c>
      <c r="C954" s="118" t="n">
        <v>63.11797959890846</v>
      </c>
      <c r="D954" s="118" t="n">
        <v>60.90861020526334</v>
      </c>
      <c r="E954" s="118" t="n">
        <v>61.42445373535156</v>
      </c>
      <c r="F954" s="119" t="n">
        <v>10238700</v>
      </c>
      <c r="G954" s="120" t="n">
        <v>-0.01189908492037817</v>
      </c>
      <c r="H954" s="121" t="n">
        <v>39.28518659988622</v>
      </c>
      <c r="I954" s="118" t="n">
        <v>57.46648071289062</v>
      </c>
      <c r="J954" s="118" t="n">
        <v>70.06252025604248</v>
      </c>
      <c r="K954" s="120" t="n">
        <v>0.3275694318548023</v>
      </c>
      <c r="L954" s="120" t="n">
        <v>-0.1334141756665292</v>
      </c>
      <c r="M954" s="120" t="n">
        <v>-0.3366627794291809</v>
      </c>
      <c r="N954" t="n">
        <v>56.36128893948554</v>
      </c>
      <c r="O954" t="n">
        <v>0.1677469883766081</v>
      </c>
      <c r="P954" t="n">
        <v>141.3407902498554</v>
      </c>
      <c r="Q954" t="n">
        <v>145.5062764005709</v>
      </c>
    </row>
    <row r="955">
      <c r="A955" s="117" t="n">
        <v>45820</v>
      </c>
      <c r="B955" s="118" t="n">
        <v>61.06433511763581</v>
      </c>
      <c r="C955" s="118" t="n">
        <v>61.24925924104765</v>
      </c>
      <c r="D955" s="118" t="n">
        <v>60.11050579338923</v>
      </c>
      <c r="E955" s="118" t="n">
        <v>61.12273025512695</v>
      </c>
      <c r="F955" s="119" t="n">
        <v>9830500</v>
      </c>
      <c r="G955" s="120" t="n">
        <v>-0.004912106854455534</v>
      </c>
      <c r="H955" s="121" t="n">
        <v>39.09221356551036</v>
      </c>
      <c r="I955" s="118" t="n">
        <v>57.43664978027343</v>
      </c>
      <c r="J955" s="118" t="n">
        <v>69.96769361495971</v>
      </c>
      <c r="K955" s="120" t="n">
        <v>0.3254993801584029</v>
      </c>
      <c r="L955" s="120" t="n">
        <v>-0.1338902836099362</v>
      </c>
      <c r="M955" s="120" t="n">
        <v>-0.3399211627371622</v>
      </c>
      <c r="N955" t="n">
        <v>55.09479498854195</v>
      </c>
      <c r="O955" t="n">
        <v>0.1203174931547619</v>
      </c>
      <c r="P955" t="n">
        <v>141.902517473056</v>
      </c>
      <c r="Q955" t="n">
        <v>145.8478650874865</v>
      </c>
    </row>
    <row r="956">
      <c r="A956" s="117" t="n">
        <v>45821</v>
      </c>
      <c r="B956" s="118" t="n">
        <v>60.10077407223385</v>
      </c>
      <c r="C956" s="118" t="n">
        <v>61.10326352857713</v>
      </c>
      <c r="D956" s="118" t="n">
        <v>58.50457597027656</v>
      </c>
      <c r="E956" s="118" t="n">
        <v>58.91335678100586</v>
      </c>
      <c r="F956" s="119" t="n">
        <v>16509700</v>
      </c>
      <c r="G956" s="120" t="n">
        <v>-0.03614651153342041</v>
      </c>
      <c r="H956" s="121" t="n">
        <v>37.6791664169977</v>
      </c>
      <c r="I956" s="118" t="n">
        <v>57.35876396179199</v>
      </c>
      <c r="J956" s="118" t="n">
        <v>69.86072429656983</v>
      </c>
      <c r="K956" s="120" t="n">
        <v>0.349263218746907</v>
      </c>
      <c r="L956" s="120" t="n">
        <v>-0.1520698264167449</v>
      </c>
      <c r="M956" s="120" t="n">
        <v>-0.3637807100412502</v>
      </c>
      <c r="N956" t="n">
        <v>46.80150692617556</v>
      </c>
      <c r="O956" t="n">
        <v>-0.06285068377637482</v>
      </c>
      <c r="P956" t="n">
        <v>140.3160388440463</v>
      </c>
      <c r="Q956" t="n">
        <v>144.0168242118704</v>
      </c>
    </row>
    <row r="957">
      <c r="A957" s="117" t="n">
        <v>45824</v>
      </c>
      <c r="B957" s="118" t="n">
        <v>59.74065672748625</v>
      </c>
      <c r="C957" s="118" t="n">
        <v>60.51928949014209</v>
      </c>
      <c r="D957" s="118" t="n">
        <v>59.60439645812321</v>
      </c>
      <c r="E957" s="118" t="n">
        <v>60.24676895141602</v>
      </c>
      <c r="F957" s="119" t="n">
        <v>13681600</v>
      </c>
      <c r="G957" s="120" t="n">
        <v>0.02263344415030955</v>
      </c>
      <c r="H957" s="121" t="n">
        <v>38.53197572572704</v>
      </c>
      <c r="I957" s="118" t="n">
        <v>57.48893043518066</v>
      </c>
      <c r="J957" s="118" t="n">
        <v>69.75561010360718</v>
      </c>
      <c r="K957" s="120" t="n">
        <v>0.3567417028816481</v>
      </c>
      <c r="L957" s="120" t="n">
        <v>-0.08284709504416687</v>
      </c>
      <c r="M957" s="120" t="n">
        <v>-0.3493808762746192</v>
      </c>
      <c r="N957" t="n">
        <v>51.54237894099641</v>
      </c>
      <c r="O957" t="n">
        <v>-0.09525970553939922</v>
      </c>
      <c r="P957" t="n">
        <v>141.651039291374</v>
      </c>
      <c r="Q957" t="n">
        <v>146.0200773335845</v>
      </c>
    </row>
    <row r="958">
      <c r="A958" s="117" t="n">
        <v>45825</v>
      </c>
      <c r="B958" s="118" t="n">
        <v>59.66279307813626</v>
      </c>
      <c r="C958" s="118" t="n">
        <v>59.66279307813626</v>
      </c>
      <c r="D958" s="118" t="n">
        <v>58.08606123045611</v>
      </c>
      <c r="E958" s="118" t="n">
        <v>58.39751434326172</v>
      </c>
      <c r="F958" s="119" t="n">
        <v>13649700</v>
      </c>
      <c r="G958" s="120" t="n">
        <v>-0.03069466861609738</v>
      </c>
      <c r="H958" s="121" t="n">
        <v>37.34924949970234</v>
      </c>
      <c r="I958" s="118" t="n">
        <v>57.54981857299805</v>
      </c>
      <c r="J958" s="118" t="n">
        <v>69.65316038131714</v>
      </c>
      <c r="K958" s="120" t="n">
        <v>0.3686996139147596</v>
      </c>
      <c r="L958" s="120" t="n">
        <v>-0.1037433684812994</v>
      </c>
      <c r="M958" s="120" t="n">
        <v>-0.3693514146726654</v>
      </c>
      <c r="N958" t="n">
        <v>45.48796159453797</v>
      </c>
      <c r="O958" t="n">
        <v>-0.2343701174391252</v>
      </c>
      <c r="P958" t="n">
        <v>140.4406214291059</v>
      </c>
      <c r="Q958" t="n">
        <v>144.596217824412</v>
      </c>
    </row>
    <row r="959">
      <c r="A959" s="117" t="n">
        <v>45826</v>
      </c>
      <c r="B959" s="118" t="n">
        <v>58.39751556856138</v>
      </c>
      <c r="C959" s="118" t="n">
        <v>58.8354976778884</v>
      </c>
      <c r="D959" s="118" t="n">
        <v>57.78434061550355</v>
      </c>
      <c r="E959" s="118" t="n">
        <v>57.92060089111328</v>
      </c>
      <c r="F959" s="119" t="n">
        <v>14194300</v>
      </c>
      <c r="G959" s="120" t="n">
        <v>-0.008166673830415694</v>
      </c>
      <c r="H959" s="121" t="n">
        <v>37.04423036122746</v>
      </c>
      <c r="I959" s="118" t="n">
        <v>57.6328816986084</v>
      </c>
      <c r="J959" s="118" t="n">
        <v>69.54608686447143</v>
      </c>
      <c r="K959" s="120" t="n">
        <v>0.3679576680719111</v>
      </c>
      <c r="L959" s="120" t="n">
        <v>-0.09970725364883404</v>
      </c>
      <c r="M959" s="120" t="n">
        <v>-0.3745017159706469</v>
      </c>
      <c r="N959" t="n">
        <v>44.05085243167412</v>
      </c>
      <c r="O959" t="n">
        <v>-0.3449527124233028</v>
      </c>
      <c r="P959" t="n">
        <v>140.4194551912192</v>
      </c>
      <c r="Q959" t="n">
        <v>144.571601692187</v>
      </c>
    </row>
    <row r="960">
      <c r="A960" s="117" t="n">
        <v>45828</v>
      </c>
      <c r="B960" s="118" t="n">
        <v>58.15419410932657</v>
      </c>
      <c r="C960" s="118" t="n">
        <v>58.43644966637193</v>
      </c>
      <c r="D960" s="118" t="n">
        <v>57.60914927980599</v>
      </c>
      <c r="E960" s="118" t="n">
        <v>58.1931266784668</v>
      </c>
      <c r="F960" s="119" t="n">
        <v>19084000</v>
      </c>
      <c r="G960" s="120" t="n">
        <v>0.004705161603310026</v>
      </c>
      <c r="H960" s="121" t="n">
        <v>37.21852945154727</v>
      </c>
      <c r="I960" s="118" t="n">
        <v>57.7666446685791</v>
      </c>
      <c r="J960" s="118" t="n">
        <v>69.44009021759034</v>
      </c>
      <c r="K960" s="120" t="n">
        <v>0.3377241799618694</v>
      </c>
      <c r="L960" s="120" t="n">
        <v>-0.08529877942532815</v>
      </c>
      <c r="M960" s="120" t="n">
        <v>-0.3715586454616956</v>
      </c>
      <c r="N960" t="n">
        <v>45.11788297725955</v>
      </c>
      <c r="O960" t="n">
        <v>-0.3832440236356455</v>
      </c>
      <c r="P960" t="n">
        <v>140.0896692029777</v>
      </c>
      <c r="Q960" t="n">
        <v>143.9812843563471</v>
      </c>
    </row>
    <row r="961">
      <c r="A961" s="117" t="n">
        <v>45831</v>
      </c>
      <c r="B961" s="118" t="n">
        <v>57.98873373984988</v>
      </c>
      <c r="C961" s="118" t="n">
        <v>59.66279329917871</v>
      </c>
      <c r="D961" s="118" t="n">
        <v>57.85246975378035</v>
      </c>
      <c r="E961" s="118" t="n">
        <v>59.15668106079102</v>
      </c>
      <c r="F961" s="119" t="n">
        <v>15921300</v>
      </c>
      <c r="G961" s="120" t="n">
        <v>0.01655787267881514</v>
      </c>
      <c r="H961" s="121" t="n">
        <v>37.83478912349872</v>
      </c>
      <c r="I961" s="118" t="n">
        <v>57.80268791198731</v>
      </c>
      <c r="J961" s="118" t="n">
        <v>69.34671171188354</v>
      </c>
      <c r="K961" s="120" t="n">
        <v>0.3333335030804234</v>
      </c>
      <c r="L961" s="120" t="n">
        <v>-0.07015327307589581</v>
      </c>
      <c r="M961" s="120" t="n">
        <v>-0.3611529935271481</v>
      </c>
      <c r="N961" t="n">
        <v>48.83343184949978</v>
      </c>
      <c r="O961" t="n">
        <v>-0.3292439436731611</v>
      </c>
      <c r="P961" t="n">
        <v>141.4734029127937</v>
      </c>
      <c r="Q961" t="n">
        <v>145.4617592916459</v>
      </c>
    </row>
    <row r="962">
      <c r="A962" s="117" t="n">
        <v>45832</v>
      </c>
      <c r="B962" s="118" t="n">
        <v>59.69199408518201</v>
      </c>
      <c r="C962" s="118" t="n">
        <v>60.32463159329945</v>
      </c>
      <c r="D962" s="118" t="n">
        <v>58.86469374143989</v>
      </c>
      <c r="E962" s="118" t="n">
        <v>59.77958679199219</v>
      </c>
      <c r="F962" s="119" t="n">
        <v>12564000</v>
      </c>
      <c r="G962" s="120" t="n">
        <v>0.01052976130559213</v>
      </c>
      <c r="H962" s="121" t="n">
        <v>38.23318042201657</v>
      </c>
      <c r="I962" s="118" t="n">
        <v>57.94632888793945</v>
      </c>
      <c r="J962" s="118" t="n">
        <v>69.25788343429565</v>
      </c>
      <c r="K962" s="120" t="n">
        <v>0.3253783976919107</v>
      </c>
      <c r="L962" s="120" t="n">
        <v>-0.04821165930786975</v>
      </c>
      <c r="M962" s="120" t="n">
        <v>-0.3544260870381969</v>
      </c>
      <c r="N962" t="n">
        <v>51.13650346295992</v>
      </c>
      <c r="O962" t="n">
        <v>-0.241217168676677</v>
      </c>
      <c r="P962" t="n">
        <v>143.0362859144135</v>
      </c>
      <c r="Q962" t="n">
        <v>147.6861548854757</v>
      </c>
    </row>
    <row r="963">
      <c r="A963" s="117" t="n">
        <v>45833</v>
      </c>
      <c r="B963" s="118" t="n">
        <v>59.80878891618639</v>
      </c>
      <c r="C963" s="118" t="n">
        <v>59.88665033871904</v>
      </c>
      <c r="D963" s="118" t="n">
        <v>58.74790058037929</v>
      </c>
      <c r="E963" s="118" t="n">
        <v>59.20534896850586</v>
      </c>
      <c r="F963" s="119" t="n">
        <v>12186200</v>
      </c>
      <c r="G963" s="120" t="n">
        <v>-0.009605918245712108</v>
      </c>
      <c r="H963" s="121" t="n">
        <v>37.86591561660912</v>
      </c>
      <c r="I963" s="118" t="n">
        <v>58.07867851257324</v>
      </c>
      <c r="J963" s="118" t="n">
        <v>69.1670932006836</v>
      </c>
      <c r="K963" s="120" t="n">
        <v>0.2800580222836246</v>
      </c>
      <c r="L963" s="120" t="n">
        <v>-0.0573544602957804</v>
      </c>
      <c r="M963" s="120" t="n">
        <v>-0.3605616671717794</v>
      </c>
      <c r="N963" t="n">
        <v>48.94914280805848</v>
      </c>
      <c r="O963" t="n">
        <v>-0.2123267516360728</v>
      </c>
      <c r="P963" t="n">
        <v>143.1164412207748</v>
      </c>
      <c r="Q963" t="n">
        <v>148.0637364855629</v>
      </c>
    </row>
    <row r="964">
      <c r="A964" s="117" t="n">
        <v>45834</v>
      </c>
      <c r="B964" s="118" t="n">
        <v>59.91584909176676</v>
      </c>
      <c r="C964" s="118" t="n">
        <v>61.05459880203863</v>
      </c>
      <c r="D964" s="118" t="n">
        <v>59.19561147146828</v>
      </c>
      <c r="E964" s="118" t="n">
        <v>60.86967468261719</v>
      </c>
      <c r="F964" s="119" t="n">
        <v>39659800</v>
      </c>
      <c r="G964" s="120" t="n">
        <v>0.02811107008247959</v>
      </c>
      <c r="H964" s="121" t="n">
        <v>38.93036702424488</v>
      </c>
      <c r="I964" s="118" t="n">
        <v>58.22459060668945</v>
      </c>
      <c r="J964" s="118" t="n">
        <v>69.085581741333</v>
      </c>
      <c r="K964" s="120" t="n">
        <v>0.2919403822995207</v>
      </c>
      <c r="L964" s="120" t="n">
        <v>-0.0308556854662182</v>
      </c>
      <c r="M964" s="120" t="n">
        <v>-0.3257954024886461</v>
      </c>
      <c r="N964" t="n">
        <v>54.96222946086447</v>
      </c>
      <c r="O964" t="n">
        <v>-0.07867251060784169</v>
      </c>
      <c r="P964" t="n">
        <v>144.2361570258446</v>
      </c>
      <c r="Q964" t="n">
        <v>149.4481799793321</v>
      </c>
    </row>
    <row r="965">
      <c r="A965" s="117" t="n">
        <v>45835</v>
      </c>
      <c r="B965" s="118" t="n">
        <v>67.92604469527953</v>
      </c>
      <c r="C965" s="118" t="n">
        <v>72.20853067300436</v>
      </c>
      <c r="D965" s="118" t="n">
        <v>67.82871698739154</v>
      </c>
      <c r="E965" s="118" t="n">
        <v>70.11595153808594</v>
      </c>
      <c r="F965" s="119" t="n">
        <v>117530300</v>
      </c>
      <c r="G965" s="120" t="n">
        <v>0.1519028465928247</v>
      </c>
      <c r="H965" s="121" t="n">
        <v>44.84400059413112</v>
      </c>
      <c r="I965" s="118" t="n">
        <v>58.5666438293457</v>
      </c>
      <c r="J965" s="118" t="n">
        <v>69.05575721740723</v>
      </c>
      <c r="K965" s="120" t="n">
        <v>0.6081349202199005</v>
      </c>
      <c r="L965" s="120" t="n">
        <v>0</v>
      </c>
      <c r="M965" s="120" t="n">
        <v>-0.2187644352697216</v>
      </c>
      <c r="N965" t="n">
        <v>73.5803223167683</v>
      </c>
      <c r="O965" t="n">
        <v>0.5976810091020039</v>
      </c>
      <c r="P965" t="n">
        <v>144.9527687403026</v>
      </c>
      <c r="Q965" t="n">
        <v>149.9598163035814</v>
      </c>
    </row>
    <row r="966">
      <c r="A966" s="117" t="n">
        <v>45838</v>
      </c>
      <c r="B966" s="118" t="n">
        <v>69.54170021902701</v>
      </c>
      <c r="C966" s="118" t="n">
        <v>69.79475818104684</v>
      </c>
      <c r="D966" s="118" t="n">
        <v>68.18882513171827</v>
      </c>
      <c r="E966" s="118" t="n">
        <v>69.14265441894531</v>
      </c>
      <c r="F966" s="119" t="n">
        <v>31090400</v>
      </c>
      <c r="G966" s="120" t="n">
        <v>-0.01388125095345738</v>
      </c>
      <c r="H966" s="121" t="n">
        <v>44.22150976812699</v>
      </c>
      <c r="I966" s="118" t="n">
        <v>58.91398292541504</v>
      </c>
      <c r="J966" s="118" t="n">
        <v>69.02776596069336</v>
      </c>
      <c r="K966" s="120" t="n">
        <v>0.6081581151994845</v>
      </c>
      <c r="L966" s="120" t="n">
        <v>-0.01388125095345738</v>
      </c>
      <c r="M966" s="120" t="n">
        <v>-0.2296089621975086</v>
      </c>
      <c r="N966" t="n">
        <v>70.28654864003875</v>
      </c>
      <c r="O966" t="n">
        <v>0.9251807815433777</v>
      </c>
      <c r="P966" t="n">
        <v>145.6457993746133</v>
      </c>
      <c r="Q966" t="n">
        <v>150.9311047819142</v>
      </c>
    </row>
    <row r="967">
      <c r="A967" s="117" t="n">
        <v>45839</v>
      </c>
      <c r="B967" s="118" t="n">
        <v>70.06727605105846</v>
      </c>
      <c r="C967" s="118" t="n">
        <v>71.96519955566329</v>
      </c>
      <c r="D967" s="118" t="n">
        <v>69.9115532211659</v>
      </c>
      <c r="E967" s="118" t="n">
        <v>71.44935607910156</v>
      </c>
      <c r="F967" s="119" t="n">
        <v>27512900</v>
      </c>
      <c r="G967" s="120" t="n">
        <v>0.03336148546134221</v>
      </c>
      <c r="H967" s="121" t="n">
        <v>45.69680502333496</v>
      </c>
      <c r="I967" s="118" t="n">
        <v>59.26472061157227</v>
      </c>
      <c r="J967" s="118" t="n">
        <v>69.00982467651367</v>
      </c>
      <c r="K967" s="120" t="n">
        <v>0.6124464296457026</v>
      </c>
      <c r="L967" s="120" t="n">
        <v>0</v>
      </c>
      <c r="M967" s="120" t="n">
        <v>-0.1653514913677918</v>
      </c>
      <c r="N967" t="n">
        <v>73.33326854274627</v>
      </c>
      <c r="O967" t="n">
        <v>1.224070889651502</v>
      </c>
      <c r="P967" t="n">
        <v>145.5986808560463</v>
      </c>
      <c r="Q967" t="n">
        <v>149.658835005885</v>
      </c>
    </row>
    <row r="968">
      <c r="A968" s="117" t="n">
        <v>45840</v>
      </c>
      <c r="B968" s="118" t="n">
        <v>71.21576840418466</v>
      </c>
      <c r="C968" s="118" t="n">
        <v>74.78774798849355</v>
      </c>
      <c r="D968" s="118" t="n">
        <v>71.05031055900621</v>
      </c>
      <c r="E968" s="118" t="n">
        <v>74.34976959228516</v>
      </c>
      <c r="F968" s="119" t="n">
        <v>36882300</v>
      </c>
      <c r="G968" s="120" t="n">
        <v>0.04059397694182931</v>
      </c>
      <c r="H968" s="121" t="n">
        <v>47.55182007276749</v>
      </c>
      <c r="I968" s="118" t="n">
        <v>59.66650512695313</v>
      </c>
      <c r="J968" s="118" t="n">
        <v>69.0063854598999</v>
      </c>
      <c r="K968" s="120" t="n">
        <v>0.622295452447535</v>
      </c>
      <c r="L968" s="120" t="n">
        <v>0</v>
      </c>
      <c r="M968" s="120" t="n">
        <v>-0.1314697890538438</v>
      </c>
      <c r="N968" t="n">
        <v>76.58442211853954</v>
      </c>
      <c r="O968" t="n">
        <v>1.524460099336785</v>
      </c>
      <c r="P968" t="n">
        <v>146.2587328915328</v>
      </c>
      <c r="Q968" t="n">
        <v>150.701270314916</v>
      </c>
    </row>
    <row r="969">
      <c r="A969" s="117" t="n">
        <v>45841</v>
      </c>
      <c r="B969" s="118" t="n">
        <v>74.23297188800315</v>
      </c>
      <c r="C969" s="118" t="n">
        <v>74.97267583053305</v>
      </c>
      <c r="D969" s="118" t="n">
        <v>73.56140550885883</v>
      </c>
      <c r="E969" s="118" t="n">
        <v>74.34976959228516</v>
      </c>
      <c r="F969" s="119" t="n">
        <v>12022600</v>
      </c>
      <c r="G969" s="120" t="n">
        <v>0</v>
      </c>
      <c r="H969" s="121" t="n">
        <v>47.55182007276749</v>
      </c>
      <c r="I969" s="118" t="n">
        <v>60.05011245727539</v>
      </c>
      <c r="J969" s="118" t="n">
        <v>69.00002708435059</v>
      </c>
      <c r="K969" s="120" t="n">
        <v>0.6233206715027205</v>
      </c>
      <c r="L969" s="120" t="n">
        <v>0</v>
      </c>
      <c r="M969" s="120" t="n">
        <v>-0.1314697890538438</v>
      </c>
      <c r="N969" t="n">
        <v>76.58442211853954</v>
      </c>
      <c r="O969" t="n">
        <v>1.62146985065736</v>
      </c>
      <c r="P969" t="n">
        <v>147.4114563899119</v>
      </c>
      <c r="Q969" t="n">
        <v>152.1842118974111</v>
      </c>
    </row>
    <row r="970">
      <c r="A970" s="117" t="n">
        <v>45845</v>
      </c>
      <c r="B970" s="118" t="n">
        <v>74.00911960975978</v>
      </c>
      <c r="C970" s="118" t="n">
        <v>75.43012494342504</v>
      </c>
      <c r="D970" s="118" t="n">
        <v>73.82419176595552</v>
      </c>
      <c r="E970" s="118" t="n">
        <v>74.48603057861328</v>
      </c>
      <c r="F970" s="119" t="n">
        <v>17296900</v>
      </c>
      <c r="G970" s="120" t="n">
        <v>0.001832702200361247</v>
      </c>
      <c r="H970" s="121" t="n">
        <v>47.63896839804603</v>
      </c>
      <c r="I970" s="118" t="n">
        <v>60.43006378173828</v>
      </c>
      <c r="J970" s="118" t="n">
        <v>68.99056938171387</v>
      </c>
      <c r="K970" s="120" t="n">
        <v>0.6225534368826248</v>
      </c>
      <c r="L970" s="120" t="n">
        <v>0</v>
      </c>
      <c r="M970" s="120" t="n">
        <v>-0.1298780318251627</v>
      </c>
      <c r="N970" t="n">
        <v>76.73893979820095</v>
      </c>
      <c r="O970" t="n">
        <v>1.590920086162246</v>
      </c>
      <c r="P970" t="n">
        <v>146.3129213699713</v>
      </c>
      <c r="Q970" t="n">
        <v>151.0378082480485</v>
      </c>
    </row>
    <row r="971">
      <c r="A971" s="117" t="n">
        <v>45846</v>
      </c>
      <c r="B971" s="118" t="n">
        <v>74.09671408198562</v>
      </c>
      <c r="C971" s="118" t="n">
        <v>74.2621793583068</v>
      </c>
      <c r="D971" s="118" t="n">
        <v>71.6829541847362</v>
      </c>
      <c r="E971" s="118" t="n">
        <v>71.94573974609375</v>
      </c>
      <c r="F971" s="119" t="n">
        <v>19572400</v>
      </c>
      <c r="G971" s="120" t="n">
        <v>-0.03410425837954245</v>
      </c>
      <c r="H971" s="121" t="n">
        <v>46.01427671086422</v>
      </c>
      <c r="I971" s="118" t="n">
        <v>60.73813148498535</v>
      </c>
      <c r="J971" s="118" t="n">
        <v>68.96439037322997</v>
      </c>
      <c r="K971" s="120" t="n">
        <v>0.642157243284719</v>
      </c>
      <c r="L971" s="120" t="n">
        <v>-0.03410425837954234</v>
      </c>
      <c r="M971" s="120" t="n">
        <v>-0.1595528962495134</v>
      </c>
      <c r="N971" t="n">
        <v>67.76149263962968</v>
      </c>
      <c r="O971" t="n">
        <v>1.307582644676065</v>
      </c>
      <c r="P971" t="n">
        <v>146.2327951580951</v>
      </c>
      <c r="Q971" t="n">
        <v>151.1226474876735</v>
      </c>
    </row>
    <row r="972">
      <c r="A972" s="117" t="n">
        <v>45847</v>
      </c>
      <c r="B972" s="118" t="n">
        <v>72.15012058879471</v>
      </c>
      <c r="C972" s="118" t="n">
        <v>72.9190220245482</v>
      </c>
      <c r="D972" s="118" t="n">
        <v>71.45908428148829</v>
      </c>
      <c r="E972" s="118" t="n">
        <v>71.59534454345703</v>
      </c>
      <c r="F972" s="119" t="n">
        <v>12076700</v>
      </c>
      <c r="G972" s="120" t="n">
        <v>-0.00487027034364107</v>
      </c>
      <c r="H972" s="121" t="n">
        <v>45.7901747436152</v>
      </c>
      <c r="I972" s="118" t="n">
        <v>61.05582153320312</v>
      </c>
      <c r="J972" s="118" t="n">
        <v>68.93521511077881</v>
      </c>
      <c r="K972" s="120" t="n">
        <v>0.6385605370288064</v>
      </c>
      <c r="L972" s="120" t="n">
        <v>-0.03880843176500581</v>
      </c>
      <c r="M972" s="120" t="n">
        <v>-0.1636461008543084</v>
      </c>
      <c r="N972" t="n">
        <v>66.6040562416884</v>
      </c>
      <c r="O972" t="n">
        <v>1.017429579198283</v>
      </c>
      <c r="P972" t="n">
        <v>147.1097029380331</v>
      </c>
      <c r="Q972" t="n">
        <v>152.1924172748194</v>
      </c>
    </row>
    <row r="973">
      <c r="A973" s="117" t="n">
        <v>45848</v>
      </c>
      <c r="B973" s="118" t="n">
        <v>71.16710681916078</v>
      </c>
      <c r="C973" s="118" t="n">
        <v>73.48353888153817</v>
      </c>
      <c r="D973" s="118" t="n">
        <v>71.00164155171186</v>
      </c>
      <c r="E973" s="118" t="n">
        <v>72.62704467773438</v>
      </c>
      <c r="F973" s="119" t="n">
        <v>13033000</v>
      </c>
      <c r="G973" s="120" t="n">
        <v>0.01441015670580548</v>
      </c>
      <c r="H973" s="121" t="n">
        <v>46.45001833725691</v>
      </c>
      <c r="I973" s="118" t="n">
        <v>61.40013999938965</v>
      </c>
      <c r="J973" s="118" t="n">
        <v>68.91081550598145</v>
      </c>
      <c r="K973" s="120" t="n">
        <v>0.6334941833077443</v>
      </c>
      <c r="L973" s="120" t="n">
        <v>-0.02495751064244056</v>
      </c>
      <c r="M973" s="120" t="n">
        <v>-0.1515941101061077</v>
      </c>
      <c r="N973" t="n">
        <v>68.31991122508364</v>
      </c>
      <c r="O973" t="n">
        <v>0.8240980835499983</v>
      </c>
      <c r="P973" t="n">
        <v>147.5245902950974</v>
      </c>
      <c r="Q973" t="n">
        <v>151.9735568708581</v>
      </c>
    </row>
    <row r="974">
      <c r="A974" s="117" t="n">
        <v>45849</v>
      </c>
      <c r="B974" s="118" t="n">
        <v>71.72188771489508</v>
      </c>
      <c r="C974" s="118" t="n">
        <v>71.86787557003358</v>
      </c>
      <c r="D974" s="118" t="n">
        <v>70.46634018130487</v>
      </c>
      <c r="E974" s="118" t="n">
        <v>70.69019317626953</v>
      </c>
      <c r="F974" s="119" t="n">
        <v>12771400</v>
      </c>
      <c r="G974" s="120" t="n">
        <v>-0.02666846090267294</v>
      </c>
      <c r="H974" s="121" t="n">
        <v>45.21126783930134</v>
      </c>
      <c r="I974" s="118" t="n">
        <v>61.70127388000488</v>
      </c>
      <c r="J974" s="118" t="n">
        <v>68.85021965026856</v>
      </c>
      <c r="K974" s="120" t="n">
        <v>0.6419207717003156</v>
      </c>
      <c r="L974" s="120" t="n">
        <v>-0.05096039314831746</v>
      </c>
      <c r="M974" s="120" t="n">
        <v>-0.1742197894103404</v>
      </c>
      <c r="N974" t="n">
        <v>61.89094030613386</v>
      </c>
      <c r="O974" t="n">
        <v>0.5102629120468802</v>
      </c>
      <c r="P974" t="n">
        <v>147.0059956460096</v>
      </c>
      <c r="Q974" t="n">
        <v>151.6315319062071</v>
      </c>
    </row>
    <row r="975">
      <c r="A975" s="117" t="n">
        <v>45852</v>
      </c>
      <c r="B975" s="118" t="n">
        <v>70.40794336721366</v>
      </c>
      <c r="C975" s="118" t="n">
        <v>70.64153880578108</v>
      </c>
      <c r="D975" s="118" t="n">
        <v>69.13293315728991</v>
      </c>
      <c r="E975" s="118" t="n">
        <v>70.32035064697266</v>
      </c>
      <c r="F975" s="119" t="n">
        <v>11385400</v>
      </c>
      <c r="G975" s="120" t="n">
        <v>-0.005231878888414587</v>
      </c>
      <c r="H975" s="121" t="n">
        <v>44.97472796157444</v>
      </c>
      <c r="I975" s="118" t="n">
        <v>62.01705543518067</v>
      </c>
      <c r="J975" s="118" t="n">
        <v>68.78930599212646</v>
      </c>
      <c r="K975" s="120" t="n">
        <v>0.6420056228738957</v>
      </c>
      <c r="L975" s="120" t="n">
        <v>-0.05592565343167399</v>
      </c>
      <c r="M975" s="120" t="n">
        <v>-0.178540171460595</v>
      </c>
      <c r="N975" t="n">
        <v>60.71603522651809</v>
      </c>
      <c r="O975" t="n">
        <v>0.2361899887332783</v>
      </c>
      <c r="P975" t="n">
        <v>147.2864955765465</v>
      </c>
      <c r="Q975" t="n">
        <v>152.1814767716083</v>
      </c>
    </row>
    <row r="976">
      <c r="A976" s="117" t="n">
        <v>45853</v>
      </c>
      <c r="B976" s="118" t="n">
        <v>70.33007660858082</v>
      </c>
      <c r="C976" s="118" t="n">
        <v>70.93351284992686</v>
      </c>
      <c r="D976" s="118" t="n">
        <v>69.6682378022837</v>
      </c>
      <c r="E976" s="118" t="n">
        <v>70.06728363037109</v>
      </c>
      <c r="F976" s="119" t="n">
        <v>9708300</v>
      </c>
      <c r="G976" s="120" t="n">
        <v>-0.003598773531036992</v>
      </c>
      <c r="H976" s="121" t="n">
        <v>44.81287410102073</v>
      </c>
      <c r="I976" s="118" t="n">
        <v>62.32081428527832</v>
      </c>
      <c r="J976" s="118" t="n">
        <v>68.72109718322754</v>
      </c>
      <c r="K976" s="120" t="n">
        <v>0.622582123978883</v>
      </c>
      <c r="L976" s="120" t="n">
        <v>-0.05932316320143527</v>
      </c>
      <c r="M976" s="120" t="n">
        <v>-0.1814964193483528</v>
      </c>
      <c r="N976" t="n">
        <v>59.87841078016718</v>
      </c>
      <c r="O976" t="n">
        <v>0.008320643436916075</v>
      </c>
      <c r="P976" t="n">
        <v>146.6570945810787</v>
      </c>
      <c r="Q976" t="n">
        <v>152.3210185272889</v>
      </c>
    </row>
    <row r="977">
      <c r="A977" s="117" t="n">
        <v>45854</v>
      </c>
      <c r="B977" s="118" t="n">
        <v>69.9796915073694</v>
      </c>
      <c r="C977" s="118" t="n">
        <v>70.76805559734387</v>
      </c>
      <c r="D977" s="118" t="n">
        <v>69.24972255720691</v>
      </c>
      <c r="E977" s="118" t="n">
        <v>70.17434692382812</v>
      </c>
      <c r="F977" s="119" t="n">
        <v>9008600</v>
      </c>
      <c r="G977" s="120" t="n">
        <v>0.001528006908642743</v>
      </c>
      <c r="H977" s="121" t="n">
        <v>44.88134848224323</v>
      </c>
      <c r="I977" s="118" t="n">
        <v>62.59132705688477</v>
      </c>
      <c r="J977" s="118" t="n">
        <v>68.65083953857422</v>
      </c>
      <c r="K977" s="120" t="n">
        <v>0.621133769823912</v>
      </c>
      <c r="L977" s="120" t="n">
        <v>-0.05788580249600672</v>
      </c>
      <c r="M977" s="120" t="n">
        <v>-0.1802457402223683</v>
      </c>
      <c r="N977" t="n">
        <v>60.12901744394893</v>
      </c>
      <c r="O977" t="n">
        <v>-0.1556801960252314</v>
      </c>
      <c r="P977" t="n">
        <v>147.1474093906807</v>
      </c>
      <c r="Q977" t="n">
        <v>152.4769710377862</v>
      </c>
    </row>
    <row r="978">
      <c r="A978" s="117" t="n">
        <v>45855</v>
      </c>
      <c r="B978" s="118" t="n">
        <v>70.19381401978065</v>
      </c>
      <c r="C978" s="118" t="n">
        <v>71.25469861920286</v>
      </c>
      <c r="D978" s="118" t="n">
        <v>70.11594888616401</v>
      </c>
      <c r="E978" s="118" t="n">
        <v>71.03084564208984</v>
      </c>
      <c r="F978" s="119" t="n">
        <v>9180400</v>
      </c>
      <c r="G978" s="120" t="n">
        <v>0.01220529660491776</v>
      </c>
      <c r="H978" s="121" t="n">
        <v>45.42913865249768</v>
      </c>
      <c r="I978" s="118" t="n">
        <v>62.90294815063476</v>
      </c>
      <c r="J978" s="118" t="n">
        <v>68.57821239471436</v>
      </c>
      <c r="K978" s="120" t="n">
        <v>0.6038052366199603</v>
      </c>
      <c r="L978" s="120" t="n">
        <v>-0.04638701927976652</v>
      </c>
      <c r="M978" s="120" t="n">
        <v>-0.1702403963386375</v>
      </c>
      <c r="N978" t="n">
        <v>62.16502213316613</v>
      </c>
      <c r="O978" t="n">
        <v>-0.222870253715088</v>
      </c>
      <c r="P978" t="n">
        <v>148.0478982507661</v>
      </c>
      <c r="Q978" t="n">
        <v>153.7109322726636</v>
      </c>
    </row>
    <row r="979">
      <c r="A979" s="117" t="n">
        <v>45856</v>
      </c>
      <c r="B979" s="118" t="n">
        <v>71.32283371673154</v>
      </c>
      <c r="C979" s="118" t="n">
        <v>71.32283371673154</v>
      </c>
      <c r="D979" s="118" t="n">
        <v>70.19381890325472</v>
      </c>
      <c r="E979" s="118" t="n">
        <v>70.53446960449219</v>
      </c>
      <c r="F979" s="119" t="n">
        <v>8801000</v>
      </c>
      <c r="G979" s="120" t="n">
        <v>-0.00698817581447353</v>
      </c>
      <c r="H979" s="121" t="n">
        <v>45.11167184449394</v>
      </c>
      <c r="I979" s="118" t="n">
        <v>63.21063621520996</v>
      </c>
      <c r="J979" s="118" t="n">
        <v>68.502864112854</v>
      </c>
      <c r="K979" s="120" t="n">
        <v>0.603336828659167</v>
      </c>
      <c r="L979" s="120" t="n">
        <v>-0.05305103444800352</v>
      </c>
      <c r="M979" s="120" t="n">
        <v>-0.176038902332771</v>
      </c>
      <c r="N979" t="n">
        <v>60.24497693597644</v>
      </c>
      <c r="O979" t="n">
        <v>-0.3116883150427627</v>
      </c>
      <c r="P979" t="n">
        <v>147.9394776521616</v>
      </c>
      <c r="Q979" t="n">
        <v>153.5631851395747</v>
      </c>
    </row>
    <row r="980">
      <c r="A980" s="117" t="n">
        <v>45859</v>
      </c>
      <c r="B980" s="118" t="n">
        <v>70.98217573826892</v>
      </c>
      <c r="C980" s="118" t="n">
        <v>72.81196176420023</v>
      </c>
      <c r="D980" s="118" t="n">
        <v>70.96271316831999</v>
      </c>
      <c r="E980" s="118" t="n">
        <v>72.04306030273438</v>
      </c>
      <c r="F980" s="119" t="n">
        <v>12743900</v>
      </c>
      <c r="G980" s="120" t="n">
        <v>0.02138799237736255</v>
      </c>
      <c r="H980" s="121" t="n">
        <v>46.07651993803405</v>
      </c>
      <c r="I980" s="118" t="n">
        <v>63.51794326782227</v>
      </c>
      <c r="J980" s="118" t="n">
        <v>68.44003574371338</v>
      </c>
      <c r="K980" s="120" t="n">
        <v>0.6041028406565985</v>
      </c>
      <c r="L980" s="120" t="n">
        <v>-0.03279769719102621</v>
      </c>
      <c r="M980" s="120" t="n">
        <v>-0.1584160286566211</v>
      </c>
      <c r="N980" t="n">
        <v>63.89486567194963</v>
      </c>
      <c r="O980" t="n">
        <v>-0.2807437066754268</v>
      </c>
      <c r="P980" t="n">
        <v>148.2199921299411</v>
      </c>
      <c r="Q980" t="n">
        <v>154.3593584468779</v>
      </c>
    </row>
    <row r="981">
      <c r="A981" s="117" t="n">
        <v>45860</v>
      </c>
      <c r="B981" s="118" t="n">
        <v>72.09173501530238</v>
      </c>
      <c r="C981" s="118" t="n">
        <v>73.52247538133085</v>
      </c>
      <c r="D981" s="118" t="n">
        <v>72.0625374446697</v>
      </c>
      <c r="E981" s="118" t="n">
        <v>73.37648010253906</v>
      </c>
      <c r="F981" s="119" t="n">
        <v>11297500</v>
      </c>
      <c r="G981" s="120" t="n">
        <v>0.01850865016285375</v>
      </c>
      <c r="H981" s="121" t="n">
        <v>46.92933412628889</v>
      </c>
      <c r="I981" s="118" t="n">
        <v>63.84631072998047</v>
      </c>
      <c r="J981" s="118" t="n">
        <v>68.38038108825684</v>
      </c>
      <c r="K981" s="120" t="n">
        <v>0.6043645105230933</v>
      </c>
      <c r="L981" s="120" t="n">
        <v>-0.01489608813162824</v>
      </c>
      <c r="M981" s="120" t="n">
        <v>-0.1428394453483613</v>
      </c>
      <c r="N981" t="n">
        <v>66.79655504104839</v>
      </c>
      <c r="O981" t="n">
        <v>-0.1868954704468848</v>
      </c>
      <c r="P981" t="n">
        <v>148.2412165567979</v>
      </c>
      <c r="Q981" t="n">
        <v>153.5604500137719</v>
      </c>
    </row>
    <row r="982">
      <c r="A982" s="117" t="n">
        <v>45861</v>
      </c>
      <c r="B982" s="118" t="n">
        <v>74.11617591087813</v>
      </c>
      <c r="C982" s="118" t="n">
        <v>75.147862896349</v>
      </c>
      <c r="D982" s="118" t="n">
        <v>73.79498781801841</v>
      </c>
      <c r="E982" s="118" t="n">
        <v>74.70014953613281</v>
      </c>
      <c r="F982" s="119" t="n">
        <v>16428100</v>
      </c>
      <c r="G982" s="120" t="n">
        <v>0.0180394239645183</v>
      </c>
      <c r="H982" s="121" t="n">
        <v>47.77591228096555</v>
      </c>
      <c r="I982" s="118" t="n">
        <v>64.21294746398925</v>
      </c>
      <c r="J982" s="118" t="n">
        <v>68.35620166778564</v>
      </c>
      <c r="K982" s="120" t="n">
        <v>0.6047970827633458</v>
      </c>
      <c r="L982" s="120" t="n">
        <v>0</v>
      </c>
      <c r="M982" s="120" t="n">
        <v>-0.1273767626973387</v>
      </c>
      <c r="N982" t="n">
        <v>69.42358954591097</v>
      </c>
      <c r="O982" t="n">
        <v>-0.05873641155139975</v>
      </c>
      <c r="P982" t="n">
        <v>149.5023606537814</v>
      </c>
      <c r="Q982" t="n">
        <v>154.2608939179777</v>
      </c>
    </row>
    <row r="983">
      <c r="A983" s="117" t="n">
        <v>45862</v>
      </c>
      <c r="B983" s="118" t="n">
        <v>74.46656215281931</v>
      </c>
      <c r="C983" s="118" t="n">
        <v>75.46905157870208</v>
      </c>
      <c r="D983" s="118" t="n">
        <v>73.39594259388512</v>
      </c>
      <c r="E983" s="118" t="n">
        <v>73.40567016601562</v>
      </c>
      <c r="F983" s="119" t="n">
        <v>10037800</v>
      </c>
      <c r="G983" s="120" t="n">
        <v>-0.01732900640969992</v>
      </c>
      <c r="H983" s="121" t="n">
        <v>46.94800319081943</v>
      </c>
      <c r="I983" s="118" t="n">
        <v>64.47093086242675</v>
      </c>
      <c r="J983" s="118" t="n">
        <v>68.3303353881836</v>
      </c>
      <c r="K983" s="120" t="n">
        <v>0.6090368873834493</v>
      </c>
      <c r="L983" s="120" t="n">
        <v>-0.01732900640969992</v>
      </c>
      <c r="M983" s="120" t="n">
        <v>-0.1424984563698096</v>
      </c>
      <c r="N983" t="n">
        <v>64.08372027978224</v>
      </c>
      <c r="O983" t="n">
        <v>-0.08274057137623947</v>
      </c>
      <c r="P983" t="n">
        <v>149.551864920124</v>
      </c>
      <c r="Q983" t="n">
        <v>154.5891929138761</v>
      </c>
    </row>
    <row r="984">
      <c r="A984" s="117" t="n">
        <v>45863</v>
      </c>
      <c r="B984" s="118" t="n">
        <v>73.88259293310432</v>
      </c>
      <c r="C984" s="118" t="n">
        <v>74.52496173655722</v>
      </c>
      <c r="D984" s="118" t="n">
        <v>73.51273725249602</v>
      </c>
      <c r="E984" s="118" t="n">
        <v>74.23297119140625</v>
      </c>
      <c r="F984" s="119" t="n">
        <v>7208400</v>
      </c>
      <c r="G984" s="120" t="n">
        <v>0.01127026050602886</v>
      </c>
      <c r="H984" s="121" t="n">
        <v>47.47711941701785</v>
      </c>
      <c r="I984" s="118" t="n">
        <v>64.74913436889648</v>
      </c>
      <c r="J984" s="118" t="n">
        <v>68.30788784027099</v>
      </c>
      <c r="K984" s="120" t="n">
        <v>0.6058557766296018</v>
      </c>
      <c r="L984" s="120" t="n">
        <v>-0.00625404832021903</v>
      </c>
      <c r="M984" s="120" t="n">
        <v>-0.1328341905887754</v>
      </c>
      <c r="N984" t="n">
        <v>65.88949994429403</v>
      </c>
      <c r="O984" t="n">
        <v>-0.06526370060625331</v>
      </c>
      <c r="P984" t="n">
        <v>150.1836225688823</v>
      </c>
      <c r="Q984" t="n">
        <v>154.9613042623578</v>
      </c>
    </row>
    <row r="985">
      <c r="A985" s="117" t="n">
        <v>45866</v>
      </c>
      <c r="B985" s="118" t="n">
        <v>76.89006922202607</v>
      </c>
      <c r="C985" s="118" t="n">
        <v>77.85362623816401</v>
      </c>
      <c r="D985" s="118" t="n">
        <v>75.48852634354996</v>
      </c>
      <c r="E985" s="118" t="n">
        <v>77.1236572265625</v>
      </c>
      <c r="F985" s="119" t="n">
        <v>22631100</v>
      </c>
      <c r="G985" s="120" t="n">
        <v>0.03894072928460246</v>
      </c>
      <c r="H985" s="121" t="n">
        <v>49.32591307144868</v>
      </c>
      <c r="I985" s="118" t="n">
        <v>65.09791427612305</v>
      </c>
      <c r="J985" s="118" t="n">
        <v>68.30668914794921</v>
      </c>
      <c r="K985" s="120" t="n">
        <v>0.323246714115989</v>
      </c>
      <c r="L985" s="120" t="n">
        <v>0</v>
      </c>
      <c r="M985" s="120" t="n">
        <v>-0.09906612155962979</v>
      </c>
      <c r="N985" t="n">
        <v>71.31616139174814</v>
      </c>
      <c r="O985" t="n">
        <v>0.1091256701293206</v>
      </c>
      <c r="P985" t="n">
        <v>150.1459161162346</v>
      </c>
      <c r="Q985" t="n">
        <v>155.4455893285792</v>
      </c>
    </row>
    <row r="986">
      <c r="A986" s="117" t="n">
        <v>45867</v>
      </c>
      <c r="B986" s="118" t="n">
        <v>76.65646898291563</v>
      </c>
      <c r="C986" s="118" t="n">
        <v>77.25017761164436</v>
      </c>
      <c r="D986" s="118" t="n">
        <v>75.68317712278687</v>
      </c>
      <c r="E986" s="118" t="n">
        <v>76.23795318603516</v>
      </c>
      <c r="F986" s="119" t="n">
        <v>12885500</v>
      </c>
      <c r="G986" s="120" t="n">
        <v>-0.01148420695254959</v>
      </c>
      <c r="H986" s="121" t="n">
        <v>48.7594440776127</v>
      </c>
      <c r="I986" s="118" t="n">
        <v>65.41602394104004</v>
      </c>
      <c r="J986" s="118" t="n">
        <v>68.30134910583496</v>
      </c>
      <c r="K986" s="120" t="n">
        <v>0.321499863935044</v>
      </c>
      <c r="L986" s="120" t="n">
        <v>-0.01148420695254948</v>
      </c>
      <c r="M986" s="120" t="n">
        <v>-0.1094126326702022</v>
      </c>
      <c r="N986" t="n">
        <v>67.75915217748334</v>
      </c>
      <c r="O986" t="n">
        <v>0.1314738651939056</v>
      </c>
      <c r="P986" t="n">
        <v>149.7498965327367</v>
      </c>
      <c r="Q986" t="n">
        <v>155.2048143583699</v>
      </c>
    </row>
    <row r="987">
      <c r="A987" s="117" t="n">
        <v>45868</v>
      </c>
      <c r="B987" s="118" t="n">
        <v>75.70264632720728</v>
      </c>
      <c r="C987" s="118" t="n">
        <v>76.2087622971811</v>
      </c>
      <c r="D987" s="118" t="n">
        <v>73.93125528355536</v>
      </c>
      <c r="E987" s="118" t="n">
        <v>74.63202667236328</v>
      </c>
      <c r="F987" s="119" t="n">
        <v>14601700</v>
      </c>
      <c r="G987" s="120" t="n">
        <v>-0.02106465935349955</v>
      </c>
      <c r="H987" s="121" t="n">
        <v>47.73234299785177</v>
      </c>
      <c r="I987" s="118" t="n">
        <v>65.68828559875489</v>
      </c>
      <c r="J987" s="118" t="n">
        <v>68.27993968963624</v>
      </c>
      <c r="K987" s="120" t="n">
        <v>0.316022085771402</v>
      </c>
      <c r="L987" s="120" t="n">
        <v>-0.03230695539864858</v>
      </c>
      <c r="M987" s="120" t="n">
        <v>-0.1281725521875343</v>
      </c>
      <c r="N987" t="n">
        <v>61.7456796375086</v>
      </c>
      <c r="O987" t="n">
        <v>0.01109149636276463</v>
      </c>
      <c r="P987" t="n">
        <v>149.5612915332859</v>
      </c>
      <c r="Q987" t="n">
        <v>155.412751039033</v>
      </c>
    </row>
    <row r="988">
      <c r="A988" s="117" t="n">
        <v>45869</v>
      </c>
      <c r="B988" s="118" t="n">
        <v>74.31083588098971</v>
      </c>
      <c r="C988" s="118" t="n">
        <v>74.35950344676554</v>
      </c>
      <c r="D988" s="118" t="n">
        <v>72.32531949250932</v>
      </c>
      <c r="E988" s="118" t="n">
        <v>72.69517517089844</v>
      </c>
      <c r="F988" s="119" t="n">
        <v>16700000</v>
      </c>
      <c r="G988" s="120" t="n">
        <v>-0.02595201534547198</v>
      </c>
      <c r="H988" s="121" t="n">
        <v>46.49359249989619</v>
      </c>
      <c r="I988" s="118" t="n">
        <v>65.94172767639161</v>
      </c>
      <c r="J988" s="118" t="n">
        <v>68.25052093505859</v>
      </c>
      <c r="K988" s="120" t="n">
        <v>0.2969708655656708</v>
      </c>
      <c r="L988" s="120" t="n">
        <v>-0.05742054014184939</v>
      </c>
      <c r="M988" s="120" t="n">
        <v>-0.1507982314917671</v>
      </c>
      <c r="N988" t="n">
        <v>55.36393188469653</v>
      </c>
      <c r="O988" t="n">
        <v>-0.2135851214547317</v>
      </c>
      <c r="P988" t="n">
        <v>149.000262577727</v>
      </c>
      <c r="Q988" t="n">
        <v>154.5891929138761</v>
      </c>
    </row>
    <row r="989">
      <c r="A989" s="117" t="n">
        <v>45870</v>
      </c>
      <c r="B989" s="118" t="n">
        <v>71.4785599319647</v>
      </c>
      <c r="C989" s="118" t="n">
        <v>72.70490238671439</v>
      </c>
      <c r="D989" s="118" t="n">
        <v>70.59286073346196</v>
      </c>
      <c r="E989" s="118" t="n">
        <v>72.62704467773438</v>
      </c>
      <c r="F989" s="119" t="n">
        <v>11911600</v>
      </c>
      <c r="G989" s="120" t="n">
        <v>-0.0009372079096569008</v>
      </c>
      <c r="H989" s="121" t="n">
        <v>46.45001833725693</v>
      </c>
      <c r="I989" s="118" t="n">
        <v>66.18452514648438</v>
      </c>
      <c r="J989" s="118" t="n">
        <v>68.22052227020264</v>
      </c>
      <c r="K989" s="120" t="n">
        <v>0.2969493816114536</v>
      </c>
      <c r="L989" s="120" t="n">
        <v>-0.05830393306710846</v>
      </c>
      <c r="M989" s="120" t="n">
        <v>-0.1515941101061077</v>
      </c>
      <c r="N989" t="n">
        <v>55.14801191482713</v>
      </c>
      <c r="O989" t="n">
        <v>-0.3721092216826642</v>
      </c>
      <c r="P989" t="n">
        <v>146.558071501151</v>
      </c>
      <c r="Q989" t="n">
        <v>151.5439743206923</v>
      </c>
    </row>
    <row r="990">
      <c r="A990" s="117" t="n">
        <v>45873</v>
      </c>
      <c r="B990" s="118" t="n">
        <v>73.0260914616274</v>
      </c>
      <c r="C990" s="118" t="n">
        <v>73.24995187017306</v>
      </c>
      <c r="D990" s="118" t="n">
        <v>72.17933224488016</v>
      </c>
      <c r="E990" s="118" t="n">
        <v>72.82170104980469</v>
      </c>
      <c r="F990" s="119" t="n">
        <v>8839000</v>
      </c>
      <c r="G990" s="120" t="n">
        <v>0.002680218821157432</v>
      </c>
      <c r="H990" s="121" t="n">
        <v>46.57451455064755</v>
      </c>
      <c r="I990" s="118" t="n">
        <v>66.48110618591309</v>
      </c>
      <c r="J990" s="118" t="n">
        <v>68.19412895202636</v>
      </c>
      <c r="K990" s="120" t="n">
        <v>0.2970720246144241</v>
      </c>
      <c r="L990" s="120" t="n">
        <v>-0.05577998154470498</v>
      </c>
      <c r="M990" s="120" t="n">
        <v>-0.1493201966720331</v>
      </c>
      <c r="N990" t="n">
        <v>55.6798493325231</v>
      </c>
      <c r="O990" t="n">
        <v>-0.4632415541827082</v>
      </c>
      <c r="P990" t="n">
        <v>148.7857489393234</v>
      </c>
      <c r="Q990" t="n">
        <v>154.3402293461713</v>
      </c>
    </row>
    <row r="991">
      <c r="A991" s="117" t="n">
        <v>45874</v>
      </c>
      <c r="B991" s="118" t="n">
        <v>72.90929881357218</v>
      </c>
      <c r="C991" s="118" t="n">
        <v>73.6879278677325</v>
      </c>
      <c r="D991" s="118" t="n">
        <v>72.25718760585781</v>
      </c>
      <c r="E991" s="118" t="n">
        <v>72.39344787597656</v>
      </c>
      <c r="F991" s="119" t="n">
        <v>6533800</v>
      </c>
      <c r="G991" s="120" t="n">
        <v>-0.005880845512455601</v>
      </c>
      <c r="H991" s="121" t="n">
        <v>46.30061702575758</v>
      </c>
      <c r="I991" s="118" t="n">
        <v>66.74321014404296</v>
      </c>
      <c r="J991" s="118" t="n">
        <v>68.16310585021972</v>
      </c>
      <c r="K991" s="120" t="n">
        <v>0.2710659501804205</v>
      </c>
      <c r="L991" s="120" t="n">
        <v>-0.06133279360300847</v>
      </c>
      <c r="M991" s="120" t="n">
        <v>-0.154322913175971</v>
      </c>
      <c r="N991" t="n">
        <v>54.15832444893877</v>
      </c>
      <c r="O991" t="n">
        <v>-0.5460535355905276</v>
      </c>
      <c r="P991" t="n">
        <v>148.0314016777327</v>
      </c>
      <c r="Q991" t="n">
        <v>153.2923070056218</v>
      </c>
    </row>
    <row r="992">
      <c r="A992" s="117" t="n">
        <v>45875</v>
      </c>
      <c r="B992" s="118" t="n">
        <v>72.48105384638546</v>
      </c>
      <c r="C992" s="118" t="n">
        <v>73.95072679321295</v>
      </c>
      <c r="D992" s="118" t="n">
        <v>72.26692842591184</v>
      </c>
      <c r="E992" s="118" t="n">
        <v>73.46408081054688</v>
      </c>
      <c r="F992" s="119" t="n">
        <v>7579800</v>
      </c>
      <c r="G992" s="120" t="n">
        <v>0.01478908611183294</v>
      </c>
      <c r="H992" s="121" t="n">
        <v>46.9853608379825</v>
      </c>
      <c r="I992" s="118" t="n">
        <v>67.05186515808106</v>
      </c>
      <c r="J992" s="118" t="n">
        <v>68.12872623443603</v>
      </c>
      <c r="K992" s="120" t="n">
        <v>0.2749053731962596</v>
      </c>
      <c r="L992" s="120" t="n">
        <v>-0.04745076345724974</v>
      </c>
      <c r="M992" s="120" t="n">
        <v>-0.1418161219161264</v>
      </c>
      <c r="N992" t="n">
        <v>57.29981297073571</v>
      </c>
      <c r="O992" t="n">
        <v>-0.5224093649904238</v>
      </c>
      <c r="P992" t="n">
        <v>149.1652864970305</v>
      </c>
      <c r="Q992" t="n">
        <v>155.2212251131866</v>
      </c>
    </row>
    <row r="993">
      <c r="A993" s="117" t="n">
        <v>45876</v>
      </c>
      <c r="B993" s="118" t="n">
        <v>74.28164421669099</v>
      </c>
      <c r="C993" s="118" t="n">
        <v>74.31084178822631</v>
      </c>
      <c r="D993" s="118" t="n">
        <v>72.02360710187361</v>
      </c>
      <c r="E993" s="118" t="n">
        <v>72.3642578125</v>
      </c>
      <c r="F993" s="119" t="n">
        <v>8717600</v>
      </c>
      <c r="G993" s="120" t="n">
        <v>-0.01497089442775656</v>
      </c>
      <c r="H993" s="121" t="n">
        <v>46.28194796122702</v>
      </c>
      <c r="I993" s="118" t="n">
        <v>67.28418586730957</v>
      </c>
      <c r="J993" s="118" t="n">
        <v>68.09143161773682</v>
      </c>
      <c r="K993" s="120" t="n">
        <v>0.276286926817419</v>
      </c>
      <c r="L993" s="120" t="n">
        <v>-0.06171127751477146</v>
      </c>
      <c r="M993" s="120" t="n">
        <v>-0.1546639021545227</v>
      </c>
      <c r="N993" t="n">
        <v>53.26188637959651</v>
      </c>
      <c r="O993" t="n">
        <v>-0.5706027576265917</v>
      </c>
      <c r="P993" t="n">
        <v>149.0403402309076</v>
      </c>
      <c r="Q993" t="n">
        <v>155.7465370664498</v>
      </c>
    </row>
    <row r="994">
      <c r="A994" s="117" t="n">
        <v>45877</v>
      </c>
      <c r="B994" s="118" t="n">
        <v>72.2182618140524</v>
      </c>
      <c r="C994" s="118" t="n">
        <v>72.95796579667946</v>
      </c>
      <c r="D994" s="118" t="n">
        <v>71.42989768789117</v>
      </c>
      <c r="E994" s="118" t="n">
        <v>72.20853424072266</v>
      </c>
      <c r="F994" s="119" t="n">
        <v>6739000</v>
      </c>
      <c r="G994" s="120" t="n">
        <v>-0.002151940425905163</v>
      </c>
      <c r="H994" s="121" t="n">
        <v>46.18235196641962</v>
      </c>
      <c r="I994" s="118" t="n">
        <v>67.53369636535645</v>
      </c>
      <c r="J994" s="118" t="n">
        <v>68.05565547943115</v>
      </c>
      <c r="K994" s="120" t="n">
        <v>0.2580485175987496</v>
      </c>
      <c r="L994" s="120" t="n">
        <v>-0.06373041894785836</v>
      </c>
      <c r="M994" s="120" t="n">
        <v>-0.1564830150769534</v>
      </c>
      <c r="N994" t="n">
        <v>52.69565199269409</v>
      </c>
      <c r="O994" t="n">
        <v>-0.5997454269947669</v>
      </c>
      <c r="P994" t="n">
        <v>150.2024757952061</v>
      </c>
      <c r="Q994" t="n">
        <v>157.1993754852014</v>
      </c>
    </row>
    <row r="995">
      <c r="A995" s="117" t="n">
        <v>45880</v>
      </c>
      <c r="B995" s="118" t="n">
        <v>72.33505083136157</v>
      </c>
      <c r="C995" s="118" t="n">
        <v>72.79249919425131</v>
      </c>
      <c r="D995" s="118" t="n">
        <v>71.09897343484532</v>
      </c>
      <c r="E995" s="118" t="n">
        <v>72.04306030273438</v>
      </c>
      <c r="F995" s="119" t="n">
        <v>6985700</v>
      </c>
      <c r="G995" s="120" t="n">
        <v>-0.002291611922721426</v>
      </c>
      <c r="H995" s="121" t="n">
        <v>46.07651993803405</v>
      </c>
      <c r="I995" s="118" t="n">
        <v>67.78647209167481</v>
      </c>
      <c r="J995" s="118" t="n">
        <v>68.02594318389893</v>
      </c>
      <c r="K995" s="120" t="n">
        <v>0.2572882652141485</v>
      </c>
      <c r="L995" s="120" t="n">
        <v>-0.06587598548267892</v>
      </c>
      <c r="M995" s="120" t="n">
        <v>-0.1584160286566211</v>
      </c>
      <c r="N995" t="n">
        <v>52.06227430270458</v>
      </c>
      <c r="O995" t="n">
        <v>-0.6146750696569327</v>
      </c>
      <c r="P995" t="n">
        <v>149.9054647443933</v>
      </c>
      <c r="Q995" t="n">
        <v>156.7342530795123</v>
      </c>
    </row>
    <row r="996">
      <c r="A996" s="117" t="n">
        <v>45881</v>
      </c>
      <c r="B996" s="118" t="n">
        <v>72.72437380690691</v>
      </c>
      <c r="C996" s="118" t="n">
        <v>73.69766573167681</v>
      </c>
      <c r="D996" s="118" t="n">
        <v>72.35451812309238</v>
      </c>
      <c r="E996" s="118" t="n">
        <v>72.89956665039062</v>
      </c>
      <c r="F996" s="119" t="n">
        <v>6397700</v>
      </c>
      <c r="G996" s="120" t="n">
        <v>0.01188881127560504</v>
      </c>
      <c r="H996" s="121" t="n">
        <v>46.62431498781399</v>
      </c>
      <c r="I996" s="118" t="n">
        <v>68.07281471252442</v>
      </c>
      <c r="J996" s="118" t="n">
        <v>68.00080059051514</v>
      </c>
      <c r="K996" s="120" t="n">
        <v>0.2592153779444833</v>
      </c>
      <c r="L996" s="120" t="n">
        <v>-0.05477036136607183</v>
      </c>
      <c r="M996" s="120" t="n">
        <v>-0.1484105956487454</v>
      </c>
      <c r="N996" t="n">
        <v>55.07241451488406</v>
      </c>
      <c r="O996" t="n">
        <v>-0.5532922628761812</v>
      </c>
      <c r="P996" t="n">
        <v>151.5013554393223</v>
      </c>
      <c r="Q996" t="n">
        <v>158.7041980741188</v>
      </c>
    </row>
    <row r="997">
      <c r="A997" s="117" t="n">
        <v>45882</v>
      </c>
      <c r="B997" s="118" t="n">
        <v>73.4640743914201</v>
      </c>
      <c r="C997" s="118" t="n">
        <v>75.61504855578141</v>
      </c>
      <c r="D997" s="118" t="n">
        <v>73.18181885506124</v>
      </c>
      <c r="E997" s="118" t="n">
        <v>75.13813018798828</v>
      </c>
      <c r="F997" s="119" t="n">
        <v>13472600</v>
      </c>
      <c r="G997" s="120" t="n">
        <v>0.03070750129878386</v>
      </c>
      <c r="H997" s="121" t="n">
        <v>48.0560312008572</v>
      </c>
      <c r="I997" s="118" t="n">
        <v>68.37706565856934</v>
      </c>
      <c r="J997" s="118" t="n">
        <v>67.99340705871582</v>
      </c>
      <c r="K997" s="120" t="n">
        <v>0.2783357388731605</v>
      </c>
      <c r="L997" s="120" t="n">
        <v>-0.02574472101007141</v>
      </c>
      <c r="M997" s="120" t="n">
        <v>-0.1222604129085986</v>
      </c>
      <c r="N997" t="n">
        <v>61.82026871020481</v>
      </c>
      <c r="O997" t="n">
        <v>-0.357835353253072</v>
      </c>
      <c r="P997" t="n">
        <v>152.0199791828952</v>
      </c>
      <c r="Q997" t="n">
        <v>158.7835502822253</v>
      </c>
    </row>
    <row r="998">
      <c r="A998" s="117" t="n">
        <v>45883</v>
      </c>
      <c r="B998" s="118" t="n">
        <v>73.88259362641328</v>
      </c>
      <c r="C998" s="118" t="n">
        <v>74.55416000555762</v>
      </c>
      <c r="D998" s="118" t="n">
        <v>73.33754509872531</v>
      </c>
      <c r="E998" s="118" t="n">
        <v>74.34976959228516</v>
      </c>
      <c r="F998" s="119" t="n">
        <v>7990500</v>
      </c>
      <c r="G998" s="120" t="n">
        <v>-0.01049215083913746</v>
      </c>
      <c r="H998" s="121" t="n">
        <v>47.55182007276751</v>
      </c>
      <c r="I998" s="118" t="n">
        <v>68.64997680664062</v>
      </c>
      <c r="J998" s="118" t="n">
        <v>67.9869051361084</v>
      </c>
      <c r="K998" s="120" t="n">
        <v>0.2806454343505476</v>
      </c>
      <c r="L998" s="120" t="n">
        <v>-0.03596675435305963</v>
      </c>
      <c r="M998" s="120" t="n">
        <v>-0.1314697890538438</v>
      </c>
      <c r="N998" t="n">
        <v>58.48858407920972</v>
      </c>
      <c r="O998" t="n">
        <v>-0.280945215182913</v>
      </c>
      <c r="P998" t="n">
        <v>152.0341045553955</v>
      </c>
      <c r="Q998" t="n">
        <v>158.6604528411872</v>
      </c>
    </row>
    <row r="999">
      <c r="A999" s="117" t="n">
        <v>45884</v>
      </c>
      <c r="B999" s="118" t="n">
        <v>74.69042333316025</v>
      </c>
      <c r="C999" s="118" t="n">
        <v>75.43012730591681</v>
      </c>
      <c r="D999" s="118" t="n">
        <v>74.12591963680001</v>
      </c>
      <c r="E999" s="118" t="n">
        <v>74.91428375244141</v>
      </c>
      <c r="F999" s="119" t="n">
        <v>9767700</v>
      </c>
      <c r="G999" s="120" t="n">
        <v>0.007592682038584542</v>
      </c>
      <c r="H999" s="121" t="n">
        <v>47.91286592293601</v>
      </c>
      <c r="I999" s="118" t="n">
        <v>68.92639190673827</v>
      </c>
      <c r="J999" s="118" t="n">
        <v>67.98413501739502</v>
      </c>
      <c r="K999" s="120" t="n">
        <v>0.2789203402868177</v>
      </c>
      <c r="L999" s="120" t="n">
        <v>-0.02864715644423788</v>
      </c>
      <c r="M999" s="120" t="n">
        <v>-0.1248753153212248</v>
      </c>
      <c r="N999" t="n">
        <v>60.14493053201839</v>
      </c>
      <c r="O999" t="n">
        <v>-0.1954235032630229</v>
      </c>
      <c r="P999" t="n">
        <v>151.6781480778357</v>
      </c>
      <c r="Q999" t="n">
        <v>157.9627440627842</v>
      </c>
    </row>
    <row r="1000">
      <c r="A1000" s="117" t="n">
        <v>45887</v>
      </c>
      <c r="B1000" s="118" t="n">
        <v>75.05053877230689</v>
      </c>
      <c r="C1000" s="118" t="n">
        <v>76.16982593899122</v>
      </c>
      <c r="D1000" s="118" t="n">
        <v>74.79748079990911</v>
      </c>
      <c r="E1000" s="118" t="n">
        <v>75.36199188232422</v>
      </c>
      <c r="F1000" s="119" t="n">
        <v>9069100</v>
      </c>
      <c r="G1000" s="120" t="n">
        <v>0.005976271913141318</v>
      </c>
      <c r="H1000" s="121" t="n">
        <v>48.19920623782936</v>
      </c>
      <c r="I1000" s="118" t="n">
        <v>69.21370773315429</v>
      </c>
      <c r="J1000" s="118" t="n">
        <v>67.98331630706787</v>
      </c>
      <c r="K1000" s="120" t="n">
        <v>0.270810751726041</v>
      </c>
      <c r="L1000" s="120" t="n">
        <v>-0.0228420877275457</v>
      </c>
      <c r="M1000" s="120" t="n">
        <v>-0.1196453322476824</v>
      </c>
      <c r="N1000" t="n">
        <v>61.45839478461016</v>
      </c>
      <c r="O1000" t="n">
        <v>-0.1159837558100725</v>
      </c>
      <c r="P1000" t="n">
        <v>151.645154931769</v>
      </c>
      <c r="Q1000" t="n">
        <v>157.8998026094944</v>
      </c>
    </row>
    <row r="1001">
      <c r="A1001" s="117" t="n">
        <v>45888</v>
      </c>
      <c r="B1001" s="118" t="n">
        <v>76.11142813173873</v>
      </c>
      <c r="C1001" s="118" t="n">
        <v>76.68567424818278</v>
      </c>
      <c r="D1001" s="118" t="n">
        <v>74.63202762311974</v>
      </c>
      <c r="E1001" s="118" t="n">
        <v>74.82668304443359</v>
      </c>
      <c r="F1001" s="119" t="n">
        <v>7684800</v>
      </c>
      <c r="G1001" s="120" t="n">
        <v>-0.007103167319761128</v>
      </c>
      <c r="H1001" s="121" t="n">
        <v>47.85683921124239</v>
      </c>
      <c r="I1001" s="118" t="n">
        <v>69.48778678894043</v>
      </c>
      <c r="J1001" s="118" t="n">
        <v>67.98226165771484</v>
      </c>
      <c r="K1001" s="120" t="n">
        <v>0.2658084815184224</v>
      </c>
      <c r="L1001" s="120" t="n">
        <v>-0.02978300387624533</v>
      </c>
      <c r="M1001" s="120" t="n">
        <v>-0.1258986387534597</v>
      </c>
      <c r="N1001" t="n">
        <v>58.95654722296218</v>
      </c>
      <c r="O1001" t="n">
        <v>-0.1069899246230495</v>
      </c>
      <c r="P1001" t="n">
        <v>150.8224356302694</v>
      </c>
      <c r="Q1001" t="n">
        <v>155.7574775696609</v>
      </c>
    </row>
    <row r="1002">
      <c r="A1002" s="117" t="n">
        <v>45889</v>
      </c>
      <c r="B1002" s="118" t="n">
        <v>74.6417518625472</v>
      </c>
      <c r="C1002" s="118" t="n">
        <v>75.48851099139651</v>
      </c>
      <c r="D1002" s="118" t="n">
        <v>74.12590838735687</v>
      </c>
      <c r="E1002" s="118" t="n">
        <v>74.22323608398438</v>
      </c>
      <c r="F1002" s="119" t="n">
        <v>6282600</v>
      </c>
      <c r="G1002" s="120" t="n">
        <v>-0.008064595888753745</v>
      </c>
      <c r="H1002" s="121" t="n">
        <v>47.47089314249065</v>
      </c>
      <c r="I1002" s="118" t="n">
        <v>69.76712150573731</v>
      </c>
      <c r="J1002" s="118" t="n">
        <v>67.98752166748046</v>
      </c>
      <c r="K1002" s="120" t="n">
        <v>0.2598428646258679</v>
      </c>
      <c r="L1002" s="120" t="n">
        <v>-0.03760741187438399</v>
      </c>
      <c r="M1002" s="120" t="n">
        <v>-0.1329479129977227</v>
      </c>
      <c r="N1002" t="n">
        <v>56.18014818108844</v>
      </c>
      <c r="O1002" t="n">
        <v>-0.1467262645982934</v>
      </c>
      <c r="P1002" t="n">
        <v>150.4217027401906</v>
      </c>
      <c r="Q1002" t="n">
        <v>154.8327197898011</v>
      </c>
    </row>
    <row r="1003">
      <c r="A1003" s="117" t="n">
        <v>45890</v>
      </c>
      <c r="B1003" s="118" t="n">
        <v>73.67819472801116</v>
      </c>
      <c r="C1003" s="118" t="n">
        <v>74.19404567861766</v>
      </c>
      <c r="D1003" s="118" t="n">
        <v>73.12341863549851</v>
      </c>
      <c r="E1003" s="118" t="n">
        <v>74.14537811279297</v>
      </c>
      <c r="F1003" s="119" t="n">
        <v>6354900</v>
      </c>
      <c r="G1003" s="120" t="n">
        <v>-0.001048970313060837</v>
      </c>
      <c r="H1003" s="121" t="n">
        <v>47.42109758484969</v>
      </c>
      <c r="I1003" s="118" t="n">
        <v>70.00674606323243</v>
      </c>
      <c r="J1003" s="118" t="n">
        <v>67.98913818359375</v>
      </c>
      <c r="K1003" s="120" t="n">
        <v>0.2519087150289452</v>
      </c>
      <c r="L1003" s="120" t="n">
        <v>-0.03861693312883763</v>
      </c>
      <c r="M1003" s="120" t="n">
        <v>-0.1338574248968656</v>
      </c>
      <c r="N1003" t="n">
        <v>55.81493292261172</v>
      </c>
      <c r="O1003" t="n">
        <v>-0.1810464069356561</v>
      </c>
      <c r="P1003" t="n">
        <v>149.8182540254031</v>
      </c>
      <c r="Q1003" t="n">
        <v>154.1158819106915</v>
      </c>
    </row>
    <row r="1004">
      <c r="A1004" s="117" t="n">
        <v>45891</v>
      </c>
      <c r="B1004" s="118" t="n">
        <v>74.49576745300904</v>
      </c>
      <c r="C1004" s="118" t="n">
        <v>77.02632506196525</v>
      </c>
      <c r="D1004" s="118" t="n">
        <v>74.21351189374758</v>
      </c>
      <c r="E1004" s="118" t="n">
        <v>76.28662109375</v>
      </c>
      <c r="F1004" s="119" t="n">
        <v>10985900</v>
      </c>
      <c r="G1004" s="120" t="n">
        <v>0.02887898120500076</v>
      </c>
      <c r="H1004" s="121" t="n">
        <v>48.79057057072308</v>
      </c>
      <c r="I1004" s="118" t="n">
        <v>70.30398941040039</v>
      </c>
      <c r="J1004" s="118" t="n">
        <v>67.99701030731201</v>
      </c>
      <c r="K1004" s="120" t="n">
        <v>0.2689599346953349</v>
      </c>
      <c r="L1004" s="120" t="n">
        <v>-0.01085316960985927</v>
      </c>
      <c r="M1004" s="120" t="n">
        <v>-0.1088441097496111</v>
      </c>
      <c r="N1004" t="n">
        <v>62.94867398963894</v>
      </c>
      <c r="O1004" t="n">
        <v>-0.06814218302510477</v>
      </c>
      <c r="P1004" t="n">
        <v>152.1189731683378</v>
      </c>
      <c r="Q1004" t="n">
        <v>156.4934781093029</v>
      </c>
    </row>
    <row r="1005">
      <c r="A1005" s="117" t="n">
        <v>45894</v>
      </c>
      <c r="B1005" s="118" t="n">
        <v>76.37421773397081</v>
      </c>
      <c r="C1005" s="118" t="n">
        <v>78.02881101869576</v>
      </c>
      <c r="D1005" s="118" t="n">
        <v>76.29635259864475</v>
      </c>
      <c r="E1005" s="118" t="n">
        <v>77.05551910400391</v>
      </c>
      <c r="F1005" s="119" t="n">
        <v>12488900</v>
      </c>
      <c r="G1005" s="120" t="n">
        <v>0.01007906759048871</v>
      </c>
      <c r="H1005" s="121" t="n">
        <v>49.2823340292839</v>
      </c>
      <c r="I1005" s="118" t="n">
        <v>70.62264518737793</v>
      </c>
      <c r="J1005" s="118" t="n">
        <v>68.01289035797119</v>
      </c>
      <c r="K1005" s="120" t="n">
        <v>0.2327472212386728</v>
      </c>
      <c r="L1005" s="120" t="n">
        <v>-0.0008834918494393662</v>
      </c>
      <c r="M1005" s="120" t="n">
        <v>-0.09986208929811524</v>
      </c>
      <c r="N1005" t="n">
        <v>65.12603583381551</v>
      </c>
      <c r="O1005" t="n">
        <v>0.04369625529358068</v>
      </c>
      <c r="P1005" t="n">
        <v>151.4494945196893</v>
      </c>
      <c r="Q1005" t="n">
        <v>156.0420313326277</v>
      </c>
    </row>
    <row r="1006">
      <c r="A1006" s="117" t="n">
        <v>45895</v>
      </c>
      <c r="B1006" s="118" t="n">
        <v>76.89005096901069</v>
      </c>
      <c r="C1006" s="118" t="n">
        <v>77.35723429280715</v>
      </c>
      <c r="D1006" s="118" t="n">
        <v>76.28660738944589</v>
      </c>
      <c r="E1006" s="118" t="n">
        <v>76.54940032958984</v>
      </c>
      <c r="F1006" s="119" t="n">
        <v>6874800</v>
      </c>
      <c r="G1006" s="120" t="n">
        <v>-0.006568235219218233</v>
      </c>
      <c r="H1006" s="121" t="n">
        <v>48.95863606722749</v>
      </c>
      <c r="I1006" s="118" t="n">
        <v>70.97536605834961</v>
      </c>
      <c r="J1006" s="118" t="n">
        <v>68.02245922088623</v>
      </c>
      <c r="K1006" s="120" t="n">
        <v>0.2301536427691486</v>
      </c>
      <c r="L1006" s="120" t="n">
        <v>-0.007445924086376121</v>
      </c>
      <c r="M1006" s="120" t="n">
        <v>-0.1057744068253409</v>
      </c>
      <c r="N1006" t="n">
        <v>62.52153282314899</v>
      </c>
      <c r="O1006" t="n">
        <v>0.06753573897957343</v>
      </c>
      <c r="P1006" t="n">
        <v>152.0836088217381</v>
      </c>
      <c r="Q1006" t="n">
        <v>156.6685932803326</v>
      </c>
    </row>
    <row r="1007">
      <c r="A1007" s="117" t="n">
        <v>45896</v>
      </c>
      <c r="B1007" s="118" t="n">
        <v>76.85113055031921</v>
      </c>
      <c r="C1007" s="118" t="n">
        <v>77.38644408658831</v>
      </c>
      <c r="D1007" s="118" t="n">
        <v>75.57612048745962</v>
      </c>
      <c r="E1007" s="118" t="n">
        <v>75.97516632080078</v>
      </c>
      <c r="F1007" s="119" t="n">
        <v>12636700</v>
      </c>
      <c r="G1007" s="120" t="n">
        <v>-0.007501482785190361</v>
      </c>
      <c r="H1007" s="121" t="n">
        <v>48.59137370158278</v>
      </c>
      <c r="I1007" s="118" t="n">
        <v>71.28993400573731</v>
      </c>
      <c r="J1007" s="118" t="n">
        <v>68.04188659667969</v>
      </c>
      <c r="K1007" s="120" t="n">
        <v>0.2181760719132169</v>
      </c>
      <c r="L1007" s="120" t="n">
        <v>-0.0148915514002127</v>
      </c>
      <c r="M1007" s="120" t="n">
        <v>-0.1124824247186172</v>
      </c>
      <c r="N1007" t="n">
        <v>59.60879300043463</v>
      </c>
      <c r="O1007" t="n">
        <v>0.03046859485874709</v>
      </c>
      <c r="P1007" t="n">
        <v>152.4301386861359</v>
      </c>
      <c r="Q1007" t="n">
        <v>156.9093682505419</v>
      </c>
    </row>
    <row r="1008">
      <c r="A1008" s="117" t="n">
        <v>45897</v>
      </c>
      <c r="B1008" s="118" t="n">
        <v>76.48128157198991</v>
      </c>
      <c r="C1008" s="118" t="n">
        <v>76.55914670846984</v>
      </c>
      <c r="D1008" s="118" t="n">
        <v>75.64424991890095</v>
      </c>
      <c r="E1008" s="118" t="n">
        <v>75.83890533447266</v>
      </c>
      <c r="F1008" s="119" t="n">
        <v>7478600</v>
      </c>
      <c r="G1008" s="120" t="n">
        <v>-0.001793493754956299</v>
      </c>
      <c r="H1008" s="121" t="n">
        <v>48.50422537630424</v>
      </c>
      <c r="I1008" s="118" t="n">
        <v>71.63876182556152</v>
      </c>
      <c r="J1008" s="118" t="n">
        <v>68.0577613067627</v>
      </c>
      <c r="K1008" s="120" t="n">
        <v>0.19415103172677</v>
      </c>
      <c r="L1008" s="120" t="n">
        <v>-0.01665833725073118</v>
      </c>
      <c r="M1008" s="120" t="n">
        <v>-0.1140741819472983</v>
      </c>
      <c r="N1008" t="n">
        <v>58.90748329829695</v>
      </c>
      <c r="O1008" t="n">
        <v>-0.01494955165079492</v>
      </c>
      <c r="P1008" t="n">
        <v>152.969943214838</v>
      </c>
      <c r="Q1008" t="n">
        <v>157.8916140119989</v>
      </c>
    </row>
    <row r="1009">
      <c r="A1009" s="117" t="n">
        <v>45898</v>
      </c>
      <c r="B1009" s="118" t="n">
        <v>75.67344474300025</v>
      </c>
      <c r="C1009" s="118" t="n">
        <v>77.01658488321911</v>
      </c>
      <c r="D1009" s="118" t="n">
        <v>75.06027352313187</v>
      </c>
      <c r="E1009" s="118" t="n">
        <v>75.30359649658203</v>
      </c>
      <c r="F1009" s="119" t="n">
        <v>14208800</v>
      </c>
      <c r="G1009" s="120" t="n">
        <v>-0.007058499005619168</v>
      </c>
      <c r="H1009" s="121" t="n">
        <v>48.16185834971727</v>
      </c>
      <c r="I1009" s="118" t="n">
        <v>71.9864217376709</v>
      </c>
      <c r="J1009" s="118" t="n">
        <v>68.07115085601806</v>
      </c>
      <c r="K1009" s="120" t="n">
        <v>0.1966581597423174</v>
      </c>
      <c r="L1009" s="120" t="n">
        <v>-0.0235992533994307</v>
      </c>
      <c r="M1009" s="120" t="n">
        <v>-0.1203274884530757</v>
      </c>
      <c r="N1009" t="n">
        <v>56.11435390782859</v>
      </c>
      <c r="O1009" t="n">
        <v>-0.08865327896780362</v>
      </c>
      <c r="P1009" t="n">
        <v>152.0576856355428</v>
      </c>
      <c r="Q1009" t="n">
        <v>156.0639291189629</v>
      </c>
    </row>
    <row r="1010">
      <c r="A1010" s="117" t="n">
        <v>45902</v>
      </c>
      <c r="B1010" s="118" t="n">
        <v>74.00238089127545</v>
      </c>
      <c r="C1010" s="118" t="n">
        <v>74.40350790628159</v>
      </c>
      <c r="D1010" s="118" t="n">
        <v>72.39788775968465</v>
      </c>
      <c r="E1010" s="118" t="n">
        <v>72.68161010742188</v>
      </c>
      <c r="F1010" s="119" t="n">
        <v>15078700</v>
      </c>
      <c r="G1010" s="120" t="n">
        <v>-0.03481887334928502</v>
      </c>
      <c r="H1010" s="121" t="n">
        <v>46.48491670357227</v>
      </c>
      <c r="I1010" s="118" t="n">
        <v>72.27619140625001</v>
      </c>
      <c r="J1010" s="118" t="n">
        <v>68.06798484802246</v>
      </c>
      <c r="K1010" s="120" t="n">
        <v>0.2357957909553997</v>
      </c>
      <c r="L1010" s="120" t="n">
        <v>-0.05759642733346315</v>
      </c>
      <c r="M1010" s="120" t="n">
        <v>-0.1509566942214756</v>
      </c>
      <c r="N1010" t="n">
        <v>44.88752821860617</v>
      </c>
      <c r="O1010" t="n">
        <v>-0.3091870168838962</v>
      </c>
      <c r="P1010" t="n">
        <v>150.9308998706015</v>
      </c>
      <c r="Q1010" t="n">
        <v>154.7560859275845</v>
      </c>
    </row>
    <row r="1011">
      <c r="A1011" s="117" t="n">
        <v>45903</v>
      </c>
      <c r="B1011" s="118" t="n">
        <v>72.78923655363829</v>
      </c>
      <c r="C1011" s="118" t="n">
        <v>73.55234830758148</v>
      </c>
      <c r="D1011" s="118" t="n">
        <v>72.30984717614893</v>
      </c>
      <c r="E1011" s="118" t="n">
        <v>73.12187194824219</v>
      </c>
      <c r="F1011" s="119" t="n">
        <v>8300100</v>
      </c>
      <c r="G1011" s="120" t="n">
        <v>0.006057403518848981</v>
      </c>
      <c r="H1011" s="121" t="n">
        <v>46.76649460158588</v>
      </c>
      <c r="I1011" s="118" t="n">
        <v>72.55549522399902</v>
      </c>
      <c r="J1011" s="118" t="n">
        <v>68.06673305511475</v>
      </c>
      <c r="K1011" s="120" t="n">
        <v>0.2356489808503708</v>
      </c>
      <c r="L1011" s="120" t="n">
        <v>-0.05188790861621706</v>
      </c>
      <c r="M1011" s="120" t="n">
        <v>-0.1458136963133976</v>
      </c>
      <c r="N1011" t="n">
        <v>46.81178798586306</v>
      </c>
      <c r="O1011" t="n">
        <v>-0.4140599900964841</v>
      </c>
      <c r="P1011" t="n">
        <v>151.748876771035</v>
      </c>
      <c r="Q1011" t="n">
        <v>155.9736364076452</v>
      </c>
    </row>
    <row r="1012">
      <c r="A1012" s="117" t="n">
        <v>45904</v>
      </c>
      <c r="B1012" s="118" t="n">
        <v>73.13165760876444</v>
      </c>
      <c r="C1012" s="118" t="n">
        <v>74.12957125776539</v>
      </c>
      <c r="D1012" s="118" t="n">
        <v>72.89685571444967</v>
      </c>
      <c r="E1012" s="118" t="n">
        <v>73.71866607666016</v>
      </c>
      <c r="F1012" s="119" t="n">
        <v>11096200</v>
      </c>
      <c r="G1012" s="120" t="n">
        <v>0.008161636354720114</v>
      </c>
      <c r="H1012" s="121" t="n">
        <v>47.14818572410901</v>
      </c>
      <c r="I1012" s="118" t="n">
        <v>72.83427680969238</v>
      </c>
      <c r="J1012" s="118" t="n">
        <v>68.06913516998291</v>
      </c>
      <c r="K1012" s="120" t="n">
        <v>0.2314958674750943</v>
      </c>
      <c r="L1012" s="120" t="n">
        <v>-0.04414976250282943</v>
      </c>
      <c r="M1012" s="120" t="n">
        <v>-0.1388421383235249</v>
      </c>
      <c r="N1012" t="n">
        <v>49.39129783406198</v>
      </c>
      <c r="O1012" t="n">
        <v>-0.4300081707844422</v>
      </c>
      <c r="P1012" t="n">
        <v>153.0171053751326</v>
      </c>
      <c r="Q1012" t="n">
        <v>157.3854479393551</v>
      </c>
    </row>
    <row r="1013">
      <c r="A1013" s="117" t="n">
        <v>45905</v>
      </c>
      <c r="B1013" s="118" t="n">
        <v>73.1805757879239</v>
      </c>
      <c r="C1013" s="118" t="n">
        <v>73.77736982636296</v>
      </c>
      <c r="D1013" s="118" t="n">
        <v>72.035900727704</v>
      </c>
      <c r="E1013" s="118" t="n">
        <v>72.30984497070312</v>
      </c>
      <c r="F1013" s="119" t="n">
        <v>13758400</v>
      </c>
      <c r="G1013" s="120" t="n">
        <v>-0.01911077859835386</v>
      </c>
      <c r="H1013" s="121" t="n">
        <v>46.2471471854215</v>
      </c>
      <c r="I1013" s="118" t="n">
        <v>73.09636672973633</v>
      </c>
      <c r="J1013" s="118" t="n">
        <v>68.06851303100586</v>
      </c>
      <c r="K1013" s="120" t="n">
        <v>0.2355427909880987</v>
      </c>
      <c r="L1013" s="120" t="n">
        <v>-0.06241680476482181</v>
      </c>
      <c r="M1013" s="120" t="n">
        <v>-0.1552995355562559</v>
      </c>
      <c r="N1013" t="n">
        <v>43.97010014174242</v>
      </c>
      <c r="O1013" t="n">
        <v>-0.5163975874646742</v>
      </c>
      <c r="P1013" t="n">
        <v>152.5739236313401</v>
      </c>
      <c r="Q1013" t="n">
        <v>157.6125305006377</v>
      </c>
    </row>
    <row r="1014">
      <c r="A1014" s="117" t="n">
        <v>45908</v>
      </c>
      <c r="B1014" s="118" t="n">
        <v>72.65227394459478</v>
      </c>
      <c r="C1014" s="118" t="n">
        <v>72.96534564970874</v>
      </c>
      <c r="D1014" s="118" t="n">
        <v>72.11417845257787</v>
      </c>
      <c r="E1014" s="118" t="n">
        <v>72.54465484619141</v>
      </c>
      <c r="F1014" s="119" t="n">
        <v>13793300</v>
      </c>
      <c r="G1014" s="120" t="n">
        <v>0.003247273944279927</v>
      </c>
      <c r="H1014" s="121" t="n">
        <v>46.397324341474</v>
      </c>
      <c r="I1014" s="118" t="n">
        <v>73.32986633300781</v>
      </c>
      <c r="J1014" s="118" t="n">
        <v>68.06437515258789</v>
      </c>
      <c r="K1014" s="120" t="n">
        <v>0.2356478864159236</v>
      </c>
      <c r="L1014" s="120" t="n">
        <v>-0.05937221528433989</v>
      </c>
      <c r="M1014" s="120" t="n">
        <v>-0.1525565617473466</v>
      </c>
      <c r="N1014" t="n">
        <v>45.05262272861241</v>
      </c>
      <c r="O1014" t="n">
        <v>-0.5363398662447427</v>
      </c>
      <c r="P1014" t="n">
        <v>152.9487478824662</v>
      </c>
      <c r="Q1014" t="n">
        <v>158.3813525499131</v>
      </c>
    </row>
    <row r="1015">
      <c r="A1015" s="117" t="n">
        <v>45909</v>
      </c>
      <c r="B1015" s="118" t="n">
        <v>72.38810952702677</v>
      </c>
      <c r="C1015" s="118" t="n">
        <v>72.9359905657374</v>
      </c>
      <c r="D1015" s="118" t="n">
        <v>71.46846566473035</v>
      </c>
      <c r="E1015" s="118" t="n">
        <v>72.00655364990234</v>
      </c>
      <c r="F1015" s="119" t="n">
        <v>8740200</v>
      </c>
      <c r="G1015" s="120" t="n">
        <v>-0.007417516802994517</v>
      </c>
      <c r="H1015" s="121" t="n">
        <v>46.05317140855713</v>
      </c>
      <c r="I1015" s="118" t="n">
        <v>73.36767837524414</v>
      </c>
      <c r="J1015" s="118" t="n">
        <v>68.06601718902589</v>
      </c>
      <c r="K1015" s="120" t="n">
        <v>0.2371041773809502</v>
      </c>
      <c r="L1015" s="120" t="n">
        <v>-0.0663493376828318</v>
      </c>
      <c r="M1015" s="120" t="n">
        <v>-0.1588424876901731</v>
      </c>
      <c r="N1015" t="n">
        <v>43.0022150037715</v>
      </c>
      <c r="O1015" t="n">
        <v>-0.5616919109713289</v>
      </c>
      <c r="P1015" t="n">
        <v>153.3023331594929</v>
      </c>
      <c r="Q1015" t="n">
        <v>158.8300809806984</v>
      </c>
    </row>
    <row r="1016">
      <c r="A1016" s="117" t="n">
        <v>45910</v>
      </c>
      <c r="B1016" s="118" t="n">
        <v>73.62083655977088</v>
      </c>
      <c r="C1016" s="118" t="n">
        <v>73.82628916144083</v>
      </c>
      <c r="D1016" s="118" t="n">
        <v>71.74240637517312</v>
      </c>
      <c r="E1016" s="118" t="n">
        <v>72.64248657226562</v>
      </c>
      <c r="F1016" s="119" t="n">
        <v>11359300</v>
      </c>
      <c r="G1016" s="120" t="n">
        <v>0.008831597821709503</v>
      </c>
      <c r="H1016" s="121" t="n">
        <v>46.45989449685175</v>
      </c>
      <c r="I1016" s="118" t="n">
        <v>73.43767501831054</v>
      </c>
      <c r="J1016" s="118" t="n">
        <v>68.07552871704101</v>
      </c>
      <c r="K1016" s="120" t="n">
        <v>0.2353264776177572</v>
      </c>
      <c r="L1016" s="120" t="n">
        <v>-0.05810371052727392</v>
      </c>
      <c r="M1016" s="120" t="n">
        <v>-0.1514137228367431</v>
      </c>
      <c r="N1016" t="n">
        <v>46.12294390630154</v>
      </c>
      <c r="O1016" t="n">
        <v>-0.5129013719334542</v>
      </c>
      <c r="P1016" t="n">
        <v>153.7455003560429</v>
      </c>
      <c r="Q1016" t="n">
        <v>158.8820483709513</v>
      </c>
    </row>
    <row r="1017">
      <c r="A1017" s="117" t="n">
        <v>45911</v>
      </c>
      <c r="B1017" s="118" t="n">
        <v>72.79901868374928</v>
      </c>
      <c r="C1017" s="118" t="n">
        <v>73.89476578022953</v>
      </c>
      <c r="D1017" s="118" t="n">
        <v>72.40767723605607</v>
      </c>
      <c r="E1017" s="118" t="n">
        <v>72.72074890136719</v>
      </c>
      <c r="F1017" s="119" t="n">
        <v>9803400</v>
      </c>
      <c r="G1017" s="120" t="n">
        <v>0.001077363025337785</v>
      </c>
      <c r="H1017" s="121" t="n">
        <v>46.50994866934376</v>
      </c>
      <c r="I1017" s="118" t="n">
        <v>73.46310287475586</v>
      </c>
      <c r="J1017" s="118" t="n">
        <v>68.08806369781495</v>
      </c>
      <c r="K1017" s="120" t="n">
        <v>0.2055442184700064</v>
      </c>
      <c r="L1017" s="120" t="n">
        <v>-0.05708894629129302</v>
      </c>
      <c r="M1017" s="120" t="n">
        <v>-0.1504994873579183</v>
      </c>
      <c r="N1017" t="n">
        <v>46.51108355404557</v>
      </c>
      <c r="O1017" t="n">
        <v>-0.4546176069173172</v>
      </c>
      <c r="P1017" t="n">
        <v>155.0231701205449</v>
      </c>
      <c r="Q1017" t="n">
        <v>159.8068397106369</v>
      </c>
    </row>
    <row r="1018">
      <c r="A1018" s="117" t="n">
        <v>45912</v>
      </c>
      <c r="B1018" s="118" t="n">
        <v>72.63269215231372</v>
      </c>
      <c r="C1018" s="118" t="n">
        <v>72.67182704276239</v>
      </c>
      <c r="D1018" s="118" t="n">
        <v>70.37270634447715</v>
      </c>
      <c r="E1018" s="118" t="n">
        <v>71.41954040527344</v>
      </c>
      <c r="F1018" s="119" t="n">
        <v>11806000</v>
      </c>
      <c r="G1018" s="120" t="n">
        <v>-0.01789322188992593</v>
      </c>
      <c r="H1018" s="121" t="n">
        <v>45.67773583771412</v>
      </c>
      <c r="I1018" s="118" t="n">
        <v>73.40449829101563</v>
      </c>
      <c r="J1018" s="118" t="n">
        <v>68.08576572418212</v>
      </c>
      <c r="K1018" s="120" t="n">
        <v>0.2114081637613281</v>
      </c>
      <c r="L1018" s="120" t="n">
        <v>-0.07396066299776682</v>
      </c>
      <c r="M1018" s="120" t="n">
        <v>-0.1656997885262289</v>
      </c>
      <c r="N1018" t="n">
        <v>41.19699817733979</v>
      </c>
      <c r="O1018" t="n">
        <v>-0.4804374429265921</v>
      </c>
      <c r="P1018" t="n">
        <v>154.9712801064268</v>
      </c>
      <c r="Q1018" t="n">
        <v>160.5127203066225</v>
      </c>
    </row>
    <row r="1019">
      <c r="A1019" s="117" t="n">
        <v>45915</v>
      </c>
      <c r="B1019" s="118" t="n">
        <v>71.59565230623927</v>
      </c>
      <c r="C1019" s="118" t="n">
        <v>71.62500161155759</v>
      </c>
      <c r="D1019" s="118" t="n">
        <v>71.00864380721896</v>
      </c>
      <c r="E1019" s="118" t="n">
        <v>71.44889831542969</v>
      </c>
      <c r="F1019" s="119" t="n">
        <v>10323800</v>
      </c>
      <c r="G1019" s="120" t="n">
        <v>0.0004110627146247658</v>
      </c>
      <c r="H1019" s="121" t="n">
        <v>45.69651225180549</v>
      </c>
      <c r="I1019" s="118" t="n">
        <v>73.34648086547851</v>
      </c>
      <c r="J1019" s="118" t="n">
        <v>68.07260776519776</v>
      </c>
      <c r="K1019" s="120" t="n">
        <v>0.2086392861669507</v>
      </c>
      <c r="L1019" s="120" t="n">
        <v>-0.07358000275404941</v>
      </c>
      <c r="M1019" s="120" t="n">
        <v>-0.1653568388164884</v>
      </c>
      <c r="N1019" t="n">
        <v>41.35978922686265</v>
      </c>
      <c r="O1019" t="n">
        <v>-0.4716096145161647</v>
      </c>
      <c r="P1019" t="n">
        <v>155.7963560612169</v>
      </c>
      <c r="Q1019" t="n">
        <v>161.8862232971805</v>
      </c>
    </row>
    <row r="1020">
      <c r="A1020" s="117" t="n">
        <v>45916</v>
      </c>
      <c r="B1020" s="118" t="n">
        <v>71.22387775748686</v>
      </c>
      <c r="C1020" s="118" t="n">
        <v>71.79131504302825</v>
      </c>
      <c r="D1020" s="118" t="n">
        <v>70.5292427399647</v>
      </c>
      <c r="E1020" s="118" t="n">
        <v>71.17495727539062</v>
      </c>
      <c r="F1020" s="119" t="n">
        <v>8813600</v>
      </c>
      <c r="G1020" s="120" t="n">
        <v>-0.003834083470814043</v>
      </c>
      <c r="H1020" s="121" t="n">
        <v>45.52130800950699</v>
      </c>
      <c r="I1020" s="118" t="n">
        <v>73.28025939941406</v>
      </c>
      <c r="J1020" s="118" t="n">
        <v>68.04917892456055</v>
      </c>
      <c r="K1020" s="120" t="n">
        <v>0.2063824277689149</v>
      </c>
      <c r="L1020" s="120" t="n">
        <v>-0.07713197435252162</v>
      </c>
      <c r="M1020" s="120" t="n">
        <v>-0.1685569303648101</v>
      </c>
      <c r="N1020" t="n">
        <v>40.24032767735233</v>
      </c>
      <c r="O1020" t="n">
        <v>-0.4598090073683434</v>
      </c>
      <c r="P1020" t="n">
        <v>155.5818424228133</v>
      </c>
      <c r="Q1020" t="n">
        <v>161.7494166673027</v>
      </c>
    </row>
    <row r="1021">
      <c r="A1021" s="117" t="n">
        <v>45917</v>
      </c>
      <c r="B1021" s="118" t="n">
        <v>71.48803201499382</v>
      </c>
      <c r="C1021" s="118" t="n">
        <v>71.73261950751319</v>
      </c>
      <c r="D1021" s="118" t="n">
        <v>70.05964195438683</v>
      </c>
      <c r="E1021" s="118" t="n">
        <v>70.74448394775391</v>
      </c>
      <c r="F1021" s="119" t="n">
        <v>11108700</v>
      </c>
      <c r="G1021" s="120" t="n">
        <v>-0.006048100962971148</v>
      </c>
      <c r="H1021" s="121" t="n">
        <v>45.24599054269898</v>
      </c>
      <c r="I1021" s="118" t="n">
        <v>73.25623428344727</v>
      </c>
      <c r="J1021" s="118" t="n">
        <v>68.03149391174317</v>
      </c>
      <c r="K1021" s="120" t="n">
        <v>0.2061226717677068</v>
      </c>
      <c r="L1021" s="120" t="n">
        <v>-0.08271357334713547</v>
      </c>
      <c r="M1021" s="120" t="n">
        <v>-0.1735855819949264</v>
      </c>
      <c r="N1021" t="n">
        <v>38.47788155922619</v>
      </c>
      <c r="O1021" t="n">
        <v>-0.4557052545954159</v>
      </c>
      <c r="P1021" t="n">
        <v>155.3885386640241</v>
      </c>
      <c r="Q1021" t="n">
        <v>161.426571143097</v>
      </c>
    </row>
    <row r="1022">
      <c r="A1022" s="117" t="n">
        <v>45918</v>
      </c>
      <c r="B1022" s="118" t="n">
        <v>71.85001706428805</v>
      </c>
      <c r="C1022" s="118" t="n">
        <v>72.00654916258082</v>
      </c>
      <c r="D1022" s="118" t="n">
        <v>70.07919871842583</v>
      </c>
      <c r="E1022" s="118" t="n">
        <v>70.53902435302734</v>
      </c>
      <c r="F1022" s="119" t="n">
        <v>14918400</v>
      </c>
      <c r="G1022" s="120" t="n">
        <v>-0.002904248971245527</v>
      </c>
      <c r="H1022" s="121" t="n">
        <v>45.11458492121236</v>
      </c>
      <c r="I1022" s="118" t="n">
        <v>73.23510787963868</v>
      </c>
      <c r="J1022" s="118" t="n">
        <v>68.00928810119629</v>
      </c>
      <c r="K1022" s="120" t="n">
        <v>0.2051598905421537</v>
      </c>
      <c r="L1022" s="120" t="n">
        <v>-0.0853776015080796</v>
      </c>
      <c r="M1022" s="120" t="n">
        <v>-0.17598569521824</v>
      </c>
      <c r="N1022" t="n">
        <v>37.63072860400281</v>
      </c>
      <c r="O1022" t="n">
        <v>-0.4412423713171627</v>
      </c>
      <c r="P1022" t="n">
        <v>156.114576991644</v>
      </c>
      <c r="Q1022" t="n">
        <v>162.8821446876513</v>
      </c>
    </row>
    <row r="1023">
      <c r="A1023" s="117" t="n">
        <v>45919</v>
      </c>
      <c r="B1023" s="118" t="n">
        <v>70.45098694699428</v>
      </c>
      <c r="C1023" s="118" t="n">
        <v>70.6857888615359</v>
      </c>
      <c r="D1023" s="118" t="n">
        <v>69.20847824309915</v>
      </c>
      <c r="E1023" s="118" t="n">
        <v>69.35523223876953</v>
      </c>
      <c r="F1023" s="119" t="n">
        <v>33415600</v>
      </c>
      <c r="G1023" s="120" t="n">
        <v>-0.01678208800185943</v>
      </c>
      <c r="H1023" s="121" t="n">
        <v>44.35746798689722</v>
      </c>
      <c r="I1023" s="118" t="n">
        <v>73.16967163085937</v>
      </c>
      <c r="J1023" s="118" t="n">
        <v>67.9791056060791</v>
      </c>
      <c r="K1023" s="120" t="n">
        <v>0.211233239090046</v>
      </c>
      <c r="L1023" s="120" t="n">
        <v>-0.1007268750880427</v>
      </c>
      <c r="M1023" s="120" t="n">
        <v>-0.1898143757958786</v>
      </c>
      <c r="N1023" t="n">
        <v>33.10784612221988</v>
      </c>
      <c r="O1023" t="n">
        <v>-0.4824739691830728</v>
      </c>
      <c r="P1023" t="n">
        <v>156.8878065740436</v>
      </c>
      <c r="Q1023" t="n">
        <v>163.9847527643436</v>
      </c>
    </row>
    <row r="1024">
      <c r="A1024" s="117" t="n">
        <v>45922</v>
      </c>
      <c r="B1024" s="118" t="n">
        <v>69.25738890800901</v>
      </c>
      <c r="C1024" s="118" t="n">
        <v>70.92058071849269</v>
      </c>
      <c r="D1024" s="118" t="n">
        <v>68.9051823540355</v>
      </c>
      <c r="E1024" s="118" t="n">
        <v>69.73677825927734</v>
      </c>
      <c r="F1024" s="119" t="n">
        <v>12336300</v>
      </c>
      <c r="G1024" s="120" t="n">
        <v>0.005501330010607708</v>
      </c>
      <c r="H1024" s="121" t="n">
        <v>44.60149305672811</v>
      </c>
      <c r="I1024" s="118" t="n">
        <v>73.15060333251954</v>
      </c>
      <c r="J1024" s="118" t="n">
        <v>67.94736766815186</v>
      </c>
      <c r="K1024" s="120" t="n">
        <v>0.1777134570949004</v>
      </c>
      <c r="L1024" s="120" t="n">
        <v>-0.09577967685823152</v>
      </c>
      <c r="M1024" s="120" t="n">
        <v>-0.1853572773072815</v>
      </c>
      <c r="N1024" t="n">
        <v>35.78672848052229</v>
      </c>
      <c r="O1024" t="n">
        <v>-0.4554564817409391</v>
      </c>
      <c r="P1024" t="n">
        <v>157.6300359826036</v>
      </c>
      <c r="Q1024" t="n">
        <v>164.9555546252024</v>
      </c>
    </row>
    <row r="1025">
      <c r="A1025" s="117" t="n">
        <v>45923</v>
      </c>
      <c r="B1025" s="118" t="n">
        <v>70.02049908633626</v>
      </c>
      <c r="C1025" s="118" t="n">
        <v>70.85209497336108</v>
      </c>
      <c r="D1025" s="118" t="n">
        <v>69.19868878787891</v>
      </c>
      <c r="E1025" s="118" t="n">
        <v>69.39435577392578</v>
      </c>
      <c r="F1025" s="119" t="n">
        <v>10432400</v>
      </c>
      <c r="G1025" s="120" t="n">
        <v>-0.004910213719344081</v>
      </c>
      <c r="H1025" s="121" t="n">
        <v>44.38249019361773</v>
      </c>
      <c r="I1025" s="118" t="n">
        <v>73.13208343505859</v>
      </c>
      <c r="J1025" s="118" t="n">
        <v>67.91502388000488</v>
      </c>
      <c r="K1025" s="120" t="n">
        <v>0.169259446833242</v>
      </c>
      <c r="L1025" s="120" t="n">
        <v>-0.1002195918942319</v>
      </c>
      <c r="M1025" s="120" t="n">
        <v>-0.1893573471806111</v>
      </c>
      <c r="N1025" t="n">
        <v>34.45318296642255</v>
      </c>
      <c r="O1025" t="n">
        <v>-0.4322419924385035</v>
      </c>
      <c r="P1025" t="n">
        <v>156.7719959762319</v>
      </c>
      <c r="Q1025" t="n">
        <v>163.859876652538</v>
      </c>
    </row>
    <row r="1026">
      <c r="A1026" s="117" t="n">
        <v>45924</v>
      </c>
      <c r="B1026" s="118" t="n">
        <v>69.13998229312701</v>
      </c>
      <c r="C1026" s="118" t="n">
        <v>69.98136376351616</v>
      </c>
      <c r="D1026" s="118" t="n">
        <v>68.92474413127624</v>
      </c>
      <c r="E1026" s="118" t="n">
        <v>69.67807769775391</v>
      </c>
      <c r="F1026" s="119" t="n">
        <v>10024500</v>
      </c>
      <c r="G1026" s="120" t="n">
        <v>0.004088544675772132</v>
      </c>
      <c r="H1026" s="121" t="n">
        <v>44.56394998759636</v>
      </c>
      <c r="I1026" s="118" t="n">
        <v>73.12429931640625</v>
      </c>
      <c r="J1026" s="118" t="n">
        <v>67.88645557403565</v>
      </c>
      <c r="K1026" s="120" t="n">
        <v>0.1722898192445468</v>
      </c>
      <c r="L1026" s="120" t="n">
        <v>-0.09654079949730698</v>
      </c>
      <c r="M1026" s="120" t="n">
        <v>-0.1860429984784726</v>
      </c>
      <c r="N1026" t="n">
        <v>36.56252514185648</v>
      </c>
      <c r="O1026" t="n">
        <v>-0.3716838502423891</v>
      </c>
      <c r="P1026" t="n">
        <v>156.2731855769901</v>
      </c>
      <c r="Q1026" t="n">
        <v>163.2846276784829</v>
      </c>
    </row>
    <row r="1027">
      <c r="A1027" s="117" t="n">
        <v>45925</v>
      </c>
      <c r="B1027" s="118" t="n">
        <v>69.61938135962262</v>
      </c>
      <c r="C1027" s="118" t="n">
        <v>69.61938135962262</v>
      </c>
      <c r="D1027" s="118" t="n">
        <v>67.55506250631542</v>
      </c>
      <c r="E1027" s="118" t="n">
        <v>67.74094390869141</v>
      </c>
      <c r="F1027" s="119" t="n">
        <v>13075300</v>
      </c>
      <c r="G1027" s="120" t="n">
        <v>-0.0278011944799238</v>
      </c>
      <c r="H1027" s="121" t="n">
        <v>43.32501894719759</v>
      </c>
      <c r="I1027" s="118" t="n">
        <v>73.07563125610352</v>
      </c>
      <c r="J1027" s="118" t="n">
        <v>67.84719150543214</v>
      </c>
      <c r="K1027" s="120" t="n">
        <v>0.1908391976085194</v>
      </c>
      <c r="L1027" s="120" t="n">
        <v>-0.1216580444351589</v>
      </c>
      <c r="M1027" s="120" t="n">
        <v>-0.2086719753760683</v>
      </c>
      <c r="N1027" t="n">
        <v>29.56656007193534</v>
      </c>
      <c r="O1027" t="n">
        <v>-0.4317766683549717</v>
      </c>
      <c r="P1027" t="n">
        <v>155.552238784257</v>
      </c>
      <c r="Q1027" t="n">
        <v>162.580659992568</v>
      </c>
    </row>
    <row r="1028">
      <c r="A1028" s="117" t="n">
        <v>45926</v>
      </c>
      <c r="B1028" s="118" t="n">
        <v>67.87791718167053</v>
      </c>
      <c r="C1028" s="118" t="n">
        <v>67.93662325463075</v>
      </c>
      <c r="D1028" s="118" t="n">
        <v>66.55714623544138</v>
      </c>
      <c r="E1028" s="118" t="n">
        <v>67.80943298339844</v>
      </c>
      <c r="F1028" s="119" t="n">
        <v>15627600</v>
      </c>
      <c r="G1028" s="120" t="n">
        <v>0.001011043997251493</v>
      </c>
      <c r="H1028" s="121" t="n">
        <v>43.36882244753496</v>
      </c>
      <c r="I1028" s="118" t="n">
        <v>73.01120300292969</v>
      </c>
      <c r="J1028" s="118" t="n">
        <v>67.80677875518799</v>
      </c>
      <c r="K1028" s="120" t="n">
        <v>0.1918478314129208</v>
      </c>
      <c r="L1028" s="120" t="n">
        <v>-0.120770002073451</v>
      </c>
      <c r="M1028" s="120" t="n">
        <v>-0.2078719079269153</v>
      </c>
      <c r="N1028" t="n">
        <v>30.07598963549918</v>
      </c>
      <c r="O1028" t="n">
        <v>-0.4353627341357205</v>
      </c>
      <c r="P1028" t="n">
        <v>156.4434028618782</v>
      </c>
      <c r="Q1028" t="n">
        <v>163.249020703308</v>
      </c>
    </row>
    <row r="1029">
      <c r="A1029" s="117" t="n">
        <v>45929</v>
      </c>
      <c r="B1029" s="118" t="n">
        <v>68.25947358063465</v>
      </c>
      <c r="C1029" s="118" t="n">
        <v>68.44536246200835</v>
      </c>
      <c r="D1029" s="118" t="n">
        <v>67.25177431381108</v>
      </c>
      <c r="E1029" s="118" t="n">
        <v>68.04424285888672</v>
      </c>
      <c r="F1029" s="119" t="n">
        <v>18479300</v>
      </c>
      <c r="G1029" s="120" t="n">
        <v>0.003462790723316678</v>
      </c>
      <c r="H1029" s="121" t="n">
        <v>43.51899960358745</v>
      </c>
      <c r="I1029" s="118" t="n">
        <v>72.96139846801758</v>
      </c>
      <c r="J1029" s="118" t="n">
        <v>67.77355255126953</v>
      </c>
      <c r="K1029" s="120" t="n">
        <v>0.1943401385195427</v>
      </c>
      <c r="L1029" s="120" t="n">
        <v>-0.1177254125929692</v>
      </c>
      <c r="M1029" s="120" t="n">
        <v>-0.205128934118006</v>
      </c>
      <c r="N1029" t="n">
        <v>31.89470961093485</v>
      </c>
      <c r="O1029" t="n">
        <v>-0.3917369900925776</v>
      </c>
      <c r="P1029" t="n">
        <v>156.8830787202201</v>
      </c>
      <c r="Q1029" t="n">
        <v>164.0050396790403</v>
      </c>
    </row>
    <row r="1030">
      <c r="A1030" s="117" t="n">
        <v>45930</v>
      </c>
      <c r="B1030" s="118" t="n">
        <v>68.55297993995462</v>
      </c>
      <c r="C1030" s="118" t="n">
        <v>68.68994833430277</v>
      </c>
      <c r="D1030" s="118" t="n">
        <v>67.3300425159764</v>
      </c>
      <c r="E1030" s="118" t="n">
        <v>68.22034454345703</v>
      </c>
      <c r="F1030" s="119" t="n">
        <v>40567700</v>
      </c>
      <c r="G1030" s="120" t="n">
        <v>0.002588046793841503</v>
      </c>
      <c r="H1030" s="121" t="n">
        <v>43.63162881098271</v>
      </c>
      <c r="I1030" s="118" t="n">
        <v>72.88494415283203</v>
      </c>
      <c r="J1030" s="118" t="n">
        <v>67.74553581237792</v>
      </c>
      <c r="K1030" s="120" t="n">
        <v>0.1606061086471247</v>
      </c>
      <c r="L1030" s="120" t="n">
        <v>-0.1154420446757425</v>
      </c>
      <c r="M1030" s="120" t="n">
        <v>-0.2030717706044328</v>
      </c>
      <c r="N1030" t="n">
        <v>33.29598444629775</v>
      </c>
      <c r="O1030" t="n">
        <v>-0.3236605036381284</v>
      </c>
      <c r="P1030" t="n">
        <v>157.474031353671</v>
      </c>
      <c r="Q1030" t="n">
        <v>164.4542715072127</v>
      </c>
    </row>
    <row r="1031">
      <c r="A1031" s="117" t="n">
        <v>45931</v>
      </c>
      <c r="B1031" s="118" t="n">
        <v>72.74031324231474</v>
      </c>
      <c r="C1031" s="118" t="n">
        <v>73.0729560881994</v>
      </c>
      <c r="D1031" s="118" t="n">
        <v>70.05963661845117</v>
      </c>
      <c r="E1031" s="118" t="n">
        <v>72.59355926513672</v>
      </c>
      <c r="F1031" s="119" t="n">
        <v>57921900</v>
      </c>
      <c r="G1031" s="120" t="n">
        <v>0.06410426026057237</v>
      </c>
      <c r="H1031" s="121" t="n">
        <v>46.42860209987463</v>
      </c>
      <c r="I1031" s="118" t="n">
        <v>72.86928573608398</v>
      </c>
      <c r="J1031" s="118" t="n">
        <v>67.72923606872558</v>
      </c>
      <c r="K1031" s="120" t="n">
        <v>0.2870013922452092</v>
      </c>
      <c r="L1031" s="120" t="n">
        <v>-0.05873811129207662</v>
      </c>
      <c r="M1031" s="120" t="n">
        <v>-0.149035725627879</v>
      </c>
      <c r="N1031" t="n">
        <v>56.97224586574311</v>
      </c>
      <c r="O1031" t="n">
        <v>0.02476018912369282</v>
      </c>
      <c r="P1031" t="n">
        <v>158.0106354890156</v>
      </c>
      <c r="Q1031" t="n">
        <v>165.243162332317</v>
      </c>
    </row>
    <row r="1032">
      <c r="A1032" s="117" t="n">
        <v>45932</v>
      </c>
      <c r="B1032" s="118" t="n">
        <v>73.37624957297592</v>
      </c>
      <c r="C1032" s="118" t="n">
        <v>75.30360025603431</v>
      </c>
      <c r="D1032" s="118" t="n">
        <v>72.2804948922343</v>
      </c>
      <c r="E1032" s="118" t="n">
        <v>72.95555877685547</v>
      </c>
      <c r="F1032" s="119" t="n">
        <v>26254400</v>
      </c>
      <c r="G1032" s="120" t="n">
        <v>0.004986661563136874</v>
      </c>
      <c r="H1032" s="121" t="n">
        <v>46.66012582539626</v>
      </c>
      <c r="I1032" s="118" t="n">
        <v>72.83439392089844</v>
      </c>
      <c r="J1032" s="118" t="n">
        <v>67.7190272140503</v>
      </c>
      <c r="K1032" s="120" t="n">
        <v>0.2859924493991607</v>
      </c>
      <c r="L1032" s="120" t="n">
        <v>-0.0540443568108111</v>
      </c>
      <c r="M1032" s="120" t="n">
        <v>-0.1447922547892651</v>
      </c>
      <c r="N1032" t="n">
        <v>58.29193916781202</v>
      </c>
      <c r="O1032" t="n">
        <v>0.27458759352763</v>
      </c>
      <c r="P1032" t="n">
        <v>158.1926214931136</v>
      </c>
      <c r="Q1032" t="n">
        <v>165.922497106094</v>
      </c>
    </row>
    <row r="1033">
      <c r="A1033" s="117" t="n">
        <v>45933</v>
      </c>
      <c r="B1033" s="118" t="n">
        <v>73.16100700586584</v>
      </c>
      <c r="C1033" s="118" t="n">
        <v>73.16100700586584</v>
      </c>
      <c r="D1033" s="118" t="n">
        <v>70.36292559230155</v>
      </c>
      <c r="E1033" s="118" t="n">
        <v>70.37271118164062</v>
      </c>
      <c r="F1033" s="119" t="n">
        <v>18794900</v>
      </c>
      <c r="G1033" s="120" t="n">
        <v>-0.03540302669896389</v>
      </c>
      <c r="H1033" s="121" t="n">
        <v>45.00821614502274</v>
      </c>
      <c r="I1033" s="118" t="n">
        <v>72.77373474121094</v>
      </c>
      <c r="J1033" s="118" t="n">
        <v>67.69931926727295</v>
      </c>
      <c r="K1033" s="120" t="n">
        <v>0.3053451169777074</v>
      </c>
      <c r="L1033" s="120" t="n">
        <v>-0.08753404970267353</v>
      </c>
      <c r="M1033" s="120" t="n">
        <v>-0.124063882168879</v>
      </c>
      <c r="N1033" t="n">
        <v>47.17445115942211</v>
      </c>
      <c r="O1033" t="n">
        <v>0.260963166165461</v>
      </c>
      <c r="P1033" t="n">
        <v>158.1902793870656</v>
      </c>
      <c r="Q1033" t="n">
        <v>165.2239996717846</v>
      </c>
    </row>
    <row r="1034">
      <c r="A1034" s="117" t="n">
        <v>45936</v>
      </c>
      <c r="B1034" s="118" t="n">
        <v>70.46076163197728</v>
      </c>
      <c r="C1034" s="118" t="n">
        <v>70.82275380839046</v>
      </c>
      <c r="D1034" s="118" t="n">
        <v>69.47263353543669</v>
      </c>
      <c r="E1034" s="118" t="n">
        <v>69.62916564941406</v>
      </c>
      <c r="F1034" s="119" t="n">
        <v>14039600</v>
      </c>
      <c r="G1034" s="120" t="n">
        <v>-0.01056582188950173</v>
      </c>
      <c r="H1034" s="121" t="n">
        <v>44.53266734967023</v>
      </c>
      <c r="I1034" s="118" t="n">
        <v>72.68165863037109</v>
      </c>
      <c r="J1034" s="118" t="n">
        <v>67.67613407135009</v>
      </c>
      <c r="K1034" s="120" t="n">
        <v>0.3066202980877107</v>
      </c>
      <c r="L1034" s="120" t="n">
        <v>-0.0971750024137501</v>
      </c>
      <c r="M1034" s="120" t="n">
        <v>-0.1333188671764641</v>
      </c>
      <c r="N1034" t="n">
        <v>44.54084923468069</v>
      </c>
      <c r="O1034" t="n">
        <v>0.1997116224298628</v>
      </c>
      <c r="P1034" t="n">
        <v>158.7575927513991</v>
      </c>
      <c r="Q1034" t="n">
        <v>166.4648574508642</v>
      </c>
    </row>
    <row r="1035">
      <c r="A1035" s="117" t="n">
        <v>45937</v>
      </c>
      <c r="B1035" s="118" t="n">
        <v>69.68787791507587</v>
      </c>
      <c r="C1035" s="118" t="n">
        <v>70.0302989425296</v>
      </c>
      <c r="D1035" s="118" t="n">
        <v>67.40832048854044</v>
      </c>
      <c r="E1035" s="118" t="n">
        <v>67.41810607910156</v>
      </c>
      <c r="F1035" s="119" t="n">
        <v>17368000</v>
      </c>
      <c r="G1035" s="120" t="n">
        <v>-0.03175479053483543</v>
      </c>
      <c r="H1035" s="121" t="n">
        <v>43.11854182602395</v>
      </c>
      <c r="I1035" s="118" t="n">
        <v>72.48754760742187</v>
      </c>
      <c r="J1035" s="118" t="n">
        <v>67.63804557800293</v>
      </c>
      <c r="K1035" s="120" t="n">
        <v>0.3241253685135863</v>
      </c>
      <c r="L1035" s="120" t="n">
        <v>-0.1258440211017147</v>
      </c>
      <c r="M1035" s="120" t="n">
        <v>-0.1608401450097694</v>
      </c>
      <c r="N1035" t="n">
        <v>37.78552374187038</v>
      </c>
      <c r="O1035" t="n">
        <v>0.01771073126266454</v>
      </c>
      <c r="P1035" t="n">
        <v>158.1689967712387</v>
      </c>
      <c r="Q1035" t="n">
        <v>165.5883251406804</v>
      </c>
    </row>
    <row r="1036">
      <c r="A1036" s="117" t="n">
        <v>45938</v>
      </c>
      <c r="B1036" s="118" t="n">
        <v>67.41809668463229</v>
      </c>
      <c r="C1036" s="118" t="n">
        <v>67.92683535964142</v>
      </c>
      <c r="D1036" s="118" t="n">
        <v>67.1832873291965</v>
      </c>
      <c r="E1036" s="118" t="n">
        <v>67.59419250488281</v>
      </c>
      <c r="F1036" s="119" t="n">
        <v>13051800</v>
      </c>
      <c r="G1036" s="120" t="n">
        <v>0.00261185660680896</v>
      </c>
      <c r="H1036" s="121" t="n">
        <v>43.23116127436822</v>
      </c>
      <c r="I1036" s="118" t="n">
        <v>72.31467239379883</v>
      </c>
      <c r="J1036" s="118" t="n">
        <v>67.60612854003907</v>
      </c>
      <c r="K1036" s="120" t="n">
        <v>0.3218345849512511</v>
      </c>
      <c r="L1036" s="120" t="n">
        <v>-0.1235608510328476</v>
      </c>
      <c r="M1036" s="120" t="n">
        <v>-0.1586483797983443</v>
      </c>
      <c r="N1036" t="n">
        <v>38.58439471391311</v>
      </c>
      <c r="O1036" t="n">
        <v>-0.07813100979052701</v>
      </c>
      <c r="P1036" t="n">
        <v>159.1121672409182</v>
      </c>
      <c r="Q1036" t="n">
        <v>167.486586347376</v>
      </c>
    </row>
    <row r="1037">
      <c r="A1037" s="117" t="n">
        <v>45939</v>
      </c>
      <c r="B1037" s="118" t="n">
        <v>68.04424122884124</v>
      </c>
      <c r="C1037" s="118" t="n">
        <v>68.15186031924604</v>
      </c>
      <c r="D1037" s="118" t="n">
        <v>66.42017674761797</v>
      </c>
      <c r="E1037" s="118" t="n">
        <v>66.58649444580078</v>
      </c>
      <c r="F1037" s="119" t="n">
        <v>13410900</v>
      </c>
      <c r="G1037" s="120" t="n">
        <v>-0.01490805676847518</v>
      </c>
      <c r="H1037" s="121" t="n">
        <v>42.58666866792284</v>
      </c>
      <c r="I1037" s="118" t="n">
        <v>72.15376174926757</v>
      </c>
      <c r="J1037" s="118" t="n">
        <v>67.56821102142334</v>
      </c>
      <c r="K1037" s="120" t="n">
        <v>0.3238788774364468</v>
      </c>
      <c r="L1037" s="120" t="n">
        <v>-0.136626855619764</v>
      </c>
      <c r="M1037" s="120" t="n">
        <v>-0.1711912975145592</v>
      </c>
      <c r="N1037" t="n">
        <v>35.75489336223845</v>
      </c>
      <c r="O1037" t="n">
        <v>-0.1903139662073857</v>
      </c>
      <c r="P1037" t="n">
        <v>158.6512233139919</v>
      </c>
      <c r="Q1037" t="n">
        <v>167.2838849995379</v>
      </c>
    </row>
    <row r="1038">
      <c r="A1038" s="117" t="n">
        <v>45940</v>
      </c>
      <c r="B1038" s="118" t="n">
        <v>66.70390227289971</v>
      </c>
      <c r="C1038" s="118" t="n">
        <v>67.00718837968644</v>
      </c>
      <c r="D1038" s="118" t="n">
        <v>63.4753443368562</v>
      </c>
      <c r="E1038" s="118" t="n">
        <v>63.80798721313477</v>
      </c>
      <c r="F1038" s="119" t="n">
        <v>18806100</v>
      </c>
      <c r="G1038" s="120" t="n">
        <v>-0.04172778963349133</v>
      </c>
      <c r="H1038" s="121" t="n">
        <v>40.80962111655656</v>
      </c>
      <c r="I1038" s="118" t="n">
        <v>71.97601799011231</v>
      </c>
      <c r="J1038" s="118" t="n">
        <v>67.51717054367066</v>
      </c>
      <c r="K1038" s="120" t="n">
        <v>0.3474357858230063</v>
      </c>
      <c r="L1038" s="120" t="n">
        <v>-0.1726535085636683</v>
      </c>
      <c r="M1038" s="120" t="n">
        <v>-0.2057756526982786</v>
      </c>
      <c r="N1038" t="n">
        <v>29.36136919765448</v>
      </c>
      <c r="O1038" t="n">
        <v>-0.4194336043827902</v>
      </c>
      <c r="P1038" t="n">
        <v>154.363219915756</v>
      </c>
      <c r="Q1038" t="n">
        <v>161.4767430826694</v>
      </c>
    </row>
    <row r="1039">
      <c r="A1039" s="117" t="n">
        <v>45943</v>
      </c>
      <c r="B1039" s="118" t="n">
        <v>64.27759060942564</v>
      </c>
      <c r="C1039" s="118" t="n">
        <v>66.0581872719392</v>
      </c>
      <c r="D1039" s="118" t="n">
        <v>64.13084408400753</v>
      </c>
      <c r="E1039" s="118" t="n">
        <v>65.92121887207031</v>
      </c>
      <c r="F1039" s="119" t="n">
        <v>13191200</v>
      </c>
      <c r="G1039" s="120" t="n">
        <v>0.03311860710911985</v>
      </c>
      <c r="H1039" s="121" t="n">
        <v>42.16117892458783</v>
      </c>
      <c r="I1039" s="118" t="n">
        <v>71.84190147399903</v>
      </c>
      <c r="J1039" s="118" t="n">
        <v>67.47756200790406</v>
      </c>
      <c r="K1039" s="120" t="n">
        <v>0.3731315624889009</v>
      </c>
      <c r="L1039" s="120" t="n">
        <v>-0.1452529451706798</v>
      </c>
      <c r="M1039" s="120" t="n">
        <v>-0.1794720485834957</v>
      </c>
      <c r="N1039" t="n">
        <v>38.38554768190115</v>
      </c>
      <c r="O1039" t="n">
        <v>-0.3967007371139526</v>
      </c>
      <c r="P1039" t="n">
        <v>156.7317873978684</v>
      </c>
      <c r="Q1039" t="n">
        <v>164.903503335385</v>
      </c>
    </row>
    <row r="1040">
      <c r="A1040" s="117" t="n">
        <v>45944</v>
      </c>
      <c r="B1040" s="118" t="n">
        <v>65.03093035392492</v>
      </c>
      <c r="C1040" s="118" t="n">
        <v>66.52780476690531</v>
      </c>
      <c r="D1040" s="118" t="n">
        <v>64.62980324235832</v>
      </c>
      <c r="E1040" s="118" t="n">
        <v>66.17559814453125</v>
      </c>
      <c r="F1040" s="119" t="n">
        <v>9483700</v>
      </c>
      <c r="G1040" s="120" t="n">
        <v>0.003858837515650304</v>
      </c>
      <c r="H1040" s="121" t="n">
        <v>42.32387206352608</v>
      </c>
      <c r="I1040" s="118" t="n">
        <v>71.70897941589355</v>
      </c>
      <c r="J1040" s="118" t="n">
        <v>67.43908109664918</v>
      </c>
      <c r="K1040" s="120" t="n">
        <v>0.3741087836335855</v>
      </c>
      <c r="L1040" s="120" t="n">
        <v>-0.1419546151691127</v>
      </c>
      <c r="M1040" s="120" t="n">
        <v>-0.1763057645419301</v>
      </c>
      <c r="N1040" t="n">
        <v>39.38931691125504</v>
      </c>
      <c r="O1040" t="n">
        <v>-0.3350267485555203</v>
      </c>
      <c r="P1040" t="n">
        <v>156.5403165916384</v>
      </c>
      <c r="Q1040" t="n">
        <v>163.8050902369179</v>
      </c>
    </row>
    <row r="1041">
      <c r="A1041" s="117" t="n">
        <v>45945</v>
      </c>
      <c r="B1041" s="118" t="n">
        <v>67.09524128987819</v>
      </c>
      <c r="C1041" s="118" t="n">
        <v>68.02467075568632</v>
      </c>
      <c r="D1041" s="118" t="n">
        <v>66.65497933432349</v>
      </c>
      <c r="E1041" s="118" t="n">
        <v>66.97783660888672</v>
      </c>
      <c r="F1041" s="119" t="n">
        <v>13001500</v>
      </c>
      <c r="G1041" s="120" t="n">
        <v>0.01212287439553372</v>
      </c>
      <c r="H1041" s="121" t="n">
        <v>42.83695904848484</v>
      </c>
      <c r="I1041" s="118" t="n">
        <v>71.60066719055176</v>
      </c>
      <c r="J1041" s="118" t="n">
        <v>67.40388986587524</v>
      </c>
      <c r="K1041" s="120" t="n">
        <v>0.3779267173963771</v>
      </c>
      <c r="L1041" s="120" t="n">
        <v>-0.1315526387431405</v>
      </c>
      <c r="M1041" s="120" t="n">
        <v>-0.1663202227851467</v>
      </c>
      <c r="N1041" t="n">
        <v>42.56705996389589</v>
      </c>
      <c r="O1041" t="n">
        <v>-0.2164515845226898</v>
      </c>
      <c r="P1041" t="n">
        <v>157.2352820092061</v>
      </c>
      <c r="Q1041" t="n">
        <v>164.9610248768079</v>
      </c>
    </row>
    <row r="1042">
      <c r="A1042" s="117" t="n">
        <v>45946</v>
      </c>
      <c r="B1042" s="118" t="n">
        <v>67.11481199789897</v>
      </c>
      <c r="C1042" s="118" t="n">
        <v>67.5452884088385</v>
      </c>
      <c r="D1042" s="118" t="n">
        <v>65.1385481793665</v>
      </c>
      <c r="E1042" s="118" t="n">
        <v>65.39291381835938</v>
      </c>
      <c r="F1042" s="119" t="n">
        <v>15349700</v>
      </c>
      <c r="G1042" s="120" t="n">
        <v>-0.02366339181395793</v>
      </c>
      <c r="H1042" s="121" t="n">
        <v>41.82329130240208</v>
      </c>
      <c r="I1042" s="118" t="n">
        <v>71.43924385070801</v>
      </c>
      <c r="J1042" s="118" t="n">
        <v>67.36327524185181</v>
      </c>
      <c r="K1042" s="120" t="n">
        <v>0.3853573484837969</v>
      </c>
      <c r="L1042" s="120" t="n">
        <v>-0.1521030489223594</v>
      </c>
      <c r="M1042" s="120" t="n">
        <v>-0.1860479140007549</v>
      </c>
      <c r="N1042" t="n">
        <v>38.29532170519713</v>
      </c>
      <c r="O1042" t="n">
        <v>-0.2202774895940951</v>
      </c>
      <c r="P1042" t="n">
        <v>156.1644885807774</v>
      </c>
      <c r="Q1042" t="n">
        <v>164.3501857074908</v>
      </c>
    </row>
    <row r="1043">
      <c r="A1043" s="117" t="n">
        <v>45947</v>
      </c>
      <c r="B1043" s="118" t="n">
        <v>65.18744611457331</v>
      </c>
      <c r="C1043" s="118" t="n">
        <v>66.3027643172848</v>
      </c>
      <c r="D1043" s="118" t="n">
        <v>64.88416005754975</v>
      </c>
      <c r="E1043" s="118" t="n">
        <v>65.91143035888672</v>
      </c>
      <c r="F1043" s="119" t="n">
        <v>10054000</v>
      </c>
      <c r="G1043" s="120" t="n">
        <v>0.007929246614818419</v>
      </c>
      <c r="H1043" s="121" t="n">
        <v>42.15491849338221</v>
      </c>
      <c r="I1043" s="118" t="n">
        <v>71.31018730163574</v>
      </c>
      <c r="J1043" s="118" t="n">
        <v>67.33376680374145</v>
      </c>
      <c r="K1043" s="120" t="n">
        <v>0.384044366653613</v>
      </c>
      <c r="L1043" s="120" t="n">
        <v>-0.1453798648933121</v>
      </c>
      <c r="M1043" s="120" t="n">
        <v>-0.179593887178221</v>
      </c>
      <c r="N1043" t="n">
        <v>40.40248559029227</v>
      </c>
      <c r="O1043" t="n">
        <v>-0.1658828121649993</v>
      </c>
      <c r="P1043" t="n">
        <v>157.0509102573326</v>
      </c>
      <c r="Q1043" t="n">
        <v>165.4294361454256</v>
      </c>
    </row>
    <row r="1044">
      <c r="A1044" s="117" t="n">
        <v>45950</v>
      </c>
      <c r="B1044" s="118" t="n">
        <v>66.09732267272402</v>
      </c>
      <c r="C1044" s="118" t="n">
        <v>66.70390235122778</v>
      </c>
      <c r="D1044" s="118" t="n">
        <v>66.00927475679919</v>
      </c>
      <c r="E1044" s="118" t="n">
        <v>66.15602874755859</v>
      </c>
      <c r="F1044" s="119" t="n">
        <v>9670000</v>
      </c>
      <c r="G1044" s="120" t="n">
        <v>0.003711016243162168</v>
      </c>
      <c r="H1044" s="121" t="n">
        <v>42.31135608064033</v>
      </c>
      <c r="I1044" s="118" t="n">
        <v>71.18913719177246</v>
      </c>
      <c r="J1044" s="118" t="n">
        <v>67.30057527542114</v>
      </c>
      <c r="K1044" s="120" t="n">
        <v>0.3836163654851866</v>
      </c>
      <c r="L1044" s="120" t="n">
        <v>-0.1422083556901979</v>
      </c>
      <c r="M1044" s="120" t="n">
        <v>-0.1712178368173675</v>
      </c>
      <c r="N1044" t="n">
        <v>41.41876794111444</v>
      </c>
      <c r="O1044" t="n">
        <v>-0.09495079646358517</v>
      </c>
      <c r="P1044" t="n">
        <v>158.6843182907563</v>
      </c>
      <c r="Q1044" t="n">
        <v>167.5139543853167</v>
      </c>
    </row>
    <row r="1045">
      <c r="A1045" s="117" t="n">
        <v>45951</v>
      </c>
      <c r="B1045" s="118" t="n">
        <v>66.28321080097258</v>
      </c>
      <c r="C1045" s="118" t="n">
        <v>67.78987065805877</v>
      </c>
      <c r="D1045" s="118" t="n">
        <v>65.95057539232369</v>
      </c>
      <c r="E1045" s="118" t="n">
        <v>66.8800048828125</v>
      </c>
      <c r="F1045" s="119" t="n">
        <v>9659200</v>
      </c>
      <c r="G1045" s="120" t="n">
        <v>0.01094346424596448</v>
      </c>
      <c r="H1045" s="121" t="n">
        <v>42.77438889310709</v>
      </c>
      <c r="I1045" s="118" t="n">
        <v>71.08587608337402</v>
      </c>
      <c r="J1045" s="118" t="n">
        <v>67.2806236076355</v>
      </c>
      <c r="K1045" s="120" t="n">
        <v>0.3863349213241082</v>
      </c>
      <c r="L1045" s="120" t="n">
        <v>-0.132054320566671</v>
      </c>
      <c r="M1045" s="120" t="n">
        <v>-0.1572979495916651</v>
      </c>
      <c r="N1045" t="n">
        <v>44.4388108309975</v>
      </c>
      <c r="O1045" t="n">
        <v>0.01343730895753814</v>
      </c>
      <c r="P1045" t="n">
        <v>158.6819470902233</v>
      </c>
      <c r="Q1045" t="n">
        <v>167.4701588126464</v>
      </c>
    </row>
    <row r="1046">
      <c r="A1046" s="117" t="n">
        <v>45952</v>
      </c>
      <c r="B1046" s="118" t="n">
        <v>66.74303766008498</v>
      </c>
      <c r="C1046" s="118" t="n">
        <v>67.85835605402087</v>
      </c>
      <c r="D1046" s="118" t="n">
        <v>66.48866457213983</v>
      </c>
      <c r="E1046" s="118" t="n">
        <v>67.58441925048828</v>
      </c>
      <c r="F1046" s="119" t="n">
        <v>8096100</v>
      </c>
      <c r="G1046" s="120" t="n">
        <v>0.01053251070944228</v>
      </c>
      <c r="H1046" s="121" t="n">
        <v>43.22491060221359</v>
      </c>
      <c r="I1046" s="118" t="n">
        <v>70.97957313537597</v>
      </c>
      <c r="J1046" s="118" t="n">
        <v>67.26592554092407</v>
      </c>
      <c r="K1046" s="120" t="n">
        <v>0.3882578483868693</v>
      </c>
      <c r="L1046" s="120" t="n">
        <v>-0.1229126734028252</v>
      </c>
      <c r="M1046" s="120" t="n">
        <v>-0.140305203213734</v>
      </c>
      <c r="N1046" t="n">
        <v>47.28632903450117</v>
      </c>
      <c r="O1046" t="n">
        <v>0.1383412695287034</v>
      </c>
      <c r="P1046" t="n">
        <v>157.856972966131</v>
      </c>
      <c r="Q1046" t="n">
        <v>165.8567534073499</v>
      </c>
    </row>
    <row r="1047">
      <c r="A1047" s="117" t="n">
        <v>45953</v>
      </c>
      <c r="B1047" s="118" t="n">
        <v>67.59419451339629</v>
      </c>
      <c r="C1047" s="118" t="n">
        <v>68.37687745967069</v>
      </c>
      <c r="D1047" s="118" t="n">
        <v>67.2517735234829</v>
      </c>
      <c r="E1047" s="118" t="n">
        <v>68.17142486572266</v>
      </c>
      <c r="F1047" s="119" t="n">
        <v>9124900</v>
      </c>
      <c r="G1047" s="120" t="n">
        <v>0.008685516894933354</v>
      </c>
      <c r="H1047" s="121" t="n">
        <v>43.60034129353109</v>
      </c>
      <c r="I1047" s="118" t="n">
        <v>70.84023902893067</v>
      </c>
      <c r="J1047" s="118" t="n">
        <v>67.2604635810852</v>
      </c>
      <c r="K1047" s="120" t="n">
        <v>0.376580528903697</v>
      </c>
      <c r="L1047" s="120" t="n">
        <v>-0.1152947166093337</v>
      </c>
      <c r="M1047" s="120" t="n">
        <v>-0.1328383095317606</v>
      </c>
      <c r="N1047" t="n">
        <v>49.60419387027002</v>
      </c>
      <c r="O1047" t="n">
        <v>0.2592413161061313</v>
      </c>
      <c r="P1047" t="n">
        <v>158.7930589286966</v>
      </c>
      <c r="Q1047" t="n">
        <v>167.2510299300787</v>
      </c>
    </row>
    <row r="1048">
      <c r="A1048" s="117" t="n">
        <v>45954</v>
      </c>
      <c r="B1048" s="118" t="n">
        <v>68.20077804217524</v>
      </c>
      <c r="C1048" s="118" t="n">
        <v>68.56277023161793</v>
      </c>
      <c r="D1048" s="118" t="n">
        <v>67.41810251568097</v>
      </c>
      <c r="E1048" s="118" t="n">
        <v>67.61376953125</v>
      </c>
      <c r="F1048" s="119" t="n">
        <v>7102900</v>
      </c>
      <c r="G1048" s="120" t="n">
        <v>-0.008180191855620911</v>
      </c>
      <c r="H1048" s="121" t="n">
        <v>43.24368213677946</v>
      </c>
      <c r="I1048" s="118" t="n">
        <v>70.70551902770995</v>
      </c>
      <c r="J1048" s="118" t="n">
        <v>67.25178049087525</v>
      </c>
      <c r="K1048" s="120" t="n">
        <v>0.3778528414501296</v>
      </c>
      <c r="L1048" s="120" t="n">
        <v>-0.1225317755631508</v>
      </c>
      <c r="M1048" s="120" t="n">
        <v>-0.1399318585296353</v>
      </c>
      <c r="N1048" t="n">
        <v>47.46878402380867</v>
      </c>
      <c r="O1048" t="n">
        <v>0.2976535556693793</v>
      </c>
      <c r="P1048" t="n">
        <v>160.0908038878952</v>
      </c>
      <c r="Q1048" t="n">
        <v>169.0369831797312</v>
      </c>
    </row>
    <row r="1049">
      <c r="A1049" s="117" t="n">
        <v>45957</v>
      </c>
      <c r="B1049" s="118" t="n">
        <v>68.52363050332008</v>
      </c>
      <c r="C1049" s="118" t="n">
        <v>68.91497197107859</v>
      </c>
      <c r="D1049" s="118" t="n">
        <v>66.78216880922321</v>
      </c>
      <c r="E1049" s="118" t="n">
        <v>67.10501861572266</v>
      </c>
      <c r="F1049" s="119" t="n">
        <v>9838100</v>
      </c>
      <c r="G1049" s="120" t="n">
        <v>-0.007524368468943443</v>
      </c>
      <c r="H1049" s="121" t="n">
        <v>42.91830073842846</v>
      </c>
      <c r="I1049" s="118" t="n">
        <v>70.54933372497558</v>
      </c>
      <c r="J1049" s="118" t="n">
        <v>67.2444016456604</v>
      </c>
      <c r="K1049" s="120" t="n">
        <v>0.3785767117505575</v>
      </c>
      <c r="L1049" s="120" t="n">
        <v>-0.1291341698036031</v>
      </c>
      <c r="M1049" s="120" t="n">
        <v>-0.1464033281344577</v>
      </c>
      <c r="N1049" t="n">
        <v>45.54257057440618</v>
      </c>
      <c r="O1049" t="n">
        <v>0.284792955884366</v>
      </c>
      <c r="P1049" t="n">
        <v>161.9795014805448</v>
      </c>
      <c r="Q1049" t="n">
        <v>172.0474002335594</v>
      </c>
    </row>
    <row r="1050">
      <c r="A1050" s="117" t="n">
        <v>45958</v>
      </c>
      <c r="B1050" s="118" t="n">
        <v>66.63540911936224</v>
      </c>
      <c r="C1050" s="118" t="n">
        <v>67.12458404611473</v>
      </c>
      <c r="D1050" s="118" t="n">
        <v>65.59836066319639</v>
      </c>
      <c r="E1050" s="118" t="n">
        <v>65.97013092041016</v>
      </c>
      <c r="F1050" s="119" t="n">
        <v>11262400</v>
      </c>
      <c r="G1050" s="120" t="n">
        <v>-0.01691211356055855</v>
      </c>
      <c r="H1050" s="121" t="n">
        <v>42.19246156251396</v>
      </c>
      <c r="I1050" s="118" t="n">
        <v>70.36149650573731</v>
      </c>
      <c r="J1050" s="118" t="n">
        <v>67.23178121566772</v>
      </c>
      <c r="K1050" s="120" t="n">
        <v>0.3828212523816654</v>
      </c>
      <c r="L1050" s="120" t="n">
        <v>-0.1438623516198947</v>
      </c>
      <c r="M1050" s="120" t="n">
        <v>-0.1608394519839625</v>
      </c>
      <c r="N1050" t="n">
        <v>41.49729205515581</v>
      </c>
      <c r="O1050" t="n">
        <v>0.1998620203373287</v>
      </c>
      <c r="P1050" t="n">
        <v>162.4097216312397</v>
      </c>
      <c r="Q1050" t="n">
        <v>173.3704124661998</v>
      </c>
    </row>
    <row r="1051">
      <c r="A1051" s="117" t="n">
        <v>45959</v>
      </c>
      <c r="B1051" s="118" t="n">
        <v>65.559237668995</v>
      </c>
      <c r="C1051" s="118" t="n">
        <v>65.73534097314831</v>
      </c>
      <c r="D1051" s="118" t="n">
        <v>63.54383152941412</v>
      </c>
      <c r="E1051" s="118" t="n">
        <v>63.93517303466797</v>
      </c>
      <c r="F1051" s="119" t="n">
        <v>15143100</v>
      </c>
      <c r="G1051" s="120" t="n">
        <v>-0.03084665525671415</v>
      </c>
      <c r="H1051" s="121" t="n">
        <v>40.89096524626293</v>
      </c>
      <c r="I1051" s="118" t="n">
        <v>70.143666305542</v>
      </c>
      <c r="J1051" s="118" t="n">
        <v>67.20475313186645</v>
      </c>
      <c r="K1051" s="120" t="n">
        <v>0.3084798473880757</v>
      </c>
      <c r="L1051" s="120" t="n">
        <v>-0.1702713345117698</v>
      </c>
      <c r="M1051" s="120" t="n">
        <v>-0.1867247481136486</v>
      </c>
      <c r="N1051" t="n">
        <v>35.42171307390493</v>
      </c>
      <c r="O1051" t="n">
        <v>0.01631511175475642</v>
      </c>
      <c r="P1051" t="n">
        <v>162.4877384929485</v>
      </c>
      <c r="Q1051" t="n">
        <v>174.1511146938087</v>
      </c>
    </row>
    <row r="1052">
      <c r="A1052" s="117" t="n">
        <v>45960</v>
      </c>
      <c r="B1052" s="118" t="n">
        <v>63.76885180786629</v>
      </c>
      <c r="C1052" s="118" t="n">
        <v>64.57109849054372</v>
      </c>
      <c r="D1052" s="118" t="n">
        <v>63.1720577246799</v>
      </c>
      <c r="E1052" s="118" t="n">
        <v>63.49491500854492</v>
      </c>
      <c r="F1052" s="119" t="n">
        <v>13895200</v>
      </c>
      <c r="G1052" s="120" t="n">
        <v>-0.006886006641200759</v>
      </c>
      <c r="H1052" s="121" t="n">
        <v>40.60938978801205</v>
      </c>
      <c r="I1052" s="118" t="n">
        <v>69.92909988403321</v>
      </c>
      <c r="J1052" s="118" t="n">
        <v>67.17990093231201</v>
      </c>
      <c r="K1052" s="120" t="n">
        <v>0.3056612215806289</v>
      </c>
      <c r="L1052" s="120" t="n">
        <v>-0.1759848516127164</v>
      </c>
      <c r="M1052" s="120" t="n">
        <v>-0.1923249668992623</v>
      </c>
      <c r="N1052" t="n">
        <v>34.25327277689749</v>
      </c>
      <c r="O1052" t="n">
        <v>-0.1176877118814847</v>
      </c>
      <c r="P1052" t="n">
        <v>160.7006679366401</v>
      </c>
      <c r="Q1052" t="n">
        <v>171.4885955741467</v>
      </c>
    </row>
    <row r="1053">
      <c r="A1053" s="117" t="n">
        <v>45961</v>
      </c>
      <c r="B1053" s="118" t="n">
        <v>63.5927469365481</v>
      </c>
      <c r="C1053" s="118" t="n">
        <v>63.83733442476559</v>
      </c>
      <c r="D1053" s="118" t="n">
        <v>62.85898447189562</v>
      </c>
      <c r="E1053" s="118" t="n">
        <v>63.19161987304688</v>
      </c>
      <c r="F1053" s="119" t="n">
        <v>17822500</v>
      </c>
      <c r="G1053" s="120" t="n">
        <v>-0.004776683856608566</v>
      </c>
      <c r="H1053" s="121" t="n">
        <v>40.41541157138493</v>
      </c>
      <c r="I1053" s="118" t="n">
        <v>69.71002471923828</v>
      </c>
      <c r="J1053" s="118" t="n">
        <v>67.15401321411133</v>
      </c>
      <c r="K1053" s="120" t="n">
        <v>0.2862929432156577</v>
      </c>
      <c r="L1053" s="120" t="n">
        <v>-0.1799209114696189</v>
      </c>
      <c r="M1053" s="120" t="n">
        <v>-0.1961829751912603</v>
      </c>
      <c r="N1053" t="n">
        <v>33.43503119787174</v>
      </c>
      <c r="O1053" t="n">
        <v>-0.2046037276470523</v>
      </c>
      <c r="P1053" t="n">
        <v>161.2278018170953</v>
      </c>
      <c r="Q1053" t="n">
        <v>172.3158285002287</v>
      </c>
    </row>
    <row r="1054">
      <c r="A1054" s="117" t="n">
        <v>45964</v>
      </c>
      <c r="B1054" s="118" t="n">
        <v>63.31881288413886</v>
      </c>
      <c r="C1054" s="118" t="n">
        <v>63.44599569639738</v>
      </c>
      <c r="D1054" s="118" t="n">
        <v>60.9903388505532</v>
      </c>
      <c r="E1054" s="118" t="n">
        <v>61.29362869262695</v>
      </c>
      <c r="F1054" s="119" t="n">
        <v>22633300</v>
      </c>
      <c r="G1054" s="120" t="n">
        <v>-0.03003548863335082</v>
      </c>
      <c r="H1054" s="121" t="n">
        <v>39.2015149365204</v>
      </c>
      <c r="I1054" s="118" t="n">
        <v>69.41016487121583</v>
      </c>
      <c r="J1054" s="118" t="n">
        <v>67.11844312667847</v>
      </c>
      <c r="K1054" s="120" t="n">
        <v>0.2991740969314414</v>
      </c>
      <c r="L1054" s="120" t="n">
        <v>-0.2045523876116218</v>
      </c>
      <c r="M1054" s="120" t="n">
        <v>-0.220326012303197</v>
      </c>
      <c r="N1054" t="n">
        <v>28.79877970958833</v>
      </c>
      <c r="O1054" t="n">
        <v>-0.3587538060977846</v>
      </c>
      <c r="P1054" t="n">
        <v>161.5303844617985</v>
      </c>
      <c r="Q1054" t="n">
        <v>173.1403095205951</v>
      </c>
    </row>
    <row r="1055">
      <c r="A1055" s="117" t="n">
        <v>45965</v>
      </c>
      <c r="B1055" s="118" t="n">
        <v>61.06860060828969</v>
      </c>
      <c r="C1055" s="118" t="n">
        <v>61.23492203645741</v>
      </c>
      <c r="D1055" s="118" t="n">
        <v>59.79674645052027</v>
      </c>
      <c r="E1055" s="118" t="n">
        <v>59.90436553955078</v>
      </c>
      <c r="F1055" s="119" t="n">
        <v>13725400</v>
      </c>
      <c r="G1055" s="120" t="n">
        <v>-0.02266570249973288</v>
      </c>
      <c r="H1055" s="121" t="n">
        <v>38.3129850614304</v>
      </c>
      <c r="I1055" s="118" t="n">
        <v>69.06714179992676</v>
      </c>
      <c r="J1055" s="118" t="n">
        <v>67.0772254371643</v>
      </c>
      <c r="K1055" s="120" t="n">
        <v>0.2904844020191186</v>
      </c>
      <c r="L1055" s="120" t="n">
        <v>-0.2225817665481397</v>
      </c>
      <c r="M1055" s="120" t="n">
        <v>-0.2379978709551132</v>
      </c>
      <c r="N1055" t="n">
        <v>25.96110012504707</v>
      </c>
      <c r="O1055" t="n">
        <v>-0.5136805839498524</v>
      </c>
      <c r="P1055" t="n">
        <v>159.6156763994985</v>
      </c>
      <c r="Q1055" t="n">
        <v>169.6259245627131</v>
      </c>
    </row>
    <row r="1056">
      <c r="A1056" s="117" t="n">
        <v>45966</v>
      </c>
      <c r="B1056" s="118" t="n">
        <v>59.95328375937023</v>
      </c>
      <c r="C1056" s="118" t="n">
        <v>61.48929288275359</v>
      </c>
      <c r="D1056" s="118" t="n">
        <v>59.54237857166156</v>
      </c>
      <c r="E1056" s="118" t="n">
        <v>60.76531600952148</v>
      </c>
      <c r="F1056" s="119" t="n">
        <v>20979800</v>
      </c>
      <c r="G1056" s="120" t="n">
        <v>0.01437208227173814</v>
      </c>
      <c r="H1056" s="121" t="n">
        <v>38.86362243480915</v>
      </c>
      <c r="I1056" s="118" t="n">
        <v>68.7514601135254</v>
      </c>
      <c r="J1056" s="118" t="n">
        <v>67.02910526275635</v>
      </c>
      <c r="K1056" s="120" t="n">
        <v>0.2978695812420281</v>
      </c>
      <c r="L1056" s="120" t="n">
        <v>-0.2114086477374201</v>
      </c>
      <c r="M1056" s="120" t="n">
        <v>-0.2270463136652403</v>
      </c>
      <c r="N1056" t="n">
        <v>30.5295386626596</v>
      </c>
      <c r="O1056" t="n">
        <v>-0.5161985057688834</v>
      </c>
      <c r="P1056" t="n">
        <v>160.168820749604</v>
      </c>
      <c r="Q1056" t="n">
        <v>170.7298414726116</v>
      </c>
    </row>
    <row r="1057">
      <c r="A1057" s="117" t="n">
        <v>45967</v>
      </c>
      <c r="B1057" s="118" t="n">
        <v>60.54029748808268</v>
      </c>
      <c r="C1057" s="118" t="n">
        <v>61.12730598014302</v>
      </c>
      <c r="D1057" s="118" t="n">
        <v>60.33484115696348</v>
      </c>
      <c r="E1057" s="118" t="n">
        <v>60.55007934570312</v>
      </c>
      <c r="F1057" s="119" t="n">
        <v>15164600</v>
      </c>
      <c r="G1057" s="120" t="n">
        <v>-0.003542097333693373</v>
      </c>
      <c r="H1057" s="121" t="n">
        <v>38.72596370140515</v>
      </c>
      <c r="I1057" s="118" t="n">
        <v>68.44295837402343</v>
      </c>
      <c r="J1057" s="118" t="n">
        <v>66.9757241821289</v>
      </c>
      <c r="K1057" s="120" t="n">
        <v>0.2956514283209391</v>
      </c>
      <c r="L1057" s="120" t="n">
        <v>-0.2142019150636429</v>
      </c>
      <c r="M1057" s="120" t="n">
        <v>-0.2297841908566751</v>
      </c>
      <c r="N1057" t="n">
        <v>30.03065938434281</v>
      </c>
      <c r="O1057" t="n">
        <v>-0.4905607435523673</v>
      </c>
      <c r="P1057" t="n">
        <v>158.450296800115</v>
      </c>
      <c r="Q1057" t="n">
        <v>167.5495949203174</v>
      </c>
    </row>
    <row r="1058">
      <c r="A1058" s="117" t="n">
        <v>45968</v>
      </c>
      <c r="B1058" s="118" t="n">
        <v>60.40332394183388</v>
      </c>
      <c r="C1058" s="118" t="n">
        <v>60.83379655052404</v>
      </c>
      <c r="D1058" s="118" t="n">
        <v>58.98471585277247</v>
      </c>
      <c r="E1058" s="118" t="n">
        <v>59.76739501953125</v>
      </c>
      <c r="F1058" s="119" t="n">
        <v>15504800</v>
      </c>
      <c r="G1058" s="120" t="n">
        <v>-0.01292623122264192</v>
      </c>
      <c r="H1058" s="121" t="n">
        <v>38.22538294028114</v>
      </c>
      <c r="I1058" s="118" t="n">
        <v>68.12152816772461</v>
      </c>
      <c r="J1058" s="118" t="n">
        <v>66.91722717285157</v>
      </c>
      <c r="K1058" s="120" t="n">
        <v>0.2635841749156089</v>
      </c>
      <c r="L1058" s="120" t="n">
        <v>-0.2243593228038396</v>
      </c>
      <c r="M1058" s="120" t="n">
        <v>-0.239740178496996</v>
      </c>
      <c r="N1058" t="n">
        <v>28.22449813500019</v>
      </c>
      <c r="O1058" t="n">
        <v>-0.4837146148937979</v>
      </c>
      <c r="P1058" t="n">
        <v>158.6063014290475</v>
      </c>
      <c r="Q1058" t="n">
        <v>167.0209102045611</v>
      </c>
    </row>
    <row r="1059">
      <c r="A1059" s="117" t="n">
        <v>45971</v>
      </c>
      <c r="B1059" s="118" t="n">
        <v>60.41311012021002</v>
      </c>
      <c r="C1059" s="118" t="n">
        <v>60.74574925639108</v>
      </c>
      <c r="D1059" s="118" t="n">
        <v>59.18039081089722</v>
      </c>
      <c r="E1059" s="118" t="n">
        <v>59.48367691040039</v>
      </c>
      <c r="F1059" s="119" t="n">
        <v>13063100</v>
      </c>
      <c r="G1059" s="120" t="n">
        <v>-0.004747038231098122</v>
      </c>
      <c r="H1059" s="121" t="n">
        <v>38.04392558606526</v>
      </c>
      <c r="I1059" s="118" t="n">
        <v>67.80512977600098</v>
      </c>
      <c r="J1059" s="118" t="n">
        <v>66.86077478408814</v>
      </c>
      <c r="K1059" s="120" t="n">
        <v>0.2261170511265333</v>
      </c>
      <c r="L1059" s="120" t="n">
        <v>-0.2280413187520847</v>
      </c>
      <c r="M1059" s="120" t="n">
        <v>-0.2433491609352386</v>
      </c>
      <c r="N1059" t="n">
        <v>27.5770214820823</v>
      </c>
      <c r="O1059" t="n">
        <v>-0.4560602617236487</v>
      </c>
      <c r="P1059" t="n">
        <v>161.0812528958096</v>
      </c>
      <c r="Q1059" t="n">
        <v>170.716115503859</v>
      </c>
    </row>
    <row r="1060">
      <c r="A1060" s="117" t="n">
        <v>45972</v>
      </c>
      <c r="B1060" s="118" t="n">
        <v>60.39354740173897</v>
      </c>
      <c r="C1060" s="118" t="n">
        <v>62.22306092792508</v>
      </c>
      <c r="D1060" s="118" t="n">
        <v>59.91415797306956</v>
      </c>
      <c r="E1060" s="118" t="n">
        <v>61.78280639648438</v>
      </c>
      <c r="F1060" s="119" t="n">
        <v>17646400</v>
      </c>
      <c r="G1060" s="120" t="n">
        <v>0.03865143524243031</v>
      </c>
      <c r="H1060" s="121" t="n">
        <v>39.5143779122229</v>
      </c>
      <c r="I1060" s="118" t="n">
        <v>67.58715370178223</v>
      </c>
      <c r="J1060" s="118" t="n">
        <v>66.80614999771119</v>
      </c>
      <c r="K1060" s="120" t="n">
        <v>0.2730987495408663</v>
      </c>
      <c r="L1060" s="120" t="n">
        <v>-0.1982040077739989</v>
      </c>
      <c r="M1060" s="120" t="n">
        <v>-0.2141035200279965</v>
      </c>
      <c r="N1060" t="n">
        <v>39.65745606110463</v>
      </c>
      <c r="O1060" t="n">
        <v>-0.2509426503301018</v>
      </c>
      <c r="P1060" t="n">
        <v>161.4499963995566</v>
      </c>
      <c r="Q1060" t="n">
        <v>170.2614134240811</v>
      </c>
    </row>
    <row r="1061">
      <c r="A1061" s="117" t="n">
        <v>45973</v>
      </c>
      <c r="B1061" s="118" t="n">
        <v>62.71222890846503</v>
      </c>
      <c r="C1061" s="118" t="n">
        <v>63.7786342116589</v>
      </c>
      <c r="D1061" s="118" t="n">
        <v>62.3600260692637</v>
      </c>
      <c r="E1061" s="118" t="n">
        <v>62.81006240844727</v>
      </c>
      <c r="F1061" s="119" t="n">
        <v>14812200</v>
      </c>
      <c r="G1061" s="120" t="n">
        <v>0.01662689139387075</v>
      </c>
      <c r="H1061" s="121" t="n">
        <v>40.1713791822658</v>
      </c>
      <c r="I1061" s="118" t="n">
        <v>67.38091751098632</v>
      </c>
      <c r="J1061" s="118" t="n">
        <v>66.76238536834717</v>
      </c>
      <c r="K1061" s="120" t="n">
        <v>0.2769110571875688</v>
      </c>
      <c r="L1061" s="120" t="n">
        <v>-0.1848726328912165</v>
      </c>
      <c r="M1061" s="120" t="n">
        <v>-0.2010365046086766</v>
      </c>
      <c r="N1061" t="n">
        <v>44.1407882857575</v>
      </c>
      <c r="O1061" t="n">
        <v>-0.02594315557627636</v>
      </c>
      <c r="P1061" t="n">
        <v>161.5398256222029</v>
      </c>
      <c r="Q1061" t="n">
        <v>170.1271909007899</v>
      </c>
    </row>
    <row r="1062">
      <c r="A1062" s="117" t="n">
        <v>45974</v>
      </c>
      <c r="B1062" s="118" t="n">
        <v>64.28737691034659</v>
      </c>
      <c r="C1062" s="118" t="n">
        <v>64.82547239022541</v>
      </c>
      <c r="D1062" s="118" t="n">
        <v>63.47534462769969</v>
      </c>
      <c r="E1062" s="118" t="n">
        <v>64.60044860839844</v>
      </c>
      <c r="F1062" s="119" t="n">
        <v>21923600</v>
      </c>
      <c r="G1062" s="120" t="n">
        <v>0.02850476709143313</v>
      </c>
      <c r="H1062" s="121" t="n">
        <v>41.31645498959793</v>
      </c>
      <c r="I1062" s="118" t="n">
        <v>67.19855316162109</v>
      </c>
      <c r="J1062" s="118" t="n">
        <v>66.71703880310059</v>
      </c>
      <c r="K1062" s="120" t="n">
        <v>0.2871637093117734</v>
      </c>
      <c r="L1062" s="120" t="n">
        <v>-0.1616376171419274</v>
      </c>
      <c r="M1062" s="120" t="n">
        <v>-0.1782622362579896</v>
      </c>
      <c r="N1062" t="n">
        <v>50.97719894425662</v>
      </c>
      <c r="O1062" t="n">
        <v>0.2484833886681108</v>
      </c>
      <c r="P1062" t="n">
        <v>158.8592343349828</v>
      </c>
      <c r="Q1062" t="n">
        <v>166.6538831696884</v>
      </c>
    </row>
    <row r="1063">
      <c r="A1063" s="117" t="n">
        <v>45975</v>
      </c>
      <c r="B1063" s="118" t="n">
        <v>63.53404574067998</v>
      </c>
      <c r="C1063" s="118" t="n">
        <v>63.65144295314433</v>
      </c>
      <c r="D1063" s="118" t="n">
        <v>62.36980695562539</v>
      </c>
      <c r="E1063" s="118" t="n">
        <v>62.78071212768555</v>
      </c>
      <c r="F1063" s="119" t="n">
        <v>17760100</v>
      </c>
      <c r="G1063" s="120" t="n">
        <v>-0.02816909974950721</v>
      </c>
      <c r="H1063" s="121" t="n">
        <v>40.15260764769992</v>
      </c>
      <c r="I1063" s="118" t="n">
        <v>67.00797050476075</v>
      </c>
      <c r="J1063" s="118" t="n">
        <v>66.65417608261109</v>
      </c>
      <c r="K1063" s="120" t="n">
        <v>0.3014203676718046</v>
      </c>
      <c r="L1063" s="120" t="n">
        <v>-0.1852535307308911</v>
      </c>
      <c r="M1063" s="120" t="n">
        <v>-0.2014098492927753</v>
      </c>
      <c r="N1063" t="n">
        <v>44.95496689981437</v>
      </c>
      <c r="O1063" t="n">
        <v>0.308548017573524</v>
      </c>
      <c r="P1063" t="n">
        <v>158.8332529598175</v>
      </c>
      <c r="Q1063" t="n">
        <v>166.7798667557454</v>
      </c>
    </row>
    <row r="1064">
      <c r="A1064" s="117" t="n">
        <v>45978</v>
      </c>
      <c r="B1064" s="118" t="n">
        <v>61.70452951847503</v>
      </c>
      <c r="C1064" s="118" t="n">
        <v>62.16435517785227</v>
      </c>
      <c r="D1064" s="118" t="n">
        <v>60.91206473505847</v>
      </c>
      <c r="E1064" s="118" t="n">
        <v>61.53821182250977</v>
      </c>
      <c r="F1064" s="119" t="n">
        <v>17064700</v>
      </c>
      <c r="G1064" s="120" t="n">
        <v>-0.01979111518596255</v>
      </c>
      <c r="H1064" s="121" t="n">
        <v>39.35794276472753</v>
      </c>
      <c r="I1064" s="118" t="n">
        <v>66.78784164428711</v>
      </c>
      <c r="J1064" s="118" t="n">
        <v>66.59197914123536</v>
      </c>
      <c r="K1064" s="120" t="n">
        <v>0.3067439791189827</v>
      </c>
      <c r="L1064" s="120" t="n">
        <v>-0.2013782719515523</v>
      </c>
      <c r="M1064" s="120" t="n">
        <v>-0.2172148389517972</v>
      </c>
      <c r="N1064" t="n">
        <v>41.36198084251434</v>
      </c>
      <c r="O1064" t="n">
        <v>0.2672406845744795</v>
      </c>
      <c r="P1064" t="n">
        <v>157.3534638075507</v>
      </c>
      <c r="Q1064" t="n">
        <v>165.3554702893601</v>
      </c>
    </row>
    <row r="1065">
      <c r="A1065" s="117" t="n">
        <v>45979</v>
      </c>
      <c r="B1065" s="118" t="n">
        <v>61.04903713263916</v>
      </c>
      <c r="C1065" s="118" t="n">
        <v>61.40123997251275</v>
      </c>
      <c r="D1065" s="118" t="n">
        <v>60.3446239886744</v>
      </c>
      <c r="E1065" s="118" t="n">
        <v>61.13708877563477</v>
      </c>
      <c r="F1065" s="119" t="n">
        <v>14614600</v>
      </c>
      <c r="G1065" s="120" t="n">
        <v>-0.00651827596212784</v>
      </c>
      <c r="H1065" s="121" t="n">
        <v>39.1013968324854</v>
      </c>
      <c r="I1065" s="118" t="n">
        <v>66.57045234680176</v>
      </c>
      <c r="J1065" s="118" t="n">
        <v>66.52926767349243</v>
      </c>
      <c r="K1065" s="120" t="n">
        <v>0.3021159447547825</v>
      </c>
      <c r="L1065" s="120" t="n">
        <v>-0.2013381096076009</v>
      </c>
      <c r="M1065" s="120" t="n">
        <v>-0.2223172486505681</v>
      </c>
      <c r="N1065" t="n">
        <v>40.24372339362812</v>
      </c>
      <c r="O1065" t="n">
        <v>0.2176464038446153</v>
      </c>
      <c r="P1065" t="n">
        <v>156.0320941264772</v>
      </c>
      <c r="Q1065" t="n">
        <v>163.3421659998187</v>
      </c>
    </row>
    <row r="1066">
      <c r="A1066" s="117" t="n">
        <v>45980</v>
      </c>
      <c r="B1066" s="118" t="n">
        <v>61.07839138786456</v>
      </c>
      <c r="C1066" s="118" t="n">
        <v>61.85128879102779</v>
      </c>
      <c r="D1066" s="118" t="n">
        <v>60.66748244320331</v>
      </c>
      <c r="E1066" s="118" t="n">
        <v>61.28384399414062</v>
      </c>
      <c r="F1066" s="119" t="n">
        <v>11732100</v>
      </c>
      <c r="G1066" s="120" t="n">
        <v>0.002400428634154128</v>
      </c>
      <c r="H1066" s="121" t="n">
        <v>39.19525694507752</v>
      </c>
      <c r="I1066" s="118" t="n">
        <v>66.34327949523926</v>
      </c>
      <c r="J1066" s="118" t="n">
        <v>66.46666463851929</v>
      </c>
      <c r="K1066" s="120" t="n">
        <v>0.2981712829345881</v>
      </c>
      <c r="L1066" s="120" t="n">
        <v>-0.1933700581138169</v>
      </c>
      <c r="M1066" s="120" t="n">
        <v>-0.2204504767059411</v>
      </c>
      <c r="N1066" t="n">
        <v>40.87355271677932</v>
      </c>
      <c r="O1066" t="n">
        <v>0.1999260897418229</v>
      </c>
      <c r="P1066" t="n">
        <v>156.6348736681082</v>
      </c>
      <c r="Q1066" t="n">
        <v>164.3173138581187</v>
      </c>
    </row>
    <row r="1067">
      <c r="A1067" s="117" t="n">
        <v>45981</v>
      </c>
      <c r="B1067" s="118" t="n">
        <v>61.58713287466767</v>
      </c>
      <c r="C1067" s="118" t="n">
        <v>62.44808191446132</v>
      </c>
      <c r="D1067" s="118" t="n">
        <v>60.08047298805604</v>
      </c>
      <c r="E1067" s="118" t="n">
        <v>60.10004043579102</v>
      </c>
      <c r="F1067" s="119" t="n">
        <v>13886600</v>
      </c>
      <c r="G1067" s="120" t="n">
        <v>-0.0193167314775945</v>
      </c>
      <c r="H1067" s="121" t="n">
        <v>38.43813269147415</v>
      </c>
      <c r="I1067" s="118" t="n">
        <v>66.09086532592774</v>
      </c>
      <c r="J1067" s="118" t="n">
        <v>66.40848407745361</v>
      </c>
      <c r="K1067" s="120" t="n">
        <v>0.2980486343331427</v>
      </c>
      <c r="L1067" s="120" t="n">
        <v>-0.2075302225060929</v>
      </c>
      <c r="M1067" s="120" t="n">
        <v>-0.2355088255208992</v>
      </c>
      <c r="N1067" t="n">
        <v>37.44504974404792</v>
      </c>
      <c r="O1067" t="n">
        <v>0.1177438638558106</v>
      </c>
      <c r="P1067" t="n">
        <v>154.2474093179444</v>
      </c>
      <c r="Q1067" t="n">
        <v>160.427629368304</v>
      </c>
    </row>
    <row r="1068">
      <c r="A1068" s="117" t="n">
        <v>45982</v>
      </c>
      <c r="B1068" s="118" t="n">
        <v>60.66747892341676</v>
      </c>
      <c r="C1068" s="118" t="n">
        <v>62.12522199503446</v>
      </c>
      <c r="D1068" s="118" t="n">
        <v>60.20765698349229</v>
      </c>
      <c r="E1068" s="118" t="n">
        <v>61.44037628173828</v>
      </c>
      <c r="F1068" s="119" t="n">
        <v>12476900</v>
      </c>
      <c r="G1068" s="120" t="n">
        <v>0.02230174615904357</v>
      </c>
      <c r="H1068" s="121" t="n">
        <v>39.29537016958703</v>
      </c>
      <c r="I1068" s="118" t="n">
        <v>65.89128204345702</v>
      </c>
      <c r="J1068" s="118" t="n">
        <v>66.37061744689942</v>
      </c>
      <c r="K1068" s="120" t="n">
        <v>0.3144354955170459</v>
      </c>
      <c r="L1068" s="120" t="n">
        <v>-0.1840977172381533</v>
      </c>
      <c r="M1068" s="120" t="n">
        <v>-0.2184593374068373</v>
      </c>
      <c r="N1068" t="n">
        <v>43.24937166537974</v>
      </c>
      <c r="O1068" t="n">
        <v>0.1602826064289586</v>
      </c>
      <c r="P1068" t="n">
        <v>155.7838890743654</v>
      </c>
      <c r="Q1068" t="n">
        <v>161.6328801722086</v>
      </c>
    </row>
    <row r="1069">
      <c r="A1069" s="117" t="n">
        <v>45985</v>
      </c>
      <c r="B1069" s="118" t="n">
        <v>61.15665152003011</v>
      </c>
      <c r="C1069" s="118" t="n">
        <v>61.70452881576984</v>
      </c>
      <c r="D1069" s="118" t="n">
        <v>60.58921051025391</v>
      </c>
      <c r="E1069" s="118" t="n">
        <v>60.58921051025391</v>
      </c>
      <c r="F1069" s="119" t="n">
        <v>16681700</v>
      </c>
      <c r="G1069" s="120" t="n">
        <v>-0.01385352471770851</v>
      </c>
      <c r="H1069" s="121" t="n">
        <v>38.75099078765115</v>
      </c>
      <c r="I1069" s="118" t="n">
        <v>65.67408828735351</v>
      </c>
      <c r="J1069" s="118" t="n">
        <v>66.34321353912354</v>
      </c>
      <c r="K1069" s="120" t="n">
        <v>0.3160175011061103</v>
      </c>
      <c r="L1069" s="120" t="n">
        <v>-0.1781021858528056</v>
      </c>
      <c r="M1069" s="120" t="n">
        <v>-0.229286430293966</v>
      </c>
      <c r="N1069" t="n">
        <v>40.66868577060442</v>
      </c>
      <c r="O1069" t="n">
        <v>0.1385422546489747</v>
      </c>
      <c r="P1069" t="n">
        <v>158.0768108953019</v>
      </c>
      <c r="Q1069" t="n">
        <v>165.7663600165548</v>
      </c>
    </row>
    <row r="1070">
      <c r="A1070" s="117" t="n">
        <v>45986</v>
      </c>
      <c r="B1070" s="118" t="n">
        <v>60.99033390054907</v>
      </c>
      <c r="C1070" s="118" t="n">
        <v>62.73179928851538</v>
      </c>
      <c r="D1070" s="118" t="n">
        <v>60.53050824584607</v>
      </c>
      <c r="E1070" s="118" t="n">
        <v>62.30132293701172</v>
      </c>
      <c r="F1070" s="119" t="n">
        <v>11527200</v>
      </c>
      <c r="G1070" s="120" t="n">
        <v>0.02825771143639599</v>
      </c>
      <c r="H1070" s="121" t="n">
        <v>39.84600510320303</v>
      </c>
      <c r="I1070" s="118" t="n">
        <v>65.49661560058594</v>
      </c>
      <c r="J1070" s="118" t="n">
        <v>66.31349964141846</v>
      </c>
      <c r="K1070" s="120" t="n">
        <v>0.3334516099777911</v>
      </c>
      <c r="L1070" s="120" t="n">
        <v>-0.1548772345904297</v>
      </c>
      <c r="M1070" s="120" t="n">
        <v>-0.2075078286410982</v>
      </c>
      <c r="N1070" t="n">
        <v>47.45992246588904</v>
      </c>
      <c r="O1070" t="n">
        <v>0.240919337490004</v>
      </c>
      <c r="P1070" t="n">
        <v>159.5636554601975</v>
      </c>
      <c r="Q1070" t="n">
        <v>166.7880889130666</v>
      </c>
    </row>
    <row r="1071">
      <c r="A1071" s="117" t="n">
        <v>45987</v>
      </c>
      <c r="B1071" s="118" t="n">
        <v>62.12522358643916</v>
      </c>
      <c r="C1071" s="118" t="n">
        <v>63.46556574306032</v>
      </c>
      <c r="D1071" s="118" t="n">
        <v>61.60669929251225</v>
      </c>
      <c r="E1071" s="118" t="n">
        <v>62.937255859375</v>
      </c>
      <c r="F1071" s="119" t="n">
        <v>13791000</v>
      </c>
      <c r="G1071" s="120" t="n">
        <v>0.01020737429614815</v>
      </c>
      <c r="H1071" s="121" t="n">
        <v>40.25272819149766</v>
      </c>
      <c r="I1071" s="118" t="n">
        <v>65.34047103881836</v>
      </c>
      <c r="J1071" s="118" t="n">
        <v>66.28504146575928</v>
      </c>
      <c r="K1071" s="120" t="n">
        <v>0.3189321803359416</v>
      </c>
      <c r="L1071" s="120" t="n">
        <v>-0.1462507501976983</v>
      </c>
      <c r="M1071" s="120" t="n">
        <v>-0.1994185644212706</v>
      </c>
      <c r="N1071" t="n">
        <v>49.76018113822787</v>
      </c>
      <c r="O1071" t="n">
        <v>0.3464956822225234</v>
      </c>
      <c r="P1071" t="n">
        <v>160.6652163065851</v>
      </c>
      <c r="Q1071" t="n">
        <v>168.2617847635535</v>
      </c>
    </row>
    <row r="1072">
      <c r="A1072" s="117" t="n">
        <v>45989</v>
      </c>
      <c r="B1072" s="118" t="n">
        <v>63.07422654627121</v>
      </c>
      <c r="C1072" s="118" t="n">
        <v>63.37751266181814</v>
      </c>
      <c r="D1072" s="118" t="n">
        <v>62.58505153966351</v>
      </c>
      <c r="E1072" s="118" t="n">
        <v>63.23075866699219</v>
      </c>
      <c r="F1072" s="119" t="n">
        <v>4941400</v>
      </c>
      <c r="G1072" s="120" t="n">
        <v>0.004663419203928765</v>
      </c>
      <c r="H1072" s="121" t="n">
        <v>40.44044353715642</v>
      </c>
      <c r="I1072" s="118" t="n">
        <v>65.19430572509765</v>
      </c>
      <c r="J1072" s="118" t="n">
        <v>66.25362560272217</v>
      </c>
      <c r="K1072" s="120" t="n">
        <v>0.3185454269312469</v>
      </c>
      <c r="L1072" s="120" t="n">
        <v>-0.1332975892845659</v>
      </c>
      <c r="M1072" s="120" t="n">
        <v>-0.195685117580284</v>
      </c>
      <c r="N1072" t="n">
        <v>50.83014842327727</v>
      </c>
      <c r="O1072" t="n">
        <v>0.4258999521885463</v>
      </c>
      <c r="P1072" t="n">
        <v>161.5421968227359</v>
      </c>
      <c r="Q1072" t="n">
        <v>169.6259245627131</v>
      </c>
    </row>
    <row r="1073">
      <c r="A1073" s="117" t="n">
        <v>45992</v>
      </c>
      <c r="B1073" s="118" t="n">
        <v>62.78768418914595</v>
      </c>
      <c r="C1073" s="118" t="n">
        <v>64.9734846443512</v>
      </c>
      <c r="D1073" s="118" t="n">
        <v>62.60061231076207</v>
      </c>
      <c r="E1073" s="118" t="n">
        <v>64.38272857666016</v>
      </c>
      <c r="F1073" s="119" t="n">
        <v>12047300</v>
      </c>
      <c r="G1073" s="120" t="n">
        <v>0.01821850526473789</v>
      </c>
      <c r="H1073" s="121" t="n">
        <v>41.17720797064644</v>
      </c>
      <c r="I1073" s="118" t="n">
        <v>65.09485565185547</v>
      </c>
      <c r="J1073" s="118" t="n">
        <v>66.2234001159668</v>
      </c>
      <c r="K1073" s="120" t="n">
        <v>0.3243932678132532</v>
      </c>
      <c r="L1073" s="120" t="n">
        <v>-0.1175075668519858</v>
      </c>
      <c r="M1073" s="120" t="n">
        <v>-0.1810317026604132</v>
      </c>
      <c r="N1073" t="n">
        <v>54.89084624466793</v>
      </c>
      <c r="O1073" t="n">
        <v>0.5385522224627852</v>
      </c>
      <c r="P1073" t="n">
        <v>160.8046807207568</v>
      </c>
      <c r="Q1073" t="n">
        <v>169.0561458402635</v>
      </c>
    </row>
    <row r="1074">
      <c r="A1074" s="117" t="n">
        <v>45993</v>
      </c>
      <c r="B1074" s="118" t="n">
        <v>64.4418076486732</v>
      </c>
      <c r="C1074" s="118" t="n">
        <v>64.46150377607103</v>
      </c>
      <c r="D1074" s="118" t="n">
        <v>63.58521390365872</v>
      </c>
      <c r="E1074" s="118" t="n">
        <v>63.9298210144043</v>
      </c>
      <c r="F1074" s="119" t="n">
        <v>9051200</v>
      </c>
      <c r="G1074" s="120" t="n">
        <v>-0.007034612733391454</v>
      </c>
      <c r="H1074" s="121" t="n">
        <v>40.88754225913062</v>
      </c>
      <c r="I1074" s="118" t="n">
        <v>64.97871650695801</v>
      </c>
      <c r="J1074" s="118" t="n">
        <v>66.19172777175903</v>
      </c>
      <c r="K1074" s="120" t="n">
        <v>0.3047634421482008</v>
      </c>
      <c r="L1074" s="120" t="n">
        <v>-0.1237155593593304</v>
      </c>
      <c r="M1074" s="120" t="n">
        <v>-0.1867928274731222</v>
      </c>
      <c r="N1074" t="n">
        <v>53.03633941574436</v>
      </c>
      <c r="O1074" t="n">
        <v>0.5624912766279024</v>
      </c>
      <c r="P1074" t="n">
        <v>161.1025355116365</v>
      </c>
      <c r="Q1074" t="n">
        <v>170.3792084126426</v>
      </c>
    </row>
    <row r="1075">
      <c r="A1075" s="117" t="n">
        <v>45994</v>
      </c>
      <c r="B1075" s="118" t="n">
        <v>64.07751345583392</v>
      </c>
      <c r="C1075" s="118" t="n">
        <v>65.63317703513853</v>
      </c>
      <c r="D1075" s="118" t="n">
        <v>63.97905535210352</v>
      </c>
      <c r="E1075" s="118" t="n">
        <v>64.63873291015625</v>
      </c>
      <c r="F1075" s="119" t="n">
        <v>12028300</v>
      </c>
      <c r="G1075" s="120" t="n">
        <v>0.01108890787590711</v>
      </c>
      <c r="H1075" s="121" t="n">
        <v>41.34094044851437</v>
      </c>
      <c r="I1075" s="118" t="n">
        <v>64.88360404968262</v>
      </c>
      <c r="J1075" s="118" t="n">
        <v>66.14171453475952</v>
      </c>
      <c r="K1075" s="120" t="n">
        <v>0.2913744286629195</v>
      </c>
      <c r="L1075" s="120" t="n">
        <v>-0.1139985219239753</v>
      </c>
      <c r="M1075" s="120" t="n">
        <v>-0.1777752480529449</v>
      </c>
      <c r="N1075" t="n">
        <v>55.56682150128528</v>
      </c>
      <c r="O1075" t="n">
        <v>0.6024342530079082</v>
      </c>
      <c r="P1075" t="n">
        <v>161.6603931683231</v>
      </c>
      <c r="Q1075" t="n">
        <v>170.7955683914429</v>
      </c>
    </row>
    <row r="1076">
      <c r="A1076" s="117" t="n">
        <v>45995</v>
      </c>
      <c r="B1076" s="118" t="n">
        <v>64.58949067659665</v>
      </c>
      <c r="C1076" s="118" t="n">
        <v>65.08178863527783</v>
      </c>
      <c r="D1076" s="118" t="n">
        <v>64.0085826910508</v>
      </c>
      <c r="E1076" s="118" t="n">
        <v>64.67810821533203</v>
      </c>
      <c r="F1076" s="119" t="n">
        <v>10619500</v>
      </c>
      <c r="G1076" s="120" t="n">
        <v>0.0006091596076072125</v>
      </c>
      <c r="H1076" s="121" t="n">
        <v>41.36612367957611</v>
      </c>
      <c r="I1076" s="118" t="n">
        <v>64.78360466003419</v>
      </c>
      <c r="J1076" s="118" t="n">
        <v>66.0957942390442</v>
      </c>
      <c r="K1076" s="120" t="n">
        <v>0.2889429649333701</v>
      </c>
      <c r="L1076" s="120" t="n">
        <v>-0.1134588056112511</v>
      </c>
      <c r="M1076" s="120" t="n">
        <v>-0.1772743819456838</v>
      </c>
      <c r="N1076" t="n">
        <v>55.70956869792764</v>
      </c>
      <c r="O1076" t="n">
        <v>0.6062129703866971</v>
      </c>
      <c r="P1076" t="n">
        <v>161.7785895139103</v>
      </c>
      <c r="Q1076" t="n">
        <v>170.6366961761009</v>
      </c>
    </row>
    <row r="1077">
      <c r="A1077" s="117" t="n">
        <v>45996</v>
      </c>
      <c r="B1077" s="118" t="n">
        <v>64.68795815600353</v>
      </c>
      <c r="C1077" s="118" t="n">
        <v>65.06210946650994</v>
      </c>
      <c r="D1077" s="118" t="n">
        <v>63.88058968704436</v>
      </c>
      <c r="E1077" s="118" t="n">
        <v>64.84549713134766</v>
      </c>
      <c r="F1077" s="119" t="n">
        <v>10917900</v>
      </c>
      <c r="G1077" s="120" t="n">
        <v>0.002588030488744897</v>
      </c>
      <c r="H1077" s="121" t="n">
        <v>41.47318046886004</v>
      </c>
      <c r="I1077" s="118" t="n">
        <v>64.72569572448731</v>
      </c>
      <c r="J1077" s="118" t="n">
        <v>66.04854639053345</v>
      </c>
      <c r="K1077" s="120" t="n">
        <v>0.2878401107260297</v>
      </c>
      <c r="L1077" s="120" t="n">
        <v>-0.1111644099706448</v>
      </c>
      <c r="M1077" s="120" t="n">
        <v>-0.1751451429622877</v>
      </c>
      <c r="N1077" t="n">
        <v>56.35154140656886</v>
      </c>
      <c r="O1077" t="n">
        <v>0.593914391829495</v>
      </c>
      <c r="P1077" t="n">
        <v>162.0858709179519</v>
      </c>
      <c r="Q1077" t="n">
        <v>171.3324417046946</v>
      </c>
    </row>
    <row r="1078">
      <c r="A1078" s="117" t="n">
        <v>45999</v>
      </c>
      <c r="B1078" s="118" t="n">
        <v>64.58949502843662</v>
      </c>
      <c r="C1078" s="118" t="n">
        <v>64.78641873229962</v>
      </c>
      <c r="D1078" s="118" t="n">
        <v>62.2953883394989</v>
      </c>
      <c r="E1078" s="118" t="n">
        <v>62.56122970581055</v>
      </c>
      <c r="F1078" s="119" t="n">
        <v>12867300</v>
      </c>
      <c r="G1078" s="120" t="n">
        <v>-0.03522630755548406</v>
      </c>
      <c r="H1078" s="121" t="n">
        <v>40.01223345835988</v>
      </c>
      <c r="I1078" s="118" t="n">
        <v>64.62073165893554</v>
      </c>
      <c r="J1078" s="118" t="n">
        <v>65.99338851928711</v>
      </c>
      <c r="K1078" s="120" t="n">
        <v>0.3144625375903456</v>
      </c>
      <c r="L1078" s="120" t="n">
        <v>-0.1424748058312789</v>
      </c>
      <c r="M1078" s="120" t="n">
        <v>-0.204201733844933</v>
      </c>
      <c r="N1078" t="n">
        <v>46.45573998638968</v>
      </c>
      <c r="O1078" t="n">
        <v>0.4143709562218206</v>
      </c>
      <c r="P1078" t="n">
        <v>161.5989310686177</v>
      </c>
      <c r="Q1078" t="n">
        <v>171.0037567707994</v>
      </c>
    </row>
    <row r="1079">
      <c r="A1079" s="117" t="n">
        <v>46000</v>
      </c>
      <c r="B1079" s="118" t="n">
        <v>62.53169313186056</v>
      </c>
      <c r="C1079" s="118" t="n">
        <v>62.96491779522756</v>
      </c>
      <c r="D1079" s="118" t="n">
        <v>62.00001412235644</v>
      </c>
      <c r="E1079" s="118" t="n">
        <v>62.35446929931641</v>
      </c>
      <c r="F1079" s="119" t="n">
        <v>9300200</v>
      </c>
      <c r="G1079" s="120" t="n">
        <v>-0.003304928746867941</v>
      </c>
      <c r="H1079" s="121" t="n">
        <v>39.87999587777696</v>
      </c>
      <c r="I1079" s="118" t="n">
        <v>64.50693618774415</v>
      </c>
      <c r="J1079" s="118" t="n">
        <v>65.91901512145996</v>
      </c>
      <c r="K1079" s="120" t="n">
        <v>0.314064792750828</v>
      </c>
      <c r="L1079" s="120" t="n">
        <v>-0.1453088654966507</v>
      </c>
      <c r="M1079" s="120" t="n">
        <v>-0.2068317904114565</v>
      </c>
      <c r="N1079" t="n">
        <v>45.67389910742562</v>
      </c>
      <c r="O1079" t="n">
        <v>0.2710508571545041</v>
      </c>
      <c r="P1079" t="n">
        <v>161.4594521072035</v>
      </c>
      <c r="Q1079" t="n">
        <v>171.2146634960459</v>
      </c>
    </row>
    <row r="1080">
      <c r="A1080" s="117" t="n">
        <v>46001</v>
      </c>
      <c r="B1080" s="118" t="n">
        <v>62.994453029406</v>
      </c>
      <c r="C1080" s="118" t="n">
        <v>65.13102834998018</v>
      </c>
      <c r="D1080" s="118" t="n">
        <v>62.77784070269215</v>
      </c>
      <c r="E1080" s="118" t="n">
        <v>64.77657318115234</v>
      </c>
      <c r="F1080" s="119" t="n">
        <v>20302100</v>
      </c>
      <c r="G1080" s="120" t="n">
        <v>0.03884411027875578</v>
      </c>
      <c r="H1080" s="121" t="n">
        <v>41.42909883556965</v>
      </c>
      <c r="I1080" s="118" t="n">
        <v>64.43806076049805</v>
      </c>
      <c r="J1080" s="118" t="n">
        <v>65.84982582092285</v>
      </c>
      <c r="K1080" s="120" t="n">
        <v>0.3143591884179411</v>
      </c>
      <c r="L1080" s="120" t="n">
        <v>-0.1121091488137277</v>
      </c>
      <c r="M1080" s="120" t="n">
        <v>-0.1760218770085958</v>
      </c>
      <c r="N1080" t="n">
        <v>55.18828259241182</v>
      </c>
      <c r="O1080" t="n">
        <v>0.3250981177298837</v>
      </c>
      <c r="P1080" t="n">
        <v>162.5302891773598</v>
      </c>
      <c r="Q1080" t="n">
        <v>171.915896056158</v>
      </c>
    </row>
    <row r="1081">
      <c r="A1081" s="117" t="n">
        <v>46002</v>
      </c>
      <c r="B1081" s="118" t="n">
        <v>64.8159512711171</v>
      </c>
      <c r="C1081" s="118" t="n">
        <v>66.77529505024589</v>
      </c>
      <c r="D1081" s="118" t="n">
        <v>64.55010616584528</v>
      </c>
      <c r="E1081" s="118" t="n">
        <v>66.69652557373047</v>
      </c>
      <c r="F1081" s="119" t="n">
        <v>16153500</v>
      </c>
      <c r="G1081" s="120" t="n">
        <v>0.02963961040681862</v>
      </c>
      <c r="H1081" s="121" t="n">
        <v>42.65704118456151</v>
      </c>
      <c r="I1081" s="118" t="n">
        <v>64.32012008666992</v>
      </c>
      <c r="J1081" s="118" t="n">
        <v>65.79288185119628</v>
      </c>
      <c r="K1081" s="120" t="n">
        <v>0.3252885759611485</v>
      </c>
      <c r="L1081" s="120" t="n">
        <v>-0.08579240990078807</v>
      </c>
      <c r="M1081" s="120" t="n">
        <v>-0.151599486459389</v>
      </c>
      <c r="N1081" t="n">
        <v>61.01649507707072</v>
      </c>
      <c r="O1081" t="n">
        <v>0.467231069682035</v>
      </c>
      <c r="P1081" t="n">
        <v>162.9084883887538</v>
      </c>
      <c r="Q1081" t="n">
        <v>171.3598433024611</v>
      </c>
    </row>
    <row r="1082">
      <c r="A1082" s="117" t="n">
        <v>46003</v>
      </c>
      <c r="B1082" s="118" t="n">
        <v>67.11990878838311</v>
      </c>
      <c r="C1082" s="118" t="n">
        <v>68.07496812837108</v>
      </c>
      <c r="D1082" s="118" t="n">
        <v>66.08608747592564</v>
      </c>
      <c r="E1082" s="118" t="n">
        <v>66.43069458007812</v>
      </c>
      <c r="F1082" s="119" t="n">
        <v>14829200</v>
      </c>
      <c r="G1082" s="120" t="n">
        <v>-0.003985679784151208</v>
      </c>
      <c r="H1082" s="121" t="n">
        <v>42.4870238778605</v>
      </c>
      <c r="I1082" s="118" t="n">
        <v>64.18962280273438</v>
      </c>
      <c r="J1082" s="118" t="n">
        <v>65.74014015197754</v>
      </c>
      <c r="K1082" s="120" t="n">
        <v>0.3119444325151632</v>
      </c>
      <c r="L1082" s="120" t="n">
        <v>-0.08943614861116411</v>
      </c>
      <c r="M1082" s="120" t="n">
        <v>-0.1549809392350714</v>
      </c>
      <c r="N1082" t="n">
        <v>59.85571682545635</v>
      </c>
      <c r="O1082" t="n">
        <v>0.5165670788412162</v>
      </c>
      <c r="P1082" t="n">
        <v>161.1568840097428</v>
      </c>
      <c r="Q1082" t="n">
        <v>168.0837331077662</v>
      </c>
    </row>
    <row r="1083">
      <c r="A1083" s="117" t="n">
        <v>46006</v>
      </c>
      <c r="B1083" s="118" t="n">
        <v>66.37162042278415</v>
      </c>
      <c r="C1083" s="118" t="n">
        <v>67.29713556108544</v>
      </c>
      <c r="D1083" s="118" t="n">
        <v>65.66271009600263</v>
      </c>
      <c r="E1083" s="118" t="n">
        <v>66.73591613769531</v>
      </c>
      <c r="F1083" s="119" t="n">
        <v>15287500</v>
      </c>
      <c r="G1083" s="120" t="n">
        <v>0.004594586275915802</v>
      </c>
      <c r="H1083" s="121" t="n">
        <v>42.68223417467423</v>
      </c>
      <c r="I1083" s="118" t="n">
        <v>64.11688690185547</v>
      </c>
      <c r="J1083" s="118" t="n">
        <v>65.6917624282837</v>
      </c>
      <c r="K1083" s="120" t="n">
        <v>0.2915118539960406</v>
      </c>
      <c r="L1083" s="120" t="n">
        <v>-0.0852524844362279</v>
      </c>
      <c r="M1083" s="120" t="n">
        <v>-0.1510984262555934</v>
      </c>
      <c r="N1083" t="n">
        <v>60.77833562045188</v>
      </c>
      <c r="O1083" t="n">
        <v>0.5404193657849445</v>
      </c>
      <c r="P1083" t="n">
        <v>160.9134068114545</v>
      </c>
      <c r="Q1083" t="n">
        <v>167.2400558670417</v>
      </c>
    </row>
    <row r="1084">
      <c r="A1084" s="117" t="n">
        <v>46007</v>
      </c>
      <c r="B1084" s="118" t="n">
        <v>66.2534619661092</v>
      </c>
      <c r="C1084" s="118" t="n">
        <v>67.14944036888065</v>
      </c>
      <c r="D1084" s="118" t="n">
        <v>65.71193119221867</v>
      </c>
      <c r="E1084" s="118" t="n">
        <v>66.08608245849609</v>
      </c>
      <c r="F1084" s="119" t="n">
        <v>16376700</v>
      </c>
      <c r="G1084" s="120" t="n">
        <v>-0.009737390550815683</v>
      </c>
      <c r="H1084" s="121" t="n">
        <v>42.26662059093405</v>
      </c>
      <c r="I1084" s="118" t="n">
        <v>64.0460252380371</v>
      </c>
      <c r="J1084" s="118" t="n">
        <v>65.64313285827637</v>
      </c>
      <c r="K1084" s="120" t="n">
        <v>0.2830480098750585</v>
      </c>
      <c r="L1084" s="120" t="n">
        <v>-0.09415973825066071</v>
      </c>
      <c r="M1084" s="120" t="n">
        <v>-0.1593645124183448</v>
      </c>
      <c r="N1084" t="n">
        <v>57.7359344180475</v>
      </c>
      <c r="O1084" t="n">
        <v>0.4848674539694706</v>
      </c>
      <c r="P1084" t="n">
        <v>160.4737455003551</v>
      </c>
      <c r="Q1084" t="n">
        <v>167.5715094865654</v>
      </c>
    </row>
    <row r="1085">
      <c r="A1085" s="117" t="n">
        <v>46008</v>
      </c>
      <c r="B1085" s="118" t="n">
        <v>65.53470185584003</v>
      </c>
      <c r="C1085" s="118" t="n">
        <v>65.80054696017547</v>
      </c>
      <c r="D1085" s="118" t="n">
        <v>64.60918680159149</v>
      </c>
      <c r="E1085" s="118" t="n">
        <v>64.67810821533203</v>
      </c>
      <c r="F1085" s="119" t="n">
        <v>13205500</v>
      </c>
      <c r="G1085" s="120" t="n">
        <v>-0.02130515519736409</v>
      </c>
      <c r="H1085" s="121" t="n">
        <v>41.36612367957609</v>
      </c>
      <c r="I1085" s="118" t="n">
        <v>63.99122528076172</v>
      </c>
      <c r="J1085" s="118" t="n">
        <v>65.59273281097413</v>
      </c>
      <c r="K1085" s="120" t="n">
        <v>0.2947673205714211</v>
      </c>
      <c r="L1085" s="120" t="n">
        <v>-0.1134588056112514</v>
      </c>
      <c r="M1085" s="120" t="n">
        <v>-0.1772743819456838</v>
      </c>
      <c r="N1085" t="n">
        <v>51.69762391771652</v>
      </c>
      <c r="O1085" t="n">
        <v>0.3329707810554163</v>
      </c>
      <c r="P1085" t="n">
        <v>158.7079575598737</v>
      </c>
      <c r="Q1085" t="n">
        <v>164.4652120104237</v>
      </c>
    </row>
    <row r="1086">
      <c r="A1086" s="117" t="n">
        <v>46009</v>
      </c>
      <c r="B1086" s="118" t="n">
        <v>64.99318510708291</v>
      </c>
      <c r="C1086" s="118" t="n">
        <v>65.96793305941291</v>
      </c>
      <c r="D1086" s="118" t="n">
        <v>64.39258093648779</v>
      </c>
      <c r="E1086" s="118" t="n">
        <v>64.61903381347656</v>
      </c>
      <c r="F1086" s="119" t="n">
        <v>35650000</v>
      </c>
      <c r="G1086" s="120" t="n">
        <v>-0.0009133600763150396</v>
      </c>
      <c r="H1086" s="121" t="n">
        <v>41.32834151369526</v>
      </c>
      <c r="I1086" s="118" t="n">
        <v>63.93172210693359</v>
      </c>
      <c r="J1086" s="118" t="n">
        <v>65.53966854095459</v>
      </c>
      <c r="K1086" s="120" t="n">
        <v>0.2950886285091064</v>
      </c>
      <c r="L1086" s="120" t="n">
        <v>-0.1142685369442147</v>
      </c>
      <c r="M1086" s="120" t="n">
        <v>-0.1780258266789763</v>
      </c>
      <c r="N1086" t="n">
        <v>51.45446978460957</v>
      </c>
      <c r="O1086" t="n">
        <v>0.2139744818176901</v>
      </c>
      <c r="P1086" t="n">
        <v>159.9064030415365</v>
      </c>
      <c r="Q1086" t="n">
        <v>166.8483455802923</v>
      </c>
    </row>
    <row r="1087">
      <c r="A1087" s="117" t="n">
        <v>46010</v>
      </c>
      <c r="B1087" s="118" t="n">
        <v>58.28808726496187</v>
      </c>
      <c r="C1087" s="118" t="n">
        <v>59.44991091148832</v>
      </c>
      <c r="D1087" s="118" t="n">
        <v>57.32318358081777</v>
      </c>
      <c r="E1087" s="118" t="n">
        <v>57.80563354492188</v>
      </c>
      <c r="F1087" s="119" t="n">
        <v>108652700</v>
      </c>
      <c r="G1087" s="120" t="n">
        <v>-0.1054395255772723</v>
      </c>
      <c r="H1087" s="121" t="n">
        <v>36.97070079159575</v>
      </c>
      <c r="I1087" s="118" t="n">
        <v>63.75610488891601</v>
      </c>
      <c r="J1087" s="118" t="n">
        <v>65.45302074432374</v>
      </c>
      <c r="K1087" s="120" t="n">
        <v>0.480726172017044</v>
      </c>
      <c r="L1087" s="120" t="n">
        <v>-0.20765964219768</v>
      </c>
      <c r="M1087" s="120" t="n">
        <v>-0.2646943935507157</v>
      </c>
      <c r="N1087" t="n">
        <v>32.47981526283401</v>
      </c>
      <c r="O1087" t="n">
        <v>-0.3096955065503636</v>
      </c>
      <c r="P1087" t="n">
        <v>161.3557157206949</v>
      </c>
      <c r="Q1087" t="n">
        <v>169.0232739908914</v>
      </c>
    </row>
    <row r="1088">
      <c r="A1088" s="117" t="n">
        <v>46013</v>
      </c>
      <c r="B1088" s="118" t="n">
        <v>58.08132028849413</v>
      </c>
      <c r="C1088" s="118" t="n">
        <v>58.16993407964069</v>
      </c>
      <c r="D1088" s="118" t="n">
        <v>56.25981541624509</v>
      </c>
      <c r="E1088" s="118" t="n">
        <v>56.33858489990234</v>
      </c>
      <c r="F1088" s="119" t="n">
        <v>38695900</v>
      </c>
      <c r="G1088" s="120" t="n">
        <v>-0.02537899085353779</v>
      </c>
      <c r="H1088" s="121" t="n">
        <v>36.03242171435696</v>
      </c>
      <c r="I1088" s="118" t="n">
        <v>63.60671684265137</v>
      </c>
      <c r="J1088" s="118" t="n">
        <v>65.3547834777832</v>
      </c>
      <c r="K1088" s="120" t="n">
        <v>0.4792205059091358</v>
      </c>
      <c r="L1088" s="120" t="n">
        <v>-0.2277684408912338</v>
      </c>
      <c r="M1088" s="120" t="n">
        <v>-0.2833557078113471</v>
      </c>
      <c r="N1088" t="n">
        <v>29.92125380904355</v>
      </c>
      <c r="O1088" t="n">
        <v>-0.7176579480530972</v>
      </c>
      <c r="P1088" t="n">
        <v>162.3609301797812</v>
      </c>
      <c r="Q1088" t="n">
        <v>169.8334920852923</v>
      </c>
    </row>
    <row r="1089">
      <c r="A1089" s="117" t="n">
        <v>46014</v>
      </c>
      <c r="B1089" s="118" t="n">
        <v>56.29920230093564</v>
      </c>
      <c r="C1089" s="118" t="n">
        <v>56.71273083806883</v>
      </c>
      <c r="D1089" s="118" t="n">
        <v>56.11213040403289</v>
      </c>
      <c r="E1089" s="118" t="n">
        <v>56.45673751831055</v>
      </c>
      <c r="F1089" s="119" t="n">
        <v>23276700</v>
      </c>
      <c r="G1089" s="120" t="n">
        <v>0.00209718825238725</v>
      </c>
      <c r="H1089" s="121" t="n">
        <v>36.10798848588136</v>
      </c>
      <c r="I1089" s="118" t="n">
        <v>63.41742721557617</v>
      </c>
      <c r="J1089" s="118" t="n">
        <v>65.26772413253784</v>
      </c>
      <c r="K1089" s="120" t="n">
        <v>0.4781582642334805</v>
      </c>
      <c r="L1089" s="120" t="n">
        <v>-0.2261489259373484</v>
      </c>
      <c r="M1089" s="120" t="n">
        <v>-0.2818527698206286</v>
      </c>
      <c r="N1089" t="n">
        <v>30.39680252416433</v>
      </c>
      <c r="O1089" t="n">
        <v>-0.9289115465551411</v>
      </c>
      <c r="P1089" t="n">
        <v>163.1029995686734</v>
      </c>
      <c r="Q1089" t="n">
        <v>170.6288767366892</v>
      </c>
    </row>
    <row r="1090">
      <c r="A1090" s="117" t="n">
        <v>46015</v>
      </c>
      <c r="B1090" s="118" t="n">
        <v>57.97301716494331</v>
      </c>
      <c r="C1090" s="118" t="n">
        <v>59.64683122103161</v>
      </c>
      <c r="D1090" s="118" t="n">
        <v>57.97301716494331</v>
      </c>
      <c r="E1090" s="118" t="n">
        <v>59.07576370239258</v>
      </c>
      <c r="F1090" s="119" t="n">
        <v>36073300</v>
      </c>
      <c r="G1090" s="120" t="n">
        <v>0.04638996688805497</v>
      </c>
      <c r="H1090" s="121" t="n">
        <v>37.78303687613568</v>
      </c>
      <c r="I1090" s="118" t="n">
        <v>63.2754305267334</v>
      </c>
      <c r="J1090" s="118" t="n">
        <v>65.20454051971436</v>
      </c>
      <c r="K1090" s="120" t="n">
        <v>0.497844174881726</v>
      </c>
      <c r="L1090" s="120" t="n">
        <v>-0.190250000235296</v>
      </c>
      <c r="M1090" s="120" t="n">
        <v>-0.2485379435918592</v>
      </c>
      <c r="N1090" t="n">
        <v>40.10003489835779</v>
      </c>
      <c r="O1090" t="n">
        <v>-0.8440805046556754</v>
      </c>
      <c r="P1090" t="n">
        <v>163.6767428142068</v>
      </c>
      <c r="Q1090" t="n">
        <v>171.1280623655663</v>
      </c>
    </row>
    <row r="1091">
      <c r="A1091" s="117" t="n">
        <v>46017</v>
      </c>
      <c r="B1091" s="118" t="n">
        <v>59.0757614024262</v>
      </c>
      <c r="C1091" s="118" t="n">
        <v>59.99143600463867</v>
      </c>
      <c r="D1091" s="118" t="n">
        <v>58.9379185601036</v>
      </c>
      <c r="E1091" s="118" t="n">
        <v>59.99143600463867</v>
      </c>
      <c r="F1091" s="119" t="n">
        <v>22303600</v>
      </c>
      <c r="G1091" s="120" t="n">
        <v>0.01549996555032274</v>
      </c>
      <c r="H1091" s="121" t="n">
        <v>38.36867264610235</v>
      </c>
      <c r="I1091" s="118" t="n">
        <v>63.13570251464844</v>
      </c>
      <c r="J1091" s="118" t="n">
        <v>65.14878747940064</v>
      </c>
      <c r="K1091" s="120" t="n">
        <v>0.4999393553711409</v>
      </c>
      <c r="L1091" s="120" t="n">
        <v>-0.1776989031345694</v>
      </c>
      <c r="M1091" s="120" t="n">
        <v>-0.2368903076051584</v>
      </c>
      <c r="N1091" t="n">
        <v>43.0873495771128</v>
      </c>
      <c r="O1091" t="n">
        <v>-0.6848965648417306</v>
      </c>
      <c r="P1091" t="n">
        <v>163.6601444104757</v>
      </c>
      <c r="Q1091" t="n">
        <v>171.1171050824423</v>
      </c>
    </row>
    <row r="1092">
      <c r="A1092" s="117" t="n">
        <v>46020</v>
      </c>
      <c r="B1092" s="118" t="n">
        <v>59.60744284305253</v>
      </c>
      <c r="C1092" s="118" t="n">
        <v>60.79880310365918</v>
      </c>
      <c r="D1092" s="118" t="n">
        <v>59.5779024089659</v>
      </c>
      <c r="E1092" s="118" t="n">
        <v>60.26712036132812</v>
      </c>
      <c r="F1092" s="119" t="n">
        <v>18062100</v>
      </c>
      <c r="G1092" s="120" t="n">
        <v>0.004595395193876195</v>
      </c>
      <c r="H1092" s="121" t="n">
        <v>38.54499185997566</v>
      </c>
      <c r="I1092" s="118" t="n">
        <v>63.03318664550781</v>
      </c>
      <c r="J1092" s="118" t="n">
        <v>65.09895719528198</v>
      </c>
      <c r="K1092" s="120" t="n">
        <v>0.4999275605527271</v>
      </c>
      <c r="L1092" s="120" t="n">
        <v>-0.1436009875224041</v>
      </c>
      <c r="M1092" s="120" t="n">
        <v>-0.2333835169923267</v>
      </c>
      <c r="N1092" t="n">
        <v>43.99298532483679</v>
      </c>
      <c r="O1092" t="n">
        <v>-0.5267358719793219</v>
      </c>
      <c r="P1092" t="n">
        <v>163.0769163628103</v>
      </c>
      <c r="Q1092" t="n">
        <v>170.2887814620217</v>
      </c>
    </row>
    <row r="1093">
      <c r="A1093" s="117" t="n">
        <v>46021</v>
      </c>
      <c r="B1093" s="118" t="n">
        <v>60.35573505680147</v>
      </c>
      <c r="C1093" s="118" t="n">
        <v>60.35573505680147</v>
      </c>
      <c r="D1093" s="118" t="n">
        <v>59.70590183618617</v>
      </c>
      <c r="E1093" s="118" t="n">
        <v>60.24742889404297</v>
      </c>
      <c r="F1093" s="119" t="n">
        <v>13507800</v>
      </c>
      <c r="G1093" s="120" t="n">
        <v>-0.0003267364886043733</v>
      </c>
      <c r="H1093" s="121" t="n">
        <v>38.53239780468204</v>
      </c>
      <c r="I1093" s="118" t="n">
        <v>62.91990661621094</v>
      </c>
      <c r="J1093" s="118" t="n">
        <v>65.053766040802</v>
      </c>
      <c r="K1093" s="120" t="n">
        <v>0.4943278759960818</v>
      </c>
      <c r="L1093" s="120" t="n">
        <v>-0.1347386065576109</v>
      </c>
      <c r="M1093" s="120" t="n">
        <v>-0.2336339985700908</v>
      </c>
      <c r="N1093" t="n">
        <v>43.93920201202763</v>
      </c>
      <c r="O1093" t="n">
        <v>-0.3951572327848758</v>
      </c>
      <c r="P1093" t="n">
        <v>162.8777646125224</v>
      </c>
      <c r="Q1093" t="n">
        <v>169.8938158721696</v>
      </c>
    </row>
    <row r="1094">
      <c r="A1094" s="117" t="n">
        <v>46022</v>
      </c>
      <c r="B1094" s="118" t="n">
        <v>61.29110171703891</v>
      </c>
      <c r="C1094" s="118" t="n">
        <v>63.2110609347518</v>
      </c>
      <c r="D1094" s="118" t="n">
        <v>60.9661832303886</v>
      </c>
      <c r="E1094" s="118" t="n">
        <v>62.72861099243164</v>
      </c>
      <c r="F1094" s="119" t="n">
        <v>35457400</v>
      </c>
      <c r="G1094" s="120" t="n">
        <v>0.041183203066679</v>
      </c>
      <c r="H1094" s="121" t="n">
        <v>40.11928536811833</v>
      </c>
      <c r="I1094" s="118" t="n">
        <v>62.8513582611084</v>
      </c>
      <c r="J1094" s="118" t="n">
        <v>65.01111877441406</v>
      </c>
      <c r="K1094" s="120" t="n">
        <v>0.5179608176864858</v>
      </c>
      <c r="L1094" s="120" t="n">
        <v>-0.079840107259189</v>
      </c>
      <c r="M1094" s="120" t="n">
        <v>-0.2020725919098041</v>
      </c>
      <c r="N1094" t="n">
        <v>51.91602133789883</v>
      </c>
      <c r="O1094" t="n">
        <v>-0.1266367278092564</v>
      </c>
      <c r="P1094" t="n">
        <v>161.6710272026153</v>
      </c>
      <c r="Q1094" t="n">
        <v>168.4895385213521</v>
      </c>
    </row>
    <row r="1095">
      <c r="A1095" s="117" t="n">
        <v>46024</v>
      </c>
      <c r="B1095" s="118" t="n">
        <v>63.01414717401337</v>
      </c>
      <c r="C1095" s="118" t="n">
        <v>63.14214195618677</v>
      </c>
      <c r="D1095" s="118" t="n">
        <v>61.58648215091496</v>
      </c>
      <c r="E1095" s="118" t="n">
        <v>62.30523681640625</v>
      </c>
      <c r="F1095" s="119" t="n">
        <v>22284100</v>
      </c>
      <c r="G1095" s="120" t="n">
        <v>-0.006749299391891062</v>
      </c>
      <c r="H1095" s="121" t="n">
        <v>39.84850829978018</v>
      </c>
      <c r="I1095" s="118" t="n">
        <v>62.75986289978027</v>
      </c>
      <c r="J1095" s="118" t="n">
        <v>64.96824005126953</v>
      </c>
      <c r="K1095" s="120" t="n">
        <v>0.5165702869393022</v>
      </c>
      <c r="L1095" s="120" t="n">
        <v>-0.08605054186370709</v>
      </c>
      <c r="M1095" s="120" t="n">
        <v>-0.2074580428800005</v>
      </c>
      <c r="N1095" t="n">
        <v>50.59316483621662</v>
      </c>
      <c r="O1095" t="n">
        <v>0.0285666319118999</v>
      </c>
      <c r="P1095" t="n">
        <v>161.9673690802715</v>
      </c>
      <c r="Q1095" t="n">
        <v>168.1631524355243</v>
      </c>
    </row>
    <row r="1096">
      <c r="A1096" s="117" t="n">
        <v>46027</v>
      </c>
      <c r="B1096" s="118" t="n">
        <v>62.75815222018763</v>
      </c>
      <c r="C1096" s="118" t="n">
        <v>64.36304479091379</v>
      </c>
      <c r="D1096" s="118" t="n">
        <v>62.41354135823816</v>
      </c>
      <c r="E1096" s="118" t="n">
        <v>63.53598022460938</v>
      </c>
      <c r="F1096" s="119" t="n">
        <v>23482500</v>
      </c>
      <c r="G1096" s="120" t="n">
        <v>0.01975345044959442</v>
      </c>
      <c r="H1096" s="121" t="n">
        <v>40.63565383397014</v>
      </c>
      <c r="I1096" s="118" t="n">
        <v>62.67889411926269</v>
      </c>
      <c r="J1096" s="118" t="n">
        <v>64.93306205749512</v>
      </c>
      <c r="K1096" s="120" t="n">
        <v>0.5219584423097783</v>
      </c>
      <c r="L1096" s="120" t="n">
        <v>-0.06799688652897817</v>
      </c>
      <c r="M1096" s="120" t="n">
        <v>-0.191802604600806</v>
      </c>
      <c r="N1096" t="n">
        <v>54.243182621847</v>
      </c>
      <c r="O1096" t="n">
        <v>0.2101057945001058</v>
      </c>
      <c r="P1096" t="n">
        <v>163.0461053031236</v>
      </c>
      <c r="Q1096" t="n">
        <v>169.4988670622304</v>
      </c>
    </row>
    <row r="1097">
      <c r="A1097" s="117" t="n">
        <v>46028</v>
      </c>
      <c r="B1097" s="118" t="n">
        <v>63.0732234081886</v>
      </c>
      <c r="C1097" s="118" t="n">
        <v>64.42212276189157</v>
      </c>
      <c r="D1097" s="118" t="n">
        <v>62.43323820034229</v>
      </c>
      <c r="E1097" s="118" t="n">
        <v>64.34335327148438</v>
      </c>
      <c r="F1097" s="119" t="n">
        <v>19973200</v>
      </c>
      <c r="G1097" s="120" t="n">
        <v>0.01270733596964768</v>
      </c>
      <c r="H1097" s="121" t="n">
        <v>41.1520247395847</v>
      </c>
      <c r="I1097" s="118" t="n">
        <v>62.60233268737793</v>
      </c>
      <c r="J1097" s="118" t="n">
        <v>64.90738372802734</v>
      </c>
      <c r="K1097" s="120" t="n">
        <v>0.5239484231030741</v>
      </c>
      <c r="L1097" s="120" t="n">
        <v>-0.05615360984134432</v>
      </c>
      <c r="M1097" s="120" t="n">
        <v>-0.1815325687676743</v>
      </c>
      <c r="N1097" t="n">
        <v>56.51284050374394</v>
      </c>
      <c r="O1097" t="n">
        <v>0.3711377642386798</v>
      </c>
      <c r="P1097" t="n">
        <v>164.0157663014572</v>
      </c>
      <c r="Q1097" t="n">
        <v>170.9881850116278</v>
      </c>
    </row>
    <row r="1098">
      <c r="A1098" s="117" t="n">
        <v>46029</v>
      </c>
      <c r="B1098" s="118" t="n">
        <v>64.51072483008127</v>
      </c>
      <c r="C1098" s="118" t="n">
        <v>64.59934237380276</v>
      </c>
      <c r="D1098" s="118" t="n">
        <v>62.2166181666345</v>
      </c>
      <c r="E1098" s="118" t="n">
        <v>62.24615859985352</v>
      </c>
      <c r="F1098" s="119" t="n">
        <v>18284100</v>
      </c>
      <c r="G1098" s="120" t="n">
        <v>-0.03259380441025739</v>
      </c>
      <c r="H1098" s="121" t="n">
        <v>39.8107236941366</v>
      </c>
      <c r="I1098" s="118" t="n">
        <v>62.49498046875</v>
      </c>
      <c r="J1098" s="118" t="n">
        <v>64.89017000198365</v>
      </c>
      <c r="K1098" s="120" t="n">
        <v>0.5216695681167797</v>
      </c>
      <c r="L1098" s="120" t="n">
        <v>-0.08691715447550308</v>
      </c>
      <c r="M1098" s="120" t="n">
        <v>-0.2082095361374265</v>
      </c>
      <c r="N1098" t="n">
        <v>49.62679344923768</v>
      </c>
      <c r="O1098" t="n">
        <v>0.3246660366096403</v>
      </c>
      <c r="P1098" t="n">
        <v>163.487075866051</v>
      </c>
      <c r="Q1098" t="n">
        <v>171.1527623973559</v>
      </c>
    </row>
    <row r="1099">
      <c r="A1099" s="117" t="n">
        <v>46030</v>
      </c>
      <c r="B1099" s="118" t="n">
        <v>61.22218033383797</v>
      </c>
      <c r="C1099" s="118" t="n">
        <v>64.72733973317152</v>
      </c>
      <c r="D1099" s="118" t="n">
        <v>60.74957469873465</v>
      </c>
      <c r="E1099" s="118" t="n">
        <v>64.25473785400391</v>
      </c>
      <c r="F1099" s="119" t="n">
        <v>21573900</v>
      </c>
      <c r="G1099" s="120" t="n">
        <v>0.03226832465377427</v>
      </c>
      <c r="H1099" s="121" t="n">
        <v>41.09534905100071</v>
      </c>
      <c r="I1099" s="118" t="n">
        <v>62.43797485351563</v>
      </c>
      <c r="J1099" s="118" t="n">
        <v>64.88565801620483</v>
      </c>
      <c r="K1099" s="120" t="n">
        <v>0.5335751772627926</v>
      </c>
      <c r="L1099" s="120" t="n">
        <v>-0.05745350078032641</v>
      </c>
      <c r="M1099" s="120" t="n">
        <v>-0.1826597843917466</v>
      </c>
      <c r="N1099" t="n">
        <v>55.25076799052318</v>
      </c>
      <c r="O1099" t="n">
        <v>0.4118520567746586</v>
      </c>
      <c r="P1099" t="n">
        <v>163.4704774623199</v>
      </c>
      <c r="Q1099" t="n">
        <v>170.1790743914782</v>
      </c>
    </row>
    <row r="1100">
      <c r="A1100" s="117" t="n">
        <v>46031</v>
      </c>
      <c r="B1100" s="118" t="n">
        <v>64.10704357971909</v>
      </c>
      <c r="C1100" s="118" t="n">
        <v>65.51501610350279</v>
      </c>
      <c r="D1100" s="118" t="n">
        <v>63.40798134929096</v>
      </c>
      <c r="E1100" s="118" t="n">
        <v>64.90456390380859</v>
      </c>
      <c r="F1100" s="119" t="n">
        <v>18470400</v>
      </c>
      <c r="G1100" s="120" t="n">
        <v>0.01011327835904008</v>
      </c>
      <c r="H1100" s="121" t="n">
        <v>41.51095775521539</v>
      </c>
      <c r="I1100" s="118" t="n">
        <v>62.41666351318359</v>
      </c>
      <c r="J1100" s="118" t="n">
        <v>64.88850435256958</v>
      </c>
      <c r="K1100" s="120" t="n">
        <v>0.5167853414197339</v>
      </c>
      <c r="L1100" s="120" t="n">
        <v>-0.0479212656673792</v>
      </c>
      <c r="M1100" s="120" t="n">
        <v>-0.1743937952772625</v>
      </c>
      <c r="N1100" t="n">
        <v>56.92628524424127</v>
      </c>
      <c r="O1100" t="n">
        <v>0.4905905792784006</v>
      </c>
      <c r="P1100" t="n">
        <v>164.5515703384625</v>
      </c>
      <c r="Q1100" t="n">
        <v>171.8740972931229</v>
      </c>
    </row>
    <row r="1101">
      <c r="A1101" s="117" t="n">
        <v>46034</v>
      </c>
      <c r="B1101" s="118" t="n">
        <v>64.24489150777713</v>
      </c>
      <c r="C1101" s="118" t="n">
        <v>65.31809758397111</v>
      </c>
      <c r="D1101" s="118" t="n">
        <v>63.25044740563536</v>
      </c>
      <c r="E1101" s="118" t="n">
        <v>64.62888336181641</v>
      </c>
      <c r="F1101" s="119" t="n">
        <v>13901100</v>
      </c>
      <c r="G1101" s="120" t="n">
        <v>-0.004247475453355798</v>
      </c>
      <c r="H1101" s="121" t="n">
        <v>41.33464098110482</v>
      </c>
      <c r="I1101" s="118" t="n">
        <v>62.43053771972657</v>
      </c>
      <c r="J1101" s="118" t="n">
        <v>64.89383977890014</v>
      </c>
      <c r="K1101" s="120" t="n">
        <v>0.5054215528574704</v>
      </c>
      <c r="L1101" s="120" t="n">
        <v>-0.0519651967211191</v>
      </c>
      <c r="M1101" s="120" t="n">
        <v>-0.1779005373659606</v>
      </c>
      <c r="N1101" t="n">
        <v>55.96886306673097</v>
      </c>
      <c r="O1101" t="n">
        <v>0.4997249467416198</v>
      </c>
      <c r="P1101" t="n">
        <v>164.8099875548331</v>
      </c>
      <c r="Q1101" t="n">
        <v>172.0167097728643</v>
      </c>
    </row>
    <row r="1102">
      <c r="A1102" s="117" t="n">
        <v>46035</v>
      </c>
      <c r="B1102" s="118" t="n">
        <v>65.22948423684309</v>
      </c>
      <c r="C1102" s="118" t="n">
        <v>66.04670071013113</v>
      </c>
      <c r="D1102" s="118" t="n">
        <v>64.83564433907658</v>
      </c>
      <c r="E1102" s="118" t="n">
        <v>65.27871704101562</v>
      </c>
      <c r="F1102" s="119" t="n">
        <v>13685200</v>
      </c>
      <c r="G1102" s="120" t="n">
        <v>0.01005484924691036</v>
      </c>
      <c r="H1102" s="121" t="n">
        <v>41.75025456484499</v>
      </c>
      <c r="I1102" s="118" t="n">
        <v>62.46621376037598</v>
      </c>
      <c r="J1102" s="118" t="n">
        <v>64.90213426589966</v>
      </c>
      <c r="K1102" s="120" t="n">
        <v>0.5068040360287551</v>
      </c>
      <c r="L1102" s="120" t="n">
        <v>-0.04243284969332561</v>
      </c>
      <c r="M1102" s="120" t="n">
        <v>-0.1696344512032093</v>
      </c>
      <c r="N1102" t="n">
        <v>57.77177395507182</v>
      </c>
      <c r="O1102" t="n">
        <v>0.5226791208346334</v>
      </c>
      <c r="P1102" t="n">
        <v>164.4804488697147</v>
      </c>
      <c r="Q1102" t="n">
        <v>171.7616383168637</v>
      </c>
    </row>
    <row r="1103">
      <c r="A1103" s="117" t="n">
        <v>46036</v>
      </c>
      <c r="B1103" s="118" t="n">
        <v>65.26886973343372</v>
      </c>
      <c r="C1103" s="118" t="n">
        <v>66.09592676763421</v>
      </c>
      <c r="D1103" s="118" t="n">
        <v>64.0381247335844</v>
      </c>
      <c r="E1103" s="118" t="n">
        <v>64.55995941162109</v>
      </c>
      <c r="F1103" s="119" t="n">
        <v>15939100</v>
      </c>
      <c r="G1103" s="120" t="n">
        <v>-0.01101059674538218</v>
      </c>
      <c r="H1103" s="121" t="n">
        <v>41.29055934781443</v>
      </c>
      <c r="I1103" s="118" t="n">
        <v>62.49358055114746</v>
      </c>
      <c r="J1103" s="118" t="n">
        <v>64.91896915435791</v>
      </c>
      <c r="K1103" s="120" t="n">
        <v>0.5078020445713435</v>
      </c>
      <c r="L1103" s="120" t="n">
        <v>-0.05297623544197727</v>
      </c>
      <c r="M1103" s="120" t="n">
        <v>-0.1787772714122687</v>
      </c>
      <c r="N1103" t="n">
        <v>55.08510900135399</v>
      </c>
      <c r="O1103" t="n">
        <v>0.4645603947740045</v>
      </c>
      <c r="P1103" t="n">
        <v>163.6719858658982</v>
      </c>
      <c r="Q1103" t="n">
        <v>169.9267380612804</v>
      </c>
    </row>
    <row r="1104">
      <c r="A1104" s="117" t="n">
        <v>46037</v>
      </c>
      <c r="B1104" s="118" t="n">
        <v>64.74703381864438</v>
      </c>
      <c r="C1104" s="118" t="n">
        <v>64.74703381864438</v>
      </c>
      <c r="D1104" s="118" t="n">
        <v>63.22090704323369</v>
      </c>
      <c r="E1104" s="118" t="n">
        <v>63.59505081176758</v>
      </c>
      <c r="F1104" s="119" t="n">
        <v>13295300</v>
      </c>
      <c r="G1104" s="120" t="n">
        <v>-0.01494592946847217</v>
      </c>
      <c r="H1104" s="121" t="n">
        <v>40.67343356008823</v>
      </c>
      <c r="I1104" s="118" t="n">
        <v>62.53960899353027</v>
      </c>
      <c r="J1104" s="118" t="n">
        <v>64.93006099700928</v>
      </c>
      <c r="K1104" s="120" t="n">
        <v>0.5093043598240902</v>
      </c>
      <c r="L1104" s="120" t="n">
        <v>-0.06713038583202835</v>
      </c>
      <c r="M1104" s="120" t="n">
        <v>-0.1910512083916472</v>
      </c>
      <c r="N1104" t="n">
        <v>51.61485763755629</v>
      </c>
      <c r="O1104" t="n">
        <v>0.3419058182051687</v>
      </c>
      <c r="P1104" t="n">
        <v>164.1177133771341</v>
      </c>
      <c r="Q1104" t="n">
        <v>170.5383826664168</v>
      </c>
    </row>
    <row r="1105">
      <c r="A1105" s="117" t="n">
        <v>46038</v>
      </c>
      <c r="B1105" s="118" t="n">
        <v>63.39813846900594</v>
      </c>
      <c r="C1105" s="118" t="n">
        <v>63.59505467242612</v>
      </c>
      <c r="D1105" s="118" t="n">
        <v>62.69907618143119</v>
      </c>
      <c r="E1105" s="118" t="n">
        <v>63.38829040527344</v>
      </c>
      <c r="F1105" s="119" t="n">
        <v>15903000</v>
      </c>
      <c r="G1105" s="120" t="n">
        <v>-0.003251202787872942</v>
      </c>
      <c r="H1105" s="121" t="n">
        <v>40.54119597950531</v>
      </c>
      <c r="I1105" s="118" t="n">
        <v>62.60928749084473</v>
      </c>
      <c r="J1105" s="118" t="n">
        <v>64.93393106460572</v>
      </c>
      <c r="K1105" s="120" t="n">
        <v>0.5039554559810986</v>
      </c>
      <c r="L1105" s="120" t="n">
        <v>-0.07016333412233322</v>
      </c>
      <c r="M1105" s="120" t="n">
        <v>-0.1936812649581707</v>
      </c>
      <c r="N1105" t="n">
        <v>50.8752537380653</v>
      </c>
      <c r="O1105" t="n">
        <v>0.2328351503934347</v>
      </c>
      <c r="P1105" t="n">
        <v>163.980198293462</v>
      </c>
      <c r="Q1105" t="n">
        <v>170.3957534067625</v>
      </c>
    </row>
    <row r="1106">
      <c r="A1106" s="117" t="n">
        <v>46042</v>
      </c>
      <c r="B1106" s="118" t="n">
        <v>62.51200228293902</v>
      </c>
      <c r="C1106" s="118" t="n">
        <v>63.58521208331121</v>
      </c>
      <c r="D1106" s="118" t="n">
        <v>62.04924095666955</v>
      </c>
      <c r="E1106" s="118" t="n">
        <v>62.64984512329102</v>
      </c>
      <c r="F1106" s="119" t="n">
        <v>20406000</v>
      </c>
      <c r="G1106" s="120" t="n">
        <v>-0.01164955352575636</v>
      </c>
      <c r="H1106" s="121" t="n">
        <v>40.06890914694389</v>
      </c>
      <c r="I1106" s="118" t="n">
        <v>62.64697807312012</v>
      </c>
      <c r="J1106" s="118" t="n">
        <v>64.93314205169678</v>
      </c>
      <c r="K1106" s="120" t="n">
        <v>0.5055080720035233</v>
      </c>
      <c r="L1106" s="120" t="n">
        <v>-0.08099551613168587</v>
      </c>
      <c r="M1106" s="120" t="n">
        <v>-0.2030745182208606</v>
      </c>
      <c r="N1106" t="n">
        <v>48.21778977618831</v>
      </c>
      <c r="O1106" t="n">
        <v>0.1035347130177346</v>
      </c>
      <c r="P1106" t="n">
        <v>160.6420861909563</v>
      </c>
      <c r="Q1106" t="n">
        <v>166.7753361792622</v>
      </c>
    </row>
    <row r="1107">
      <c r="A1107" s="117" t="n">
        <v>46043</v>
      </c>
      <c r="B1107" s="118" t="n">
        <v>62.89599324614213</v>
      </c>
      <c r="C1107" s="118" t="n">
        <v>64.41226822474781</v>
      </c>
      <c r="D1107" s="118" t="n">
        <v>62.63015187663665</v>
      </c>
      <c r="E1107" s="118" t="n">
        <v>64.40242767333984</v>
      </c>
      <c r="F1107" s="119" t="n">
        <v>17166400</v>
      </c>
      <c r="G1107" s="120" t="n">
        <v>0.02797425191714131</v>
      </c>
      <c r="H1107" s="121" t="n">
        <v>41.18980690546555</v>
      </c>
      <c r="I1107" s="118" t="n">
        <v>62.72402503967285</v>
      </c>
      <c r="J1107" s="118" t="n">
        <v>64.98646196365357</v>
      </c>
      <c r="K1107" s="120" t="n">
        <v>0.3322113804084899</v>
      </c>
      <c r="L1107" s="120" t="n">
        <v>-0.04749538267387876</v>
      </c>
      <c r="M1107" s="120" t="n">
        <v>-0.1807811240343818</v>
      </c>
      <c r="N1107" t="n">
        <v>54.3168346685112</v>
      </c>
      <c r="O1107" t="n">
        <v>0.1270683907723119</v>
      </c>
      <c r="P1107" t="n">
        <v>162.4960740629202</v>
      </c>
      <c r="Q1107" t="n">
        <v>169.0298684966613</v>
      </c>
    </row>
    <row r="1108">
      <c r="A1108" s="117" t="n">
        <v>46044</v>
      </c>
      <c r="B1108" s="118" t="n">
        <v>64.40242723453713</v>
      </c>
      <c r="C1108" s="118" t="n">
        <v>65.52486606084436</v>
      </c>
      <c r="D1108" s="118" t="n">
        <v>64.24488827062743</v>
      </c>
      <c r="E1108" s="118" t="n">
        <v>64.45165252685547</v>
      </c>
      <c r="F1108" s="119" t="n">
        <v>11853700</v>
      </c>
      <c r="G1108" s="120" t="n">
        <v>0.0007643322665613628</v>
      </c>
      <c r="H1108" s="121" t="n">
        <v>41.22128960393682</v>
      </c>
      <c r="I1108" s="118" t="n">
        <v>62.81771018981934</v>
      </c>
      <c r="J1108" s="118" t="n">
        <v>65.03195468902588</v>
      </c>
      <c r="K1108" s="120" t="n">
        <v>0.3122113040274756</v>
      </c>
      <c r="L1108" s="120" t="n">
        <v>-0.03954050149455612</v>
      </c>
      <c r="M1108" s="120" t="n">
        <v>-0.1801549686141052</v>
      </c>
      <c r="N1108" t="n">
        <v>54.4790095472974</v>
      </c>
      <c r="O1108" t="n">
        <v>0.1361679333217951</v>
      </c>
      <c r="P1108" t="n">
        <v>163.3448329285554</v>
      </c>
      <c r="Q1108" t="n">
        <v>170.2586111786266</v>
      </c>
    </row>
    <row r="1109">
      <c r="A1109" s="117" t="n">
        <v>46045</v>
      </c>
      <c r="B1109" s="118" t="n">
        <v>64.24488834092695</v>
      </c>
      <c r="C1109" s="118" t="n">
        <v>64.44180453415829</v>
      </c>
      <c r="D1109" s="118" t="n">
        <v>63.44736799290735</v>
      </c>
      <c r="E1109" s="118" t="n">
        <v>64.03812408447266</v>
      </c>
      <c r="F1109" s="119" t="n">
        <v>11243900</v>
      </c>
      <c r="G1109" s="120" t="n">
        <v>-0.006416103019398989</v>
      </c>
      <c r="H1109" s="121" t="n">
        <v>40.95680956324549</v>
      </c>
      <c r="I1109" s="118" t="n">
        <v>62.90879913330078</v>
      </c>
      <c r="J1109" s="118" t="n">
        <v>65.08330808639526</v>
      </c>
      <c r="K1109" s="120" t="n">
        <v>0.3154057348459129</v>
      </c>
      <c r="L1109" s="120" t="n">
        <v>-0.04042488976485059</v>
      </c>
      <c r="M1109" s="120" t="n">
        <v>-0.1854151787954195</v>
      </c>
      <c r="N1109" t="n">
        <v>52.78376107045601</v>
      </c>
      <c r="O1109" t="n">
        <v>0.1059012379715296</v>
      </c>
      <c r="P1109" t="n">
        <v>163.4040838473956</v>
      </c>
      <c r="Q1109" t="n">
        <v>170.7961892482201</v>
      </c>
    </row>
    <row r="1110">
      <c r="A1110" s="117" t="n">
        <v>46048</v>
      </c>
      <c r="B1110" s="118" t="n">
        <v>63.8116640220158</v>
      </c>
      <c r="C1110" s="118" t="n">
        <v>64.62888050058511</v>
      </c>
      <c r="D1110" s="118" t="n">
        <v>63.7821273440699</v>
      </c>
      <c r="E1110" s="118" t="n">
        <v>63.9888916015625</v>
      </c>
      <c r="F1110" s="119" t="n">
        <v>14765900</v>
      </c>
      <c r="G1110" s="120" t="n">
        <v>-0.0007687995801565206</v>
      </c>
      <c r="H1110" s="121" t="n">
        <v>40.92532198524871</v>
      </c>
      <c r="I1110" s="118" t="n">
        <v>62.95292083740235</v>
      </c>
      <c r="J1110" s="118" t="n">
        <v>65.14572765350341</v>
      </c>
      <c r="K1110" s="120" t="n">
        <v>0.278584564028268</v>
      </c>
      <c r="L1110" s="120" t="n">
        <v>-0.04116261070672811</v>
      </c>
      <c r="M1110" s="120" t="n">
        <v>-0.1860414312639634</v>
      </c>
      <c r="N1110" t="n">
        <v>52.57400898322913</v>
      </c>
      <c r="O1110" t="n">
        <v>0.07555432426887004</v>
      </c>
      <c r="P1110" t="n">
        <v>164.2338876560091</v>
      </c>
      <c r="Q1110" t="n">
        <v>171.5477112072951</v>
      </c>
    </row>
    <row r="1111">
      <c r="A1111" s="117" t="n">
        <v>46049</v>
      </c>
      <c r="B1111" s="118" t="n">
        <v>63.75259333204947</v>
      </c>
      <c r="C1111" s="118" t="n">
        <v>63.83136281777995</v>
      </c>
      <c r="D1111" s="118" t="n">
        <v>61.91139979636119</v>
      </c>
      <c r="E1111" s="118" t="n">
        <v>62.1181640625</v>
      </c>
      <c r="F1111" s="119" t="n">
        <v>13536700</v>
      </c>
      <c r="G1111" s="120" t="n">
        <v>-0.02923519211288883</v>
      </c>
      <c r="H1111" s="121" t="n">
        <v>39.72886233472813</v>
      </c>
      <c r="I1111" s="118" t="n">
        <v>62.9390828704834</v>
      </c>
      <c r="J1111" s="118" t="n">
        <v>65.16954587936401</v>
      </c>
      <c r="K1111" s="120" t="n">
        <v>0.2989208879916345</v>
      </c>
      <c r="L1111" s="120" t="n">
        <v>-0.06919440598773774</v>
      </c>
      <c r="M1111" s="120" t="n">
        <v>-0.2098376663928935</v>
      </c>
      <c r="N1111" t="n">
        <v>45.22064307905737</v>
      </c>
      <c r="O1111" t="n">
        <v>-0.06966779610793439</v>
      </c>
      <c r="P1111" t="n">
        <v>164.8882226251799</v>
      </c>
      <c r="Q1111" t="n">
        <v>173.1028399750882</v>
      </c>
    </row>
    <row r="1112">
      <c r="A1112" s="117" t="n">
        <v>46050</v>
      </c>
      <c r="B1112" s="118" t="n">
        <v>62.07877799778709</v>
      </c>
      <c r="C1112" s="118" t="n">
        <v>62.50215458473394</v>
      </c>
      <c r="D1112" s="118" t="n">
        <v>61.01541625461844</v>
      </c>
      <c r="E1112" s="118" t="n">
        <v>61.28125762939453</v>
      </c>
      <c r="F1112" s="119" t="n">
        <v>10363600</v>
      </c>
      <c r="G1112" s="120" t="n">
        <v>-0.01347281339904727</v>
      </c>
      <c r="H1112" s="121" t="n">
        <v>39.1936027859359</v>
      </c>
      <c r="I1112" s="118" t="n">
        <v>62.87269905090332</v>
      </c>
      <c r="J1112" s="118" t="n">
        <v>65.21296447753906</v>
      </c>
      <c r="K1112" s="120" t="n">
        <v>0.3036124236600766</v>
      </c>
      <c r="L1112" s="120" t="n">
        <v>-0.08173497606665414</v>
      </c>
      <c r="M1112" s="120" t="n">
        <v>-0.2204833760685379</v>
      </c>
      <c r="N1112" t="n">
        <v>42.36580429772962</v>
      </c>
      <c r="O1112" t="n">
        <v>-0.2131438522199391</v>
      </c>
      <c r="P1112" t="n">
        <v>164.8716242214488</v>
      </c>
      <c r="Q1112" t="n">
        <v>173.6760585796824</v>
      </c>
    </row>
    <row r="1113">
      <c r="A1113" s="117" t="n">
        <v>46051</v>
      </c>
      <c r="B1113" s="118" t="n">
        <v>60.97603411453726</v>
      </c>
      <c r="C1113" s="118" t="n">
        <v>61.97047447956156</v>
      </c>
      <c r="D1113" s="118" t="n">
        <v>60.51327276581702</v>
      </c>
      <c r="E1113" s="118" t="n">
        <v>61.63571166992188</v>
      </c>
      <c r="F1113" s="119" t="n">
        <v>12739400</v>
      </c>
      <c r="G1113" s="120" t="n">
        <v>0.005784052975396525</v>
      </c>
      <c r="H1113" s="121" t="n">
        <v>39.4203006607464</v>
      </c>
      <c r="I1113" s="118" t="n">
        <v>62.84979904174805</v>
      </c>
      <c r="J1113" s="118" t="n">
        <v>65.25820369720459</v>
      </c>
      <c r="K1113" s="120" t="n">
        <v>0.3040307914258555</v>
      </c>
      <c r="L1113" s="120" t="n">
        <v>-0.0764236825227701</v>
      </c>
      <c r="M1113" s="120" t="n">
        <v>-0.2159746106205159</v>
      </c>
      <c r="N1113" t="n">
        <v>43.97891465879411</v>
      </c>
      <c r="O1113" t="n">
        <v>-0.2714886169875878</v>
      </c>
      <c r="P1113" t="n">
        <v>164.5444567368634</v>
      </c>
      <c r="Q1113" t="n">
        <v>172.6365597554089</v>
      </c>
    </row>
    <row r="1114">
      <c r="A1114" s="117" t="n">
        <v>46052</v>
      </c>
      <c r="B1114" s="118" t="n">
        <v>61.28125621585293</v>
      </c>
      <c r="C1114" s="118" t="n">
        <v>61.55694189180872</v>
      </c>
      <c r="D1114" s="118" t="n">
        <v>60.08004790329873</v>
      </c>
      <c r="E1114" s="118" t="n">
        <v>60.85787963867188</v>
      </c>
      <c r="F1114" s="119" t="n">
        <v>14309200</v>
      </c>
      <c r="G1114" s="120" t="n">
        <v>-0.01261982721016552</v>
      </c>
      <c r="H1114" s="121" t="n">
        <v>38.92282327783501</v>
      </c>
      <c r="I1114" s="118" t="n">
        <v>62.83619239807129</v>
      </c>
      <c r="J1114" s="118" t="n">
        <v>65.29462274551392</v>
      </c>
      <c r="K1114" s="120" t="n">
        <v>0.2683399675291501</v>
      </c>
      <c r="L1114" s="120" t="n">
        <v>-0.08807905606473365</v>
      </c>
      <c r="M1114" s="120" t="n">
        <v>-0.2258688755628678</v>
      </c>
      <c r="N1114" t="n">
        <v>41.2504218495126</v>
      </c>
      <c r="O1114" t="n">
        <v>-0.3450572830280052</v>
      </c>
      <c r="P1114" t="n">
        <v>164.0537055099854</v>
      </c>
      <c r="Q1114" t="n">
        <v>170.5630491383805</v>
      </c>
    </row>
    <row r="1115">
      <c r="A1115" s="117" t="n">
        <v>46055</v>
      </c>
      <c r="B1115" s="118" t="n">
        <v>60.7101890435314</v>
      </c>
      <c r="C1115" s="118" t="n">
        <v>61.60617125084067</v>
      </c>
      <c r="D1115" s="118" t="n">
        <v>60.20804673751802</v>
      </c>
      <c r="E1115" s="118" t="n">
        <v>61.2221794128418</v>
      </c>
      <c r="F1115" s="119" t="n">
        <v>11006300</v>
      </c>
      <c r="G1115" s="120" t="n">
        <v>0.005986074052084289</v>
      </c>
      <c r="H1115" s="121" t="n">
        <v>39.15581818029231</v>
      </c>
      <c r="I1115" s="118" t="n">
        <v>62.83789421081543</v>
      </c>
      <c r="J1115" s="118" t="n">
        <v>65.33566719055176</v>
      </c>
      <c r="K1115" s="120" t="n">
        <v>0.2687658036767218</v>
      </c>
      <c r="L1115" s="120" t="n">
        <v>-0.08262022976469063</v>
      </c>
      <c r="M1115" s="120" t="n">
        <v>-0.2212348693259639</v>
      </c>
      <c r="N1115" t="n">
        <v>43.03304313721617</v>
      </c>
      <c r="O1115" t="n">
        <v>-0.350636765470233</v>
      </c>
      <c r="P1115" t="n">
        <v>164.8692530209158</v>
      </c>
      <c r="Q1115" t="n">
        <v>171.7342199391842</v>
      </c>
    </row>
    <row r="1116">
      <c r="A1116" s="117" t="n">
        <v>46056</v>
      </c>
      <c r="B1116" s="118" t="n">
        <v>60.82834112213207</v>
      </c>
      <c r="C1116" s="118" t="n">
        <v>61.5667881396624</v>
      </c>
      <c r="D1116" s="118" t="n">
        <v>59.49913799295179</v>
      </c>
      <c r="E1116" s="118" t="n">
        <v>59.99143600463867</v>
      </c>
      <c r="F1116" s="119" t="n">
        <v>17322100</v>
      </c>
      <c r="G1116" s="120" t="n">
        <v>-0.02010290094221912</v>
      </c>
      <c r="H1116" s="121" t="n">
        <v>38.36867264610236</v>
      </c>
      <c r="I1116" s="118" t="n">
        <v>62.81204605102539</v>
      </c>
      <c r="J1116" s="118" t="n">
        <v>65.37674587249757</v>
      </c>
      <c r="K1116" s="120" t="n">
        <v>0.2656759244762352</v>
      </c>
      <c r="L1116" s="120" t="n">
        <v>-0.1010622244121266</v>
      </c>
      <c r="M1116" s="120" t="n">
        <v>-0.2368903076051584</v>
      </c>
      <c r="N1116" t="n">
        <v>38.75473192444719</v>
      </c>
      <c r="O1116" t="n">
        <v>-0.4143022165855018</v>
      </c>
      <c r="P1116" t="n">
        <v>163.4752198633859</v>
      </c>
      <c r="Q1116" t="n">
        <v>169.0956960949699</v>
      </c>
    </row>
    <row r="1117">
      <c r="A1117" s="117" t="n">
        <v>46057</v>
      </c>
      <c r="B1117" s="118" t="n">
        <v>60.76926857570081</v>
      </c>
      <c r="C1117" s="118" t="n">
        <v>63.41783431772925</v>
      </c>
      <c r="D1117" s="118" t="n">
        <v>60.56250055352113</v>
      </c>
      <c r="E1117" s="118" t="n">
        <v>63.23075866699219</v>
      </c>
      <c r="F1117" s="119" t="n">
        <v>20957700</v>
      </c>
      <c r="G1117" s="120" t="n">
        <v>0.05399641812379752</v>
      </c>
      <c r="H1117" s="121" t="n">
        <v>40.44044353715641</v>
      </c>
      <c r="I1117" s="118" t="n">
        <v>62.87466041564942</v>
      </c>
      <c r="J1117" s="118" t="n">
        <v>65.42333730697632</v>
      </c>
      <c r="K1117" s="120" t="n">
        <v>0.3301137800425668</v>
      </c>
      <c r="L1117" s="120" t="n">
        <v>-0.05252280441420742</v>
      </c>
      <c r="M1117" s="120" t="n">
        <v>-0.195685117580284</v>
      </c>
      <c r="N1117" t="n">
        <v>52.21934280843338</v>
      </c>
      <c r="O1117" t="n">
        <v>-0.2248239271133493</v>
      </c>
      <c r="P1117" t="n">
        <v>162.683369810543</v>
      </c>
      <c r="Q1117" t="n">
        <v>166.1417434480519</v>
      </c>
    </row>
    <row r="1118">
      <c r="A1118" s="117" t="n">
        <v>46058</v>
      </c>
      <c r="B1118" s="118" t="n">
        <v>63.2012186765062</v>
      </c>
      <c r="C1118" s="118" t="n">
        <v>63.58521050967951</v>
      </c>
      <c r="D1118" s="118" t="n">
        <v>61.13356485459018</v>
      </c>
      <c r="E1118" s="118" t="n">
        <v>61.73416900634766</v>
      </c>
      <c r="F1118" s="119" t="n">
        <v>12506200</v>
      </c>
      <c r="G1118" s="120" t="n">
        <v>-0.02366869688416029</v>
      </c>
      <c r="H1118" s="121" t="n">
        <v>39.48327093721446</v>
      </c>
      <c r="I1118" s="118" t="n">
        <v>62.8805362701416</v>
      </c>
      <c r="J1118" s="118" t="n">
        <v>65.46070543289184</v>
      </c>
      <c r="K1118" s="120" t="n">
        <v>0.3200320311273797</v>
      </c>
      <c r="L1118" s="120" t="n">
        <v>-0.07494835496118191</v>
      </c>
      <c r="M1118" s="120" t="n">
        <v>-0.2147222027316952</v>
      </c>
      <c r="N1118" t="n">
        <v>47.07056775182846</v>
      </c>
      <c r="O1118" t="n">
        <v>-0.1883352515743076</v>
      </c>
      <c r="P1118" t="n">
        <v>160.6515709930884</v>
      </c>
      <c r="Q1118" t="n">
        <v>163.7500856824299</v>
      </c>
    </row>
    <row r="1119">
      <c r="A1119" s="117" t="n">
        <v>46059</v>
      </c>
      <c r="B1119" s="118" t="n">
        <v>62.03939299394511</v>
      </c>
      <c r="C1119" s="118" t="n">
        <v>63.25044563663491</v>
      </c>
      <c r="D1119" s="118" t="n">
        <v>62.02954868644787</v>
      </c>
      <c r="E1119" s="118" t="n">
        <v>62.93537521362305</v>
      </c>
      <c r="F1119" s="119" t="n">
        <v>11961500</v>
      </c>
      <c r="G1119" s="120" t="n">
        <v>0.0194577205234896</v>
      </c>
      <c r="H1119" s="121" t="n">
        <v>40.251525388464</v>
      </c>
      <c r="I1119" s="118" t="n">
        <v>62.92745956420899</v>
      </c>
      <c r="J1119" s="118" t="n">
        <v>65.4995352935791</v>
      </c>
      <c r="K1119" s="120" t="n">
        <v>0.3056916385051182</v>
      </c>
      <c r="L1119" s="120" t="n">
        <v>-0.05694895858222226</v>
      </c>
      <c r="M1119" s="120" t="n">
        <v>-0.199442486819147</v>
      </c>
      <c r="N1119" t="n">
        <v>51.22727155512848</v>
      </c>
      <c r="O1119" t="n">
        <v>-0.07705401493137673</v>
      </c>
      <c r="P1119" t="n">
        <v>163.7336370797564</v>
      </c>
      <c r="Q1119" t="n">
        <v>167.2114293356333</v>
      </c>
    </row>
    <row r="1120">
      <c r="A1120" s="117" t="n">
        <v>46062</v>
      </c>
      <c r="B1120" s="118" t="n">
        <v>62.59077017607868</v>
      </c>
      <c r="C1120" s="118" t="n">
        <v>62.92553298105936</v>
      </c>
      <c r="D1120" s="118" t="n">
        <v>61.40925417285653</v>
      </c>
      <c r="E1120" s="118" t="n">
        <v>61.44863891601562</v>
      </c>
      <c r="F1120" s="119" t="n">
        <v>12920800</v>
      </c>
      <c r="G1120" s="120" t="n">
        <v>-0.0236232213212515</v>
      </c>
      <c r="H1120" s="121" t="n">
        <v>39.30065469569434</v>
      </c>
      <c r="I1120" s="118" t="n">
        <v>62.91040588378906</v>
      </c>
      <c r="J1120" s="118" t="n">
        <v>65.52933616638184</v>
      </c>
      <c r="K1120" s="120" t="n">
        <v>0.3129943180978547</v>
      </c>
      <c r="L1120" s="120" t="n">
        <v>-0.07922686205087104</v>
      </c>
      <c r="M1120" s="120" t="n">
        <v>-0.2183542341334089</v>
      </c>
      <c r="N1120" t="n">
        <v>46.37306042308913</v>
      </c>
      <c r="O1120" t="n">
        <v>-0.09609038572093537</v>
      </c>
      <c r="P1120" t="n">
        <v>164.5231159320663</v>
      </c>
      <c r="Q1120" t="n">
        <v>168.4922904270677</v>
      </c>
    </row>
    <row r="1121">
      <c r="A1121" s="117" t="n">
        <v>46063</v>
      </c>
      <c r="B1121" s="118" t="n">
        <v>62.02955065117922</v>
      </c>
      <c r="C1121" s="118" t="n">
        <v>63.20122234505598</v>
      </c>
      <c r="D1121" s="118" t="n">
        <v>61.33048836272545</v>
      </c>
      <c r="E1121" s="118" t="n">
        <v>62.06893539428711</v>
      </c>
      <c r="F1121" s="119" t="n">
        <v>13003400</v>
      </c>
      <c r="G1121" s="120" t="n">
        <v>0.01009455195776221</v>
      </c>
      <c r="H1121" s="121" t="n">
        <v>39.6973771964941</v>
      </c>
      <c r="I1121" s="118" t="n">
        <v>62.8930394744873</v>
      </c>
      <c r="J1121" s="118" t="n">
        <v>65.55696907043458</v>
      </c>
      <c r="K1121" s="120" t="n">
        <v>0.3160874759289029</v>
      </c>
      <c r="L1121" s="120" t="n">
        <v>-0.06993206976853172</v>
      </c>
      <c r="M1121" s="120" t="n">
        <v>-0.2104638703373038</v>
      </c>
      <c r="N1121" t="n">
        <v>48.5630531527101</v>
      </c>
      <c r="O1121" t="n">
        <v>-0.06112447139469235</v>
      </c>
      <c r="P1121" t="n">
        <v>164.089258970738</v>
      </c>
      <c r="Q1121" t="n">
        <v>167.7105981845976</v>
      </c>
    </row>
    <row r="1122">
      <c r="A1122" s="117" t="n">
        <v>46064</v>
      </c>
      <c r="B1122" s="118" t="n">
        <v>62.91568754403264</v>
      </c>
      <c r="C1122" s="118" t="n">
        <v>63.02399370780837</v>
      </c>
      <c r="D1122" s="118" t="n">
        <v>60.72988316509905</v>
      </c>
      <c r="E1122" s="118" t="n">
        <v>61.38956069946289</v>
      </c>
      <c r="F1122" s="119" t="n">
        <v>15511900</v>
      </c>
      <c r="G1122" s="120" t="n">
        <v>-0.01094548650639093</v>
      </c>
      <c r="H1122" s="121" t="n">
        <v>39.26287009005076</v>
      </c>
      <c r="I1122" s="118" t="n">
        <v>62.85621551513672</v>
      </c>
      <c r="J1122" s="118" t="n">
        <v>65.58536266326904</v>
      </c>
      <c r="K1122" s="120" t="n">
        <v>0.3143978578842397</v>
      </c>
      <c r="L1122" s="120" t="n">
        <v>-0.08011211574890731</v>
      </c>
      <c r="M1122" s="120" t="n">
        <v>-0.219105727390835</v>
      </c>
      <c r="N1122" t="n">
        <v>46.33138469908267</v>
      </c>
      <c r="O1122" t="n">
        <v>-0.07694660492702549</v>
      </c>
      <c r="P1122" t="n">
        <v>164.0513343094523</v>
      </c>
      <c r="Q1122" t="n">
        <v>168.1604173097215</v>
      </c>
    </row>
    <row r="1123">
      <c r="A1123" s="117" t="n">
        <v>46065</v>
      </c>
      <c r="B1123" s="118" t="n">
        <v>61.36986984928327</v>
      </c>
      <c r="C1123" s="118" t="n">
        <v>61.75386168436934</v>
      </c>
      <c r="D1123" s="118" t="n">
        <v>59.91266447910368</v>
      </c>
      <c r="E1123" s="118" t="n">
        <v>60.1588134765625</v>
      </c>
      <c r="F1123" s="119" t="n">
        <v>13602400</v>
      </c>
      <c r="G1123" s="120" t="n">
        <v>-0.02004815165440921</v>
      </c>
      <c r="H1123" s="121" t="n">
        <v>38.47572211609805</v>
      </c>
      <c r="I1123" s="118" t="n">
        <v>62.77173721313476</v>
      </c>
      <c r="J1123" s="118" t="n">
        <v>65.60910112380981</v>
      </c>
      <c r="K1123" s="120" t="n">
        <v>0.3190982396542754</v>
      </c>
      <c r="L1123" s="120" t="n">
        <v>-0.09855416755742685</v>
      </c>
      <c r="M1123" s="120" t="n">
        <v>-0.2347612141941631</v>
      </c>
      <c r="N1123" t="n">
        <v>42.51936897387493</v>
      </c>
      <c r="O1123" t="n">
        <v>-0.1587842103022425</v>
      </c>
      <c r="P1123" t="n">
        <v>161.5169282624546</v>
      </c>
      <c r="Q1123" t="n">
        <v>164.74021800295</v>
      </c>
    </row>
    <row r="1124">
      <c r="A1124" s="117" t="n">
        <v>46066</v>
      </c>
      <c r="B1124" s="118" t="n">
        <v>60.6412719659336</v>
      </c>
      <c r="C1124" s="118" t="n">
        <v>62.40369982871714</v>
      </c>
      <c r="D1124" s="118" t="n">
        <v>60.6412719659336</v>
      </c>
      <c r="E1124" s="118" t="n">
        <v>62.15755081176758</v>
      </c>
      <c r="F1124" s="119" t="n">
        <v>20180900</v>
      </c>
      <c r="G1124" s="120" t="n">
        <v>0.03322434768404747</v>
      </c>
      <c r="H1124" s="121" t="n">
        <v>39.75405288507809</v>
      </c>
      <c r="I1124" s="118" t="n">
        <v>62.73629180908203</v>
      </c>
      <c r="J1124" s="118" t="n">
        <v>65.64172138214111</v>
      </c>
      <c r="K1124" s="120" t="n">
        <v>0.340915821601218</v>
      </c>
      <c r="L1124" s="120" t="n">
        <v>-0.0686042178020192</v>
      </c>
      <c r="M1124" s="120" t="n">
        <v>-0.2093366547132316</v>
      </c>
      <c r="N1124" t="n">
        <v>49.75015738151986</v>
      </c>
      <c r="O1124" t="n">
        <v>-0.07124891082482809</v>
      </c>
      <c r="P1124" t="n">
        <v>161.630716793554</v>
      </c>
      <c r="Q1124" t="n">
        <v>165.0912705607415</v>
      </c>
    </row>
    <row r="1125">
      <c r="A1125" s="117" t="n">
        <v>46070</v>
      </c>
      <c r="B1125" s="118" t="n">
        <v>61.97047254837756</v>
      </c>
      <c r="C1125" s="118" t="n">
        <v>63.82151412963867</v>
      </c>
      <c r="D1125" s="118" t="n">
        <v>61.97047254837756</v>
      </c>
      <c r="E1125" s="118" t="n">
        <v>63.82151412963867</v>
      </c>
      <c r="F1125" s="119" t="n">
        <v>12347500</v>
      </c>
      <c r="G1125" s="120" t="n">
        <v>0.02677009142316589</v>
      </c>
      <c r="H1125" s="121" t="n">
        <v>40.818272515253</v>
      </c>
      <c r="I1125" s="118" t="n">
        <v>62.71994743347168</v>
      </c>
      <c r="J1125" s="118" t="n">
        <v>65.68817258834839</v>
      </c>
      <c r="K1125" s="120" t="n">
        <v>0.3545814775007072</v>
      </c>
      <c r="L1125" s="120" t="n">
        <v>-0.04367066756142823</v>
      </c>
      <c r="M1125" s="120" t="n">
        <v>-0.1881705246749587</v>
      </c>
      <c r="N1125" t="n">
        <v>54.84301747964457</v>
      </c>
      <c r="O1125" t="n">
        <v>0.09665519405877465</v>
      </c>
      <c r="P1125" t="n">
        <v>161.8915052104576</v>
      </c>
      <c r="Q1125" t="n">
        <v>164.9212229234078</v>
      </c>
    </row>
    <row r="1126">
      <c r="A1126" s="117" t="n">
        <v>46071</v>
      </c>
      <c r="B1126" s="118" t="n">
        <v>63.31936354989882</v>
      </c>
      <c r="C1126" s="118" t="n">
        <v>65.13102401577947</v>
      </c>
      <c r="D1126" s="118" t="n">
        <v>63.31936354989882</v>
      </c>
      <c r="E1126" s="118" t="n">
        <v>64.54026794433594</v>
      </c>
      <c r="F1126" s="119" t="n">
        <v>11211500</v>
      </c>
      <c r="G1126" s="120" t="n">
        <v>0.01126193611197124</v>
      </c>
      <c r="H1126" s="121" t="n">
        <v>41.27796529252081</v>
      </c>
      <c r="I1126" s="118" t="n">
        <v>62.71719062805176</v>
      </c>
      <c r="J1126" s="118" t="n">
        <v>65.73647722244263</v>
      </c>
      <c r="K1126" s="120" t="n">
        <v>0.3534298035555207</v>
      </c>
      <c r="L1126" s="120" t="n">
        <v>-0.03290054771750095</v>
      </c>
      <c r="M1126" s="120" t="n">
        <v>-0.1790277529900328</v>
      </c>
      <c r="N1126" t="n">
        <v>56.87614990167923</v>
      </c>
      <c r="O1126" t="n">
        <v>0.2455897394927022</v>
      </c>
      <c r="P1126" t="n">
        <v>162.7070672686306</v>
      </c>
      <c r="Q1126" t="n">
        <v>166.1527342910017</v>
      </c>
    </row>
    <row r="1127">
      <c r="A1127" s="117" t="n">
        <v>46072</v>
      </c>
      <c r="B1127" s="118" t="n">
        <v>64.19565439183378</v>
      </c>
      <c r="C1127" s="118" t="n">
        <v>64.82579521318183</v>
      </c>
      <c r="D1127" s="118" t="n">
        <v>63.26029122285902</v>
      </c>
      <c r="E1127" s="118" t="n">
        <v>64.59934234619141</v>
      </c>
      <c r="F1127" s="119" t="n">
        <v>10778300</v>
      </c>
      <c r="G1127" s="120" t="n">
        <v>0.0009153107623665058</v>
      </c>
      <c r="H1127" s="121" t="n">
        <v>41.31574745840165</v>
      </c>
      <c r="I1127" s="118" t="n">
        <v>62.71226753234863</v>
      </c>
      <c r="J1127" s="118" t="n">
        <v>65.77623039245606</v>
      </c>
      <c r="K1127" s="120" t="n">
        <v>0.3395497093592549</v>
      </c>
      <c r="L1127" s="120" t="n">
        <v>-0.03201535118054799</v>
      </c>
      <c r="M1127" s="120" t="n">
        <v>-0.1782763082567405</v>
      </c>
      <c r="N1127" t="n">
        <v>57.04732273712469</v>
      </c>
      <c r="O1127" t="n">
        <v>0.3321681899005126</v>
      </c>
      <c r="P1127" t="n">
        <v>162.2779527083683</v>
      </c>
      <c r="Q1127" t="n">
        <v>165.5163896540758</v>
      </c>
    </row>
    <row r="1128">
      <c r="A1128" s="117" t="n">
        <v>46073</v>
      </c>
      <c r="B1128" s="118" t="n">
        <v>64.29412764782089</v>
      </c>
      <c r="C1128" s="118" t="n">
        <v>67.43498406519049</v>
      </c>
      <c r="D1128" s="118" t="n">
        <v>62.35447214964492</v>
      </c>
      <c r="E1128" s="118" t="n">
        <v>64.39258575439453</v>
      </c>
      <c r="F1128" s="119" t="n">
        <v>33436800</v>
      </c>
      <c r="G1128" s="120" t="n">
        <v>-0.003200599019860806</v>
      </c>
      <c r="H1128" s="121" t="n">
        <v>41.18351231758147</v>
      </c>
      <c r="I1128" s="118" t="n">
        <v>62.74889465332031</v>
      </c>
      <c r="J1128" s="118" t="n">
        <v>65.82094436645508</v>
      </c>
      <c r="K1128" s="120" t="n">
        <v>0.3397798817071266</v>
      </c>
      <c r="L1128" s="120" t="n">
        <v>-0.0351134818987997</v>
      </c>
      <c r="M1128" s="120" t="n">
        <v>-0.1809063162991303</v>
      </c>
      <c r="N1128" t="n">
        <v>56.20641582174127</v>
      </c>
      <c r="O1128" t="n">
        <v>0.357402671069069</v>
      </c>
      <c r="P1128" t="n">
        <v>163.4515224052983</v>
      </c>
      <c r="Q1128" t="n">
        <v>166.9810243515965</v>
      </c>
    </row>
    <row r="1129">
      <c r="A1129" s="117" t="n">
        <v>46076</v>
      </c>
      <c r="B1129" s="118" t="n">
        <v>63.60490242427272</v>
      </c>
      <c r="C1129" s="118" t="n">
        <v>63.96920566187249</v>
      </c>
      <c r="D1129" s="118" t="n">
        <v>61.09418328361855</v>
      </c>
      <c r="E1129" s="118" t="n">
        <v>62.1181640625</v>
      </c>
      <c r="F1129" s="119" t="n">
        <v>17748800</v>
      </c>
      <c r="G1129" s="120" t="n">
        <v>-0.03532117347437491</v>
      </c>
      <c r="H1129" s="121" t="n">
        <v>39.72886233472812</v>
      </c>
      <c r="I1129" s="118" t="n">
        <v>62.74416854858399</v>
      </c>
      <c r="J1129" s="118" t="n">
        <v>65.85578485488891</v>
      </c>
      <c r="K1129" s="120" t="n">
        <v>0.3619767064766524</v>
      </c>
      <c r="L1129" s="120" t="n">
        <v>-0.06919440598773785</v>
      </c>
      <c r="M1129" s="120" t="n">
        <v>-0.2098376663928935</v>
      </c>
      <c r="N1129" t="n">
        <v>47.85047726604075</v>
      </c>
      <c r="O1129" t="n">
        <v>0.210096958319731</v>
      </c>
      <c r="P1129" t="n">
        <v>161.7824590804242</v>
      </c>
      <c r="Q1129" t="n">
        <v>164.9513932068028</v>
      </c>
    </row>
    <row r="1130">
      <c r="A1130" s="117" t="n">
        <v>46077</v>
      </c>
      <c r="B1130" s="118" t="n">
        <v>62.3052361128773</v>
      </c>
      <c r="C1130" s="118" t="n">
        <v>63.70336068466437</v>
      </c>
      <c r="D1130" s="118" t="n">
        <v>61.63571050623859</v>
      </c>
      <c r="E1130" s="118" t="n">
        <v>63.10275650024414</v>
      </c>
      <c r="F1130" s="119" t="n">
        <v>14296100</v>
      </c>
      <c r="G1130" s="120" t="n">
        <v>0.01585031451917174</v>
      </c>
      <c r="H1130" s="121" t="n">
        <v>40.35857729822244</v>
      </c>
      <c r="I1130" s="118" t="n">
        <v>62.71069221496582</v>
      </c>
      <c r="J1130" s="118" t="n">
        <v>65.88791009902954</v>
      </c>
      <c r="K1130" s="120" t="n">
        <v>0.3670568189988731</v>
      </c>
      <c r="L1130" s="120" t="n">
        <v>-0.05444084456643905</v>
      </c>
      <c r="M1130" s="120" t="n">
        <v>-0.1973133448840181</v>
      </c>
      <c r="N1130" t="n">
        <v>51.23055981392885</v>
      </c>
      <c r="O1130" t="n">
        <v>0.1698722181911931</v>
      </c>
      <c r="P1130" t="n">
        <v>162.9583708834021</v>
      </c>
      <c r="Q1130" t="n">
        <v>166.7232177697931</v>
      </c>
    </row>
    <row r="1131">
      <c r="A1131" s="117" t="n">
        <v>46078</v>
      </c>
      <c r="B1131" s="118" t="n">
        <v>62.9058393833342</v>
      </c>
      <c r="C1131" s="118" t="n">
        <v>63.23075787415979</v>
      </c>
      <c r="D1131" s="118" t="n">
        <v>62.28554283644448</v>
      </c>
      <c r="E1131" s="118" t="n">
        <v>62.42338943481445</v>
      </c>
      <c r="F1131" s="119" t="n">
        <v>9500800</v>
      </c>
      <c r="G1131" s="120" t="n">
        <v>-0.01076604419692917</v>
      </c>
      <c r="H1131" s="121" t="n">
        <v>39.92407507130459</v>
      </c>
      <c r="I1131" s="118" t="n">
        <v>62.6252294921875</v>
      </c>
      <c r="J1131" s="118" t="n">
        <v>65.91523651123048</v>
      </c>
      <c r="K1131" s="120" t="n">
        <v>0.3534455733624838</v>
      </c>
      <c r="L1131" s="120" t="n">
        <v>-0.06462077622464779</v>
      </c>
      <c r="M1131" s="120" t="n">
        <v>-0.205955104889282</v>
      </c>
      <c r="N1131" t="n">
        <v>48.87654007445996</v>
      </c>
      <c r="O1131" t="n">
        <v>0.09229522321733599</v>
      </c>
      <c r="P1131" t="n">
        <v>164.333463531153</v>
      </c>
      <c r="Q1131" t="n">
        <v>169.1395755672046</v>
      </c>
    </row>
    <row r="1132">
      <c r="A1132" s="117" t="n">
        <v>46079</v>
      </c>
      <c r="B1132" s="118" t="n">
        <v>63.2209095418325</v>
      </c>
      <c r="C1132" s="118" t="n">
        <v>64.05781465644573</v>
      </c>
      <c r="D1132" s="118" t="n">
        <v>62.79753295276396</v>
      </c>
      <c r="E1132" s="118" t="n">
        <v>62.96491622924805</v>
      </c>
      <c r="F1132" s="119" t="n">
        <v>10319100</v>
      </c>
      <c r="G1132" s="120" t="n">
        <v>0.008675062333792116</v>
      </c>
      <c r="H1132" s="121" t="n">
        <v>40.27041891116716</v>
      </c>
      <c r="I1132" s="118" t="n">
        <v>62.5559139251709</v>
      </c>
      <c r="J1132" s="118" t="n">
        <v>65.94821952819824</v>
      </c>
      <c r="K1132" s="120" t="n">
        <v>0.3505823113899417</v>
      </c>
      <c r="L1132" s="120" t="n">
        <v>-0.05650630315266247</v>
      </c>
      <c r="M1132" s="120" t="n">
        <v>-0.1936395135849761</v>
      </c>
      <c r="N1132" t="n">
        <v>50.81653358530482</v>
      </c>
      <c r="O1132" t="n">
        <v>0.07307750722899427</v>
      </c>
      <c r="P1132" t="n">
        <v>163.4206822511266</v>
      </c>
      <c r="Q1132" t="n">
        <v>167.0989703593741</v>
      </c>
    </row>
    <row r="1133">
      <c r="A1133" s="117" t="n">
        <v>46080</v>
      </c>
      <c r="B1133" s="118" t="n">
        <v>61.75386215281055</v>
      </c>
      <c r="C1133" s="118" t="n">
        <v>61.75386215281055</v>
      </c>
      <c r="D1133" s="118" t="n">
        <v>60.57234620485853</v>
      </c>
      <c r="E1133" s="118" t="n">
        <v>61.2221794128418</v>
      </c>
      <c r="F1133" s="119" t="n">
        <v>18017400</v>
      </c>
      <c r="G1133" s="120" t="n">
        <v>-0.0276779025649958</v>
      </c>
      <c r="H1133" s="121" t="n">
        <v>39.15581818029231</v>
      </c>
      <c r="I1133" s="118" t="n">
        <v>62.44563919067383</v>
      </c>
      <c r="J1133" s="118" t="n">
        <v>65.95179792404174</v>
      </c>
      <c r="K1133" s="120" t="n">
        <v>0.365088910419426</v>
      </c>
      <c r="L1133" s="120" t="n">
        <v>-0.08262022976469074</v>
      </c>
      <c r="M1133" s="120" t="n">
        <v>-0.2061815840372778</v>
      </c>
      <c r="N1133" t="n">
        <v>44.91015678581213</v>
      </c>
      <c r="O1133" t="n">
        <v>-0.05449724447900634</v>
      </c>
      <c r="P1133" t="n">
        <v>162.6359457998828</v>
      </c>
      <c r="Q1133" t="n">
        <v>166.5641441954963</v>
      </c>
    </row>
    <row r="1134">
      <c r="A1134" s="117" t="n">
        <v>46083</v>
      </c>
      <c r="B1134" s="118" t="n">
        <v>59.3687652996699</v>
      </c>
      <c r="C1134" s="118" t="n">
        <v>60.98430656698472</v>
      </c>
      <c r="D1134" s="118" t="n">
        <v>58.61550340812185</v>
      </c>
      <c r="E1134" s="118" t="n">
        <v>60.46891784667969</v>
      </c>
      <c r="F1134" s="119" t="n">
        <v>15335000</v>
      </c>
      <c r="G1134" s="120" t="n">
        <v>-0.01230373654427774</v>
      </c>
      <c r="H1134" s="121" t="n">
        <v>38.67405530922635</v>
      </c>
      <c r="I1134" s="118" t="n">
        <v>62.3332958984375</v>
      </c>
      <c r="J1134" s="118" t="n">
        <v>65.95252853393555</v>
      </c>
      <c r="K1134" s="120" t="n">
        <v>0.3649466920990702</v>
      </c>
      <c r="L1134" s="120" t="n">
        <v>-0.09390742876871594</v>
      </c>
      <c r="M1134" s="120" t="n">
        <v>-0.215948516691279</v>
      </c>
      <c r="N1134" t="n">
        <v>42.60512638798407</v>
      </c>
      <c r="O1134" t="n">
        <v>-0.180030198539837</v>
      </c>
      <c r="P1134" t="n">
        <v>162.7284080734277</v>
      </c>
      <c r="Q1134" t="n">
        <v>166.7835583365833</v>
      </c>
    </row>
    <row r="1135">
      <c r="A1135" s="117" t="n">
        <v>46084</v>
      </c>
      <c r="B1135" s="118" t="n">
        <v>58.91284468954928</v>
      </c>
      <c r="C1135" s="118" t="n">
        <v>59.57690464439405</v>
      </c>
      <c r="D1135" s="118" t="n">
        <v>58.10011730424026</v>
      </c>
      <c r="E1135" s="118" t="n">
        <v>58.86328887939453</v>
      </c>
      <c r="F1135" s="119" t="n">
        <v>17438600</v>
      </c>
      <c r="G1135" s="120" t="n">
        <v>-0.026552963480449</v>
      </c>
      <c r="H1135" s="121" t="n">
        <v>37.6471445309596</v>
      </c>
      <c r="I1135" s="118" t="n">
        <v>62.21699951171875</v>
      </c>
      <c r="J1135" s="118" t="n">
        <v>65.94842166900635</v>
      </c>
      <c r="K1135" s="120" t="n">
        <v>0.3758968724596112</v>
      </c>
      <c r="L1135" s="120" t="n">
        <v>-0.1179668717225264</v>
      </c>
      <c r="M1135" s="120" t="n">
        <v>-0.2367674070943674</v>
      </c>
      <c r="N1135" t="n">
        <v>38.1145050147985</v>
      </c>
      <c r="O1135" t="n">
        <v>-0.3516885195215462</v>
      </c>
      <c r="P1135" t="n">
        <v>161.2940790540791</v>
      </c>
      <c r="Q1135" t="n">
        <v>164.9980245847534</v>
      </c>
    </row>
    <row r="1136">
      <c r="A1136" s="117" t="n">
        <v>46085</v>
      </c>
      <c r="B1136" s="118" t="n">
        <v>58.66505934682952</v>
      </c>
      <c r="C1136" s="118" t="n">
        <v>58.96240175676261</v>
      </c>
      <c r="D1136" s="118" t="n">
        <v>58.09020516808152</v>
      </c>
      <c r="E1136" s="118" t="n">
        <v>58.11993789672852</v>
      </c>
      <c r="F1136" s="119" t="n">
        <v>15971300</v>
      </c>
      <c r="G1136" s="120" t="n">
        <v>-0.01262843101052458</v>
      </c>
      <c r="H1136" s="121" t="n">
        <v>37.17172016350712</v>
      </c>
      <c r="I1136" s="118" t="n">
        <v>62.08701759338379</v>
      </c>
      <c r="J1136" s="118" t="n">
        <v>65.93735900878906</v>
      </c>
      <c r="K1136" s="120" t="n">
        <v>0.3719587343733342</v>
      </c>
      <c r="L1136" s="120" t="n">
        <v>-0.1291055662319758</v>
      </c>
      <c r="M1136" s="120" t="n">
        <v>-0.24640583723886</v>
      </c>
      <c r="N1136" t="n">
        <v>36.21156422655084</v>
      </c>
      <c r="O1136" t="n">
        <v>-0.4874285782395711</v>
      </c>
      <c r="P1136" t="n">
        <v>162.4320661957714</v>
      </c>
      <c r="Q1136" t="n">
        <v>167.5131153896715</v>
      </c>
    </row>
    <row r="1137">
      <c r="A1137" s="117" t="n">
        <v>46086</v>
      </c>
      <c r="B1137" s="118" t="n">
        <v>58.08029395903205</v>
      </c>
      <c r="C1137" s="118" t="n">
        <v>58.26861132997332</v>
      </c>
      <c r="D1137" s="118" t="n">
        <v>56.92067212706421</v>
      </c>
      <c r="E1137" s="118" t="n">
        <v>57.50543975830078</v>
      </c>
      <c r="F1137" s="119" t="n">
        <v>22040200</v>
      </c>
      <c r="G1137" s="120" t="n">
        <v>-0.01057293177978991</v>
      </c>
      <c r="H1137" s="121" t="n">
        <v>36.77870610208092</v>
      </c>
      <c r="I1137" s="118" t="n">
        <v>62.08101371765137</v>
      </c>
      <c r="J1137" s="118" t="n">
        <v>65.91979148864746</v>
      </c>
      <c r="K1137" s="120" t="n">
        <v>0.3100519771993768</v>
      </c>
      <c r="L1137" s="120" t="n">
        <v>-0.1383134736676038</v>
      </c>
      <c r="M1137" s="120" t="n">
        <v>-0.2543735369113813</v>
      </c>
      <c r="N1137" t="n">
        <v>34.67054861013713</v>
      </c>
      <c r="O1137" t="n">
        <v>-0.5842060120232572</v>
      </c>
      <c r="P1137" t="n">
        <v>161.5263985173441</v>
      </c>
      <c r="Q1137" t="n">
        <v>167.0084595091888</v>
      </c>
    </row>
    <row r="1138">
      <c r="A1138" s="117" t="n">
        <v>46087</v>
      </c>
      <c r="B1138" s="118" t="n">
        <v>56.9603178090165</v>
      </c>
      <c r="C1138" s="118" t="n">
        <v>57.03960634806334</v>
      </c>
      <c r="D1138" s="118" t="n">
        <v>56.25661170282152</v>
      </c>
      <c r="E1138" s="118" t="n">
        <v>56.50439453125</v>
      </c>
      <c r="F1138" s="119" t="n">
        <v>16323700</v>
      </c>
      <c r="G1138" s="120" t="n">
        <v>-0.01740783535015544</v>
      </c>
      <c r="H1138" s="121" t="n">
        <v>36.13846844186415</v>
      </c>
      <c r="I1138" s="118" t="n">
        <v>62.08432991027832</v>
      </c>
      <c r="J1138" s="118" t="n">
        <v>65.9021981048584</v>
      </c>
      <c r="K1138" s="120" t="n">
        <v>0.3056982816379246</v>
      </c>
      <c r="L1138" s="120" t="n">
        <v>-0.1533135708414454</v>
      </c>
      <c r="M1138" s="120" t="n">
        <v>-0.2673532796135467</v>
      </c>
      <c r="N1138" t="n">
        <v>32.26193065818312</v>
      </c>
      <c r="O1138" t="n">
        <v>-0.6748262028108215</v>
      </c>
      <c r="P1138" t="n">
        <v>159.4092510279436</v>
      </c>
      <c r="Q1138" t="n">
        <v>164.4961038300734</v>
      </c>
    </row>
    <row r="1139">
      <c r="A1139" s="117" t="n">
        <v>46090</v>
      </c>
      <c r="B1139" s="118" t="n">
        <v>55.24566132347709</v>
      </c>
      <c r="C1139" s="118" t="n">
        <v>56.20705613085387</v>
      </c>
      <c r="D1139" s="118" t="n">
        <v>54.89876309369158</v>
      </c>
      <c r="E1139" s="118" t="n">
        <v>56.02865219116211</v>
      </c>
      <c r="F1139" s="119" t="n">
        <v>18053100</v>
      </c>
      <c r="G1139" s="120" t="n">
        <v>-0.008419563540757458</v>
      </c>
      <c r="H1139" s="121" t="n">
        <v>35.83419831055221</v>
      </c>
      <c r="I1139" s="118" t="n">
        <v>62.07576820373535</v>
      </c>
      <c r="J1139" s="118" t="n">
        <v>65.87990550994873</v>
      </c>
      <c r="K1139" s="120" t="n">
        <v>0.2927788299546746</v>
      </c>
      <c r="L1139" s="120" t="n">
        <v>-0.160442301030843</v>
      </c>
      <c r="M1139" s="120" t="n">
        <v>-0.2735218452287681</v>
      </c>
      <c r="N1139" t="n">
        <v>31.15421866584404</v>
      </c>
      <c r="O1139" t="n">
        <v>-0.7217750243680325</v>
      </c>
      <c r="P1139" t="n">
        <v>160.805669933249</v>
      </c>
      <c r="Q1139" t="n">
        <v>166.6930474863979</v>
      </c>
    </row>
    <row r="1140">
      <c r="A1140" s="117" t="n">
        <v>46091</v>
      </c>
      <c r="B1140" s="118" t="n">
        <v>56.19714576690576</v>
      </c>
      <c r="C1140" s="118" t="n">
        <v>56.73235757917769</v>
      </c>
      <c r="D1140" s="118" t="n">
        <v>55.30512607978587</v>
      </c>
      <c r="E1140" s="118" t="n">
        <v>55.58264541625977</v>
      </c>
      <c r="F1140" s="119" t="n">
        <v>15706400</v>
      </c>
      <c r="G1140" s="120" t="n">
        <v>-0.007960333819571952</v>
      </c>
      <c r="H1140" s="121" t="n">
        <v>35.54894612984347</v>
      </c>
      <c r="I1140" s="118" t="n">
        <v>62.00590583801269</v>
      </c>
      <c r="J1140" s="118" t="n">
        <v>65.86785549163818</v>
      </c>
      <c r="K1140" s="120" t="n">
        <v>0.2851952644989097</v>
      </c>
      <c r="L1140" s="120" t="n">
        <v>-0.1671254605754292</v>
      </c>
      <c r="M1140" s="120" t="n">
        <v>-0.2793048538533738</v>
      </c>
      <c r="N1140" t="n">
        <v>30.11044110406542</v>
      </c>
      <c r="O1140" t="n">
        <v>-0.7353476173583405</v>
      </c>
      <c r="P1140" t="n">
        <v>160.5472527168784</v>
      </c>
      <c r="Q1140" t="n">
        <v>166.6957993921137</v>
      </c>
    </row>
    <row r="1141">
      <c r="A1141" s="117" t="n">
        <v>46092</v>
      </c>
      <c r="B1141" s="118" t="n">
        <v>57.08915987817863</v>
      </c>
      <c r="C1141" s="118" t="n">
        <v>57.08915987817863</v>
      </c>
      <c r="D1141" s="118" t="n">
        <v>54.91858374892139</v>
      </c>
      <c r="E1141" s="118" t="n">
        <v>55.20601272583008</v>
      </c>
      <c r="F1141" s="119" t="n">
        <v>20245300</v>
      </c>
      <c r="G1141" s="120" t="n">
        <v>-0.006776084290502471</v>
      </c>
      <c r="H1141" s="121" t="n">
        <v>35.30806347442913</v>
      </c>
      <c r="I1141" s="118" t="n">
        <v>61.91019737243652</v>
      </c>
      <c r="J1141" s="118" t="n">
        <v>65.84744430541993</v>
      </c>
      <c r="K1141" s="120" t="n">
        <v>0.2797039576074595</v>
      </c>
      <c r="L1141" s="120" t="n">
        <v>-0.1727690886579835</v>
      </c>
      <c r="M1141" s="120" t="n">
        <v>-0.2841883449114193</v>
      </c>
      <c r="N1141" t="n">
        <v>29.22014454892678</v>
      </c>
      <c r="O1141" t="n">
        <v>-0.7211858411696974</v>
      </c>
      <c r="P1141" t="n">
        <v>160.3457443133001</v>
      </c>
      <c r="Q1141" t="n">
        <v>166.6738344861269</v>
      </c>
    </row>
    <row r="1142">
      <c r="A1142" s="117" t="n">
        <v>46093</v>
      </c>
      <c r="B1142" s="118" t="n">
        <v>54.78973926315801</v>
      </c>
      <c r="C1142" s="118" t="n">
        <v>54.96814320682024</v>
      </c>
      <c r="D1142" s="118" t="n">
        <v>53.55082508820696</v>
      </c>
      <c r="E1142" s="118" t="n">
        <v>53.64994049072266</v>
      </c>
      <c r="F1142" s="119" t="n">
        <v>18611800</v>
      </c>
      <c r="G1142" s="120" t="n">
        <v>-0.02818664414029237</v>
      </c>
      <c r="H1142" s="121" t="n">
        <v>34.31284765399253</v>
      </c>
      <c r="I1142" s="118" t="n">
        <v>61.77785377502441</v>
      </c>
      <c r="J1142" s="118" t="n">
        <v>65.82553735733032</v>
      </c>
      <c r="K1142" s="120" t="n">
        <v>0.2904847518480569</v>
      </c>
      <c r="L1142" s="120" t="n">
        <v>-0.1960859519778306</v>
      </c>
      <c r="M1142" s="120" t="n">
        <v>-0.3043646733048748</v>
      </c>
      <c r="N1142" t="n">
        <v>25.82295390282404</v>
      </c>
      <c r="O1142" t="n">
        <v>-0.7640084313353197</v>
      </c>
      <c r="P1142" t="n">
        <v>157.9108995942037</v>
      </c>
      <c r="Q1142" t="n">
        <v>163.8131613750228</v>
      </c>
    </row>
    <row r="1143">
      <c r="A1143" s="117" t="n">
        <v>46094</v>
      </c>
      <c r="B1143" s="118" t="n">
        <v>53.85807434815711</v>
      </c>
      <c r="C1143" s="118" t="n">
        <v>54.38337272098835</v>
      </c>
      <c r="D1143" s="118" t="n">
        <v>53.26339708762612</v>
      </c>
      <c r="E1143" s="118" t="n">
        <v>53.50126647949219</v>
      </c>
      <c r="F1143" s="119" t="n">
        <v>14377100</v>
      </c>
      <c r="G1143" s="120" t="n">
        <v>-0.002771186880555443</v>
      </c>
      <c r="H1143" s="121" t="n">
        <v>34.2177603407393</v>
      </c>
      <c r="I1143" s="118" t="n">
        <v>61.6429305267334</v>
      </c>
      <c r="J1143" s="118" t="n">
        <v>65.78930257797241</v>
      </c>
      <c r="K1143" s="120" t="n">
        <v>0.2862850962264515</v>
      </c>
      <c r="L1143" s="120" t="n">
        <v>-0.1904306551520514</v>
      </c>
      <c r="M1143" s="120" t="n">
        <v>-0.3062924087958633</v>
      </c>
      <c r="N1143" t="n">
        <v>25.51769454751677</v>
      </c>
      <c r="O1143" t="n">
        <v>-0.748744690956721</v>
      </c>
      <c r="P1143" t="n">
        <v>157.0171024656839</v>
      </c>
      <c r="Q1143" t="n">
        <v>162.8422252748608</v>
      </c>
    </row>
    <row r="1144">
      <c r="A1144" s="117" t="n">
        <v>46097</v>
      </c>
      <c r="B1144" s="118" t="n">
        <v>53.78869604866507</v>
      </c>
      <c r="C1144" s="118" t="n">
        <v>54.58160033166583</v>
      </c>
      <c r="D1144" s="118" t="n">
        <v>53.50126706455672</v>
      </c>
      <c r="E1144" s="118" t="n">
        <v>54.30408477783203</v>
      </c>
      <c r="F1144" s="119" t="n">
        <v>13115200</v>
      </c>
      <c r="G1144" s="120" t="n">
        <v>0.01500559428154058</v>
      </c>
      <c r="H1144" s="121" t="n">
        <v>34.73121816963542</v>
      </c>
      <c r="I1144" s="118" t="n">
        <v>61.4744400024414</v>
      </c>
      <c r="J1144" s="118" t="n">
        <v>65.76215795516968</v>
      </c>
      <c r="K1144" s="120" t="n">
        <v>0.2594876316573043</v>
      </c>
      <c r="L1144" s="120" t="n">
        <v>-0.1681196071345592</v>
      </c>
      <c r="M1144" s="120" t="n">
        <v>-0.2958829141322292</v>
      </c>
      <c r="N1144" t="n">
        <v>30.30851266284562</v>
      </c>
      <c r="O1144" t="n">
        <v>-0.6354451574615902</v>
      </c>
      <c r="P1144" t="n">
        <v>158.6150443218102</v>
      </c>
      <c r="Q1144" t="n">
        <v>164.6689033731228</v>
      </c>
    </row>
    <row r="1145">
      <c r="A1145" s="117" t="n">
        <v>46098</v>
      </c>
      <c r="B1145" s="118" t="n">
        <v>54.95823206953708</v>
      </c>
      <c r="C1145" s="118" t="n">
        <v>55.18619181785433</v>
      </c>
      <c r="D1145" s="118" t="n">
        <v>54.51222222245291</v>
      </c>
      <c r="E1145" s="118" t="n">
        <v>54.63115692138672</v>
      </c>
      <c r="F1145" s="119" t="n">
        <v>9861400</v>
      </c>
      <c r="G1145" s="120" t="n">
        <v>0.006022974973112882</v>
      </c>
      <c r="H1145" s="121" t="n">
        <v>34.94040342745686</v>
      </c>
      <c r="I1145" s="118" t="n">
        <v>61.32095840454102</v>
      </c>
      <c r="J1145" s="118" t="n">
        <v>65.73829236984253</v>
      </c>
      <c r="K1145" s="120" t="n">
        <v>0.2332177425376653</v>
      </c>
      <c r="L1145" s="120" t="n">
        <v>-0.1631092123477073</v>
      </c>
      <c r="M1145" s="120" t="n">
        <v>-0.2916420345459063</v>
      </c>
      <c r="N1145" t="n">
        <v>32.22127471419505</v>
      </c>
      <c r="O1145" t="n">
        <v>-0.4955507369917886</v>
      </c>
      <c r="P1145" t="n">
        <v>159.0322883321649</v>
      </c>
      <c r="Q1145" t="n">
        <v>165.4725269617539</v>
      </c>
    </row>
    <row r="1146">
      <c r="A1146" s="117" t="n">
        <v>46099</v>
      </c>
      <c r="B1146" s="118" t="n">
        <v>54.01665642898114</v>
      </c>
      <c r="C1146" s="118" t="n">
        <v>54.47257592446014</v>
      </c>
      <c r="D1146" s="118" t="n">
        <v>52.78765194022699</v>
      </c>
      <c r="E1146" s="118" t="n">
        <v>52.99579238891602</v>
      </c>
      <c r="F1146" s="119" t="n">
        <v>16861300</v>
      </c>
      <c r="G1146" s="120" t="n">
        <v>-0.02993464946795776</v>
      </c>
      <c r="H1146" s="121" t="n">
        <v>33.8944746985869</v>
      </c>
      <c r="I1146" s="118" t="n">
        <v>61.11015464782715</v>
      </c>
      <c r="J1146" s="118" t="n">
        <v>65.71035915374756</v>
      </c>
      <c r="K1146" s="120" t="n">
        <v>0.2347722750736711</v>
      </c>
      <c r="L1146" s="120" t="n">
        <v>-0.1881612447190417</v>
      </c>
      <c r="M1146" s="120" t="n">
        <v>-0.3128464819396104</v>
      </c>
      <c r="N1146" t="n">
        <v>28.07251537691609</v>
      </c>
      <c r="O1146" t="n">
        <v>-0.470429316965266</v>
      </c>
      <c r="P1146" t="n">
        <v>156.81320831433</v>
      </c>
      <c r="Q1146" t="n">
        <v>163.1658930147987</v>
      </c>
    </row>
    <row r="1147">
      <c r="A1147" s="117" t="n">
        <v>46100</v>
      </c>
      <c r="B1147" s="118" t="n">
        <v>52.43084877990165</v>
      </c>
      <c r="C1147" s="118" t="n">
        <v>53.15437419586343</v>
      </c>
      <c r="D1147" s="118" t="n">
        <v>52.12359670701406</v>
      </c>
      <c r="E1147" s="118" t="n">
        <v>52.96605682373047</v>
      </c>
      <c r="F1147" s="119" t="n">
        <v>12307700</v>
      </c>
      <c r="G1147" s="120" t="n">
        <v>-0.0005610929442724233</v>
      </c>
      <c r="H1147" s="121" t="n">
        <v>33.87545674798371</v>
      </c>
      <c r="I1147" s="118" t="n">
        <v>60.88260871887207</v>
      </c>
      <c r="J1147" s="118" t="n">
        <v>65.67556152343749</v>
      </c>
      <c r="K1147" s="120" t="n">
        <v>0.2339438645533881</v>
      </c>
      <c r="L1147" s="120" t="n">
        <v>-0.1886167617165166</v>
      </c>
      <c r="M1147" s="120" t="n">
        <v>-0.313232038930226</v>
      </c>
      <c r="N1147" t="n">
        <v>28.00191458733877</v>
      </c>
      <c r="O1147" t="n">
        <v>-0.4150226032215132</v>
      </c>
      <c r="P1147" t="n">
        <v>156.4267608164194</v>
      </c>
      <c r="Q1147" t="n">
        <v>162.6502462913661</v>
      </c>
    </row>
    <row r="1148">
      <c r="A1148" s="117" t="n">
        <v>46101</v>
      </c>
      <c r="B1148" s="118" t="n">
        <v>52.47048881037924</v>
      </c>
      <c r="C1148" s="118" t="n">
        <v>53.13454873666556</v>
      </c>
      <c r="D1148" s="118" t="n">
        <v>51.71723069817</v>
      </c>
      <c r="E1148" s="118" t="n">
        <v>51.90554428100586</v>
      </c>
      <c r="F1148" s="119" t="n">
        <v>19566100</v>
      </c>
      <c r="G1148" s="120" t="n">
        <v>-0.02002249376905596</v>
      </c>
      <c r="H1148" s="121" t="n">
        <v>33.19718562632328</v>
      </c>
      <c r="I1148" s="118" t="n">
        <v>60.67579643249512</v>
      </c>
      <c r="J1148" s="118" t="n">
        <v>65.63156818389892</v>
      </c>
      <c r="K1148" s="120" t="n">
        <v>0.2352910281685427</v>
      </c>
      <c r="L1148" s="120" t="n">
        <v>-0.2048626775493643</v>
      </c>
      <c r="M1148" s="120" t="n">
        <v>-0.3269828461515328</v>
      </c>
      <c r="N1148" t="n">
        <v>25.53534043051231</v>
      </c>
      <c r="O1148" t="n">
        <v>-0.4083740237495284</v>
      </c>
      <c r="P1148" t="n">
        <v>154.1842742853476</v>
      </c>
      <c r="Q1148" t="n">
        <v>159.644192014892</v>
      </c>
    </row>
    <row r="1149">
      <c r="A1149" s="117" t="n">
        <v>46104</v>
      </c>
      <c r="B1149" s="118" t="n">
        <v>52.80747537109458</v>
      </c>
      <c r="C1149" s="118" t="n">
        <v>53.08499471090233</v>
      </c>
      <c r="D1149" s="118" t="n">
        <v>52.06412688318676</v>
      </c>
      <c r="E1149" s="118" t="n">
        <v>52.24253082275391</v>
      </c>
      <c r="F1149" s="119" t="n">
        <v>15242700</v>
      </c>
      <c r="G1149" s="120" t="n">
        <v>0.00649230340257434</v>
      </c>
      <c r="H1149" s="121" t="n">
        <v>33.41271182752095</v>
      </c>
      <c r="I1149" s="118" t="n">
        <v>60.43555229187012</v>
      </c>
      <c r="J1149" s="118" t="n">
        <v>65.5873131942749</v>
      </c>
      <c r="K1149" s="120" t="n">
        <v>0.223581659942157</v>
      </c>
      <c r="L1149" s="120" t="n">
        <v>-0.1997004048053042</v>
      </c>
      <c r="M1149" s="120" t="n">
        <v>-0.3226134145936116</v>
      </c>
      <c r="N1149" t="n">
        <v>27.71425665458843</v>
      </c>
      <c r="O1149" t="n">
        <v>-0.3425187339951701</v>
      </c>
      <c r="P1149" t="n">
        <v>155.8032078124502</v>
      </c>
      <c r="Q1149" t="n">
        <v>161.4767430826692</v>
      </c>
    </row>
    <row r="1150">
      <c r="A1150" s="117" t="n">
        <v>46105</v>
      </c>
      <c r="B1150" s="118" t="n">
        <v>51.8956341566726</v>
      </c>
      <c r="C1150" s="118" t="n">
        <v>53.60038115931096</v>
      </c>
      <c r="D1150" s="118" t="n">
        <v>51.80643219070046</v>
      </c>
      <c r="E1150" s="118" t="n">
        <v>53.0156135559082</v>
      </c>
      <c r="F1150" s="119" t="n">
        <v>12073800</v>
      </c>
      <c r="G1150" s="120" t="n">
        <v>0.01479795716209042</v>
      </c>
      <c r="H1150" s="121" t="n">
        <v>33.90715170581388</v>
      </c>
      <c r="I1150" s="118" t="n">
        <v>60.19777328491211</v>
      </c>
      <c r="J1150" s="118" t="n">
        <v>65.54741025924683</v>
      </c>
      <c r="K1150" s="120" t="n">
        <v>0.2220861945184196</v>
      </c>
      <c r="L1150" s="120" t="n">
        <v>-0.1878576056787746</v>
      </c>
      <c r="M1150" s="120" t="n">
        <v>-0.3125894769205931</v>
      </c>
      <c r="N1150" t="n">
        <v>32.58761259068854</v>
      </c>
      <c r="O1150" t="n">
        <v>-0.2143947587555197</v>
      </c>
      <c r="P1150" t="n">
        <v>155.2802053488747</v>
      </c>
      <c r="Q1150" t="n">
        <v>160.3727590531192</v>
      </c>
    </row>
    <row r="1151">
      <c r="A1151" s="117" t="n">
        <v>46106</v>
      </c>
      <c r="B1151" s="118" t="n">
        <v>53.28321685225985</v>
      </c>
      <c r="C1151" s="118" t="n">
        <v>53.73914012224481</v>
      </c>
      <c r="D1151" s="118" t="n">
        <v>52.09386232079537</v>
      </c>
      <c r="E1151" s="118" t="n">
        <v>52.51013565063477</v>
      </c>
      <c r="F1151" s="119" t="n">
        <v>13427100</v>
      </c>
      <c r="G1151" s="120" t="n">
        <v>-0.009534510144646013</v>
      </c>
      <c r="H1151" s="121" t="n">
        <v>33.58386362389874</v>
      </c>
      <c r="I1151" s="118" t="n">
        <v>59.95539833068847</v>
      </c>
      <c r="J1151" s="118" t="n">
        <v>65.50434728622436</v>
      </c>
      <c r="K1151" s="120" t="n">
        <v>0.2219682165422532</v>
      </c>
      <c r="L1151" s="120" t="n">
        <v>-0.1956009855763275</v>
      </c>
      <c r="M1151" s="120" t="n">
        <v>-0.3191435995264301</v>
      </c>
      <c r="N1151" t="n">
        <v>31.1107280570224</v>
      </c>
      <c r="O1151" t="n">
        <v>-0.135064552266364</v>
      </c>
      <c r="P1151" t="n">
        <v>156.1455335237558</v>
      </c>
      <c r="Q1151" t="n">
        <v>161.4273094592644</v>
      </c>
    </row>
    <row r="1152">
      <c r="A1152" s="117" t="n">
        <v>46107</v>
      </c>
      <c r="B1152" s="118" t="n">
        <v>52.29208695461357</v>
      </c>
      <c r="C1152" s="118" t="n">
        <v>53.14446049760458</v>
      </c>
      <c r="D1152" s="118" t="n">
        <v>51.40998068180017</v>
      </c>
      <c r="E1152" s="118" t="n">
        <v>51.60820770263672</v>
      </c>
      <c r="F1152" s="119" t="n">
        <v>14486700</v>
      </c>
      <c r="G1152" s="120" t="n">
        <v>-0.01717626391214899</v>
      </c>
      <c r="H1152" s="121" t="n">
        <v>33.00701831910504</v>
      </c>
      <c r="I1152" s="118" t="n">
        <v>59.6819881439209</v>
      </c>
      <c r="J1152" s="118" t="n">
        <v>65.46110582351685</v>
      </c>
      <c r="K1152" s="120" t="n">
        <v>0.2142472194131356</v>
      </c>
      <c r="L1152" s="120" t="n">
        <v>-0.209417555338741</v>
      </c>
      <c r="M1152" s="120" t="n">
        <v>-0.33083816874724</v>
      </c>
      <c r="N1152" t="n">
        <v>28.6184607523079</v>
      </c>
      <c r="O1152" t="n">
        <v>-0.1154686313604767</v>
      </c>
      <c r="P1152" t="n">
        <v>153.3569726024498</v>
      </c>
      <c r="Q1152" t="n">
        <v>157.5743729787018</v>
      </c>
    </row>
    <row r="1153">
      <c r="A1153" s="117" t="n">
        <v>46108</v>
      </c>
      <c r="B1153" s="118" t="n">
        <v>51.25139824293279</v>
      </c>
      <c r="C1153" s="118" t="n">
        <v>51.64785227239643</v>
      </c>
      <c r="D1153" s="118" t="n">
        <v>50.74592294718918</v>
      </c>
      <c r="E1153" s="118" t="n">
        <v>50.91441345214844</v>
      </c>
      <c r="F1153" s="119" t="n">
        <v>13077800</v>
      </c>
      <c r="G1153" s="120" t="n">
        <v>-0.01344348663464312</v>
      </c>
      <c r="H1153" s="121" t="n">
        <v>32.56328890948274</v>
      </c>
      <c r="I1153" s="118" t="n">
        <v>59.40907722473145</v>
      </c>
      <c r="J1153" s="118" t="n">
        <v>65.40485713958741</v>
      </c>
      <c r="K1153" s="120" t="n">
        <v>0.2042243289177657</v>
      </c>
      <c r="L1153" s="120" t="n">
        <v>-0.2200457398671281</v>
      </c>
      <c r="M1153" s="120" t="n">
        <v>-0.3398340368820998</v>
      </c>
      <c r="N1153" t="n">
        <v>26.83743966379595</v>
      </c>
      <c r="O1153" t="n">
        <v>-0.1207944712627906</v>
      </c>
      <c r="P1153" t="n">
        <v>150.7419457373297</v>
      </c>
      <c r="Q1153" t="n">
        <v>154.4958965981491</v>
      </c>
    </row>
    <row r="1154">
      <c r="A1154" s="117" t="n">
        <v>46111</v>
      </c>
      <c r="B1154" s="118" t="n">
        <v>50.97388181860143</v>
      </c>
      <c r="C1154" s="118" t="n">
        <v>51.72713992465417</v>
      </c>
      <c r="D1154" s="118" t="n">
        <v>50.4981392599051</v>
      </c>
      <c r="E1154" s="118" t="n">
        <v>50.78556823730469</v>
      </c>
      <c r="F1154" s="119" t="n">
        <v>16869200</v>
      </c>
      <c r="G1154" s="120" t="n">
        <v>-0.002530623572141177</v>
      </c>
      <c r="H1154" s="121" t="n">
        <v>32.48088348298195</v>
      </c>
      <c r="I1154" s="118" t="n">
        <v>59.15288757324219</v>
      </c>
      <c r="J1154" s="118" t="n">
        <v>65.35166271209717</v>
      </c>
      <c r="K1154" s="120" t="n">
        <v>0.2051332113056608</v>
      </c>
      <c r="L1154" s="120" t="n">
        <v>-0.2220195105030124</v>
      </c>
      <c r="M1154" s="120" t="n">
        <v>-0.3415046684298912</v>
      </c>
      <c r="N1154" t="n">
        <v>26.50751552202213</v>
      </c>
      <c r="O1154" t="n">
        <v>-0.1051325560316343</v>
      </c>
      <c r="P1154" t="n">
        <v>150.2379565197459</v>
      </c>
      <c r="Q1154" t="n">
        <v>153.3150270076889</v>
      </c>
    </row>
    <row r="1155">
      <c r="A1155" s="117" t="n">
        <v>46112</v>
      </c>
      <c r="B1155" s="118" t="n">
        <v>51.46944862010977</v>
      </c>
      <c r="C1155" s="118" t="n">
        <v>52.63898385450308</v>
      </c>
      <c r="D1155" s="118" t="n">
        <v>51.23157544495102</v>
      </c>
      <c r="E1155" s="118" t="n">
        <v>52.35155487060547</v>
      </c>
      <c r="F1155" s="119" t="n">
        <v>36422800</v>
      </c>
      <c r="G1155" s="120" t="n">
        <v>0.03083526851532747</v>
      </c>
      <c r="H1155" s="121" t="n">
        <v>33.48244024679477</v>
      </c>
      <c r="I1155" s="118" t="n">
        <v>58.93215286254883</v>
      </c>
      <c r="J1155" s="118" t="n">
        <v>65.30780683517456</v>
      </c>
      <c r="K1155" s="120" t="n">
        <v>0.2371898428460182</v>
      </c>
      <c r="L1155" s="120" t="n">
        <v>-0.1980302732096868</v>
      </c>
      <c r="M1155" s="120" t="n">
        <v>-0.3211997880648373</v>
      </c>
      <c r="N1155" t="n">
        <v>36.69395959914716</v>
      </c>
      <c r="O1155" t="n">
        <v>0.03126288151396484</v>
      </c>
      <c r="P1155" t="n">
        <v>154.605053275638</v>
      </c>
      <c r="Q1155" t="n">
        <v>158.5053393263348</v>
      </c>
    </row>
    <row r="1156">
      <c r="A1156" s="117" t="n">
        <v>46113</v>
      </c>
      <c r="B1156" s="118" t="n">
        <v>46.14707564565088</v>
      </c>
      <c r="C1156" s="118" t="n">
        <v>46.41468155590174</v>
      </c>
      <c r="D1156" s="118" t="n">
        <v>44.16481300456243</v>
      </c>
      <c r="E1156" s="118" t="n">
        <v>44.23419189453125</v>
      </c>
      <c r="F1156" s="119" t="n">
        <v>114225700</v>
      </c>
      <c r="G1156" s="120" t="n">
        <v>-0.155054859328199</v>
      </c>
      <c r="H1156" s="121" t="n">
        <v>28.29082518436318</v>
      </c>
      <c r="I1156" s="118" t="n">
        <v>58.56383979797364</v>
      </c>
      <c r="J1156" s="118" t="n">
        <v>65.23441101074219</v>
      </c>
      <c r="K1156" s="120" t="n">
        <v>0.5812776898732758</v>
      </c>
      <c r="L1156" s="120" t="n">
        <v>-0.3223795763826329</v>
      </c>
      <c r="M1156" s="120" t="n">
        <v>-0.4264510594383956</v>
      </c>
      <c r="N1156" t="n">
        <v>20.68741681725463</v>
      </c>
      <c r="O1156" t="n">
        <v>-0.3818583268004678</v>
      </c>
      <c r="P1156" t="n">
        <v>155.7699237215328</v>
      </c>
      <c r="Q1156" t="n">
        <v>160.4633873626948</v>
      </c>
    </row>
    <row r="1157">
      <c r="A1157" s="117" t="n">
        <v>46114</v>
      </c>
      <c r="B1157" s="118" t="n">
        <v>43.37190511622997</v>
      </c>
      <c r="C1157" s="118" t="n">
        <v>43.94676309951662</v>
      </c>
      <c r="D1157" s="118" t="n">
        <v>42.78713748327485</v>
      </c>
      <c r="E1157" s="118" t="n">
        <v>43.79809188842773</v>
      </c>
      <c r="F1157" s="119" t="n">
        <v>63242600</v>
      </c>
      <c r="G1157" s="120" t="n">
        <v>-0.009858889411686778</v>
      </c>
      <c r="H1157" s="121" t="n">
        <v>28.01190906750518</v>
      </c>
      <c r="I1157" s="118" t="n">
        <v>58.15175308227539</v>
      </c>
      <c r="J1157" s="118" t="n">
        <v>65.15216762542724</v>
      </c>
      <c r="K1157" s="120" t="n">
        <v>0.5813204749878066</v>
      </c>
      <c r="L1157" s="120" t="n">
        <v>-0.329060161202177</v>
      </c>
      <c r="M1157" s="120" t="n">
        <v>-0.4321056150155825</v>
      </c>
      <c r="N1157" t="n">
        <v>20.17815601861554</v>
      </c>
      <c r="O1157" t="n">
        <v>-0.6266788361617324</v>
      </c>
      <c r="P1157" t="n">
        <v>155.9101882340438</v>
      </c>
      <c r="Q1157" t="n">
        <v>160.6473791076488</v>
      </c>
    </row>
    <row r="1158">
      <c r="A1158" s="117" t="n">
        <v>46118</v>
      </c>
      <c r="B1158" s="118" t="n">
        <v>43.76835923952276</v>
      </c>
      <c r="C1158" s="118" t="n">
        <v>43.98640934129222</v>
      </c>
      <c r="D1158" s="118" t="n">
        <v>43.17368195579907</v>
      </c>
      <c r="E1158" s="118" t="n">
        <v>43.63951110839844</v>
      </c>
      <c r="F1158" s="119" t="n">
        <v>26999600</v>
      </c>
      <c r="G1158" s="120" t="n">
        <v>-0.003620723487983701</v>
      </c>
      <c r="H1158" s="121" t="n">
        <v>27.91048569040119</v>
      </c>
      <c r="I1158" s="118" t="n">
        <v>57.73551025390625</v>
      </c>
      <c r="J1158" s="118" t="n">
        <v>65.07837760925293</v>
      </c>
      <c r="K1158" s="120" t="n">
        <v>0.581938341589756</v>
      </c>
      <c r="L1158" s="120" t="n">
        <v>-0.3314894488355363</v>
      </c>
      <c r="M1158" s="120" t="n">
        <v>-0.4341618035539897</v>
      </c>
      <c r="N1158" t="n">
        <v>19.98549316359421</v>
      </c>
      <c r="O1158" t="n">
        <v>-0.7340388757938303</v>
      </c>
      <c r="P1158" t="n">
        <v>156.6471515408066</v>
      </c>
      <c r="Q1158" t="n">
        <v>161.6140531099341</v>
      </c>
    </row>
    <row r="1159">
      <c r="A1159" s="117" t="n">
        <v>46119</v>
      </c>
      <c r="B1159" s="118" t="n">
        <v>43.31243846575701</v>
      </c>
      <c r="C1159" s="118" t="n">
        <v>43.48092897155077</v>
      </c>
      <c r="D1159" s="118" t="n">
        <v>41.9843223756015</v>
      </c>
      <c r="E1159" s="118" t="n">
        <v>42.31139373779297</v>
      </c>
      <c r="F1159" s="119" t="n">
        <v>38253000</v>
      </c>
      <c r="G1159" s="120" t="n">
        <v>-0.03043382789753279</v>
      </c>
      <c r="H1159" s="121" t="n">
        <v>27.06106277236297</v>
      </c>
      <c r="I1159" s="118" t="n">
        <v>57.30097564697266</v>
      </c>
      <c r="J1159" s="118" t="n">
        <v>65.00033157348633</v>
      </c>
      <c r="K1159" s="120" t="n">
        <v>0.5853109997404006</v>
      </c>
      <c r="L1159" s="120" t="n">
        <v>-0.3518347838973604</v>
      </c>
      <c r="M1159" s="120" t="n">
        <v>-0.4513824258424779</v>
      </c>
      <c r="N1159" t="n">
        <v>18.40087180192272</v>
      </c>
      <c r="O1159" t="n">
        <v>-0.8225774352510724</v>
      </c>
      <c r="P1159" t="n">
        <v>156.7160763759318</v>
      </c>
      <c r="Q1159" t="n">
        <v>161.6387699216365</v>
      </c>
    </row>
    <row r="1160">
      <c r="A1160" s="117" t="n">
        <v>46120</v>
      </c>
      <c r="B1160" s="118" t="n">
        <v>43.52057494288791</v>
      </c>
      <c r="C1160" s="118" t="n">
        <v>43.90711554238363</v>
      </c>
      <c r="D1160" s="118" t="n">
        <v>42.38077244310726</v>
      </c>
      <c r="E1160" s="118" t="n">
        <v>42.74749374389648</v>
      </c>
      <c r="F1160" s="119" t="n">
        <v>29462900</v>
      </c>
      <c r="G1160" s="120" t="n">
        <v>0.01030691659097926</v>
      </c>
      <c r="H1160" s="121" t="n">
        <v>27.33997888922097</v>
      </c>
      <c r="I1160" s="118" t="n">
        <v>56.87614768981933</v>
      </c>
      <c r="J1160" s="118" t="n">
        <v>64.92310340881347</v>
      </c>
      <c r="K1160" s="120" t="n">
        <v>0.5910581010155374</v>
      </c>
      <c r="L1160" s="120" t="n">
        <v>-0.3451541990778165</v>
      </c>
      <c r="M1160" s="120" t="n">
        <v>-0.4457278702652909</v>
      </c>
      <c r="N1160" t="n">
        <v>20.62633984996673</v>
      </c>
      <c r="O1160" t="n">
        <v>-0.7802146661642571</v>
      </c>
      <c r="P1160" t="n">
        <v>160.7075778768435</v>
      </c>
      <c r="Q1160" t="n">
        <v>166.4446208759059</v>
      </c>
    </row>
    <row r="1161">
      <c r="A1161" s="117" t="n">
        <v>46121</v>
      </c>
      <c r="B1161" s="118" t="n">
        <v>42.83669811553343</v>
      </c>
      <c r="C1161" s="118" t="n">
        <v>43.82782946457684</v>
      </c>
      <c r="D1161" s="118" t="n">
        <v>42.34113244101172</v>
      </c>
      <c r="E1161" s="118" t="n">
        <v>43.60977935791016</v>
      </c>
      <c r="F1161" s="119" t="n">
        <v>24147400</v>
      </c>
      <c r="G1161" s="120" t="n">
        <v>0.02017160629766246</v>
      </c>
      <c r="H1161" s="121" t="n">
        <v>27.89147017956073</v>
      </c>
      <c r="I1161" s="118" t="n">
        <v>56.50597999572754</v>
      </c>
      <c r="J1161" s="118" t="n">
        <v>64.84536890029908</v>
      </c>
      <c r="K1161" s="120" t="n">
        <v>0.6020498519184755</v>
      </c>
      <c r="L1161" s="120" t="n">
        <v>-0.3319449073959369</v>
      </c>
      <c r="M1161" s="120" t="n">
        <v>-0.4345473110825154</v>
      </c>
      <c r="N1161" t="n">
        <v>24.98292021647649</v>
      </c>
      <c r="O1161" t="n">
        <v>-0.6290497697879416</v>
      </c>
      <c r="P1161" t="n">
        <v>161.6347027380083</v>
      </c>
      <c r="Q1161" t="n">
        <v>167.5705698114428</v>
      </c>
    </row>
    <row r="1162">
      <c r="A1162" s="117" t="n">
        <v>46122</v>
      </c>
      <c r="B1162" s="118" t="n">
        <v>43.44128761038457</v>
      </c>
      <c r="C1162" s="118" t="n">
        <v>43.57013195987964</v>
      </c>
      <c r="D1162" s="118" t="n">
        <v>42.02396951901127</v>
      </c>
      <c r="E1162" s="118" t="n">
        <v>42.24201583862305</v>
      </c>
      <c r="F1162" s="119" t="n">
        <v>26094800</v>
      </c>
      <c r="G1162" s="120" t="n">
        <v>-0.03136368813200652</v>
      </c>
      <c r="H1162" s="121" t="n">
        <v>27.01669080730583</v>
      </c>
      <c r="I1162" s="118" t="n">
        <v>56.12519515991211</v>
      </c>
      <c r="J1162" s="118" t="n">
        <v>64.75768104553222</v>
      </c>
      <c r="K1162" s="120" t="n">
        <v>0.603358710765217</v>
      </c>
      <c r="L1162" s="120" t="n">
        <v>-0.3460921689845422</v>
      </c>
      <c r="M1162" s="120" t="n">
        <v>-0.4522819928711279</v>
      </c>
      <c r="N1162" t="n">
        <v>22.84133497891995</v>
      </c>
      <c r="O1162" t="n">
        <v>-0.5584969157470776</v>
      </c>
      <c r="P1162" t="n">
        <v>161.5277368636572</v>
      </c>
      <c r="Q1162" t="n">
        <v>167.8122341170359</v>
      </c>
    </row>
    <row r="1163">
      <c r="A1163" s="117" t="n">
        <v>46125</v>
      </c>
      <c r="B1163" s="118" t="n">
        <v>41.85547603452363</v>
      </c>
      <c r="C1163" s="118" t="n">
        <v>42.59882453952412</v>
      </c>
      <c r="D1163" s="118" t="n">
        <v>41.7167182518621</v>
      </c>
      <c r="E1163" s="118" t="n">
        <v>42.52944564819336</v>
      </c>
      <c r="F1163" s="119" t="n">
        <v>21236700</v>
      </c>
      <c r="G1163" s="120" t="n">
        <v>0.00680435826425474</v>
      </c>
      <c r="H1163" s="121" t="n">
        <v>27.20052205067334</v>
      </c>
      <c r="I1163" s="118" t="n">
        <v>55.74306983947754</v>
      </c>
      <c r="J1163" s="118" t="n">
        <v>64.67430152893067</v>
      </c>
      <c r="K1163" s="120" t="n">
        <v>0.6060702503595125</v>
      </c>
      <c r="L1163" s="120" t="n">
        <v>-0.3416427458305114</v>
      </c>
      <c r="M1163" s="120" t="n">
        <v>-0.4485551233228394</v>
      </c>
      <c r="N1163" t="n">
        <v>24.30971271654202</v>
      </c>
      <c r="O1163" t="n">
        <v>-0.4352651264616094</v>
      </c>
      <c r="P1163" t="n">
        <v>163.1062581510009</v>
      </c>
      <c r="Q1163" t="n">
        <v>169.5478308480739</v>
      </c>
    </row>
    <row r="1164">
      <c r="A1164" s="117" t="n">
        <v>46126</v>
      </c>
      <c r="B1164" s="118" t="n">
        <v>42.60873826434926</v>
      </c>
      <c r="C1164" s="118" t="n">
        <v>43.81791593650846</v>
      </c>
      <c r="D1164" s="118" t="n">
        <v>42.5690921030677</v>
      </c>
      <c r="E1164" s="118" t="n">
        <v>43.80800628662109</v>
      </c>
      <c r="F1164" s="119" t="n">
        <v>22554100</v>
      </c>
      <c r="G1164" s="120" t="n">
        <v>0.03006295094942169</v>
      </c>
      <c r="H1164" s="121" t="n">
        <v>28.01825001088139</v>
      </c>
      <c r="I1164" s="118" t="n">
        <v>55.40207237243652</v>
      </c>
      <c r="J1164" s="118" t="n">
        <v>64.58899318695069</v>
      </c>
      <c r="K1164" s="120" t="n">
        <v>0.6167877189811775</v>
      </c>
      <c r="L1164" s="120" t="n">
        <v>-0.3218505839912181</v>
      </c>
      <c r="M1164" s="120" t="n">
        <v>-0.4319770630439841</v>
      </c>
      <c r="N1164" t="n">
        <v>30.63349762418396</v>
      </c>
      <c r="O1164" t="n">
        <v>-0.2212315038469743</v>
      </c>
      <c r="P1164" t="n">
        <v>165.0936878787274</v>
      </c>
      <c r="Q1164" t="n">
        <v>172.6263072286266</v>
      </c>
    </row>
    <row r="1165">
      <c r="A1165" s="117" t="n">
        <v>46127</v>
      </c>
      <c r="B1165" s="118" t="n">
        <v>44.69011192421851</v>
      </c>
      <c r="C1165" s="118" t="n">
        <v>45.49292966448566</v>
      </c>
      <c r="D1165" s="118" t="n">
        <v>44.31348095930559</v>
      </c>
      <c r="E1165" s="118" t="n">
        <v>45.03700637817383</v>
      </c>
      <c r="F1165" s="119" t="n">
        <v>31523500</v>
      </c>
      <c r="G1165" s="120" t="n">
        <v>0.02805423473307145</v>
      </c>
      <c r="H1165" s="121" t="n">
        <v>28.80428057349654</v>
      </c>
      <c r="I1165" s="118" t="n">
        <v>55.07836891174316</v>
      </c>
      <c r="J1165" s="118" t="n">
        <v>64.46359846115112</v>
      </c>
      <c r="K1165" s="120" t="n">
        <v>0.6291657498657373</v>
      </c>
      <c r="L1165" s="120" t="n">
        <v>-0.3028256210904124</v>
      </c>
      <c r="M1165" s="120" t="n">
        <v>-0.4160416142368514</v>
      </c>
      <c r="N1165" t="n">
        <v>36.15525548343156</v>
      </c>
      <c r="O1165" t="n">
        <v>0.03583634563199078</v>
      </c>
      <c r="P1165" t="n">
        <v>166.3964370893576</v>
      </c>
      <c r="Q1165" t="n">
        <v>175.0429838443833</v>
      </c>
    </row>
    <row r="1166">
      <c r="A1166" s="117" t="n">
        <v>46128</v>
      </c>
      <c r="B1166" s="118" t="n">
        <v>45.39381223902274</v>
      </c>
      <c r="C1166" s="118" t="n">
        <v>46.07769524756912</v>
      </c>
      <c r="D1166" s="118" t="n">
        <v>45.14602941699656</v>
      </c>
      <c r="E1166" s="118" t="n">
        <v>45.29470062255859</v>
      </c>
      <c r="F1166" s="119" t="n">
        <v>21766300</v>
      </c>
      <c r="G1166" s="120" t="n">
        <v>0.005721833334589643</v>
      </c>
      <c r="H1166" s="121" t="n">
        <v>28.96909386626084</v>
      </c>
      <c r="I1166" s="118" t="n">
        <v>54.78443420410157</v>
      </c>
      <c r="J1166" s="118" t="n">
        <v>64.34435869216919</v>
      </c>
      <c r="K1166" s="120" t="n">
        <v>0.6260028314282121</v>
      </c>
      <c r="L1166" s="120" t="n">
        <v>-0.2988365054891458</v>
      </c>
      <c r="M1166" s="120" t="n">
        <v>-0.4127003016791786</v>
      </c>
      <c r="N1166" t="n">
        <v>37.28259091492004</v>
      </c>
      <c r="O1166" t="n">
        <v>0.2443331450444979</v>
      </c>
      <c r="P1166" t="n">
        <v>166.8053309824979</v>
      </c>
      <c r="Q1166" t="n">
        <v>175.8860570082434</v>
      </c>
    </row>
    <row r="1167">
      <c r="A1167" s="117" t="n">
        <v>46129</v>
      </c>
      <c r="B1167" s="118" t="n">
        <v>45.96867099143482</v>
      </c>
      <c r="C1167" s="118" t="n">
        <v>46.36512124497474</v>
      </c>
      <c r="D1167" s="118" t="n">
        <v>45.37398993982613</v>
      </c>
      <c r="E1167" s="118" t="n">
        <v>45.62177276611328</v>
      </c>
      <c r="F1167" s="119" t="n">
        <v>31290400</v>
      </c>
      <c r="G1167" s="120" t="n">
        <v>0.007220980358832341</v>
      </c>
      <c r="H1167" s="121" t="n">
        <v>29.17827912408228</v>
      </c>
      <c r="I1167" s="118" t="n">
        <v>54.43225448608398</v>
      </c>
      <c r="J1167" s="118" t="n">
        <v>64.21522077560425</v>
      </c>
      <c r="K1167" s="120" t="n">
        <v>0.6276746251032036</v>
      </c>
      <c r="L1167" s="120" t="n">
        <v>-0.2937734176669526</v>
      </c>
      <c r="M1167" s="120" t="n">
        <v>-0.4084594220928558</v>
      </c>
      <c r="N1167" t="n">
        <v>38.7606177741748</v>
      </c>
      <c r="O1167" t="n">
        <v>0.4153274552876649</v>
      </c>
      <c r="P1167" t="n">
        <v>168.8212878528333</v>
      </c>
      <c r="Q1167" t="n">
        <v>178.1873717228091</v>
      </c>
    </row>
    <row r="1168">
      <c r="A1168" s="117" t="n">
        <v>46132</v>
      </c>
      <c r="B1168" s="118" t="n">
        <v>45.57221769511245</v>
      </c>
      <c r="C1168" s="118" t="n">
        <v>46.14707567622461</v>
      </c>
      <c r="D1168" s="118" t="n">
        <v>45.16585400465473</v>
      </c>
      <c r="E1168" s="118" t="n">
        <v>46.06778335571289</v>
      </c>
      <c r="F1168" s="119" t="n">
        <v>19003100</v>
      </c>
      <c r="G1168" s="120" t="n">
        <v>0.009776266079929652</v>
      </c>
      <c r="H1168" s="121" t="n">
        <v>29.46353374455377</v>
      </c>
      <c r="I1168" s="118" t="n">
        <v>54.11892677307129</v>
      </c>
      <c r="J1168" s="118" t="n">
        <v>64.07381084442139</v>
      </c>
      <c r="K1168" s="120" t="n">
        <v>0.6281532818918861</v>
      </c>
      <c r="L1168" s="120" t="n">
        <v>-0.2868691586853453</v>
      </c>
      <c r="M1168" s="120" t="n">
        <v>-0.4026763640061602</v>
      </c>
      <c r="N1168" t="n">
        <v>40.80911484976476</v>
      </c>
      <c r="O1168" t="n">
        <v>0.5604958860477711</v>
      </c>
      <c r="P1168" t="n">
        <v>168.4836899953511</v>
      </c>
      <c r="Q1168" t="n">
        <v>177.6216537392814</v>
      </c>
    </row>
    <row r="1169">
      <c r="A1169" s="117" t="n">
        <v>46133</v>
      </c>
      <c r="B1169" s="118" t="n">
        <v>46.35521142809223</v>
      </c>
      <c r="C1169" s="118" t="n">
        <v>46.55343844457923</v>
      </c>
      <c r="D1169" s="118" t="n">
        <v>45.52266098353952</v>
      </c>
      <c r="E1169" s="118" t="n">
        <v>45.97858047485352</v>
      </c>
      <c r="F1169" s="119" t="n">
        <v>22194000</v>
      </c>
      <c r="G1169" s="120" t="n">
        <v>-0.001936339766352435</v>
      </c>
      <c r="H1169" s="121" t="n">
        <v>29.40648233250692</v>
      </c>
      <c r="I1169" s="118" t="n">
        <v>53.7797908782959</v>
      </c>
      <c r="J1169" s="118" t="n">
        <v>63.93195489883423</v>
      </c>
      <c r="K1169" s="120" t="n">
        <v>0.6267944045707461</v>
      </c>
      <c r="L1169" s="120" t="n">
        <v>-0.2882500222919954</v>
      </c>
      <c r="M1169" s="120" t="n">
        <v>-0.4038329855159173</v>
      </c>
      <c r="N1169" t="n">
        <v>40.51719587718652</v>
      </c>
      <c r="O1169" t="n">
        <v>0.6464336300290112</v>
      </c>
      <c r="P1169" t="n">
        <v>167.380645330225</v>
      </c>
      <c r="Q1169" t="n">
        <v>176.9460944459071</v>
      </c>
    </row>
    <row r="1170">
      <c r="A1170" s="117" t="n">
        <v>46134</v>
      </c>
      <c r="B1170" s="118" t="n">
        <v>45.89929325209091</v>
      </c>
      <c r="C1170" s="118" t="n">
        <v>46.5336166983341</v>
      </c>
      <c r="D1170" s="118" t="n">
        <v>45.09647551370226</v>
      </c>
      <c r="E1170" s="118" t="n">
        <v>45.27487945556641</v>
      </c>
      <c r="F1170" s="119" t="n">
        <v>17985200</v>
      </c>
      <c r="G1170" s="120" t="n">
        <v>-0.01530497488220572</v>
      </c>
      <c r="H1170" s="121" t="n">
        <v>28.95641685903388</v>
      </c>
      <c r="I1170" s="118" t="n">
        <v>53.45631568908691</v>
      </c>
      <c r="J1170" s="118" t="n">
        <v>63.78589914321899</v>
      </c>
      <c r="K1170" s="120" t="n">
        <v>0.6229228753571857</v>
      </c>
      <c r="L1170" s="120" t="n">
        <v>-0.2991433378232268</v>
      </c>
      <c r="M1170" s="120" t="n">
        <v>-0.4129573066981957</v>
      </c>
      <c r="N1170" t="n">
        <v>38.19597367828767</v>
      </c>
      <c r="O1170" t="n">
        <v>0.6500525398638013</v>
      </c>
      <c r="P1170" t="n">
        <v>169.0756609357794</v>
      </c>
      <c r="Q1170" t="n">
        <v>179.9065073592917</v>
      </c>
    </row>
    <row r="1171">
      <c r="A1171" s="117" t="n">
        <v>46135</v>
      </c>
      <c r="B1171" s="118" t="n">
        <v>45.1757663387775</v>
      </c>
      <c r="C1171" s="118" t="n">
        <v>45.34425684447689</v>
      </c>
      <c r="D1171" s="118" t="n">
        <v>43.84765024936583</v>
      </c>
      <c r="E1171" s="118" t="n">
        <v>44.38285827636719</v>
      </c>
      <c r="F1171" s="119" t="n">
        <v>17457500</v>
      </c>
      <c r="G1171" s="120" t="n">
        <v>-0.01970234244521107</v>
      </c>
      <c r="H1171" s="121" t="n">
        <v>28.38590761809091</v>
      </c>
      <c r="I1171" s="118" t="n">
        <v>53.10259414672851</v>
      </c>
      <c r="J1171" s="118" t="n">
        <v>63.64808473587036</v>
      </c>
      <c r="K1171" s="120" t="n">
        <v>0.6245010573872823</v>
      </c>
      <c r="L1171" s="120" t="n">
        <v>-0.3129518557864411</v>
      </c>
      <c r="M1171" s="120" t="n">
        <v>-0.424523422871587</v>
      </c>
      <c r="N1171" t="n">
        <v>35.42543513166964</v>
      </c>
      <c r="O1171" t="n">
        <v>0.5883861361171006</v>
      </c>
      <c r="P1171" t="n">
        <v>168.4195221085345</v>
      </c>
      <c r="Q1171" t="n">
        <v>178.8931516393173</v>
      </c>
    </row>
    <row r="1172">
      <c r="A1172" s="117" t="n">
        <v>46136</v>
      </c>
      <c r="B1172" s="118" t="n">
        <v>44.58108437316442</v>
      </c>
      <c r="C1172" s="118" t="n">
        <v>45.01718077380956</v>
      </c>
      <c r="D1172" s="118" t="n">
        <v>44.19454378018212</v>
      </c>
      <c r="E1172" s="118" t="n">
        <v>44.29365539550781</v>
      </c>
      <c r="F1172" s="119" t="n">
        <v>15885000</v>
      </c>
      <c r="G1172" s="120" t="n">
        <v>-0.002009849845720169</v>
      </c>
      <c r="H1172" s="121" t="n">
        <v>28.32885620604406</v>
      </c>
      <c r="I1172" s="118" t="n">
        <v>52.76067604064941</v>
      </c>
      <c r="J1172" s="118" t="n">
        <v>63.51157629013061</v>
      </c>
      <c r="K1172" s="120" t="n">
        <v>0.6237279673113639</v>
      </c>
      <c r="L1172" s="120" t="n">
        <v>-0.3143327193930912</v>
      </c>
      <c r="M1172" s="120" t="n">
        <v>-0.425680044381344</v>
      </c>
      <c r="N1172" t="n">
        <v>35.15085387482107</v>
      </c>
      <c r="O1172" t="n">
        <v>0.5389257546351525</v>
      </c>
      <c r="P1172" t="n">
        <v>169.7246570669403</v>
      </c>
      <c r="Q1172" t="n">
        <v>182.3149282579014</v>
      </c>
    </row>
    <row r="1173">
      <c r="A1173" s="117" t="n">
        <v>46139</v>
      </c>
      <c r="B1173" s="118" t="n">
        <v>44.2044541791922</v>
      </c>
      <c r="C1173" s="118" t="n">
        <v>45.00727188806503</v>
      </c>
      <c r="D1173" s="118" t="n">
        <v>44.09543291283096</v>
      </c>
      <c r="E1173" s="118" t="n">
        <v>44.73966598510742</v>
      </c>
      <c r="F1173" s="119" t="n">
        <v>14583100</v>
      </c>
      <c r="G1173" s="120" t="n">
        <v>0.01006940126338818</v>
      </c>
      <c r="H1173" s="121" t="n">
        <v>28.61411082651554</v>
      </c>
      <c r="I1173" s="118" t="n">
        <v>52.45229309082031</v>
      </c>
      <c r="J1173" s="118" t="n">
        <v>63.37213939666748</v>
      </c>
      <c r="K1173" s="120" t="n">
        <v>0.6259939840414411</v>
      </c>
      <c r="L1173" s="120" t="n">
        <v>-0.3074284604114841</v>
      </c>
      <c r="M1173" s="120" t="n">
        <v>-0.4198969862946484</v>
      </c>
      <c r="N1173" t="n">
        <v>37.74893928642518</v>
      </c>
      <c r="O1173" t="n">
        <v>0.5326364188856485</v>
      </c>
      <c r="P1173" t="n">
        <v>170.0170566418699</v>
      </c>
      <c r="Q1173" t="n">
        <v>182.4110435989955</v>
      </c>
    </row>
    <row r="1174">
      <c r="A1174" s="117" t="n">
        <v>46140</v>
      </c>
      <c r="B1174" s="118" t="n">
        <v>44.97754016627945</v>
      </c>
      <c r="C1174" s="118" t="n">
        <v>45.30461153441868</v>
      </c>
      <c r="D1174" s="118" t="n">
        <v>44.35312637872973</v>
      </c>
      <c r="E1174" s="118" t="n">
        <v>44.63064193725586</v>
      </c>
      <c r="F1174" s="119" t="n">
        <v>12426000</v>
      </c>
      <c r="G1174" s="120" t="n">
        <v>-0.00243685430928009</v>
      </c>
      <c r="H1174" s="121" t="n">
        <v>28.54438240724173</v>
      </c>
      <c r="I1174" s="118" t="n">
        <v>52.10175491333008</v>
      </c>
      <c r="J1174" s="118" t="n">
        <v>63.24184164047242</v>
      </c>
      <c r="K1174" s="120" t="n">
        <v>0.6260002492040003</v>
      </c>
      <c r="L1174" s="120" t="n">
        <v>-0.309116156352215</v>
      </c>
      <c r="M1174" s="120" t="n">
        <v>-0.4213106128234227</v>
      </c>
      <c r="N1174" t="n">
        <v>37.35497268944489</v>
      </c>
      <c r="O1174" t="n">
        <v>0.5171005555717985</v>
      </c>
      <c r="P1174" t="n">
        <v>169.1897549589721</v>
      </c>
      <c r="Q1174" t="n">
        <v>180.5765796211477</v>
      </c>
    </row>
    <row r="1175">
      <c r="A1175" s="117" t="n">
        <v>46141</v>
      </c>
      <c r="B1175" s="118" t="n">
        <v>44.52161720838121</v>
      </c>
      <c r="C1175" s="118" t="n">
        <v>44.75949038945037</v>
      </c>
      <c r="D1175" s="118" t="n">
        <v>43.75844941693546</v>
      </c>
      <c r="E1175" s="118" t="n">
        <v>43.99631881713867</v>
      </c>
      <c r="F1175" s="119" t="n">
        <v>13329700</v>
      </c>
      <c r="G1175" s="120" t="n">
        <v>-0.01421272678553342</v>
      </c>
      <c r="H1175" s="121" t="n">
        <v>28.13868889882582</v>
      </c>
      <c r="I1175" s="118" t="n">
        <v>51.70525100708008</v>
      </c>
      <c r="J1175" s="118" t="n">
        <v>63.11022148132324</v>
      </c>
      <c r="K1175" s="120" t="n">
        <v>0.6114453695619753</v>
      </c>
      <c r="L1175" s="120" t="n">
        <v>-0.3189354996625202</v>
      </c>
      <c r="M1175" s="120" t="n">
        <v>-0.4295353669770512</v>
      </c>
      <c r="N1175" t="n">
        <v>35.06217159145741</v>
      </c>
      <c r="O1175" t="n">
        <v>0.4618816271799155</v>
      </c>
      <c r="P1175" t="n">
        <v>169.1636135641388</v>
      </c>
      <c r="Q1175" t="n">
        <v>181.6805468707849</v>
      </c>
    </row>
    <row r="1176">
      <c r="A1176" s="117" t="n">
        <v>46142</v>
      </c>
      <c r="B1176" s="118" t="n">
        <v>43.69898114981162</v>
      </c>
      <c r="C1176" s="118" t="n">
        <v>44.41259692804836</v>
      </c>
      <c r="D1176" s="118" t="n">
        <v>43.12412315492845</v>
      </c>
      <c r="E1176" s="118" t="n">
        <v>43.96658706665039</v>
      </c>
      <c r="F1176" s="119" t="n">
        <v>21679500</v>
      </c>
      <c r="G1176" s="120" t="n">
        <v>-0.0006757781397996876</v>
      </c>
      <c r="H1176" s="121" t="n">
        <v>28.11967338798536</v>
      </c>
      <c r="I1176" s="118" t="n">
        <v>51.29377738952637</v>
      </c>
      <c r="J1176" s="118" t="n">
        <v>62.97971799850464</v>
      </c>
      <c r="K1176" s="120" t="n">
        <v>0.2673817672124651</v>
      </c>
      <c r="L1176" s="120" t="n">
        <v>-0.319395748163642</v>
      </c>
      <c r="M1176" s="120" t="n">
        <v>-0.4299208745055769</v>
      </c>
      <c r="N1176" t="n">
        <v>34.95387671014316</v>
      </c>
      <c r="O1176" t="n">
        <v>0.4222156769737428</v>
      </c>
      <c r="P1176" t="n">
        <v>170.8467295253006</v>
      </c>
      <c r="Q1176" t="n">
        <v>183.3749489156522</v>
      </c>
    </row>
    <row r="1177">
      <c r="A1177" s="117" t="n">
        <v>46143</v>
      </c>
      <c r="B1177" s="118" t="n">
        <v>44.42250656527431</v>
      </c>
      <c r="C1177" s="118" t="n">
        <v>44.5612643485884</v>
      </c>
      <c r="D1177" s="118" t="n">
        <v>43.82782927082362</v>
      </c>
      <c r="E1177" s="118" t="n">
        <v>44.00623321533203</v>
      </c>
      <c r="F1177" s="119" t="n">
        <v>11562800</v>
      </c>
      <c r="G1177" s="120" t="n">
        <v>0.0009017335965044726</v>
      </c>
      <c r="H1177" s="121" t="n">
        <v>28.14502984220204</v>
      </c>
      <c r="I1177" s="118" t="n">
        <v>50.88191520690918</v>
      </c>
      <c r="J1177" s="118" t="n">
        <v>62.84887742996216</v>
      </c>
      <c r="K1177" s="120" t="n">
        <v>0.2649262501297635</v>
      </c>
      <c r="L1177" s="120" t="n">
        <v>-0.3187820244438373</v>
      </c>
      <c r="M1177" s="120" t="n">
        <v>-0.4294068150054527</v>
      </c>
      <c r="N1177" t="n">
        <v>35.24110930972674</v>
      </c>
      <c r="O1177" t="n">
        <v>0.3978426073501344</v>
      </c>
      <c r="P1177" t="n">
        <v>171.3198203997426</v>
      </c>
      <c r="Q1177" t="n">
        <v>185.1352792383055</v>
      </c>
    </row>
    <row r="1178">
      <c r="A1178" s="117" t="n">
        <v>46146</v>
      </c>
      <c r="B1178" s="118" t="n">
        <v>43.79809050589887</v>
      </c>
      <c r="C1178" s="118" t="n">
        <v>43.9467617122948</v>
      </c>
      <c r="D1178" s="118" t="n">
        <v>42.70784759521484</v>
      </c>
      <c r="E1178" s="118" t="n">
        <v>42.70784759521484</v>
      </c>
      <c r="F1178" s="119" t="n">
        <v>33272400</v>
      </c>
      <c r="G1178" s="120" t="n">
        <v>-0.0295045843565821</v>
      </c>
      <c r="H1178" s="121" t="n">
        <v>27.31462243500427</v>
      </c>
      <c r="I1178" s="118" t="n">
        <v>50.44822044372559</v>
      </c>
      <c r="J1178" s="118" t="n">
        <v>62.70726243972778</v>
      </c>
      <c r="K1178" s="120" t="n">
        <v>0.2852497220128509</v>
      </c>
      <c r="L1178" s="120" t="n">
        <v>-0.3388810776688542</v>
      </c>
      <c r="M1178" s="120" t="n">
        <v>-0.4462419297654151</v>
      </c>
      <c r="N1178" t="n">
        <v>30.49225137847087</v>
      </c>
      <c r="O1178" t="n">
        <v>0.2980356702116174</v>
      </c>
      <c r="P1178" t="n">
        <v>170.6922087151065</v>
      </c>
      <c r="Q1178" t="n">
        <v>184.7865087486685</v>
      </c>
    </row>
    <row r="1179">
      <c r="A1179" s="117" t="n">
        <v>46147</v>
      </c>
      <c r="B1179" s="118" t="n">
        <v>42.65829276469492</v>
      </c>
      <c r="C1179" s="118" t="n">
        <v>42.91598524337447</v>
      </c>
      <c r="D1179" s="118" t="n">
        <v>42.27175215624262</v>
      </c>
      <c r="E1179" s="118" t="n">
        <v>42.67811584472656</v>
      </c>
      <c r="F1179" s="119" t="n">
        <v>18589700</v>
      </c>
      <c r="G1179" s="120" t="n">
        <v>-0.0006961659779738394</v>
      </c>
      <c r="H1179" s="121" t="n">
        <v>27.29560692416382</v>
      </c>
      <c r="I1179" s="118" t="n">
        <v>50.05941947937012</v>
      </c>
      <c r="J1179" s="118" t="n">
        <v>62.56798067092895</v>
      </c>
      <c r="K1179" s="120" t="n">
        <v>0.2631199523704423</v>
      </c>
      <c r="L1179" s="120" t="n">
        <v>-0.3393413261699759</v>
      </c>
      <c r="M1179" s="120" t="n">
        <v>-0.4466274372939409</v>
      </c>
      <c r="N1179" t="n">
        <v>30.39125873022942</v>
      </c>
      <c r="O1179" t="n">
        <v>0.2364635334536722</v>
      </c>
      <c r="P1179" t="n">
        <v>172.061540654814</v>
      </c>
      <c r="Q1179" t="n">
        <v>187.1839388043283</v>
      </c>
    </row>
    <row r="1180">
      <c r="A1180" s="117" t="n">
        <v>46148</v>
      </c>
      <c r="B1180" s="118" t="n">
        <v>43.24305809592846</v>
      </c>
      <c r="C1180" s="118" t="n">
        <v>43.67915449086552</v>
      </c>
      <c r="D1180" s="118" t="n">
        <v>42.81687135004795</v>
      </c>
      <c r="E1180" s="118" t="n">
        <v>43.49084091186523</v>
      </c>
      <c r="F1180" s="119" t="n">
        <v>19406700</v>
      </c>
      <c r="G1180" s="120" t="n">
        <v>0.01904313372444943</v>
      </c>
      <c r="H1180" s="121" t="n">
        <v>27.81540081691068</v>
      </c>
      <c r="I1180" s="118" t="n">
        <v>49.66718116760254</v>
      </c>
      <c r="J1180" s="118" t="n">
        <v>62.42521957397461</v>
      </c>
      <c r="K1180" s="120" t="n">
        <v>0.2691690228654936</v>
      </c>
      <c r="L1180" s="120" t="n">
        <v>-0.3267603146980134</v>
      </c>
      <c r="M1180" s="120" t="n">
        <v>-0.4360894895828882</v>
      </c>
      <c r="N1180" t="n">
        <v>36.57522436556121</v>
      </c>
      <c r="O1180" t="n">
        <v>0.2553086197389174</v>
      </c>
      <c r="P1180" t="n">
        <v>174.4530927801298</v>
      </c>
      <c r="Q1180" t="n">
        <v>191.0725661596303</v>
      </c>
    </row>
    <row r="1181">
      <c r="A1181" s="117" t="n">
        <v>46149</v>
      </c>
      <c r="B1181" s="118" t="n">
        <v>43.65933211846881</v>
      </c>
      <c r="C1181" s="118" t="n">
        <v>44.2440997247781</v>
      </c>
      <c r="D1181" s="118" t="n">
        <v>43.61968595986952</v>
      </c>
      <c r="E1181" s="118" t="n">
        <v>44.01613998413086</v>
      </c>
      <c r="F1181" s="119" t="n">
        <v>17177700</v>
      </c>
      <c r="G1181" s="120" t="n">
        <v>0.01207838389076343</v>
      </c>
      <c r="H1181" s="121" t="n">
        <v>28.15136590605278</v>
      </c>
      <c r="I1181" s="118" t="n">
        <v>49.29903617858886</v>
      </c>
      <c r="J1181" s="118" t="n">
        <v>62.27841787338257</v>
      </c>
      <c r="K1181" s="120" t="n">
        <v>0.2629852857025594</v>
      </c>
      <c r="L1181" s="120" t="n">
        <v>-0.3186286673284392</v>
      </c>
      <c r="M1181" s="120" t="n">
        <v>-0.429278361958034</v>
      </c>
      <c r="N1181" t="n">
        <v>40.2688415880074</v>
      </c>
      <c r="O1181" t="n">
        <v>0.3046450174227446</v>
      </c>
      <c r="P1181" t="n">
        <v>173.9182052194041</v>
      </c>
      <c r="Q1181" t="n">
        <v>190.8446278227898</v>
      </c>
    </row>
    <row r="1182">
      <c r="A1182" s="117" t="n">
        <v>46150</v>
      </c>
      <c r="B1182" s="118" t="n">
        <v>43.8674698540947</v>
      </c>
      <c r="C1182" s="118" t="n">
        <v>44.26392388806487</v>
      </c>
      <c r="D1182" s="118" t="n">
        <v>43.41155036163511</v>
      </c>
      <c r="E1182" s="118" t="n">
        <v>43.74853515625</v>
      </c>
      <c r="F1182" s="119" t="n">
        <v>17357100</v>
      </c>
      <c r="G1182" s="120" t="n">
        <v>-0.006079697764895808</v>
      </c>
      <c r="H1182" s="121" t="n">
        <v>27.98021410967499</v>
      </c>
      <c r="I1182" s="118" t="n">
        <v>48.9147085571289</v>
      </c>
      <c r="J1182" s="118" t="n">
        <v>62.12365980148316</v>
      </c>
      <c r="K1182" s="120" t="n">
        <v>0.236182384638457</v>
      </c>
      <c r="L1182" s="120" t="n">
        <v>-0.3227711990967466</v>
      </c>
      <c r="M1182" s="120" t="n">
        <v>-0.4327481770252154</v>
      </c>
      <c r="N1182" t="n">
        <v>39.02210241530191</v>
      </c>
      <c r="O1182" t="n">
        <v>0.319210860727891</v>
      </c>
      <c r="P1182" t="n">
        <v>175.3540907937038</v>
      </c>
      <c r="Q1182" t="n">
        <v>195.3181861618905</v>
      </c>
    </row>
    <row r="1183">
      <c r="A1183" s="117" t="n">
        <v>46153</v>
      </c>
      <c r="B1183" s="118" t="n">
        <v>43.67915812346727</v>
      </c>
      <c r="C1183" s="118" t="n">
        <v>43.67915812346727</v>
      </c>
      <c r="D1183" s="118" t="n">
        <v>42.01405715942383</v>
      </c>
      <c r="E1183" s="118" t="n">
        <v>42.01405715942383</v>
      </c>
      <c r="F1183" s="119" t="n">
        <v>24863800</v>
      </c>
      <c r="G1183" s="120" t="n">
        <v>-0.03964653880710289</v>
      </c>
      <c r="H1183" s="121" t="n">
        <v>26.87089546514471</v>
      </c>
      <c r="I1183" s="118" t="n">
        <v>48.53054611206055</v>
      </c>
      <c r="J1183" s="118" t="n">
        <v>61.9667017364502</v>
      </c>
      <c r="K1183" s="120" t="n">
        <v>0.2772635218223205</v>
      </c>
      <c r="L1183" s="120" t="n">
        <v>-0.3496209770330451</v>
      </c>
      <c r="M1183" s="120" t="n">
        <v>-0.4552377484381851</v>
      </c>
      <c r="N1183" t="n">
        <v>32.08775842084192</v>
      </c>
      <c r="O1183" t="n">
        <v>0.2168796637108743</v>
      </c>
      <c r="P1183" t="n">
        <v>175.753470790227</v>
      </c>
      <c r="Q1183" t="n">
        <v>195.8839041454182</v>
      </c>
    </row>
    <row r="1184">
      <c r="A1184" s="117" t="n">
        <v>46154</v>
      </c>
      <c r="B1184" s="118" t="n">
        <v>41.9248551995918</v>
      </c>
      <c r="C1184" s="118" t="n">
        <v>42.13299187494307</v>
      </c>
      <c r="D1184" s="118" t="n">
        <v>41.6869857937235</v>
      </c>
      <c r="E1184" s="118" t="n">
        <v>41.97441101074219</v>
      </c>
      <c r="F1184" s="119" t="n">
        <v>21271300</v>
      </c>
      <c r="G1184" s="120" t="n">
        <v>-0.0009436400900584285</v>
      </c>
      <c r="H1184" s="121" t="n">
        <v>26.84553901092803</v>
      </c>
      <c r="I1184" s="118" t="n">
        <v>48.1606559753418</v>
      </c>
      <c r="J1184" s="118" t="n">
        <v>61.80540893554687</v>
      </c>
      <c r="K1184" s="120" t="n">
        <v>0.2527465233415215</v>
      </c>
      <c r="L1184" s="120" t="n">
        <v>-0.3502347007528498</v>
      </c>
      <c r="M1184" s="120" t="n">
        <v>-0.4557518079383093</v>
      </c>
      <c r="N1184" t="n">
        <v>31.94800727220468</v>
      </c>
      <c r="O1184" t="n">
        <v>0.1543099334223692</v>
      </c>
      <c r="P1184" t="n">
        <v>175.4872126101307</v>
      </c>
      <c r="Q1184" t="n">
        <v>194.2224578494875</v>
      </c>
    </row>
    <row r="1185">
      <c r="A1185" s="117" t="n">
        <v>46155</v>
      </c>
      <c r="B1185" s="118" t="n">
        <v>41.82574264676562</v>
      </c>
      <c r="C1185" s="118" t="n">
        <v>42.23210633854384</v>
      </c>
      <c r="D1185" s="118" t="n">
        <v>41.33017698455481</v>
      </c>
      <c r="E1185" s="118" t="n">
        <v>41.96450042724609</v>
      </c>
      <c r="F1185" s="119" t="n">
        <v>21325200</v>
      </c>
      <c r="G1185" s="120" t="n">
        <v>-0.0002361101265615506</v>
      </c>
      <c r="H1185" s="121" t="n">
        <v>26.83920050731455</v>
      </c>
      <c r="I1185" s="118" t="n">
        <v>47.82268020629883</v>
      </c>
      <c r="J1185" s="118" t="n">
        <v>61.62961315155029</v>
      </c>
      <c r="K1185" s="120" t="n">
        <v>0.2267170872282655</v>
      </c>
      <c r="L1185" s="120" t="n">
        <v>-0.3503881169198904</v>
      </c>
      <c r="M1185" s="120" t="n">
        <v>-0.4558803104478178</v>
      </c>
      <c r="N1185" t="n">
        <v>31.91059330264385</v>
      </c>
      <c r="O1185" t="n">
        <v>0.1214878795754608</v>
      </c>
      <c r="P1185" t="n">
        <v>176.4690351032226</v>
      </c>
      <c r="Q1185" t="n">
        <v>196.2738861011388</v>
      </c>
    </row>
    <row r="1186">
      <c r="A1186" s="117" t="n">
        <v>46156</v>
      </c>
      <c r="B1186" s="118" t="n">
        <v>42.18255069185571</v>
      </c>
      <c r="C1186" s="118" t="n">
        <v>42.45015660418981</v>
      </c>
      <c r="D1186" s="118" t="n">
        <v>41.61760613721681</v>
      </c>
      <c r="E1186" s="118" t="n">
        <v>41.6473388671875</v>
      </c>
      <c r="F1186" s="119" t="n">
        <v>19146900</v>
      </c>
      <c r="G1186" s="120" t="n">
        <v>-0.007557853824769256</v>
      </c>
      <c r="H1186" s="121" t="n">
        <v>26.63635375310659</v>
      </c>
      <c r="I1186" s="118" t="n">
        <v>47.49322822570801</v>
      </c>
      <c r="J1186" s="118" t="n">
        <v>61.45666007995605</v>
      </c>
      <c r="K1186" s="120" t="n">
        <v>0.2244978250090913</v>
      </c>
      <c r="L1186" s="120" t="n">
        <v>-0.3552977885750429</v>
      </c>
      <c r="M1186" s="120" t="n">
        <v>-0.4599926875246321</v>
      </c>
      <c r="N1186" t="n">
        <v>30.67263201984032</v>
      </c>
      <c r="O1186" t="n">
        <v>0.08914674433046299</v>
      </c>
      <c r="P1186" t="n">
        <v>177.8621372372303</v>
      </c>
      <c r="Q1186" t="n">
        <v>197.6689344998611</v>
      </c>
    </row>
    <row r="1187">
      <c r="A1187" s="117" t="n">
        <v>46157</v>
      </c>
      <c r="B1187" s="118" t="n">
        <v>41.62751394964982</v>
      </c>
      <c r="C1187" s="118" t="n">
        <v>42.40059514169484</v>
      </c>
      <c r="D1187" s="118" t="n">
        <v>41.46893309536198</v>
      </c>
      <c r="E1187" s="118" t="n">
        <v>41.50857925415039</v>
      </c>
      <c r="F1187" s="119" t="n">
        <v>26172600</v>
      </c>
      <c r="G1187" s="120" t="n">
        <v>-0.003331776214552606</v>
      </c>
      <c r="H1187" s="121" t="n">
        <v>26.54760738322958</v>
      </c>
      <c r="I1187" s="118" t="n">
        <v>47.173291015625</v>
      </c>
      <c r="J1187" s="118" t="n">
        <v>61.29104284286499</v>
      </c>
      <c r="K1187" s="120" t="n">
        <v>0.2205344271953697</v>
      </c>
      <c r="L1187" s="120" t="n">
        <v>-0.3553826303470417</v>
      </c>
      <c r="M1187" s="120" t="n">
        <v>-0.4617918710440221</v>
      </c>
      <c r="N1187" t="n">
        <v>30.1220476322444</v>
      </c>
      <c r="O1187" t="n">
        <v>0.06998442731551768</v>
      </c>
      <c r="P1187" t="n">
        <v>175.7225724470852</v>
      </c>
      <c r="Q1187" t="n">
        <v>194.6865734604026</v>
      </c>
    </row>
    <row r="1188">
      <c r="A1188" s="117" t="n">
        <v>46160</v>
      </c>
      <c r="B1188" s="118" t="n">
        <v>41.50857987107708</v>
      </c>
      <c r="C1188" s="118" t="n">
        <v>42.37086304277891</v>
      </c>
      <c r="D1188" s="118" t="n">
        <v>40.98327771148777</v>
      </c>
      <c r="E1188" s="118" t="n">
        <v>42.19245910644531</v>
      </c>
      <c r="F1188" s="119" t="n">
        <v>18694900</v>
      </c>
      <c r="G1188" s="120" t="n">
        <v>0.01647562659535118</v>
      </c>
      <c r="H1188" s="121" t="n">
        <v>26.98499584947566</v>
      </c>
      <c r="I1188" s="118" t="n">
        <v>46.8870523071289</v>
      </c>
      <c r="J1188" s="118" t="n">
        <v>61.13852926254273</v>
      </c>
      <c r="K1188" s="120" t="n">
        <v>0.2275068061574362</v>
      </c>
      <c r="L1188" s="120" t="n">
        <v>-0.3313690011896381</v>
      </c>
      <c r="M1188" s="120" t="n">
        <v>-0.4529245548807608</v>
      </c>
      <c r="N1188" t="n">
        <v>36.20048105986857</v>
      </c>
      <c r="O1188" t="n">
        <v>0.1124262787486259</v>
      </c>
      <c r="P1188" t="n">
        <v>175.5989499800328</v>
      </c>
      <c r="Q1188" t="n">
        <v>193.848970548148</v>
      </c>
    </row>
    <row r="1189">
      <c r="A1189" s="117" t="n">
        <v>46161</v>
      </c>
      <c r="B1189" s="118" t="n">
        <v>42.2221928505344</v>
      </c>
      <c r="C1189" s="118" t="n">
        <v>42.81687391289736</v>
      </c>
      <c r="D1189" s="118" t="n">
        <v>41.43920197876539</v>
      </c>
      <c r="E1189" s="118" t="n">
        <v>42.04378890991211</v>
      </c>
      <c r="F1189" s="119" t="n">
        <v>22957900</v>
      </c>
      <c r="G1189" s="120" t="n">
        <v>-0.003523620089507684</v>
      </c>
      <c r="H1189" s="121" t="n">
        <v>26.88991097598517</v>
      </c>
      <c r="I1189" s="118" t="n">
        <v>46.60735504150391</v>
      </c>
      <c r="J1189" s="118" t="n">
        <v>60.98561298370361</v>
      </c>
      <c r="K1189" s="120" t="n">
        <v>0.2273591602648918</v>
      </c>
      <c r="L1189" s="120" t="n">
        <v>-0.3337250028095139</v>
      </c>
      <c r="M1189" s="120" t="n">
        <v>-0.4548522409096593</v>
      </c>
      <c r="N1189" t="n">
        <v>35.47797889143656</v>
      </c>
      <c r="O1189" t="n">
        <v>0.1378679161517005</v>
      </c>
      <c r="P1189" t="n">
        <v>174.4293225858295</v>
      </c>
      <c r="Q1189" t="n">
        <v>192.6543917688481</v>
      </c>
    </row>
    <row r="1190">
      <c r="A1190" s="117" t="n">
        <v>46162</v>
      </c>
      <c r="B1190" s="118" t="n">
        <v>41.83565231873069</v>
      </c>
      <c r="C1190" s="118" t="n">
        <v>43.88729385890787</v>
      </c>
      <c r="D1190" s="118" t="n">
        <v>41.45902513747319</v>
      </c>
      <c r="E1190" s="118" t="n">
        <v>43.79809188842773</v>
      </c>
      <c r="F1190" s="119" t="n">
        <v>27060200</v>
      </c>
      <c r="G1190" s="120" t="n">
        <v>0.04172561569735311</v>
      </c>
      <c r="H1190" s="121" t="n">
        <v>28.01190906750517</v>
      </c>
      <c r="I1190" s="118" t="n">
        <v>46.37166397094727</v>
      </c>
      <c r="J1190" s="118" t="n">
        <v>60.84049493789673</v>
      </c>
      <c r="K1190" s="120" t="n">
        <v>0.2759039405906344</v>
      </c>
      <c r="L1190" s="120" t="n">
        <v>-0.3044048255545376</v>
      </c>
      <c r="M1190" s="120" t="n">
        <v>-0.4321056150155825</v>
      </c>
      <c r="N1190" t="n">
        <v>48.5315963160628</v>
      </c>
      <c r="O1190" t="n">
        <v>0.2724495295472154</v>
      </c>
      <c r="P1190" t="n">
        <v>176.2170477680519</v>
      </c>
      <c r="Q1190" t="n">
        <v>195.845478144876</v>
      </c>
    </row>
    <row r="1191">
      <c r="A1191" s="117" t="n">
        <v>46163</v>
      </c>
      <c r="B1191" s="118" t="n">
        <v>43.50075315570505</v>
      </c>
      <c r="C1191" s="118" t="n">
        <v>44.34321704866178</v>
      </c>
      <c r="D1191" s="118" t="n">
        <v>42.77722774371587</v>
      </c>
      <c r="E1191" s="118" t="n">
        <v>43.99631881713867</v>
      </c>
      <c r="F1191" s="119" t="n">
        <v>18428100</v>
      </c>
      <c r="G1191" s="120" t="n">
        <v>0.004525926134314462</v>
      </c>
      <c r="H1191" s="121" t="n">
        <v>28.13868889882583</v>
      </c>
      <c r="I1191" s="118" t="n">
        <v>46.14747009277344</v>
      </c>
      <c r="J1191" s="118" t="n">
        <v>60.69850929260254</v>
      </c>
      <c r="K1191" s="120" t="n">
        <v>0.268010011712245</v>
      </c>
      <c r="L1191" s="120" t="n">
        <v>-0.3012566131756119</v>
      </c>
      <c r="M1191" s="120" t="n">
        <v>-0.4295353669770512</v>
      </c>
      <c r="N1191" t="n">
        <v>49.76823850894247</v>
      </c>
      <c r="O1191" t="n">
        <v>0.3684568691324661</v>
      </c>
      <c r="P1191" t="n">
        <v>176.5665016281991</v>
      </c>
      <c r="Q1191" t="n">
        <v>196.2189486663025</v>
      </c>
    </row>
    <row r="1192">
      <c r="A1192" s="117" t="n">
        <v>46164</v>
      </c>
      <c r="B1192" s="118" t="n">
        <v>44.16481295929489</v>
      </c>
      <c r="C1192" s="118" t="n">
        <v>44.32339381918479</v>
      </c>
      <c r="D1192" s="118" t="n">
        <v>43.81791472894041</v>
      </c>
      <c r="E1192" s="118" t="n">
        <v>44.27383422851562</v>
      </c>
      <c r="F1192" s="119" t="n">
        <v>14905100</v>
      </c>
      <c r="G1192" s="120" t="n">
        <v>0.006307696162726417</v>
      </c>
      <c r="H1192" s="121" t="n">
        <v>28.3161791988171</v>
      </c>
      <c r="I1192" s="118" t="n">
        <v>45.9599479675293</v>
      </c>
      <c r="J1192" s="118" t="n">
        <v>60.55255805969238</v>
      </c>
      <c r="K1192" s="120" t="n">
        <v>0.2689315780514377</v>
      </c>
      <c r="L1192" s="120" t="n">
        <v>-0.2768334180009793</v>
      </c>
      <c r="M1192" s="120" t="n">
        <v>-0.4259370494003611</v>
      </c>
      <c r="N1192" t="n">
        <v>51.52428778042379</v>
      </c>
      <c r="O1192" t="n">
        <v>0.4394739558111216</v>
      </c>
      <c r="P1192" t="n">
        <v>177.2606814946699</v>
      </c>
      <c r="Q1192" t="n">
        <v>197.0510477671257</v>
      </c>
    </row>
    <row r="1193">
      <c r="A1193" s="117" t="n">
        <v>46168</v>
      </c>
      <c r="B1193" s="118" t="n">
        <v>44.30356966277343</v>
      </c>
      <c r="C1193" s="118" t="n">
        <v>44.55135248663585</v>
      </c>
      <c r="D1193" s="118" t="n">
        <v>43.70888861698413</v>
      </c>
      <c r="E1193" s="118" t="n">
        <v>44.54143905639648</v>
      </c>
      <c r="F1193" s="119" t="n">
        <v>18667600</v>
      </c>
      <c r="G1193" s="120" t="n">
        <v>0.006044311104830946</v>
      </c>
      <c r="H1193" s="121" t="n">
        <v>28.4873309951949</v>
      </c>
      <c r="I1193" s="118" t="n">
        <v>45.78075141906739</v>
      </c>
      <c r="J1193" s="118" t="n">
        <v>60.41344396591187</v>
      </c>
      <c r="K1193" s="120" t="n">
        <v>0.2673301254964015</v>
      </c>
      <c r="L1193" s="120" t="n">
        <v>-0.2633994349074957</v>
      </c>
      <c r="M1193" s="120" t="n">
        <v>-0.4224672343331798</v>
      </c>
      <c r="N1193" t="n">
        <v>53.22248059362332</v>
      </c>
      <c r="O1193" t="n">
        <v>0.4894706827481834</v>
      </c>
      <c r="P1193" t="n">
        <v>178.4374515849574</v>
      </c>
      <c r="Q1193" t="n">
        <v>200.5497267265329</v>
      </c>
    </row>
    <row r="1194">
      <c r="A1194" s="117" t="n">
        <v>46169</v>
      </c>
      <c r="B1194" s="118" t="n">
        <v>45.30461013326204</v>
      </c>
      <c r="C1194" s="118" t="n">
        <v>46.17680672276838</v>
      </c>
      <c r="D1194" s="118" t="n">
        <v>45.26496397445134</v>
      </c>
      <c r="E1194" s="118" t="n">
        <v>45.57221603393555</v>
      </c>
      <c r="F1194" s="119" t="n">
        <v>24251900</v>
      </c>
      <c r="G1194" s="120" t="n">
        <v>0.02314197743440527</v>
      </c>
      <c r="H1194" s="121" t="n">
        <v>29.14658416625213</v>
      </c>
      <c r="I1194" s="118" t="n">
        <v>45.60611404418945</v>
      </c>
      <c r="J1194" s="118" t="n">
        <v>60.28026237487793</v>
      </c>
      <c r="K1194" s="120" t="n">
        <v>0.2794905649288146</v>
      </c>
      <c r="L1194" s="120" t="n">
        <v>-0.225795620640416</v>
      </c>
      <c r="M1194" s="120" t="n">
        <v>-0.4091019841024887</v>
      </c>
      <c r="N1194" t="n">
        <v>59.15760050920809</v>
      </c>
      <c r="O1194" t="n">
        <v>0.5712596053757176</v>
      </c>
      <c r="P1194" t="n">
        <v>178.406538694573</v>
      </c>
      <c r="Q1194" t="n">
        <v>200.3217883896924</v>
      </c>
    </row>
    <row r="1195">
      <c r="A1195" s="117" t="n">
        <v>46170</v>
      </c>
      <c r="B1195" s="118" t="n">
        <v>45.56230854048204</v>
      </c>
      <c r="C1195" s="118" t="n">
        <v>47.22740948065888</v>
      </c>
      <c r="D1195" s="118" t="n">
        <v>45.15594484560948</v>
      </c>
      <c r="E1195" s="118" t="n">
        <v>46.94989013671875</v>
      </c>
      <c r="F1195" s="119" t="n">
        <v>22871300</v>
      </c>
      <c r="G1195" s="120" t="n">
        <v>0.03023057078807212</v>
      </c>
      <c r="H1195" s="121" t="n">
        <v>30.02770204212052</v>
      </c>
      <c r="I1195" s="118" t="n">
        <v>45.45248870849609</v>
      </c>
      <c r="J1195" s="118" t="n">
        <v>60.15479652404785</v>
      </c>
      <c r="K1195" s="120" t="n">
        <v>0.2912763769976342</v>
      </c>
      <c r="L1195" s="120" t="n">
        <v>-0.1921896024709708</v>
      </c>
      <c r="M1195" s="120" t="n">
        <v>-0.3912387998043675</v>
      </c>
      <c r="N1195" t="n">
        <v>65.4646058094649</v>
      </c>
      <c r="O1195" t="n">
        <v>0.6895238977944833</v>
      </c>
      <c r="P1195" t="n">
        <v>179.3907323881979</v>
      </c>
      <c r="Q1195" t="n">
        <v>202.0106866231283</v>
      </c>
    </row>
    <row r="1196">
      <c r="A1196" s="117" t="n">
        <v>46171</v>
      </c>
      <c r="B1196" s="118" t="n">
        <v>46.69219630031297</v>
      </c>
      <c r="C1196" s="118" t="n">
        <v>46.78139826883871</v>
      </c>
      <c r="D1196" s="118" t="n">
        <v>45.67133226785857</v>
      </c>
      <c r="E1196" s="118" t="n">
        <v>45.81999969482422</v>
      </c>
      <c r="F1196" s="119" t="n">
        <v>38949100</v>
      </c>
      <c r="G1196" s="120" t="n">
        <v>-0.0240658804228141</v>
      </c>
      <c r="H1196" s="121" t="n">
        <v>29.30505895540296</v>
      </c>
      <c r="I1196" s="118" t="n">
        <v>45.30897285461426</v>
      </c>
      <c r="J1196" s="118" t="n">
        <v>60.01939868927002</v>
      </c>
      <c r="K1196" s="120" t="n">
        <v>0.3070388251103016</v>
      </c>
      <c r="L1196" s="120" t="n">
        <v>-0.2032058203987528</v>
      </c>
      <c r="M1196" s="120" t="n">
        <v>-0.4058891740543245</v>
      </c>
      <c r="N1196" t="n">
        <v>57.6074538743919</v>
      </c>
      <c r="O1196" t="n">
        <v>0.6628521601692312</v>
      </c>
      <c r="P1196" t="n">
        <v>179.8376673205641</v>
      </c>
      <c r="Q1196" t="n">
        <v>202.7549093200915</v>
      </c>
    </row>
    <row r="1197">
      <c r="A1197" s="117" t="n">
        <v>46174</v>
      </c>
      <c r="B1197" s="118" t="n">
        <v>45.52000045776367</v>
      </c>
      <c r="C1197" s="118" t="n">
        <v>46.27999877929688</v>
      </c>
      <c r="D1197" s="118" t="n">
        <v>45.04999923706055</v>
      </c>
      <c r="E1197" s="118" t="n">
        <v>45.93000030517578</v>
      </c>
      <c r="F1197" s="119" t="n">
        <v>26885100</v>
      </c>
      <c r="G1197" s="120" t="n">
        <v>0.002400711721610715</v>
      </c>
      <c r="H1197" s="121" t="n">
        <v>29.37541195393968</v>
      </c>
      <c r="I1197" s="118" t="n">
        <v>45.16825172424316</v>
      </c>
      <c r="J1197" s="118" t="n">
        <v>59.87335803985596</v>
      </c>
      <c r="K1197" s="120" t="n">
        <v>0.3069979832429061</v>
      </c>
      <c r="L1197" s="120" t="n">
        <v>-0.1871428640868988</v>
      </c>
      <c r="M1197" s="120" t="n">
        <v>-0.4044628852305409</v>
      </c>
      <c r="N1197" t="n">
        <v>58.13427197157698</v>
      </c>
      <c r="O1197" t="n">
        <v>0.6243516795377058</v>
      </c>
      <c r="P1197" t="n">
        <v>180.3273856932223</v>
      </c>
      <c r="Q1197" t="n">
        <v>203.971486565204</v>
      </c>
    </row>
    <row r="1198">
      <c r="A1198" s="117" t="n">
        <v>46175</v>
      </c>
      <c r="B1198" s="118" t="n">
        <v>45.77999877929688</v>
      </c>
      <c r="C1198" s="118" t="n">
        <v>45.77999877929688</v>
      </c>
      <c r="D1198" s="118" t="n">
        <v>43.5099983215332</v>
      </c>
      <c r="E1198" s="118" t="n">
        <v>43.72999954223633</v>
      </c>
      <c r="F1198" s="119" t="n">
        <v>28345000</v>
      </c>
      <c r="G1198" s="120" t="n">
        <v>-0.04789899299633882</v>
      </c>
      <c r="H1198" s="121" t="n">
        <v>27.96835930249336</v>
      </c>
      <c r="I1198" s="118" t="n">
        <v>45.00474082946777</v>
      </c>
      <c r="J1198" s="118" t="n">
        <v>59.72025918960571</v>
      </c>
      <c r="K1198" s="120" t="n">
        <v>0.3376967453202232</v>
      </c>
      <c r="L1198" s="120" t="n">
        <v>-0.2195064876264462</v>
      </c>
      <c r="M1198" s="120" t="n">
        <v>-0.4329885133199429</v>
      </c>
      <c r="N1198" t="n">
        <v>45.85951145387529</v>
      </c>
      <c r="O1198" t="n">
        <v>0.4316135159343523</v>
      </c>
      <c r="P1198" t="n">
        <v>180.5722594267939</v>
      </c>
      <c r="Q1198" t="n">
        <v>204.9106750701583</v>
      </c>
    </row>
    <row r="1199">
      <c r="A1199" s="117" t="n">
        <v>46176</v>
      </c>
      <c r="B1199" s="118" t="n">
        <v>43.65000152587891</v>
      </c>
      <c r="C1199" s="118" t="n">
        <v>43.9900016784668</v>
      </c>
      <c r="D1199" s="118" t="n">
        <v>43.15999984741211</v>
      </c>
      <c r="E1199" s="118" t="n">
        <v>43.81000137329102</v>
      </c>
      <c r="F1199" s="119" t="n">
        <v>18940500</v>
      </c>
      <c r="G1199" s="120" t="n">
        <v>0.001829449620218249</v>
      </c>
      <c r="H1199" s="121" t="n">
        <v>28.01952600679743</v>
      </c>
      <c r="I1199" s="118" t="n">
        <v>44.83609024047851</v>
      </c>
      <c r="J1199" s="118" t="n">
        <v>59.56473777770996</v>
      </c>
      <c r="K1199" s="120" t="n">
        <v>0.3376078373064731</v>
      </c>
      <c r="L1199" s="120" t="n">
        <v>-0.2118043132852555</v>
      </c>
      <c r="M1199" s="120" t="n">
        <v>-0.4319511943709767</v>
      </c>
      <c r="N1199" t="n">
        <v>46.30351701524113</v>
      </c>
      <c r="O1199" t="n">
        <v>0.2968265182832061</v>
      </c>
      <c r="P1199" t="n">
        <v>179.3051509603715</v>
      </c>
      <c r="Q1199" t="n">
        <v>204.3751777097644</v>
      </c>
    </row>
    <row r="1200">
      <c r="A1200" s="117" t="n">
        <v>46177</v>
      </c>
      <c r="B1200" s="118" t="n">
        <v>44.5</v>
      </c>
      <c r="C1200" s="118" t="n">
        <v>44.70000076293945</v>
      </c>
      <c r="D1200" s="118" t="n">
        <v>43.13000106811523</v>
      </c>
      <c r="E1200" s="118" t="n">
        <v>43.61999893188477</v>
      </c>
      <c r="F1200" s="119" t="n">
        <v>17350900</v>
      </c>
      <c r="G1200" s="120" t="n">
        <v>-0.004336964972616597</v>
      </c>
      <c r="H1200" s="121" t="n">
        <v>27.89800630395663</v>
      </c>
      <c r="I1200" s="118" t="n">
        <v>44.64817794799805</v>
      </c>
      <c r="J1200" s="118" t="n">
        <v>59.40602781295777</v>
      </c>
      <c r="K1200" s="120" t="n">
        <v>0.3316664610916994</v>
      </c>
      <c r="L1200" s="120" t="n">
        <v>-0.2098686940403576</v>
      </c>
      <c r="M1200" s="120" t="n">
        <v>-0.4344148021437265</v>
      </c>
      <c r="N1200" t="n">
        <v>45.35223588951767</v>
      </c>
      <c r="O1200" t="n">
        <v>0.1875203763258257</v>
      </c>
      <c r="P1200" t="n">
        <v>179.9826887813836</v>
      </c>
      <c r="Q1200" t="n">
        <v>203.3865388014924</v>
      </c>
    </row>
    <row r="1201">
      <c r="A1201" s="117" t="n">
        <v>46178</v>
      </c>
      <c r="B1201" s="118" t="n">
        <v>43.29999923706055</v>
      </c>
      <c r="C1201" s="118" t="n">
        <v>43.7400016784668</v>
      </c>
      <c r="D1201" s="118" t="n">
        <v>42.79000091552734</v>
      </c>
      <c r="E1201" s="118" t="n">
        <v>42.97999954223633</v>
      </c>
      <c r="F1201" s="119" t="n">
        <v>18406500</v>
      </c>
      <c r="G1201" s="120" t="n">
        <v>-0.01467215509674435</v>
      </c>
      <c r="H1201" s="121" t="n">
        <v>27.48868242857504</v>
      </c>
      <c r="I1201" s="118" t="n">
        <v>44.45757522583008</v>
      </c>
      <c r="J1201" s="118" t="n">
        <v>59.24679439544678</v>
      </c>
      <c r="K1201" s="120" t="n">
        <v>0.3327185729987004</v>
      </c>
      <c r="L1201" s="120" t="n">
        <v>-0.2132694607935212</v>
      </c>
      <c r="M1201" s="120" t="n">
        <v>-0.4427131558870967</v>
      </c>
      <c r="N1201" t="n">
        <v>42.20678954535826</v>
      </c>
      <c r="O1201" t="n">
        <v>0.07076999882132567</v>
      </c>
      <c r="P1201" t="n">
        <v>175.3374487482451</v>
      </c>
      <c r="Q1201" t="n">
        <v>193.6237841170232</v>
      </c>
    </row>
    <row r="1202">
      <c r="A1202" s="117" t="n">
        <v>46181</v>
      </c>
      <c r="B1202" s="118" t="n">
        <v>43.06000137329102</v>
      </c>
      <c r="C1202" s="118" t="n">
        <v>43.86000061035156</v>
      </c>
      <c r="D1202" s="118" t="n">
        <v>42.65000152587891</v>
      </c>
      <c r="E1202" s="118" t="n">
        <v>43.22999954223633</v>
      </c>
      <c r="F1202" s="119" t="n">
        <v>18192000</v>
      </c>
      <c r="G1202" s="120" t="n">
        <v>0.005816658973072375</v>
      </c>
      <c r="H1202" s="121" t="n">
        <v>27.64857471988114</v>
      </c>
      <c r="I1202" s="118" t="n">
        <v>44.29001106262207</v>
      </c>
      <c r="J1202" s="118" t="n">
        <v>59.09182821273804</v>
      </c>
      <c r="K1202" s="120" t="n">
        <v>0.3329800708711974</v>
      </c>
      <c r="L1202" s="120" t="n">
        <v>-0.2086933175432557</v>
      </c>
      <c r="M1202" s="120" t="n">
        <v>-0.4394716083647121</v>
      </c>
      <c r="N1202" t="n">
        <v>43.84517391896743</v>
      </c>
      <c r="O1202" t="n">
        <v>0.0121103491082232</v>
      </c>
      <c r="P1202" t="n">
        <v>175.7344429969927</v>
      </c>
      <c r="Q1202" t="n">
        <v>196.6473566225654</v>
      </c>
    </row>
    <row r="1203">
      <c r="A1203" s="117" t="n">
        <v>46182</v>
      </c>
      <c r="B1203" s="118" t="n">
        <v>43.52000045776367</v>
      </c>
      <c r="C1203" s="118" t="n">
        <v>45.27999877929688</v>
      </c>
      <c r="D1203" s="118" t="n">
        <v>43.27000045776367</v>
      </c>
      <c r="E1203" s="118" t="n">
        <v>44.65000152587891</v>
      </c>
      <c r="F1203" s="119" t="n">
        <v>21505800</v>
      </c>
      <c r="G1203" s="120" t="n">
        <v>0.03284760579872814</v>
      </c>
      <c r="H1203" s="121" t="n">
        <v>28.55676420317648</v>
      </c>
      <c r="I1203" s="118" t="n">
        <v>44.16472282409668</v>
      </c>
      <c r="J1203" s="118" t="n">
        <v>58.94435132980347</v>
      </c>
      <c r="K1203" s="120" t="n">
        <v>0.3187399900034574</v>
      </c>
      <c r="L1203" s="120" t="n">
        <v>-0.1827007875720172</v>
      </c>
      <c r="M1203" s="120" t="n">
        <v>-0.421059592717281</v>
      </c>
      <c r="N1203" t="n">
        <v>52.14387517708325</v>
      </c>
      <c r="O1203" t="n">
        <v>0.06757506926162207</v>
      </c>
      <c r="P1203" t="n">
        <v>175.2185832295013</v>
      </c>
      <c r="Q1203" t="n">
        <v>194.3844846884548</v>
      </c>
    </row>
    <row r="1204">
      <c r="A1204" s="117" t="n">
        <v>46183</v>
      </c>
      <c r="B1204" s="118" t="n">
        <v>43.77000045776367</v>
      </c>
      <c r="C1204" s="118" t="n">
        <v>44.58000183105469</v>
      </c>
      <c r="D1204" s="118" t="n">
        <v>43.31000137329102</v>
      </c>
      <c r="E1204" s="118" t="n">
        <v>43.95999908447266</v>
      </c>
      <c r="F1204" s="119" t="n">
        <v>15335600</v>
      </c>
      <c r="G1204" s="120" t="n">
        <v>-0.01545358158624766</v>
      </c>
      <c r="H1204" s="121" t="n">
        <v>28.11545991772345</v>
      </c>
      <c r="I1204" s="118" t="n">
        <v>44.02821144104004</v>
      </c>
      <c r="J1204" s="118" t="n">
        <v>58.78271821975708</v>
      </c>
      <c r="K1204" s="120" t="n">
        <v>0.3253579987151739</v>
      </c>
      <c r="L1204" s="120" t="n">
        <v>-0.1953309876316491</v>
      </c>
      <c r="M1204" s="120" t="n">
        <v>-0.4300062955348</v>
      </c>
      <c r="N1204" t="n">
        <v>48.40085284535649</v>
      </c>
      <c r="O1204" t="n">
        <v>0.05685361090590402</v>
      </c>
      <c r="P1204" t="n">
        <v>172.4561637030286</v>
      </c>
      <c r="Q1204" t="n">
        <v>190.5013611445842</v>
      </c>
    </row>
    <row r="1205">
      <c r="A1205" s="117" t="n">
        <v>46184</v>
      </c>
      <c r="B1205" s="118" t="n">
        <v>44.52000045776367</v>
      </c>
      <c r="C1205" s="118" t="n">
        <v>45.97999954223633</v>
      </c>
      <c r="D1205" s="118" t="n">
        <v>44.22000122070312</v>
      </c>
      <c r="E1205" s="118" t="n">
        <v>45.95999908447266</v>
      </c>
      <c r="F1205" s="119" t="n">
        <v>16647500</v>
      </c>
      <c r="G1205" s="120" t="n">
        <v>0.04549590631603162</v>
      </c>
      <c r="H1205" s="121" t="n">
        <v>29.39459824817234</v>
      </c>
      <c r="I1205" s="118" t="n">
        <v>43.90038032531739</v>
      </c>
      <c r="J1205" s="118" t="n">
        <v>58.62724061965942</v>
      </c>
      <c r="K1205" s="120" t="n">
        <v>0.3589904956904924</v>
      </c>
      <c r="L1205" s="120" t="n">
        <v>-0.1330855949444967</v>
      </c>
      <c r="M1205" s="120" t="n">
        <v>-0.4040739153557235</v>
      </c>
      <c r="N1205" t="n">
        <v>57.84623504508876</v>
      </c>
      <c r="O1205" t="n">
        <v>0.1767500652582102</v>
      </c>
      <c r="P1205" t="n">
        <v>175.3873748846211</v>
      </c>
      <c r="Q1205" t="n">
        <v>196.9357026458477</v>
      </c>
    </row>
    <row r="1206">
      <c r="A1206" s="117" t="n">
        <v>46185</v>
      </c>
      <c r="B1206" s="118" t="n">
        <v>46.29000091552734</v>
      </c>
      <c r="C1206" s="118" t="n">
        <v>46.31000137329102</v>
      </c>
      <c r="D1206" s="118" t="n">
        <v>44.84999847412109</v>
      </c>
      <c r="E1206" s="118" t="n">
        <v>44.93000030517578</v>
      </c>
      <c r="F1206" s="119" t="n">
        <v>16524300</v>
      </c>
      <c r="G1206" s="120" t="n">
        <v>-0.02241076587934165</v>
      </c>
      <c r="H1206" s="121" t="n">
        <v>28.73584278871524</v>
      </c>
      <c r="I1206" s="118" t="n">
        <v>43.91429649353027</v>
      </c>
      <c r="J1206" s="118" t="n">
        <v>58.46914361953736</v>
      </c>
      <c r="K1206" s="120" t="n">
        <v>0.3694898942412993</v>
      </c>
      <c r="L1206" s="120" t="n">
        <v>-0.1525138107136242</v>
      </c>
      <c r="M1206" s="120" t="n">
        <v>-0.4174290753200791</v>
      </c>
      <c r="N1206" t="n">
        <v>52.51473309174283</v>
      </c>
      <c r="O1206" t="n">
        <v>0.1784598339331002</v>
      </c>
      <c r="P1206" t="n">
        <v>176.3359132867956</v>
      </c>
      <c r="Q1206" t="n">
        <v>198.0946073303212</v>
      </c>
    </row>
    <row r="1207">
      <c r="A1207" s="117" t="n">
        <v>46188</v>
      </c>
      <c r="B1207" s="118" t="n">
        <v>45.36000061035156</v>
      </c>
      <c r="C1207" s="118" t="n">
        <v>46.09000015258789</v>
      </c>
      <c r="D1207" s="118" t="n">
        <v>45.09000015258789</v>
      </c>
      <c r="E1207" s="118" t="n">
        <v>45.20000076293945</v>
      </c>
      <c r="F1207" s="119" t="n">
        <v>14345100</v>
      </c>
      <c r="G1207" s="120" t="n">
        <v>0.006009358022029065</v>
      </c>
      <c r="H1207" s="121" t="n">
        <v>28.90852675609737</v>
      </c>
      <c r="I1207" s="118" t="n">
        <v>43.94233467102051</v>
      </c>
      <c r="J1207" s="118" t="n">
        <v>58.31526779174805</v>
      </c>
      <c r="K1207" s="120" t="n">
        <v>0.3684986838874175</v>
      </c>
      <c r="L1207" s="120" t="n">
        <v>-0.1474209627834773</v>
      </c>
      <c r="M1207" s="120" t="n">
        <v>-0.413928198060453</v>
      </c>
      <c r="N1207" t="n">
        <v>53.7189106286448</v>
      </c>
      <c r="O1207" t="n">
        <v>0.188559016996484</v>
      </c>
      <c r="P1207" t="n">
        <v>179.4454154728824</v>
      </c>
      <c r="Q1207" t="n">
        <v>204.3175051491255</v>
      </c>
    </row>
    <row r="1208">
      <c r="A1208" s="117" t="n">
        <v>46189</v>
      </c>
      <c r="B1208" s="118" t="n">
        <v>45.5099983215332</v>
      </c>
      <c r="C1208" s="118" t="n">
        <v>46.09999847412109</v>
      </c>
      <c r="D1208" s="118" t="n">
        <v>45</v>
      </c>
      <c r="E1208" s="118" t="n">
        <v>45.04000091552734</v>
      </c>
      <c r="F1208" s="119" t="n">
        <v>19591400</v>
      </c>
      <c r="G1208" s="120" t="n">
        <v>-0.003539819573261993</v>
      </c>
      <c r="H1208" s="121" t="n">
        <v>28.80619578725198</v>
      </c>
      <c r="I1208" s="118" t="n">
        <v>43.97034446716309</v>
      </c>
      <c r="J1208" s="118" t="n">
        <v>58.16127326965332</v>
      </c>
      <c r="K1208" s="120" t="n">
        <v>0.3667339219281548</v>
      </c>
      <c r="L1208" s="120" t="n">
        <v>-0.1504389387471691</v>
      </c>
      <c r="M1208" s="120" t="n">
        <v>-0.4160027864962955</v>
      </c>
      <c r="N1208" t="n">
        <v>52.86339792187056</v>
      </c>
      <c r="O1208" t="n">
        <v>0.1755157275458075</v>
      </c>
      <c r="P1208" t="n">
        <v>178.3756403514312</v>
      </c>
      <c r="Q1208" t="n">
        <v>200.4343648253419</v>
      </c>
    </row>
    <row r="1209">
      <c r="A1209" s="117" t="n">
        <v>46190</v>
      </c>
      <c r="B1209" s="118" t="n">
        <v>44.90000152587891</v>
      </c>
      <c r="C1209" s="118" t="n">
        <v>45.84999847412109</v>
      </c>
      <c r="D1209" s="118" t="n">
        <v>44.15999984741211</v>
      </c>
      <c r="E1209" s="118" t="n">
        <v>44.18999862670898</v>
      </c>
      <c r="F1209" s="119" t="n">
        <v>20859700</v>
      </c>
      <c r="G1209" s="120" t="n">
        <v>-0.01887216411057679</v>
      </c>
      <c r="H1209" s="121" t="n">
        <v>28.26256053295355</v>
      </c>
      <c r="I1209" s="118" t="n">
        <v>44.0079165649414</v>
      </c>
      <c r="J1209" s="118" t="n">
        <v>58.00570528030396</v>
      </c>
      <c r="K1209" s="120" t="n">
        <v>0.3746081928620388</v>
      </c>
      <c r="L1209" s="120" t="n">
        <v>-0.1664719945170884</v>
      </c>
      <c r="M1209" s="120" t="n">
        <v>-0.4270240777496569</v>
      </c>
      <c r="N1209" t="n">
        <v>48.44902034252127</v>
      </c>
      <c r="O1209" t="n">
        <v>0.1042165557682438</v>
      </c>
      <c r="P1209" t="n">
        <v>176.1481083856841</v>
      </c>
      <c r="Q1209" t="n">
        <v>198.4159091025401</v>
      </c>
    </row>
    <row r="1210">
      <c r="A1210" s="117" t="n">
        <v>46191</v>
      </c>
      <c r="B1210" s="118" t="n">
        <v>44.40999984741211</v>
      </c>
      <c r="C1210" s="118" t="n">
        <v>45.70999908447266</v>
      </c>
      <c r="D1210" s="118" t="n">
        <v>44.2400016784668</v>
      </c>
      <c r="E1210" s="118" t="n">
        <v>45.20000076293945</v>
      </c>
      <c r="F1210" s="119" t="n">
        <v>32320300</v>
      </c>
      <c r="G1210" s="120" t="n">
        <v>0.02285589879199512</v>
      </c>
      <c r="H1210" s="121" t="n">
        <v>28.90852675609737</v>
      </c>
      <c r="I1210" s="118" t="n">
        <v>44.05696670532227</v>
      </c>
      <c r="J1210" s="118" t="n">
        <v>57.86829723358154</v>
      </c>
      <c r="K1210" s="120" t="n">
        <v>0.3539941513379612</v>
      </c>
      <c r="L1210" s="120" t="n">
        <v>-0.1392137879119523</v>
      </c>
      <c r="M1210" s="120" t="n">
        <v>-0.413928198060453</v>
      </c>
      <c r="N1210" t="n">
        <v>53.42578212584377</v>
      </c>
      <c r="O1210" t="n">
        <v>0.1186049524387477</v>
      </c>
      <c r="P1210" t="n">
        <v>177.9795189372355</v>
      </c>
      <c r="Q1210" t="n">
        <v>203.3892907072081</v>
      </c>
    </row>
    <row r="1211">
      <c r="A1211" s="117" t="n">
        <v>46195</v>
      </c>
      <c r="B1211" s="118" t="n">
        <v>44.61999893188477</v>
      </c>
      <c r="C1211" s="118" t="n">
        <v>44.90999984741211</v>
      </c>
      <c r="D1211" s="118" t="n">
        <v>43.13999938964844</v>
      </c>
      <c r="E1211" s="118" t="n">
        <v>43.18999862670898</v>
      </c>
      <c r="F1211" s="119" t="n">
        <v>25864500</v>
      </c>
      <c r="G1211" s="120" t="n">
        <v>-0.04446907305980663</v>
      </c>
      <c r="H1211" s="121" t="n">
        <v>27.62299136772911</v>
      </c>
      <c r="I1211" s="118" t="n">
        <v>44.04857109069824</v>
      </c>
      <c r="J1211" s="118" t="n">
        <v>57.71863786697388</v>
      </c>
      <c r="K1211" s="120" t="n">
        <v>0.3899129840423862</v>
      </c>
      <c r="L1211" s="120" t="n">
        <v>-0.1750006521590546</v>
      </c>
      <c r="M1211" s="120" t="n">
        <v>-0.4399902678391951</v>
      </c>
      <c r="N1211" t="n">
        <v>44.26680423797817</v>
      </c>
      <c r="O1211" t="n">
        <v>-0.007053548626473186</v>
      </c>
      <c r="P1211" t="n">
        <v>177.4194210051988</v>
      </c>
      <c r="Q1211" t="n">
        <v>202.8787618572102</v>
      </c>
    </row>
    <row r="1212">
      <c r="A1212" s="117" t="n">
        <v>46196</v>
      </c>
      <c r="B1212" s="118" t="n">
        <v>42.38999938964844</v>
      </c>
      <c r="C1212" s="118" t="n">
        <v>43.18999862670898</v>
      </c>
      <c r="D1212" s="118" t="n">
        <v>42.31999969482422</v>
      </c>
      <c r="E1212" s="118" t="n">
        <v>42.38000106811523</v>
      </c>
      <c r="F1212" s="119" t="n">
        <v>31517900</v>
      </c>
      <c r="G1212" s="120" t="n">
        <v>-0.01875428535190649</v>
      </c>
      <c r="H1212" s="121" t="n">
        <v>27.10494190534546</v>
      </c>
      <c r="I1212" s="118" t="n">
        <v>44.05133079528809</v>
      </c>
      <c r="J1212" s="118" t="n">
        <v>57.56194454193115</v>
      </c>
      <c r="K1212" s="120" t="n">
        <v>0.3941185209654298</v>
      </c>
      <c r="L1212" s="120" t="n">
        <v>-0.1904729253436005</v>
      </c>
      <c r="M1212" s="120" t="n">
        <v>-0.4504928501559836</v>
      </c>
      <c r="N1212" t="n">
        <v>41.20145113765503</v>
      </c>
      <c r="O1212" t="n">
        <v>-0.1373059405871118</v>
      </c>
      <c r="P1212" t="n">
        <v>174.8429443327933</v>
      </c>
      <c r="Q1212" t="n">
        <v>196.1981583542189</v>
      </c>
    </row>
    <row r="1213">
      <c r="A1213" s="117" t="n">
        <v>46197</v>
      </c>
      <c r="B1213" s="118" t="n">
        <v>42.04000091552734</v>
      </c>
      <c r="C1213" s="118" t="n">
        <v>42.33000183105469</v>
      </c>
      <c r="D1213" s="118" t="n">
        <v>41.31000137329102</v>
      </c>
      <c r="E1213" s="118" t="n">
        <v>41.81999969482422</v>
      </c>
      <c r="F1213" s="119" t="n">
        <v>34384300</v>
      </c>
      <c r="G1213" s="120" t="n">
        <v>-0.01321381215613826</v>
      </c>
      <c r="H1213" s="121" t="n">
        <v>26.74678229450519</v>
      </c>
      <c r="I1213" s="118" t="n">
        <v>44.0371418762207</v>
      </c>
      <c r="J1213" s="118" t="n">
        <v>57.40949531555176</v>
      </c>
      <c r="K1213" s="120" t="n">
        <v>0.3949040218428719</v>
      </c>
      <c r="L1213" s="120" t="n">
        <v>-0.2011698640434183</v>
      </c>
      <c r="M1213" s="120" t="n">
        <v>-0.4577539344124775</v>
      </c>
      <c r="N1213" t="n">
        <v>39.1813558108102</v>
      </c>
      <c r="O1213" t="n">
        <v>-0.2473425282220262</v>
      </c>
      <c r="P1213" t="n">
        <v>174.7619016446374</v>
      </c>
      <c r="Q1213" t="n">
        <v>195.3651363581861</v>
      </c>
    </row>
    <row r="1214">
      <c r="A1214" s="117" t="n">
        <v>46198</v>
      </c>
      <c r="B1214" s="118" t="n">
        <v>41.79999923706055</v>
      </c>
      <c r="C1214" s="118" t="n">
        <v>41.86000061035156</v>
      </c>
      <c r="D1214" s="118" t="n">
        <v>40.43999862670898</v>
      </c>
      <c r="E1214" s="118" t="n">
        <v>40.90000152587891</v>
      </c>
      <c r="F1214" s="119" t="n">
        <v>29228300</v>
      </c>
      <c r="G1214" s="120" t="n">
        <v>-0.02199899989619503</v>
      </c>
      <c r="H1214" s="121" t="n">
        <v>26.15837983358482</v>
      </c>
      <c r="I1214" s="118" t="n">
        <v>43.97898178100586</v>
      </c>
      <c r="J1214" s="118" t="n">
        <v>57.2512720489502</v>
      </c>
      <c r="K1214" s="120" t="n">
        <v>0.3879398644900582</v>
      </c>
      <c r="L1214" s="120" t="n">
        <v>-0.2187433281214045</v>
      </c>
      <c r="M1214" s="120" t="n">
        <v>-0.4696828055530495</v>
      </c>
      <c r="N1214" t="n">
        <v>36.05388029518526</v>
      </c>
      <c r="O1214" t="n">
        <v>-0.3613503524265514</v>
      </c>
      <c r="P1214" t="n">
        <v>175.0145436057221</v>
      </c>
      <c r="Q1214" t="n">
        <v>196.9486902984327</v>
      </c>
    </row>
    <row r="1215">
      <c r="A1215" s="117" t="n">
        <v>46199</v>
      </c>
      <c r="B1215" s="118" t="n">
        <v>40.06999969482422</v>
      </c>
      <c r="C1215" s="118" t="n">
        <v>41.47000122070312</v>
      </c>
      <c r="D1215" s="118" t="n">
        <v>40</v>
      </c>
      <c r="E1215" s="118" t="n">
        <v>40.75</v>
      </c>
      <c r="F1215" s="119" t="n">
        <v>33970700</v>
      </c>
      <c r="G1215" s="120" t="n">
        <v>-0.003667518833318284</v>
      </c>
      <c r="H1215" s="121" t="n">
        <v>26.06244348289605</v>
      </c>
      <c r="I1215" s="118" t="n">
        <v>43.89324165344238</v>
      </c>
      <c r="J1215" s="118" t="n">
        <v>57.09498928070068</v>
      </c>
      <c r="K1215" s="120" t="n">
        <v>0.3649627365379614</v>
      </c>
      <c r="L1215" s="120" t="n">
        <v>-0.1320533470614005</v>
      </c>
      <c r="M1215" s="120" t="n">
        <v>-0.4716277538513162</v>
      </c>
      <c r="N1215" t="n">
        <v>35.55555230110652</v>
      </c>
      <c r="O1215" t="n">
        <v>-0.4219078147886958</v>
      </c>
      <c r="P1215" t="n">
        <v>173.7489480525232</v>
      </c>
      <c r="Q1215" t="n">
        <v>194.2379624890076</v>
      </c>
    </row>
    <row r="1216">
      <c r="A1216" s="117" t="n">
        <v>46202</v>
      </c>
      <c r="B1216" s="118" t="n">
        <v>41.13999938964844</v>
      </c>
      <c r="C1216" s="118" t="n">
        <v>41.68999862670898</v>
      </c>
      <c r="D1216" s="118" t="n">
        <v>40.77000045776367</v>
      </c>
      <c r="E1216" s="118" t="n">
        <v>41.47999954223633</v>
      </c>
      <c r="F1216" s="119" t="n">
        <v>27824700</v>
      </c>
      <c r="G1216" s="120" t="n">
        <v>0.01791409919598341</v>
      </c>
      <c r="H1216" s="121" t="n">
        <v>26.52932868073836</v>
      </c>
      <c r="I1216" s="118" t="n">
        <v>43.81694763183594</v>
      </c>
      <c r="J1216" s="118" t="n">
        <v>56.93917684555053</v>
      </c>
      <c r="K1216" s="120" t="n">
        <v>0.3690279878089808</v>
      </c>
      <c r="L1216" s="120" t="n">
        <v>-0.1165048646238367</v>
      </c>
      <c r="M1216" s="120" t="n">
        <v>-0.462162441021404</v>
      </c>
      <c r="N1216" t="n">
        <v>39.9085417063426</v>
      </c>
      <c r="O1216" t="n">
        <v>-0.3886678780328847</v>
      </c>
      <c r="P1216" t="n">
        <v>176.611438060386</v>
      </c>
      <c r="Q1216" t="n">
        <v>199.0655937702219</v>
      </c>
    </row>
    <row r="1217">
      <c r="A1217" s="117" t="n">
        <v>46203</v>
      </c>
      <c r="B1217" s="118" t="n">
        <v>41.38000106811523</v>
      </c>
      <c r="C1217" s="118" t="n">
        <v>41.63999938964844</v>
      </c>
      <c r="D1217" s="118" t="n">
        <v>40.88999938964844</v>
      </c>
      <c r="E1217" s="118" t="n">
        <v>41.04999923706055</v>
      </c>
      <c r="F1217" s="119" t="n">
        <v>73891500</v>
      </c>
      <c r="G1217" s="120" t="n">
        <v>-0.01036644913021134</v>
      </c>
      <c r="H1217" s="121" t="n">
        <v>26.25431374451083</v>
      </c>
      <c r="I1217" s="118" t="n">
        <v>43.72551216125488</v>
      </c>
      <c r="J1217" s="118" t="n">
        <v>56.780823097229</v>
      </c>
      <c r="K1217" s="120" t="n">
        <v>0.3685494367395607</v>
      </c>
      <c r="L1217" s="120" t="n">
        <v>-0.1256635720015029</v>
      </c>
      <c r="M1217" s="120" t="n">
        <v>-0.4677379067168727</v>
      </c>
      <c r="N1217" t="n">
        <v>38.26879143852521</v>
      </c>
      <c r="O1217" t="n">
        <v>-0.3715226686558887</v>
      </c>
      <c r="P1217" t="n">
        <v>177.9866761805622</v>
      </c>
      <c r="Q1217" t="n">
        <v>202.4526359691019</v>
      </c>
    </row>
    <row r="1218">
      <c r="A1218" s="117" t="n">
        <v>46204</v>
      </c>
      <c r="B1218" s="118" t="n">
        <v>41.40000152587891</v>
      </c>
      <c r="C1218" s="118" t="n">
        <v>43.27999877929688</v>
      </c>
      <c r="D1218" s="118" t="n">
        <v>40.11000061035156</v>
      </c>
      <c r="E1218" s="118" t="n">
        <v>43.06000137329102</v>
      </c>
      <c r="F1218" s="119" t="n">
        <v>80185700</v>
      </c>
      <c r="G1218" s="120" t="n">
        <v>0.04896473017265768</v>
      </c>
      <c r="H1218" s="121" t="n">
        <v>27.5398491328791</v>
      </c>
      <c r="I1218" s="118" t="n">
        <v>43.66535652160645</v>
      </c>
      <c r="J1218" s="118" t="n">
        <v>56.63902540206909</v>
      </c>
      <c r="K1218" s="120" t="n">
        <v>0.3804044199447739</v>
      </c>
      <c r="L1218" s="120" t="n">
        <v>-0.08285192472443115</v>
      </c>
      <c r="M1218" s="120" t="n">
        <v>-0.4416758369381304</v>
      </c>
      <c r="N1218" t="n">
        <v>48.84868086241617</v>
      </c>
      <c r="O1218" t="n">
        <v>-0.2088020719667868</v>
      </c>
      <c r="P1218" t="n">
        <v>177.7459484111127</v>
      </c>
      <c r="Q1218" t="n">
        <v>199.3652494547991</v>
      </c>
    </row>
    <row r="1219">
      <c r="A1219" s="117" t="n">
        <v>46205</v>
      </c>
      <c r="B1219" s="118" t="n">
        <v>44.11000061035156</v>
      </c>
      <c r="C1219" s="118" t="n">
        <v>45.04000091552734</v>
      </c>
      <c r="D1219" s="118" t="n">
        <v>43.59999847412109</v>
      </c>
      <c r="E1219" s="118" t="n">
        <v>44.09000015258789</v>
      </c>
      <c r="F1219" s="119" t="n">
        <v>34233400</v>
      </c>
      <c r="G1219" s="120" t="n">
        <v>0.02392008236060472</v>
      </c>
      <c r="H1219" s="121" t="n">
        <v>28.1986045923362</v>
      </c>
      <c r="I1219" s="118" t="n">
        <v>43.62758491516113</v>
      </c>
      <c r="J1219" s="118" t="n">
        <v>56.50223091125488</v>
      </c>
      <c r="K1219" s="120" t="n">
        <v>0.3901562920946302</v>
      </c>
      <c r="L1219" s="120" t="n">
        <v>-0.06091366722696956</v>
      </c>
      <c r="M1219" s="120" t="n">
        <v>-0.4283206769737748</v>
      </c>
      <c r="N1219" t="n">
        <v>53.26855994024869</v>
      </c>
      <c r="O1219" t="n">
        <v>-0.02543334795048513</v>
      </c>
      <c r="P1219" t="n">
        <v>177.5123778849899</v>
      </c>
      <c r="Q1219" t="n">
        <v>195.9094767326786</v>
      </c>
    </row>
    <row r="1220">
      <c r="A1220" s="117" t="n">
        <v>46209</v>
      </c>
      <c r="B1220" s="118" t="n">
        <v>43.90000152587891</v>
      </c>
      <c r="C1220" s="118" t="n">
        <v>44.11000061035156</v>
      </c>
      <c r="D1220" s="118" t="n">
        <v>41.84000015258789</v>
      </c>
      <c r="E1220" s="118" t="n">
        <v>43.34000015258789</v>
      </c>
      <c r="F1220" s="119" t="n">
        <v>21979100</v>
      </c>
      <c r="G1220" s="120" t="n">
        <v>-0.01701065995473761</v>
      </c>
      <c r="H1220" s="121" t="n">
        <v>27.71892771841786</v>
      </c>
      <c r="I1220" s="118" t="n">
        <v>43.58888732910156</v>
      </c>
      <c r="J1220" s="118" t="n">
        <v>56.36305612564087</v>
      </c>
      <c r="K1220" s="120" t="n">
        <v>0.3948501900946272</v>
      </c>
      <c r="L1220" s="120" t="n">
        <v>-0.07688814550191314</v>
      </c>
      <c r="M1220" s="120" t="n">
        <v>-0.4380453195409285</v>
      </c>
      <c r="N1220" t="n">
        <v>49.88821695136724</v>
      </c>
      <c r="O1220" t="n">
        <v>0.04772733479000291</v>
      </c>
      <c r="P1220" t="n">
        <v>179.0616010258704</v>
      </c>
      <c r="Q1220" t="n">
        <v>198.7191892483038</v>
      </c>
    </row>
    <row r="1221">
      <c r="A1221" s="117" t="n">
        <v>46210</v>
      </c>
      <c r="B1221" s="118" t="n">
        <v>43.72000122070312</v>
      </c>
      <c r="C1221" s="118" t="n">
        <v>44.04000091552734</v>
      </c>
      <c r="D1221" s="118" t="n">
        <v>42.88000106811523</v>
      </c>
      <c r="E1221" s="118" t="n">
        <v>43.20999908447266</v>
      </c>
      <c r="F1221" s="119" t="n">
        <v>17784900</v>
      </c>
      <c r="G1221" s="120" t="n">
        <v>-0.002999563166994457</v>
      </c>
      <c r="H1221" s="121" t="n">
        <v>27.63578304380511</v>
      </c>
      <c r="I1221" s="118" t="n">
        <v>43.56543014526367</v>
      </c>
      <c r="J1221" s="118" t="n">
        <v>56.22538370132446</v>
      </c>
      <c r="K1221" s="120" t="n">
        <v>0.3912669530825706</v>
      </c>
      <c r="L1221" s="120" t="n">
        <v>-0.07965707781968168</v>
      </c>
      <c r="M1221" s="120" t="n">
        <v>-0.4397309381019536</v>
      </c>
      <c r="N1221" t="n">
        <v>49.30417525825029</v>
      </c>
      <c r="O1221" t="n">
        <v>0.08743465161393188</v>
      </c>
      <c r="P1221" t="n">
        <v>178.2107182628254</v>
      </c>
      <c r="Q1221" t="n">
        <v>195.037978396365</v>
      </c>
    </row>
    <row r="1222">
      <c r="A1222" s="117" t="n">
        <v>46211</v>
      </c>
      <c r="B1222" s="118" t="n">
        <v>42.70000076293945</v>
      </c>
      <c r="C1222" s="118" t="n">
        <v>43.2599983215332</v>
      </c>
      <c r="D1222" s="118" t="n">
        <v>42.06999969482422</v>
      </c>
      <c r="E1222" s="118" t="n">
        <v>42.88999938964844</v>
      </c>
      <c r="F1222" s="119" t="n">
        <v>21101500</v>
      </c>
      <c r="G1222" s="120" t="n">
        <v>-0.007405686220882335</v>
      </c>
      <c r="H1222" s="121" t="n">
        <v>27.43112110611431</v>
      </c>
      <c r="I1222" s="118" t="n">
        <v>43.53735702514648</v>
      </c>
      <c r="J1222" s="118" t="n">
        <v>56.08713857650757</v>
      </c>
      <c r="K1222" s="120" t="n">
        <v>0.3917226692180114</v>
      </c>
      <c r="L1222" s="120" t="n">
        <v>-0.08647284871695915</v>
      </c>
      <c r="M1222" s="120" t="n">
        <v>-0.4438801149736387</v>
      </c>
      <c r="N1222" t="n">
        <v>47.82014059611894</v>
      </c>
      <c r="O1222" t="n">
        <v>0.09176797387724434</v>
      </c>
      <c r="P1222" t="n">
        <v>177.6601487746483</v>
      </c>
      <c r="Q1222" t="n">
        <v>195.5905744880045</v>
      </c>
    </row>
    <row r="1223">
      <c r="A1223" s="117" t="n">
        <v>46212</v>
      </c>
      <c r="B1223" s="118" t="n">
        <v>42.68999862670898</v>
      </c>
      <c r="C1223" s="118" t="n">
        <v>43.06000137329102</v>
      </c>
      <c r="D1223" s="118" t="n">
        <v>42.13000106811523</v>
      </c>
      <c r="E1223" s="118" t="n">
        <v>42.77999877929688</v>
      </c>
      <c r="F1223" s="119" t="n">
        <v>19647000</v>
      </c>
      <c r="G1223" s="120" t="n">
        <v>-0.002564714663486622</v>
      </c>
      <c r="H1223" s="121" t="n">
        <v>27.36076810757758</v>
      </c>
      <c r="I1223" s="118" t="n">
        <v>43.49816368103027</v>
      </c>
      <c r="J1223" s="118" t="n">
        <v>55.9542624092102</v>
      </c>
      <c r="K1223" s="120" t="n">
        <v>0.3718744174560763</v>
      </c>
      <c r="L1223" s="120" t="n">
        <v>-0.0888157851973479</v>
      </c>
      <c r="M1223" s="120" t="n">
        <v>-0.4453064037974223</v>
      </c>
      <c r="N1223" t="n">
        <v>47.29316687701604</v>
      </c>
      <c r="O1223" t="n">
        <v>0.0868948949442695</v>
      </c>
      <c r="P1223" t="n">
        <v>179.1640863495211</v>
      </c>
      <c r="Q1223" t="n">
        <v>198.845659451835</v>
      </c>
    </row>
    <row r="1224">
      <c r="A1224" s="117" t="n">
        <v>46213</v>
      </c>
      <c r="B1224" s="118" t="n">
        <v>43.41999816894531</v>
      </c>
      <c r="C1224" s="118" t="n">
        <v>44.63000106811523</v>
      </c>
      <c r="D1224" s="118" t="n">
        <v>43.06000137329102</v>
      </c>
      <c r="E1224" s="118" t="n">
        <v>44.36999893188477</v>
      </c>
      <c r="F1224" s="119" t="n">
        <v>23313500</v>
      </c>
      <c r="G1224" s="120" t="n">
        <v>0.03716690504809828</v>
      </c>
      <c r="H1224" s="121" t="n">
        <v>28.37768317787495</v>
      </c>
      <c r="I1224" s="118" t="n">
        <v>43.49295082092285</v>
      </c>
      <c r="J1224" s="118" t="n">
        <v>55.82742851257324</v>
      </c>
      <c r="K1224" s="120" t="n">
        <v>0.3927215767630765</v>
      </c>
      <c r="L1224" s="120" t="n">
        <v>-0.05494988800445166</v>
      </c>
      <c r="M1224" s="120" t="n">
        <v>-0.4246901595765729</v>
      </c>
      <c r="N1224" t="n">
        <v>55.01063320700177</v>
      </c>
      <c r="O1224" t="n">
        <v>0.1847989030855762</v>
      </c>
      <c r="P1224" t="n">
        <v>179.9363121721858</v>
      </c>
      <c r="Q1224" t="n">
        <v>199.4587303495678</v>
      </c>
    </row>
    <row r="1225">
      <c r="A1225" s="117" t="n">
        <v>46216</v>
      </c>
      <c r="B1225" s="118" t="n">
        <v>44.7599983215332</v>
      </c>
      <c r="C1225" s="118" t="n">
        <v>44.90000152587891</v>
      </c>
      <c r="D1225" s="118" t="n">
        <v>43.66999816894531</v>
      </c>
      <c r="E1225" s="118" t="n">
        <v>43.7599983215332</v>
      </c>
      <c r="F1225" s="119" t="n">
        <v>13665500</v>
      </c>
      <c r="G1225" s="120" t="n">
        <v>-0.01374804203371771</v>
      </c>
      <c r="H1225" s="121" t="n">
        <v>27.987545596726</v>
      </c>
      <c r="I1225" s="118" t="n">
        <v>43.48822441101074</v>
      </c>
      <c r="J1225" s="118" t="n">
        <v>55.69925672531128</v>
      </c>
      <c r="K1225" s="120" t="n">
        <v>0.3579654158291306</v>
      </c>
      <c r="L1225" s="120" t="n">
        <v>-0.06794247666813613</v>
      </c>
      <c r="M1225" s="120" t="n">
        <v>-0.4325995434451255</v>
      </c>
      <c r="N1225" t="n">
        <v>51.87255851029865</v>
      </c>
      <c r="O1225" t="n">
        <v>0.2011692052275332</v>
      </c>
      <c r="P1225" t="n">
        <v>178.5586883042341</v>
      </c>
      <c r="Q1225" t="n">
        <v>195.6730477599105</v>
      </c>
    </row>
    <row r="1226">
      <c r="A1226" s="117" t="n">
        <v>46217</v>
      </c>
      <c r="B1226" s="118" t="n">
        <v>44.31000137329102</v>
      </c>
      <c r="C1226" s="118" t="n">
        <v>44.4900016784668</v>
      </c>
      <c r="D1226" s="118" t="n">
        <v>42.47000122070312</v>
      </c>
      <c r="E1226" s="118" t="n">
        <v>42.86000061035156</v>
      </c>
      <c r="F1226" s="119" t="n">
        <v>13090200</v>
      </c>
      <c r="G1226" s="120" t="n">
        <v>-0.02056667609008511</v>
      </c>
      <c r="H1226" s="121" t="n">
        <v>27.41193481188165</v>
      </c>
      <c r="I1226" s="118" t="n">
        <v>43.46609268188477</v>
      </c>
      <c r="J1226" s="118" t="n">
        <v>55.56516633987427</v>
      </c>
      <c r="K1226" s="120" t="n">
        <v>0.3566425451968702</v>
      </c>
      <c r="L1226" s="120" t="n">
        <v>-0.08711180184782941</v>
      </c>
      <c r="M1226" s="120" t="n">
        <v>-0.4442690848484561</v>
      </c>
      <c r="N1226" t="n">
        <v>47.56164491669243</v>
      </c>
      <c r="O1226" t="n">
        <v>0.14661215893062</v>
      </c>
      <c r="P1226" t="n">
        <v>179.1926862283426</v>
      </c>
      <c r="Q1226" t="n">
        <v>197.8586817549401</v>
      </c>
    </row>
    <row r="1227">
      <c r="A1227" s="117" t="n">
        <v>46218</v>
      </c>
      <c r="B1227" s="118" t="n">
        <v>43</v>
      </c>
      <c r="C1227" s="118" t="n">
        <v>43.58000183105469</v>
      </c>
      <c r="D1227" s="118" t="n">
        <v>42.47999954223633</v>
      </c>
      <c r="E1227" s="118" t="n">
        <v>42.77000045776367</v>
      </c>
      <c r="F1227" s="119" t="n">
        <v>14388200</v>
      </c>
      <c r="G1227" s="120" t="n">
        <v>-0.002099863539576141</v>
      </c>
      <c r="H1227" s="121" t="n">
        <v>27.35437348942095</v>
      </c>
      <c r="I1227" s="118" t="n">
        <v>43.4413680267334</v>
      </c>
      <c r="J1227" s="118" t="n">
        <v>55.44031162261963</v>
      </c>
      <c r="K1227" s="120" t="n">
        <v>0.3553510418150131</v>
      </c>
      <c r="L1227" s="120" t="n">
        <v>-0.08902874249083848</v>
      </c>
      <c r="M1227" s="120" t="n">
        <v>-0.4454360439349981</v>
      </c>
      <c r="N1227" t="n">
        <v>47.13974888765683</v>
      </c>
      <c r="O1227" t="n">
        <v>0.1018171883620973</v>
      </c>
      <c r="P1227" t="n">
        <v>179.9029407978133</v>
      </c>
      <c r="Q1227" t="n">
        <v>197.3225803176818</v>
      </c>
    </row>
    <row r="1228">
      <c r="A1228" s="117" t="n">
        <v>46219</v>
      </c>
      <c r="B1228" s="118" t="n">
        <v>42.90000152587891</v>
      </c>
      <c r="C1228" s="118" t="n">
        <v>44.66999816894531</v>
      </c>
      <c r="D1228" s="118" t="n">
        <v>42.90000152587891</v>
      </c>
      <c r="E1228" s="118" t="n">
        <v>44.56999969482422</v>
      </c>
      <c r="F1228" s="119" t="n">
        <v>15944700</v>
      </c>
      <c r="G1228" s="120" t="n">
        <v>0.04208555571183803</v>
      </c>
      <c r="H1228" s="121" t="n">
        <v>28.5055974988724</v>
      </c>
      <c r="I1228" s="118" t="n">
        <v>43.47861106872558</v>
      </c>
      <c r="J1228" s="118" t="n">
        <v>55.32411445617676</v>
      </c>
      <c r="K1228" s="120" t="n">
        <v>0.3889377474205873</v>
      </c>
      <c r="L1228" s="120" t="n">
        <v>-0.05069001088105352</v>
      </c>
      <c r="M1228" s="120" t="n">
        <v>-0.4220969116662472</v>
      </c>
      <c r="N1228" t="n">
        <v>55.61903141892419</v>
      </c>
      <c r="O1228" t="n">
        <v>0.1858724078110862</v>
      </c>
      <c r="P1228" t="n">
        <v>178.9281155283802</v>
      </c>
      <c r="Q1228" t="n">
        <v>194.0785029767141</v>
      </c>
    </row>
    <row r="1229">
      <c r="A1229" s="117" t="n">
        <v>46220</v>
      </c>
      <c r="B1229" s="118" t="n">
        <v>44.52000045776367</v>
      </c>
      <c r="C1229" s="118" t="n">
        <v>44.97999954223633</v>
      </c>
      <c r="D1229" s="118" t="n">
        <v>43.52000045776367</v>
      </c>
      <c r="E1229" s="118" t="n">
        <v>43.7599983215332</v>
      </c>
      <c r="F1229" s="119" t="n">
        <v>15825100</v>
      </c>
      <c r="G1229" s="120" t="n">
        <v>-0.01817369034860183</v>
      </c>
      <c r="H1229" s="121" t="n">
        <v>27.98754559672601</v>
      </c>
      <c r="I1229" s="118" t="n">
        <v>43.50024871826172</v>
      </c>
      <c r="J1229" s="118" t="n">
        <v>55.20269323348999</v>
      </c>
      <c r="K1229" s="120" t="n">
        <v>0.3885016485809703</v>
      </c>
      <c r="L1229" s="120" t="n">
        <v>-0.0679424766681358</v>
      </c>
      <c r="M1229" s="120" t="n">
        <v>-0.4325995434451255</v>
      </c>
      <c r="N1229" t="n">
        <v>51.60723751391814</v>
      </c>
      <c r="O1229" t="n">
        <v>0.1792943342910265</v>
      </c>
      <c r="P1229" t="n">
        <v>177.1572360530119</v>
      </c>
      <c r="Q1229" t="n">
        <v>191.1615835975675</v>
      </c>
    </row>
    <row r="1230">
      <c r="A1230" s="117" t="n">
        <v>46223</v>
      </c>
      <c r="B1230" s="118" t="n">
        <v>43.84000015258789</v>
      </c>
      <c r="C1230" s="118" t="n">
        <v>43.84000015258789</v>
      </c>
      <c r="D1230" s="118" t="n">
        <v>42.83000183105469</v>
      </c>
      <c r="E1230" s="118" t="n">
        <v>43.47000122070312</v>
      </c>
      <c r="F1230" s="119" t="n">
        <v>11926900</v>
      </c>
      <c r="G1230" s="120" t="n">
        <v>-0.006626990675348776</v>
      </c>
      <c r="H1230" s="121" t="n">
        <v>27.80207239303061</v>
      </c>
      <c r="I1230" s="118" t="n">
        <v>43.49983192443847</v>
      </c>
      <c r="J1230" s="118" t="n">
        <v>55.07894151687622</v>
      </c>
      <c r="K1230" s="120" t="n">
        <v>0.379274873028166</v>
      </c>
      <c r="L1230" s="120" t="n">
        <v>-0.07411921318414494</v>
      </c>
      <c r="M1230" s="120" t="n">
        <v>-0.4363597009799034</v>
      </c>
      <c r="N1230" t="n">
        <v>50.21085189685233</v>
      </c>
      <c r="O1230" t="n">
        <v>0.1490307118686054</v>
      </c>
      <c r="P1230" t="n">
        <v>176.8712372647972</v>
      </c>
      <c r="Q1230" t="n">
        <v>191.3622713558576</v>
      </c>
    </row>
    <row r="1231">
      <c r="A1231" s="117" t="n">
        <v>46224</v>
      </c>
      <c r="B1231" s="118" t="n">
        <v>43.06000137329102</v>
      </c>
      <c r="C1231" s="118" t="n">
        <v>43.56000137329102</v>
      </c>
      <c r="D1231" s="118" t="n">
        <v>42.75</v>
      </c>
      <c r="E1231" s="118" t="n">
        <v>42.95999908447266</v>
      </c>
      <c r="F1231" s="119" t="n">
        <v>11859000</v>
      </c>
      <c r="G1231" s="120" t="n">
        <v>-0.01173227793671128</v>
      </c>
      <c r="H1231" s="121" t="n">
        <v>27.47589075249901</v>
      </c>
      <c r="I1231" s="118" t="n">
        <v>43.47870910644532</v>
      </c>
      <c r="J1231" s="118" t="n">
        <v>54.9307737159729</v>
      </c>
      <c r="K1231" s="120" t="n">
        <v>0.3466929492220828</v>
      </c>
      <c r="L1231" s="120" t="n">
        <v>-0.08498190391132943</v>
      </c>
      <c r="M1231" s="120" t="n">
        <v>-0.4429724856243382</v>
      </c>
      <c r="N1231" t="n">
        <v>47.76319174518205</v>
      </c>
      <c r="O1231" t="n">
        <v>0.09112803682963377</v>
      </c>
      <c r="P1231" t="n">
        <v>178.3465749608486</v>
      </c>
      <c r="Q1231" t="n">
        <v>194.9115081928339</v>
      </c>
    </row>
    <row r="1232">
      <c r="A1232" s="117" t="n">
        <v>46225</v>
      </c>
      <c r="B1232" s="118" t="n">
        <v>42.45000076293945</v>
      </c>
      <c r="C1232" s="118" t="n">
        <v>42.90999984741211</v>
      </c>
      <c r="D1232" s="118" t="n">
        <v>41.56999969482422</v>
      </c>
      <c r="E1232" s="118" t="n">
        <v>42.20999908447266</v>
      </c>
      <c r="F1232" s="119" t="n">
        <v>18990000</v>
      </c>
      <c r="G1232" s="120" t="n">
        <v>-0.01745810093071154</v>
      </c>
      <c r="H1232" s="121" t="n">
        <v>26.99621387858067</v>
      </c>
      <c r="I1232" s="118" t="n">
        <v>43.44793838500976</v>
      </c>
      <c r="J1232" s="118" t="n">
        <v>54.77704591751099</v>
      </c>
      <c r="K1232" s="120" t="n">
        <v>0.3457945211419548</v>
      </c>
      <c r="L1232" s="120" t="n">
        <v>-0.1009563821862729</v>
      </c>
      <c r="M1232" s="120" t="n">
        <v>-0.4526971281914919</v>
      </c>
      <c r="N1232" t="n">
        <v>44.34005896363468</v>
      </c>
      <c r="O1232" t="n">
        <v>0.003413290756972664</v>
      </c>
      <c r="P1232" t="n">
        <v>178.1392040185291</v>
      </c>
      <c r="Q1232" t="n">
        <v>193.9162915587049</v>
      </c>
    </row>
    <row r="1233">
      <c r="A1233" s="117" t="n">
        <v>46226</v>
      </c>
      <c r="B1233" s="118" t="n">
        <v>41.79999923706055</v>
      </c>
      <c r="C1233" s="118" t="n">
        <v>42.08000183105469</v>
      </c>
      <c r="D1233" s="118" t="n">
        <v>40.68999862670898</v>
      </c>
      <c r="E1233" s="118" t="n">
        <v>40.9900016784668</v>
      </c>
      <c r="F1233" s="119" t="n">
        <v>18156200</v>
      </c>
      <c r="G1233" s="120" t="n">
        <v>-0.0289030427023782</v>
      </c>
      <c r="H1233" s="121" t="n">
        <v>26.21594115604552</v>
      </c>
      <c r="I1233" s="118" t="n">
        <v>43.42745727539062</v>
      </c>
      <c r="J1233" s="118" t="n">
        <v>54.63013236999512</v>
      </c>
      <c r="K1233" s="120" t="n">
        <v>0.3580270401733262</v>
      </c>
      <c r="L1233" s="120" t="n">
        <v>-0.1269414782632436</v>
      </c>
      <c r="M1233" s="120" t="n">
        <v>-0.4685158464665075</v>
      </c>
      <c r="N1233" t="n">
        <v>39.39416671351235</v>
      </c>
      <c r="O1233" t="n">
        <v>-0.1283908479846742</v>
      </c>
      <c r="P1233" t="n">
        <v>175.9393118135963</v>
      </c>
      <c r="Q1233" t="n">
        <v>190.235097486679</v>
      </c>
    </row>
    <row r="1234">
      <c r="A1234" s="117" t="n">
        <v>46227</v>
      </c>
      <c r="B1234" s="118" t="n">
        <v>41.18999862670898</v>
      </c>
      <c r="C1234" s="118" t="n">
        <v>42.15000152587891</v>
      </c>
      <c r="D1234" s="118" t="n">
        <v>40.88999938964844</v>
      </c>
      <c r="E1234" s="118" t="n">
        <v>41.70000076293945</v>
      </c>
      <c r="F1234" s="119" t="n">
        <v>26175200</v>
      </c>
      <c r="G1234" s="120" t="n">
        <v>0.01732127483287327</v>
      </c>
      <c r="H1234" s="121" t="n">
        <v>26.67003467781182</v>
      </c>
      <c r="I1234" s="118" t="n">
        <v>43.42196907043457</v>
      </c>
      <c r="J1234" s="118" t="n">
        <v>54.49048654556275</v>
      </c>
      <c r="K1234" s="120" t="n">
        <v>0.3542809238304475</v>
      </c>
      <c r="L1234" s="120" t="n">
        <v>-0.1118189916630593</v>
      </c>
      <c r="M1234" s="120" t="n">
        <v>-0.4593098633738368</v>
      </c>
      <c r="N1234" t="n">
        <v>43.35420705164049</v>
      </c>
      <c r="O1234" t="n">
        <v>-0.1574594772369253</v>
      </c>
      <c r="P1234" t="n">
        <v>176.1180683298518</v>
      </c>
      <c r="Q1234" t="n">
        <v>188.1099382977428</v>
      </c>
    </row>
    <row r="1235">
      <c r="A1235" s="117" t="n">
        <v>46230</v>
      </c>
      <c r="B1235" s="118" t="n">
        <v>42.15000152587891</v>
      </c>
      <c r="C1235" s="118" t="n">
        <v>42.59999847412109</v>
      </c>
      <c r="D1235" s="118" t="n">
        <v>41.58000183105469</v>
      </c>
      <c r="E1235" s="118" t="n">
        <v>42.13999938964844</v>
      </c>
      <c r="F1235" s="119" t="n">
        <v>16996900</v>
      </c>
      <c r="G1235" s="120" t="n">
        <v>0.01055152562730965</v>
      </c>
      <c r="H1235" s="121" t="n">
        <v>26.95144423219599</v>
      </c>
      <c r="I1235" s="118" t="n">
        <v>43.42547904968261</v>
      </c>
      <c r="J1235" s="118" t="n">
        <v>54.36409601211548</v>
      </c>
      <c r="K1235" s="120" t="n">
        <v>0.3552824230399501</v>
      </c>
      <c r="L1235" s="120" t="n">
        <v>-0.1024473269919023</v>
      </c>
      <c r="M1235" s="120" t="n">
        <v>-0.4536047575407923</v>
      </c>
      <c r="N1235" t="n">
        <v>45.72118262074252</v>
      </c>
      <c r="O1235" t="n">
        <v>-0.1374835703245356</v>
      </c>
      <c r="P1235" t="n">
        <v>176.1562111997754</v>
      </c>
      <c r="Q1235" t="n">
        <v>187.5298567087723</v>
      </c>
    </row>
    <row r="1236">
      <c r="A1236" s="117" t="n">
        <v>46231</v>
      </c>
      <c r="B1236" s="118" t="n">
        <v>42.75</v>
      </c>
      <c r="C1236" s="118" t="n">
        <v>43.27000045776367</v>
      </c>
      <c r="D1236" s="118" t="n">
        <v>42.52000045776367</v>
      </c>
      <c r="E1236" s="118" t="n">
        <v>43.04999923706055</v>
      </c>
      <c r="F1236" s="119" t="n">
        <v>23601400</v>
      </c>
      <c r="G1236" s="120" t="n">
        <v>0.0215946810771821</v>
      </c>
      <c r="H1236" s="121" t="n">
        <v>27.53345207495972</v>
      </c>
      <c r="I1236" s="118" t="n">
        <v>43.45353225708008</v>
      </c>
      <c r="J1236" s="118" t="n">
        <v>54.24137504577637</v>
      </c>
      <c r="K1236" s="120" t="n">
        <v>0.3577128331477174</v>
      </c>
      <c r="L1236" s="120" t="n">
        <v>-0.08306496326832014</v>
      </c>
      <c r="M1236" s="120" t="n">
        <v>-0.4418055265377961</v>
      </c>
      <c r="N1236" t="n">
        <v>50.34269326508019</v>
      </c>
      <c r="O1236" t="n">
        <v>-0.05750693558011477</v>
      </c>
      <c r="P1236" t="n">
        <v>176.5780666860133</v>
      </c>
      <c r="Q1236" t="n">
        <v>185.7071218900419</v>
      </c>
    </row>
    <row r="1237">
      <c r="A1237" s="117" t="n">
        <v>46232</v>
      </c>
      <c r="B1237" s="118" t="n">
        <v>42.59999847412109</v>
      </c>
      <c r="C1237" s="118" t="n">
        <v>43.68999862670898</v>
      </c>
      <c r="D1237" s="118" t="n">
        <v>42.40000152587891</v>
      </c>
      <c r="E1237" s="118" t="n">
        <v>43.22000122070312</v>
      </c>
      <c r="F1237" s="119" t="n">
        <v>15029100</v>
      </c>
      <c r="G1237" s="120" t="n">
        <v>0.003948942779451459</v>
      </c>
      <c r="H1237" s="121" t="n">
        <v>27.64218010172451</v>
      </c>
      <c r="I1237" s="118" t="n">
        <v>43.48776069641113</v>
      </c>
      <c r="J1237" s="118" t="n">
        <v>54.12454257965088</v>
      </c>
      <c r="K1237" s="120" t="n">
        <v>0.3546937000143642</v>
      </c>
      <c r="L1237" s="120" t="n">
        <v>-0.07944403927579236</v>
      </c>
      <c r="M1237" s="120" t="n">
        <v>-0.4391057029624584</v>
      </c>
      <c r="N1237" t="n">
        <v>51.17898487369172</v>
      </c>
      <c r="O1237" t="n">
        <v>0.008790620656554893</v>
      </c>
      <c r="P1237" t="n">
        <v>173.860976367276</v>
      </c>
      <c r="Q1237" t="n">
        <v>181.9241912061003</v>
      </c>
    </row>
    <row r="1238">
      <c r="A1238" s="117" t="n">
        <v>46233</v>
      </c>
      <c r="B1238" s="118" t="n">
        <v>42.5</v>
      </c>
      <c r="C1238" s="118" t="n">
        <v>42.5</v>
      </c>
      <c r="D1238" s="118" t="n">
        <v>41.22999954223633</v>
      </c>
      <c r="E1238" s="118" t="n">
        <v>42.29000091552734</v>
      </c>
      <c r="F1238" s="119" t="n">
        <v>16977600</v>
      </c>
      <c r="G1238" s="120" t="n">
        <v>-0.02151782227924359</v>
      </c>
      <c r="H1238" s="121" t="n">
        <v>27.04738058288476</v>
      </c>
      <c r="I1238" s="118" t="n">
        <v>43.48971153259277</v>
      </c>
      <c r="J1238" s="118" t="n">
        <v>54.01695264816284</v>
      </c>
      <c r="K1238" s="120" t="n">
        <v>0.3195543053735692</v>
      </c>
      <c r="L1238" s="120" t="n">
        <v>-0.09925239883675419</v>
      </c>
      <c r="M1238" s="120" t="n">
        <v>-0.4511749267635535</v>
      </c>
      <c r="N1238" t="n">
        <v>46.5594697890993</v>
      </c>
      <c r="O1238" t="n">
        <v>-0.007180643826200095</v>
      </c>
      <c r="P1238" t="n">
        <v>176.7758946372306</v>
      </c>
      <c r="Q1238" t="n">
        <v>187.9229932881183</v>
      </c>
    </row>
    <row r="1239">
      <c r="A1239" s="117" t="n">
        <v>46234</v>
      </c>
      <c r="B1239" s="118" t="n">
        <v>42.02000045776367</v>
      </c>
      <c r="C1239" s="118" t="n">
        <v>42.08000183105469</v>
      </c>
      <c r="D1239" s="118" t="n">
        <v>41.4900016784668</v>
      </c>
      <c r="E1239" s="118" t="n">
        <v>41.70999908447266</v>
      </c>
      <c r="F1239" s="119" t="n">
        <v>22622400</v>
      </c>
      <c r="G1239" s="120" t="n">
        <v>-0.01371486920071763</v>
      </c>
      <c r="H1239" s="121" t="n">
        <v>26.67642929596846</v>
      </c>
      <c r="I1239" s="118" t="n">
        <v>43.48303573608398</v>
      </c>
      <c r="J1239" s="118" t="n">
        <v>53.89589654922485</v>
      </c>
      <c r="K1239" s="120" t="n">
        <v>0.3088234703349947</v>
      </c>
      <c r="L1239" s="120" t="n">
        <v>-0.1116060343695683</v>
      </c>
      <c r="M1239" s="120" t="n">
        <v>-0.4587019908570656</v>
      </c>
      <c r="N1239" t="n">
        <v>43.89823762309918</v>
      </c>
      <c r="O1239" t="n">
        <v>-0.05152672015060256</v>
      </c>
      <c r="P1239" t="n">
        <v>178.0486474337561</v>
      </c>
      <c r="Q1239" t="n">
        <v>189.1436480520656</v>
      </c>
    </row>
    <row r="1240">
      <c r="A1240" s="117" t="n">
        <v>46237</v>
      </c>
      <c r="B1240" s="118" t="n">
        <v>42.56999969482422</v>
      </c>
      <c r="C1240" s="118" t="n">
        <v>43.20999908447266</v>
      </c>
      <c r="D1240" s="118" t="n">
        <v>42.06000137329102</v>
      </c>
      <c r="E1240" s="118" t="n">
        <v>42.63999938964844</v>
      </c>
      <c r="F1240" s="119" t="n">
        <v>21329900</v>
      </c>
      <c r="G1240" s="120" t="n">
        <v>0.0222968191222519</v>
      </c>
      <c r="H1240" s="121" t="n">
        <v>27.27122881480821</v>
      </c>
      <c r="I1240" s="118" t="n">
        <v>43.4598738861084</v>
      </c>
      <c r="J1240" s="118" t="n">
        <v>53.77821855545044</v>
      </c>
      <c r="K1240" s="120" t="n">
        <v>0.3159216917896815</v>
      </c>
      <c r="L1240" s="120" t="n">
        <v>-0.09179767480860657</v>
      </c>
      <c r="M1240" s="120" t="n">
        <v>-0.4466327670559705</v>
      </c>
      <c r="N1240" t="n">
        <v>48.93800960163733</v>
      </c>
      <c r="O1240" t="n">
        <v>-0.01485063571463269</v>
      </c>
      <c r="P1240" t="n">
        <v>180.5845954884624</v>
      </c>
      <c r="Q1240" t="n">
        <v>192.4647116334208</v>
      </c>
    </row>
    <row r="1241">
      <c r="A1241" s="117" t="n">
        <v>46238</v>
      </c>
      <c r="B1241" s="118" t="n">
        <v>41.34999847412109</v>
      </c>
      <c r="C1241" s="118" t="n">
        <v>42.09000015258789</v>
      </c>
      <c r="D1241" s="118" t="n">
        <v>40.90999984741211</v>
      </c>
      <c r="E1241" s="118" t="n">
        <v>41.52999877929688</v>
      </c>
      <c r="F1241" s="119" t="n">
        <v>27802800</v>
      </c>
      <c r="G1241" s="120" t="n">
        <v>-0.02603190962101731</v>
      </c>
      <c r="H1241" s="121" t="n">
        <v>26.56130665104704</v>
      </c>
      <c r="I1241" s="118" t="n">
        <v>43.41054748535156</v>
      </c>
      <c r="J1241" s="118" t="n">
        <v>53.65097936630249</v>
      </c>
      <c r="K1241" s="120" t="n">
        <v>0.3285423159738544</v>
      </c>
      <c r="L1241" s="120" t="n">
        <v>-0.1154399156555866</v>
      </c>
      <c r="M1241" s="120" t="n">
        <v>-0.4610379728512021</v>
      </c>
      <c r="N1241" t="n">
        <v>43.87220268594236</v>
      </c>
      <c r="O1241" t="n">
        <v>-0.0594682965367288</v>
      </c>
      <c r="P1241" t="n">
        <v>183.8403556509842</v>
      </c>
      <c r="Q1241" t="n">
        <v>199.0023502784999</v>
      </c>
    </row>
    <row r="1242">
      <c r="A1242" s="117" t="n">
        <v>46239</v>
      </c>
      <c r="B1242" s="118" t="n">
        <v>41.65000152587891</v>
      </c>
      <c r="C1242" s="118" t="n">
        <v>42.47999954223633</v>
      </c>
      <c r="D1242" s="118" t="n">
        <v>41.36000061035156</v>
      </c>
      <c r="E1242" s="118" t="n">
        <v>42.45000076293945</v>
      </c>
      <c r="F1242" s="119" t="n">
        <v>22088600</v>
      </c>
      <c r="G1242" s="120" t="n">
        <v>0.02215270914241407</v>
      </c>
      <c r="H1242" s="121" t="n">
        <v>27.14971155173015</v>
      </c>
      <c r="I1242" s="118" t="n">
        <v>43.37407081604004</v>
      </c>
      <c r="J1242" s="118" t="n">
        <v>53.53626480102539</v>
      </c>
      <c r="K1242" s="120" t="n">
        <v>0.3384329069400209</v>
      </c>
      <c r="L1242" s="120" t="n">
        <v>-0.09584451338811562</v>
      </c>
      <c r="M1242" s="120" t="n">
        <v>-0.4490985038249687</v>
      </c>
      <c r="N1242" t="n">
        <v>48.61954457773509</v>
      </c>
      <c r="O1242" t="n">
        <v>-0.0230148070880265</v>
      </c>
      <c r="P1242" t="n">
        <v>183.4732996273711</v>
      </c>
      <c r="Q1242" t="n">
        <v>197.2016139255821</v>
      </c>
    </row>
    <row r="1243">
      <c r="A1243" s="117" t="n">
        <v>46240</v>
      </c>
      <c r="B1243" s="118" t="n">
        <v>42.52000045776367</v>
      </c>
      <c r="C1243" s="118" t="n">
        <v>42.63999938964844</v>
      </c>
      <c r="D1243" s="118" t="n">
        <v>41.84999847412109</v>
      </c>
      <c r="E1243" s="118" t="n">
        <v>42</v>
      </c>
      <c r="F1243" s="119" t="n">
        <v>18150300</v>
      </c>
      <c r="G1243" s="120" t="n">
        <v>-0.01060072449591853</v>
      </c>
      <c r="H1243" s="121" t="n">
        <v>26.8619049394266</v>
      </c>
      <c r="I1243" s="118" t="n">
        <v>43.32324203491211</v>
      </c>
      <c r="J1243" s="118" t="n">
        <v>53.41670764923096</v>
      </c>
      <c r="K1243" s="120" t="n">
        <v>0.3403425615829431</v>
      </c>
      <c r="L1243" s="120" t="n">
        <v>-0.1054292166031614</v>
      </c>
      <c r="M1243" s="120" t="n">
        <v>-0.4549384588103096</v>
      </c>
      <c r="N1243" t="n">
        <v>46.54576838490083</v>
      </c>
      <c r="O1243" t="n">
        <v>-0.02503636272208637</v>
      </c>
      <c r="P1243" t="n">
        <v>183.1801435958298</v>
      </c>
      <c r="Q1243" t="n">
        <v>196.4730804471808</v>
      </c>
    </row>
    <row r="1244">
      <c r="A1244" s="117" t="n">
        <v>46241</v>
      </c>
      <c r="B1244" s="118" t="n">
        <v>42.02000045776367</v>
      </c>
      <c r="C1244" s="118" t="n">
        <v>42.36999893188477</v>
      </c>
      <c r="D1244" s="118" t="n">
        <v>41.61000061035156</v>
      </c>
      <c r="E1244" s="118" t="n">
        <v>41.70000076293945</v>
      </c>
      <c r="F1244" s="119" t="n">
        <v>22042300</v>
      </c>
      <c r="G1244" s="120" t="n">
        <v>-0.007142838977632016</v>
      </c>
      <c r="H1244" s="121" t="n">
        <v>26.67003467781182</v>
      </c>
      <c r="I1244" s="118" t="n">
        <v>43.24579772949219</v>
      </c>
      <c r="J1244" s="118" t="n">
        <v>53.29442750930786</v>
      </c>
      <c r="K1244" s="120" t="n">
        <v>0.3099358955158815</v>
      </c>
      <c r="L1244" s="120" t="n">
        <v>-0.1118189916630592</v>
      </c>
      <c r="M1244" s="120" t="n">
        <v>-0.4588317456319275</v>
      </c>
      <c r="N1244" t="n">
        <v>45.16276542847731</v>
      </c>
      <c r="O1244" t="n">
        <v>-0.04143754805606592</v>
      </c>
      <c r="P1244" t="n">
        <v>184.3003540071458</v>
      </c>
      <c r="Q1244" t="n">
        <v>198.7769289285945</v>
      </c>
    </row>
    <row r="1245">
      <c r="A1245" s="117" t="n">
        <v>46244</v>
      </c>
      <c r="B1245" s="118" t="n">
        <v>41.7400016784668</v>
      </c>
      <c r="C1245" s="118" t="n">
        <v>42.22999954223633</v>
      </c>
      <c r="D1245" s="118" t="n">
        <v>41.13999938964844</v>
      </c>
      <c r="E1245" s="118" t="n">
        <v>42.11000061035156</v>
      </c>
      <c r="F1245" s="119" t="n">
        <v>21664600</v>
      </c>
      <c r="G1245" s="120" t="n">
        <v>0.009832130453496069</v>
      </c>
      <c r="H1245" s="121" t="n">
        <v>26.93225793796333</v>
      </c>
      <c r="I1245" s="118" t="n">
        <v>43.14899993896484</v>
      </c>
      <c r="J1245" s="118" t="n">
        <v>53.17057748794556</v>
      </c>
      <c r="K1245" s="120" t="n">
        <v>0.3103098407145442</v>
      </c>
      <c r="L1245" s="120" t="n">
        <v>-0.1030862801227727</v>
      </c>
      <c r="M1245" s="120" t="n">
        <v>-0.4535109087576898</v>
      </c>
      <c r="N1245" t="n">
        <v>47.46038447623186</v>
      </c>
      <c r="O1245" t="n">
        <v>-0.02058690203165792</v>
      </c>
      <c r="P1245" t="n">
        <v>184.2455399972784</v>
      </c>
      <c r="Q1245" t="n">
        <v>198.1830878110456</v>
      </c>
    </row>
    <row r="1246">
      <c r="A1246" s="117" t="n">
        <v>46245</v>
      </c>
      <c r="B1246" s="118" t="n">
        <v>41.47999954223633</v>
      </c>
      <c r="C1246" s="118" t="n">
        <v>41.52999877929688</v>
      </c>
      <c r="D1246" s="118" t="n">
        <v>40.83000183105469</v>
      </c>
      <c r="E1246" s="118" t="n">
        <v>41.31999969482422</v>
      </c>
      <c r="F1246" s="119" t="n">
        <v>25538000</v>
      </c>
      <c r="G1246" s="120" t="n">
        <v>-0.01876041092559722</v>
      </c>
      <c r="H1246" s="121" t="n">
        <v>26.42699771189296</v>
      </c>
      <c r="I1246" s="118" t="n">
        <v>43.05899993896485</v>
      </c>
      <c r="J1246" s="118" t="n">
        <v>53.03925539016723</v>
      </c>
      <c r="K1246" s="120" t="n">
        <v>0.3089194349937112</v>
      </c>
      <c r="L1246" s="120" t="n">
        <v>-0.1199127500724754</v>
      </c>
      <c r="M1246" s="120" t="n">
        <v>-0.4637632686757518</v>
      </c>
      <c r="N1246" t="n">
        <v>43.66412553772597</v>
      </c>
      <c r="O1246" t="n">
        <v>-0.05401487867455179</v>
      </c>
      <c r="P1246" t="n">
        <v>183.6568276391777</v>
      </c>
      <c r="Q1246" t="n">
        <v>197.5177810444534</v>
      </c>
    </row>
    <row r="1247">
      <c r="A1247" s="117" t="n">
        <v>46246</v>
      </c>
      <c r="B1247" s="118" t="n">
        <v>41.02999877929688</v>
      </c>
      <c r="C1247" s="118" t="n">
        <v>41.25</v>
      </c>
      <c r="D1247" s="118" t="n">
        <v>40.45000076293945</v>
      </c>
      <c r="E1247" s="118" t="n">
        <v>40.5099983215332</v>
      </c>
      <c r="F1247" s="119" t="n">
        <v>28760300</v>
      </c>
      <c r="G1247" s="120" t="n">
        <v>-0.01960313115376133</v>
      </c>
      <c r="H1247" s="121" t="n">
        <v>25.90894580974658</v>
      </c>
      <c r="I1247" s="118" t="n">
        <v>42.95059989929199</v>
      </c>
      <c r="J1247" s="118" t="n">
        <v>52.90094825744629</v>
      </c>
      <c r="K1247" s="120" t="n">
        <v>0.3154374242530589</v>
      </c>
      <c r="L1247" s="120" t="n">
        <v>-0.1371652158595578</v>
      </c>
      <c r="M1247" s="120" t="n">
        <v>-0.4742751876493653</v>
      </c>
      <c r="N1247" t="n">
        <v>40.12060546107469</v>
      </c>
      <c r="O1247" t="n">
        <v>-0.120864566336088</v>
      </c>
      <c r="P1247" t="n">
        <v>184.1168259953393</v>
      </c>
      <c r="Q1247" t="n">
        <v>198.9611220325034</v>
      </c>
    </row>
    <row r="1248">
      <c r="A1248" s="117" t="n">
        <v>46247</v>
      </c>
      <c r="B1248" s="118" t="n">
        <v>40.7400016784668</v>
      </c>
      <c r="C1248" s="118" t="n">
        <v>41.47000122070312</v>
      </c>
      <c r="D1248" s="118" t="n">
        <v>40.47999954223633</v>
      </c>
      <c r="E1248" s="118" t="n">
        <v>41.22999954223633</v>
      </c>
      <c r="F1248" s="119" t="n">
        <v>23641700</v>
      </c>
      <c r="G1248" s="120" t="n">
        <v>0.01777342015638661</v>
      </c>
      <c r="H1248" s="121" t="n">
        <v>26.36943638943226</v>
      </c>
      <c r="I1248" s="118" t="n">
        <v>42.90059989929199</v>
      </c>
      <c r="J1248" s="118" t="n">
        <v>52.76902940750122</v>
      </c>
      <c r="K1248" s="120" t="n">
        <v>0.2796052493154538</v>
      </c>
      <c r="L1248" s="120" t="n">
        <v>-0.1218296907154844</v>
      </c>
      <c r="M1248" s="120" t="n">
        <v>-0.4649312596728199</v>
      </c>
      <c r="N1248" t="n">
        <v>44.43706311618646</v>
      </c>
      <c r="O1248" t="n">
        <v>-0.1072412979081432</v>
      </c>
      <c r="P1248" t="n">
        <v>185.4014929835</v>
      </c>
      <c r="Q1248" t="n">
        <v>201.2622186082014</v>
      </c>
    </row>
    <row r="1249">
      <c r="A1249" s="117" t="n">
        <v>46248</v>
      </c>
      <c r="B1249" s="118" t="n">
        <v>41.22999954223633</v>
      </c>
      <c r="C1249" s="118" t="n">
        <v>41.33000183105469</v>
      </c>
      <c r="D1249" s="118" t="n">
        <v>40.70999908447266</v>
      </c>
      <c r="E1249" s="118" t="n">
        <v>40.72999954223633</v>
      </c>
      <c r="F1249" s="119" t="n">
        <v>23639800</v>
      </c>
      <c r="G1249" s="120" t="n">
        <v>-0.012127092058</v>
      </c>
      <c r="H1249" s="121" t="n">
        <v>26.04965180682003</v>
      </c>
      <c r="I1249" s="118" t="n">
        <v>42.8389998626709</v>
      </c>
      <c r="J1249" s="118" t="n">
        <v>52.63715431213379</v>
      </c>
      <c r="K1249" s="120" t="n">
        <v>0.2762691546718021</v>
      </c>
      <c r="L1249" s="120" t="n">
        <v>-0.1324793428987802</v>
      </c>
      <c r="M1249" s="120" t="n">
        <v>-0.4714200875441258</v>
      </c>
      <c r="N1249" t="n">
        <v>42.16399081713566</v>
      </c>
      <c r="O1249" t="n">
        <v>-0.1215064970152671</v>
      </c>
      <c r="P1249" t="n">
        <v>185.0344515071295</v>
      </c>
      <c r="Q1249" t="n">
        <v>200.9872965152394</v>
      </c>
    </row>
    <row r="1250">
      <c r="A1250" s="117" t="n">
        <v>46251</v>
      </c>
      <c r="B1250" s="118" t="n">
        <v>40.34999847412109</v>
      </c>
      <c r="C1250" s="118" t="n">
        <v>40.59999847412109</v>
      </c>
      <c r="D1250" s="118" t="n">
        <v>38.86000061035156</v>
      </c>
      <c r="E1250" s="118" t="n">
        <v>39.09000015258789</v>
      </c>
      <c r="F1250" s="119" t="n">
        <v>58659900</v>
      </c>
      <c r="G1250" s="120" t="n">
        <v>-0.040265146282356</v>
      </c>
      <c r="H1250" s="121" t="n">
        <v>25.00075876621399</v>
      </c>
      <c r="I1250" s="118" t="n">
        <v>42.74839988708496</v>
      </c>
      <c r="J1250" s="118" t="n">
        <v>52.50275365829468</v>
      </c>
      <c r="K1250" s="120" t="n">
        <v>0.3056598442719052</v>
      </c>
      <c r="L1250" s="120" t="n">
        <v>-0.1674101890599263</v>
      </c>
      <c r="M1250" s="120" t="n">
        <v>-0.4927034350410765</v>
      </c>
      <c r="N1250" t="n">
        <v>35.71141236901514</v>
      </c>
      <c r="O1250" t="n">
        <v>-0.2249790018906529</v>
      </c>
      <c r="P1250" t="n">
        <v>184.1597258135715</v>
      </c>
      <c r="Q1250" t="n">
        <v>200.6573866477026</v>
      </c>
    </row>
    <row r="1251">
      <c r="A1251" s="117" t="n">
        <v>46252</v>
      </c>
      <c r="B1251" s="118" t="n">
        <v>39.65000152587891</v>
      </c>
      <c r="C1251" s="118" t="n">
        <v>40.63999938964844</v>
      </c>
      <c r="D1251" s="118" t="n">
        <v>39.22999954223633</v>
      </c>
      <c r="E1251" s="118" t="n">
        <v>40.06000137329102</v>
      </c>
      <c r="F1251" s="119" t="n">
        <v>39173300</v>
      </c>
      <c r="G1251" s="120" t="n">
        <v>0.02481456170163021</v>
      </c>
      <c r="H1251" s="121" t="n">
        <v>25.62114163720577</v>
      </c>
      <c r="I1251" s="118" t="n">
        <v>42.68999992370605</v>
      </c>
      <c r="J1251" s="118" t="n">
        <v>52.38337779998779</v>
      </c>
      <c r="K1251" s="120" t="n">
        <v>0.3222521111788711</v>
      </c>
      <c r="L1251" s="120" t="n">
        <v>-0.1467498378242054</v>
      </c>
      <c r="M1251" s="120" t="n">
        <v>-0.4801150931288782</v>
      </c>
      <c r="N1251" t="n">
        <v>41.42150400497363</v>
      </c>
      <c r="O1251" t="n">
        <v>-0.211863803933915</v>
      </c>
      <c r="P1251" t="n">
        <v>182.91558744311</v>
      </c>
      <c r="Q1251" t="n">
        <v>197.2593536058727</v>
      </c>
    </row>
    <row r="1252">
      <c r="A1252" s="117" t="n">
        <v>46253</v>
      </c>
      <c r="B1252" s="118" t="n">
        <v>40.52999877929688</v>
      </c>
      <c r="C1252" s="118" t="n">
        <v>41.31000137329102</v>
      </c>
      <c r="D1252" s="118" t="n">
        <v>40.36999893188477</v>
      </c>
      <c r="E1252" s="118" t="n">
        <v>41.04999923706055</v>
      </c>
      <c r="F1252" s="119" t="n">
        <v>22055700</v>
      </c>
      <c r="G1252" s="120" t="n">
        <v>0.02471287643114239</v>
      </c>
      <c r="H1252" s="121" t="n">
        <v>26.25431374451084</v>
      </c>
      <c r="I1252" s="118" t="n">
        <v>42.64639991760254</v>
      </c>
      <c r="J1252" s="118" t="n">
        <v>52.27115322113037</v>
      </c>
      <c r="K1252" s="120" t="n">
        <v>0.3322759738549274</v>
      </c>
      <c r="L1252" s="120" t="n">
        <v>-0.1256635720015027</v>
      </c>
      <c r="M1252" s="120" t="n">
        <v>-0.4672672416669563</v>
      </c>
      <c r="N1252" t="n">
        <v>46.63153781837269</v>
      </c>
      <c r="O1252" t="n">
        <v>-0.1246021933603564</v>
      </c>
      <c r="P1252" t="n">
        <v>183.2993146066668</v>
      </c>
      <c r="Q1252" t="n">
        <v>196.8662170265268</v>
      </c>
    </row>
    <row r="1253">
      <c r="A1253" s="117" t="n">
        <v>46254</v>
      </c>
      <c r="B1253" s="118" t="n">
        <v>40.4900016784668</v>
      </c>
      <c r="C1253" s="118" t="n">
        <v>40.63999938964844</v>
      </c>
      <c r="D1253" s="118" t="n">
        <v>39.81000137329102</v>
      </c>
      <c r="E1253" s="118" t="n">
        <v>40.20999908447266</v>
      </c>
      <c r="F1253" s="119" t="n">
        <v>16662100</v>
      </c>
      <c r="G1253" s="120" t="n">
        <v>-0.0204628542801415</v>
      </c>
      <c r="H1253" s="121" t="n">
        <v>25.7170755481318</v>
      </c>
      <c r="I1253" s="118" t="n">
        <v>42.55759986877442</v>
      </c>
      <c r="J1253" s="118" t="n">
        <v>52.1562451171875</v>
      </c>
      <c r="K1253" s="120" t="n">
        <v>0.3241895066835533</v>
      </c>
      <c r="L1253" s="120" t="n">
        <v>-0.1435549909194554</v>
      </c>
      <c r="M1253" s="120" t="n">
        <v>-0.4781684744709832</v>
      </c>
      <c r="N1253" t="n">
        <v>43.12662224928589</v>
      </c>
      <c r="O1253" t="n">
        <v>-0.1119436502243303</v>
      </c>
      <c r="P1253" t="n">
        <v>181.7596199096458</v>
      </c>
      <c r="Q1253" t="n">
        <v>195.4503615358079</v>
      </c>
    </row>
    <row r="1254">
      <c r="A1254" s="117" t="n">
        <v>46255</v>
      </c>
      <c r="B1254" s="118" t="n">
        <v>40.2599983215332</v>
      </c>
      <c r="C1254" s="118" t="n">
        <v>41.13000106811523</v>
      </c>
      <c r="D1254" s="118" t="n">
        <v>40.2400016784668</v>
      </c>
      <c r="E1254" s="118" t="n">
        <v>40.7599983215332</v>
      </c>
      <c r="F1254" s="119" t="n">
        <v>14691100</v>
      </c>
      <c r="G1254" s="120" t="n">
        <v>0.0136781708426581</v>
      </c>
      <c r="H1254" s="121" t="n">
        <v>26.06883810105269</v>
      </c>
      <c r="I1254" s="118" t="n">
        <v>42.49359985351563</v>
      </c>
      <c r="J1254" s="118" t="n">
        <v>52.05357696533203</v>
      </c>
      <c r="K1254" s="120" t="n">
        <v>0.3217430510658288</v>
      </c>
      <c r="L1254" s="120" t="n">
        <v>-0.1318403897679099</v>
      </c>
      <c r="M1254" s="120" t="n">
        <v>-0.4710307737137124</v>
      </c>
      <c r="N1254" t="n">
        <v>45.9891283086772</v>
      </c>
      <c r="O1254" t="n">
        <v>-0.05774679022693241</v>
      </c>
      <c r="P1254" t="n">
        <v>182.5032458534891</v>
      </c>
      <c r="Q1254" t="n">
        <v>196.1404186739283</v>
      </c>
    </row>
    <row r="1255">
      <c r="A1255" s="117" t="n">
        <v>46258</v>
      </c>
      <c r="B1255" s="118" t="n">
        <v>41</v>
      </c>
      <c r="C1255" s="118" t="n">
        <v>41.34000015258789</v>
      </c>
      <c r="D1255" s="118" t="n">
        <v>40.70000076293945</v>
      </c>
      <c r="E1255" s="118" t="n">
        <v>40.99499893188477</v>
      </c>
      <c r="F1255" s="119" t="n">
        <v>11641993</v>
      </c>
      <c r="G1255" s="120" t="n">
        <v>0.005765471541430589</v>
      </c>
      <c r="H1255" s="121" t="n">
        <v>26.21913724524247</v>
      </c>
      <c r="I1255" s="118" t="n">
        <v>42.39429985046387</v>
      </c>
      <c r="J1255" s="118" t="n">
        <v>51.9590301322937</v>
      </c>
      <c r="K1255" s="120" t="n">
        <v>0.3199184856964207</v>
      </c>
      <c r="L1255" s="120" t="n">
        <v>-0.1080287260985888</v>
      </c>
      <c r="M1255" s="120" t="n">
        <v>-0.4679810166932662</v>
      </c>
      <c r="N1255" t="n">
        <v>47.21167886931621</v>
      </c>
      <c r="O1255" t="n">
        <v>-0.0003264667553108946</v>
      </c>
      <c r="P1255" t="n">
        <v>182.0813903672511</v>
      </c>
      <c r="Q1255" t="n">
        <v>194.5678555766315</v>
      </c>
    </row>
  </sheetData>
  <autoFilter ref="A1:Q1"/>
  <conditionalFormatting sqref="G2:G1255">
    <cfRule type="colorScale" priority="1">
      <colorScale>
        <cfvo type="num" val="-0.05"/>
        <cfvo type="num" val="0"/>
        <cfvo type="num" val="0.05"/>
        <color rgb="00FFAAAA"/>
        <color rgb="00FFFFFF"/>
        <color rgb="00AAFFAA"/>
      </colorScale>
    </cfRule>
  </conditionalFormatting>
  <conditionalFormatting sqref="N2:N1255">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11" customWidth="1" min="6" max="6"/>
    <col width="14" customWidth="1" min="7" max="7"/>
  </cols>
  <sheetData>
    <row r="1">
      <c r="A1" s="116" t="inlineStr">
        <is>
          <t>Date</t>
        </is>
      </c>
      <c r="B1" s="116" t="inlineStr">
        <is>
          <t>Headline</t>
        </is>
      </c>
      <c r="C1" s="116" t="inlineStr">
        <is>
          <t>Publisher</t>
        </is>
      </c>
      <c r="D1" s="116" t="inlineStr">
        <is>
          <t>Theme</t>
        </is>
      </c>
      <c r="E1" s="116" t="inlineStr">
        <is>
          <t>Sentiment</t>
        </is>
      </c>
      <c r="F1" s="116" t="inlineStr">
        <is>
          <t>Relevance</t>
        </is>
      </c>
      <c r="G1" s="116" t="inlineStr">
        <is>
          <t>URL</t>
        </is>
      </c>
    </row>
    <row r="2">
      <c r="A2" s="18" t="inlineStr">
        <is>
          <t>2026-08-10</t>
        </is>
      </c>
      <c r="B2" s="18" t="inlineStr">
        <is>
          <t>8-K filing — 8-K</t>
        </is>
      </c>
      <c r="C2" s="18" t="inlineStr">
        <is>
          <t>SEC EDGAR</t>
        </is>
      </c>
      <c r="D2" s="18" t="inlineStr">
        <is>
          <t>General</t>
        </is>
      </c>
      <c r="E2" s="122" t="inlineStr">
        <is>
          <t>Neutral</t>
        </is>
      </c>
      <c r="F2" s="123" t="inlineStr">
        <is>
          <t>High</t>
        </is>
      </c>
      <c r="G2" s="124" t="inlineStr">
        <is>
          <t>Open article</t>
        </is>
      </c>
    </row>
    <row r="3">
      <c r="A3" s="29" t="inlineStr">
        <is>
          <t>2026-08-19</t>
        </is>
      </c>
      <c r="B3" s="29" t="inlineStr">
        <is>
          <t>Nike Inc. Cl B stock outperforms competitors on strong trading day</t>
        </is>
      </c>
      <c r="C3" s="29" t="inlineStr">
        <is>
          <t>MarketWatch</t>
        </is>
      </c>
      <c r="D3" s="29" t="inlineStr">
        <is>
          <t>General</t>
        </is>
      </c>
      <c r="E3" s="125" t="inlineStr">
        <is>
          <t>Positive</t>
        </is>
      </c>
      <c r="F3" s="126" t="inlineStr">
        <is>
          <t>High</t>
        </is>
      </c>
      <c r="G3" s="127" t="inlineStr">
        <is>
          <t>Open article</t>
        </is>
      </c>
    </row>
    <row r="4">
      <c r="A4" s="18" t="inlineStr">
        <is>
          <t>2026-08-23</t>
        </is>
      </c>
      <c r="B4" s="18" t="inlineStr">
        <is>
          <t>Why Is Nike Stock Declining, and is it a Generational Buying Opportunity?</t>
        </is>
      </c>
      <c r="C4" s="18" t="inlineStr">
        <is>
          <t>The Motley Fool</t>
        </is>
      </c>
      <c r="D4" s="18" t="inlineStr">
        <is>
          <t>General</t>
        </is>
      </c>
      <c r="E4" s="128" t="inlineStr">
        <is>
          <t>Negative</t>
        </is>
      </c>
      <c r="F4" s="123" t="inlineStr">
        <is>
          <t>High</t>
        </is>
      </c>
      <c r="G4" s="124" t="inlineStr">
        <is>
          <t>Open article</t>
        </is>
      </c>
    </row>
    <row r="5">
      <c r="A5" s="29" t="inlineStr">
        <is>
          <t>2026-08-23</t>
        </is>
      </c>
      <c r="B5" s="29" t="inlineStr">
        <is>
          <t>NIKE, Inc. (NYSE:NKE) Vs On Holding (NYSE:ONON) – Here’s What Jim Cramer Thinks</t>
        </is>
      </c>
      <c r="C5" s="29" t="inlineStr">
        <is>
          <t>Yahoo</t>
        </is>
      </c>
      <c r="D5" s="29" t="inlineStr">
        <is>
          <t>General</t>
        </is>
      </c>
      <c r="E5" s="122" t="inlineStr">
        <is>
          <t>Neutral</t>
        </is>
      </c>
      <c r="F5" s="126" t="inlineStr">
        <is>
          <t>High</t>
        </is>
      </c>
      <c r="G5" s="127" t="inlineStr">
        <is>
          <t>Open article</t>
        </is>
      </c>
    </row>
    <row r="6">
      <c r="A6" s="18" t="inlineStr">
        <is>
          <t>2026-08-21</t>
        </is>
      </c>
      <c r="B6" s="18" t="inlineStr">
        <is>
          <t>Nike: More Pain Ahead Before A Revival, If At All (NYSE:NKE)</t>
        </is>
      </c>
      <c r="C6" s="18" t="inlineStr">
        <is>
          <t>Seeking Alpha</t>
        </is>
      </c>
      <c r="D6" s="18" t="inlineStr">
        <is>
          <t>General</t>
        </is>
      </c>
      <c r="E6" s="122" t="inlineStr">
        <is>
          <t>Neutral</t>
        </is>
      </c>
      <c r="F6" s="123" t="inlineStr">
        <is>
          <t>High</t>
        </is>
      </c>
      <c r="G6" s="124" t="inlineStr">
        <is>
          <t>Open article</t>
        </is>
      </c>
    </row>
    <row r="7">
      <c r="A7" s="29" t="inlineStr">
        <is>
          <t>2026-08-21</t>
        </is>
      </c>
      <c r="B7" s="29" t="inlineStr">
        <is>
          <t>Nike: More Pain Ahead Before A Revival, If At All</t>
        </is>
      </c>
      <c r="C7" s="29" t="inlineStr">
        <is>
          <t>SeekingAlpha</t>
        </is>
      </c>
      <c r="D7" s="29" t="inlineStr">
        <is>
          <t>General</t>
        </is>
      </c>
      <c r="E7" s="122" t="inlineStr">
        <is>
          <t>Neutral</t>
        </is>
      </c>
      <c r="F7" s="126" t="inlineStr">
        <is>
          <t>High</t>
        </is>
      </c>
      <c r="G7" s="127" t="inlineStr">
        <is>
          <t>Open article</t>
        </is>
      </c>
    </row>
    <row r="8">
      <c r="A8" s="18" t="inlineStr">
        <is>
          <t>2026-07-13</t>
        </is>
      </c>
      <c r="B8" s="18" t="inlineStr">
        <is>
          <t>Nike’s $40 Floor Reflects Deep Value but Not Yet a Confirmed Recovery</t>
        </is>
      </c>
      <c r="C8" s="18" t="inlineStr">
        <is>
          <t>Investing.com</t>
        </is>
      </c>
      <c r="D8" s="18" t="inlineStr">
        <is>
          <t>Earnings</t>
        </is>
      </c>
      <c r="E8" s="122" t="inlineStr">
        <is>
          <t>Neutral</t>
        </is>
      </c>
      <c r="F8" s="123" t="inlineStr">
        <is>
          <t>High</t>
        </is>
      </c>
      <c r="G8" s="124" t="inlineStr">
        <is>
          <t>Open article</t>
        </is>
      </c>
    </row>
    <row r="9">
      <c r="A9" s="29" t="inlineStr">
        <is>
          <t>2026-08-24</t>
        </is>
      </c>
      <c r="B9" s="29" t="inlineStr">
        <is>
          <t>NKE Stock Gains Pre-Market: Google AI Shopping Rollout Targets FIFA World Cup Demand</t>
        </is>
      </c>
      <c r="C9" s="29" t="inlineStr">
        <is>
          <t>Stocktwits</t>
        </is>
      </c>
      <c r="D9" s="29" t="inlineStr">
        <is>
          <t>Product</t>
        </is>
      </c>
      <c r="E9" s="125" t="inlineStr">
        <is>
          <t>Positive</t>
        </is>
      </c>
      <c r="F9" s="126" t="inlineStr">
        <is>
          <t>High</t>
        </is>
      </c>
      <c r="G9" s="127" t="inlineStr">
        <is>
          <t>Open article</t>
        </is>
      </c>
    </row>
    <row r="10">
      <c r="A10" s="18" t="inlineStr">
        <is>
          <t>2026-08-23</t>
        </is>
      </c>
      <c r="B10" s="18" t="inlineStr">
        <is>
          <t>Kiltearn Partners LLP Makes New Investment in NIKE, Inc. $NKE</t>
        </is>
      </c>
      <c r="C10" s="18" t="inlineStr">
        <is>
          <t>MarketBeat</t>
        </is>
      </c>
      <c r="D10" s="18" t="inlineStr">
        <is>
          <t>General</t>
        </is>
      </c>
      <c r="E10" s="122" t="inlineStr">
        <is>
          <t>Neutral</t>
        </is>
      </c>
      <c r="F10" s="123" t="inlineStr">
        <is>
          <t>High</t>
        </is>
      </c>
      <c r="G10" s="124" t="inlineStr">
        <is>
          <t>Open article</t>
        </is>
      </c>
    </row>
    <row r="11">
      <c r="A11" s="29" t="inlineStr">
        <is>
          <t>2026-08-21</t>
        </is>
      </c>
      <c r="B11" s="29" t="inlineStr">
        <is>
          <t>Nike Stock Price Forecast. Should You Buy NKE?</t>
        </is>
      </c>
      <c r="C11" s="29" t="inlineStr">
        <is>
          <t>StockInvest.us</t>
        </is>
      </c>
      <c r="D11" s="29" t="inlineStr">
        <is>
          <t>Earnings</t>
        </is>
      </c>
      <c r="E11" s="122" t="inlineStr">
        <is>
          <t>Neutral</t>
        </is>
      </c>
      <c r="F11" s="126" t="inlineStr">
        <is>
          <t>High</t>
        </is>
      </c>
      <c r="G11" s="127" t="inlineStr">
        <is>
          <t>Open article</t>
        </is>
      </c>
    </row>
    <row r="12">
      <c r="A12" s="18" t="inlineStr">
        <is>
          <t>2026-08-20</t>
        </is>
      </c>
      <c r="B12" s="18" t="inlineStr">
        <is>
          <t>Nike Stock (NKE) Opinions on Prolonged Stock Decline</t>
        </is>
      </c>
      <c r="C12" s="18" t="inlineStr">
        <is>
          <t>Quiver Quantitative</t>
        </is>
      </c>
      <c r="D12" s="18" t="inlineStr">
        <is>
          <t>General</t>
        </is>
      </c>
      <c r="E12" s="128" t="inlineStr">
        <is>
          <t>Negative</t>
        </is>
      </c>
      <c r="F12" s="123" t="inlineStr">
        <is>
          <t>High</t>
        </is>
      </c>
      <c r="G12" s="124" t="inlineStr">
        <is>
          <t>Open article</t>
        </is>
      </c>
    </row>
    <row r="13">
      <c r="A13" s="29" t="inlineStr">
        <is>
          <t>2026-08-19</t>
        </is>
      </c>
      <c r="B13" s="29" t="inlineStr">
        <is>
          <t>NKE Paid Holders $28 billion While The Stock Trailed The Market</t>
        </is>
      </c>
      <c r="C13" s="29" t="inlineStr">
        <is>
          <t>Trefis</t>
        </is>
      </c>
      <c r="D13" s="29" t="inlineStr">
        <is>
          <t>General</t>
        </is>
      </c>
      <c r="E13" s="122" t="inlineStr">
        <is>
          <t>Neutral</t>
        </is>
      </c>
      <c r="F13" s="126" t="inlineStr">
        <is>
          <t>High</t>
        </is>
      </c>
      <c r="G13" s="127" t="inlineStr">
        <is>
          <t>Open article</t>
        </is>
      </c>
    </row>
    <row r="14">
      <c r="A14" s="18" t="inlineStr">
        <is>
          <t>2026-08-19</t>
        </is>
      </c>
      <c r="B14" s="18" t="inlineStr">
        <is>
          <t>NIKE (NYSE: NKE) lists CFO Denton as new SEC reporting insider</t>
        </is>
      </c>
      <c r="C14" s="18" t="inlineStr">
        <is>
          <t>Stock Titan</t>
        </is>
      </c>
      <c r="D14" s="18" t="inlineStr">
        <is>
          <t>Management</t>
        </is>
      </c>
      <c r="E14" s="122" t="inlineStr">
        <is>
          <t>Neutral</t>
        </is>
      </c>
      <c r="F14" s="123" t="inlineStr">
        <is>
          <t>High</t>
        </is>
      </c>
      <c r="G14" s="124" t="inlineStr">
        <is>
          <t>Open article</t>
        </is>
      </c>
    </row>
    <row r="15">
      <c r="A15" s="29" t="inlineStr">
        <is>
          <t>2026-08-18</t>
        </is>
      </c>
      <c r="B15" s="29" t="inlineStr">
        <is>
          <t>How Nike’s Weak Results and Leadership Shifts At NIKE (NKE) Have Changed Its Investment Story</t>
        </is>
      </c>
      <c r="C15" s="29" t="inlineStr">
        <is>
          <t>simplywall.st</t>
        </is>
      </c>
      <c r="D15" s="29" t="inlineStr">
        <is>
          <t>Earnings</t>
        </is>
      </c>
      <c r="E15" s="128" t="inlineStr">
        <is>
          <t>Negative</t>
        </is>
      </c>
      <c r="F15" s="126" t="inlineStr">
        <is>
          <t>High</t>
        </is>
      </c>
      <c r="G15" s="127" t="inlineStr">
        <is>
          <t>Open article</t>
        </is>
      </c>
    </row>
  </sheetData>
  <autoFilter ref="A1:G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31" t="inlineStr">
        <is>
          <t>Ticker</t>
        </is>
      </c>
      <c r="B1" s="31" t="inlineStr">
        <is>
          <t>Company</t>
        </is>
      </c>
      <c r="C1" s="31" t="inlineStr">
        <is>
          <t>Exchange</t>
        </is>
      </c>
      <c r="D1" s="31" t="inlineStr">
        <is>
          <t>Market Cap ($B)</t>
        </is>
      </c>
      <c r="E1" s="31" t="inlineStr">
        <is>
          <t>Employees</t>
        </is>
      </c>
      <c r="F1" s="31" t="inlineStr">
        <is>
          <t>Country</t>
        </is>
      </c>
    </row>
    <row r="2">
      <c r="A2" s="129" t="inlineStr">
        <is>
          <t>NKE</t>
        </is>
      </c>
      <c r="B2" s="129" t="inlineStr">
        <is>
          <t>Nike, Inc.</t>
        </is>
      </c>
      <c r="C2" s="129" t="inlineStr">
        <is>
          <t>XNYS</t>
        </is>
      </c>
      <c r="D2" s="129" t="n">
        <v>60.47</v>
      </c>
      <c r="E2" s="129" t="n">
        <v>73000</v>
      </c>
      <c r="F2" s="129" t="inlineStr">
        <is>
          <t>us</t>
        </is>
      </c>
    </row>
    <row r="3">
      <c r="A3" s="15" t="inlineStr">
        <is>
          <t>ADDYY</t>
        </is>
      </c>
      <c r="B3" s="15" t="inlineStr">
        <is>
          <t>ADIDAS AG S/ADR</t>
        </is>
      </c>
      <c r="C3" s="15" t="inlineStr">
        <is>
          <t>OTC Link</t>
        </is>
      </c>
      <c r="D3" s="15" t="inlineStr">
        <is>
          <t>N/A</t>
        </is>
      </c>
      <c r="E3" s="15" t="inlineStr">
        <is>
          <t>N/A</t>
        </is>
      </c>
      <c r="F3" s="15" t="inlineStr">
        <is>
          <t>us</t>
        </is>
      </c>
    </row>
    <row r="4">
      <c r="A4" s="18" t="inlineStr">
        <is>
          <t>UAA</t>
        </is>
      </c>
      <c r="B4" s="18" t="inlineStr">
        <is>
          <t>Under Armour, Inc.</t>
        </is>
      </c>
      <c r="C4" s="18" t="inlineStr">
        <is>
          <t>XNYS</t>
        </is>
      </c>
      <c r="D4" s="18" t="n">
        <v>2.32</v>
      </c>
      <c r="E4" s="18" t="n">
        <v>14100</v>
      </c>
      <c r="F4" s="18" t="inlineStr">
        <is>
          <t>us</t>
        </is>
      </c>
    </row>
    <row r="5">
      <c r="A5" s="15" t="inlineStr">
        <is>
          <t>LULU</t>
        </is>
      </c>
      <c r="B5" s="15" t="inlineStr">
        <is>
          <t>lululemon athletica inc.</t>
        </is>
      </c>
      <c r="C5" s="15" t="inlineStr">
        <is>
          <t>XNAS</t>
        </is>
      </c>
      <c r="D5" s="15" t="n">
        <v>13.75</v>
      </c>
      <c r="E5" s="15" t="n">
        <v>39000</v>
      </c>
      <c r="F5" s="15"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31" t="inlineStr">
        <is>
          <t>NKE</t>
        </is>
      </c>
      <c r="C2" s="31" t="inlineStr">
        <is>
          <t>SPY</t>
        </is>
      </c>
      <c r="D2" s="31" t="inlineStr">
        <is>
          <t>QQQ</t>
        </is>
      </c>
    </row>
    <row r="3">
      <c r="A3" s="31" t="inlineStr">
        <is>
          <t>NKE</t>
        </is>
      </c>
      <c r="B3" s="130" t="n">
        <v>1</v>
      </c>
      <c r="C3" s="130" t="n">
        <v>0.5144</v>
      </c>
      <c r="D3" s="130" t="n">
        <v>0.4526</v>
      </c>
    </row>
    <row r="4">
      <c r="A4" s="31" t="inlineStr">
        <is>
          <t>SPY</t>
        </is>
      </c>
      <c r="B4" s="130" t="n">
        <v>0.5144</v>
      </c>
      <c r="C4" s="130" t="n">
        <v>1</v>
      </c>
      <c r="D4" s="130" t="n">
        <v>0.9502</v>
      </c>
    </row>
    <row r="5">
      <c r="A5" s="31" t="inlineStr">
        <is>
          <t>QQQ</t>
        </is>
      </c>
      <c r="B5" s="130" t="n">
        <v>0.4526</v>
      </c>
      <c r="C5" s="130" t="n">
        <v>0.9502</v>
      </c>
      <c r="D5" s="130"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3"/>
  <sheetViews>
    <sheetView workbookViewId="0">
      <pane ySplit="20" topLeftCell="A21" activePane="bottomLeft" state="frozen"/>
      <selection pane="bottomLef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s>
  <sheetData>
    <row r="1">
      <c r="A1" s="131" t="inlineStr">
        <is>
          <t>Monte Carlo Simulation Summary</t>
        </is>
      </c>
    </row>
    <row r="2">
      <c r="A2" s="31" t="inlineStr">
        <is>
          <t>Field</t>
        </is>
      </c>
      <c r="B2" s="31" t="inlineStr">
        <is>
          <t>Value</t>
        </is>
      </c>
    </row>
    <row r="3">
      <c r="A3" s="132" t="inlineStr">
        <is>
          <t>Last Price</t>
        </is>
      </c>
      <c r="B3" s="133" t="n">
        <v>40.99</v>
      </c>
    </row>
    <row r="4">
      <c r="A4" s="132" t="inlineStr">
        <is>
          <t>Forecast Horizon (days)</t>
        </is>
      </c>
      <c r="B4" s="134" t="n">
        <v>252</v>
      </c>
    </row>
    <row r="5">
      <c r="A5" s="132" t="inlineStr">
        <is>
          <t>Simulations</t>
        </is>
      </c>
      <c r="B5" s="134" t="n">
        <v>1000</v>
      </c>
    </row>
    <row r="6">
      <c r="A6" s="132" t="inlineStr">
        <is>
          <t>Mean Forecast</t>
        </is>
      </c>
      <c r="B6" s="133" t="n">
        <v>45.42</v>
      </c>
    </row>
    <row r="7">
      <c r="A7" s="132" t="inlineStr">
        <is>
          <t>Median (P50)</t>
        </is>
      </c>
      <c r="B7" s="133" t="n">
        <v>42.12</v>
      </c>
    </row>
    <row r="8">
      <c r="A8" s="132" t="inlineStr">
        <is>
          <t>Bear Case (P5)</t>
        </is>
      </c>
      <c r="B8" s="133" t="n">
        <v>23.86</v>
      </c>
    </row>
    <row r="9">
      <c r="A9" s="132" t="inlineStr">
        <is>
          <t>Low Case (P25)</t>
        </is>
      </c>
      <c r="B9" s="133" t="n">
        <v>33.27</v>
      </c>
    </row>
    <row r="10">
      <c r="A10" s="132" t="inlineStr">
        <is>
          <t>Bull Case (P75)</t>
        </is>
      </c>
      <c r="B10" s="133" t="n">
        <v>55.17</v>
      </c>
    </row>
    <row r="11">
      <c r="A11" s="132" t="inlineStr">
        <is>
          <t>Best Case (P95)</t>
        </is>
      </c>
      <c r="B11" s="133" t="n">
        <v>75.43000000000001</v>
      </c>
    </row>
    <row r="12">
      <c r="A12" s="132" t="inlineStr">
        <is>
          <t>Prob. of Gain</t>
        </is>
      </c>
      <c r="B12" s="135" t="n">
        <v>0.53</v>
      </c>
    </row>
    <row r="13">
      <c r="A13" s="132" t="inlineStr">
        <is>
          <t>Ann. Volatility</t>
        </is>
      </c>
      <c r="B13" s="135" t="n">
        <v>0.3572</v>
      </c>
    </row>
    <row r="14">
      <c r="A14" s="132" t="inlineStr">
        <is>
          <t>Expected Return (CAPM)</t>
        </is>
      </c>
      <c r="B14" s="135" t="n">
        <v>0.099</v>
      </c>
    </row>
    <row r="15">
      <c r="A15" s="132" t="inlineStr">
        <is>
          <t>Beta (vs benchmark)</t>
        </is>
      </c>
      <c r="B15" s="133" t="n">
        <v>1.07</v>
      </c>
    </row>
    <row r="16">
      <c r="A16" s="132" t="inlineStr">
        <is>
          <t>Beta (adjusted, used)</t>
        </is>
      </c>
      <c r="B16" s="133" t="n">
        <v>1.05</v>
      </c>
    </row>
    <row r="19">
      <c r="A19" s="93" t="inlineStr">
        <is>
          <t>Percentile price paths across all 1,000 simulations — the bands the forecast chart draws.</t>
        </is>
      </c>
    </row>
    <row r="20">
      <c r="A20" s="31" t="inlineStr">
        <is>
          <t>Day</t>
        </is>
      </c>
      <c r="B20" s="31" t="inlineStr">
        <is>
          <t>P5 (Bear)</t>
        </is>
      </c>
      <c r="C20" s="31" t="inlineStr">
        <is>
          <t>P25 (Low)</t>
        </is>
      </c>
      <c r="D20" s="31" t="inlineStr">
        <is>
          <t>P50 (Median)</t>
        </is>
      </c>
      <c r="E20" s="31" t="inlineStr">
        <is>
          <t>P75 (Bull)</t>
        </is>
      </c>
      <c r="F20" s="31" t="inlineStr">
        <is>
          <t>P95 (Best)</t>
        </is>
      </c>
    </row>
    <row r="21">
      <c r="A21" t="n">
        <v>0</v>
      </c>
      <c r="B21" s="136" t="n">
        <v>40.99</v>
      </c>
      <c r="C21" s="136" t="n">
        <v>40.99</v>
      </c>
      <c r="D21" s="136" t="n">
        <v>40.99</v>
      </c>
      <c r="E21" s="136" t="n">
        <v>40.99</v>
      </c>
      <c r="F21" s="136" t="n">
        <v>40.99</v>
      </c>
    </row>
    <row r="22">
      <c r="A22" t="n">
        <v>1</v>
      </c>
      <c r="B22" s="136" t="n">
        <v>39.47</v>
      </c>
      <c r="C22" s="136" t="n">
        <v>40.36</v>
      </c>
      <c r="D22" s="136" t="n">
        <v>41.01</v>
      </c>
      <c r="E22" s="136" t="n">
        <v>41.55</v>
      </c>
      <c r="F22" s="136" t="n">
        <v>42.52</v>
      </c>
    </row>
    <row r="23">
      <c r="A23" t="n">
        <v>2</v>
      </c>
      <c r="B23" s="136" t="n">
        <v>38.74</v>
      </c>
      <c r="C23" s="136" t="n">
        <v>40.05</v>
      </c>
      <c r="D23" s="136" t="n">
        <v>40.94</v>
      </c>
      <c r="E23" s="136" t="n">
        <v>41.74</v>
      </c>
      <c r="F23" s="136" t="n">
        <v>43.07</v>
      </c>
    </row>
    <row r="24">
      <c r="A24" t="n">
        <v>3</v>
      </c>
      <c r="B24" s="136" t="n">
        <v>38.46</v>
      </c>
      <c r="C24" s="136" t="n">
        <v>39.85</v>
      </c>
      <c r="D24" s="136" t="n">
        <v>40.98</v>
      </c>
      <c r="E24" s="136" t="n">
        <v>41.99</v>
      </c>
      <c r="F24" s="136" t="n">
        <v>43.56</v>
      </c>
    </row>
    <row r="25">
      <c r="A25" t="n">
        <v>4</v>
      </c>
      <c r="B25" s="136" t="n">
        <v>37.92</v>
      </c>
      <c r="C25" s="136" t="n">
        <v>39.7</v>
      </c>
      <c r="D25" s="136" t="n">
        <v>40.9</v>
      </c>
      <c r="E25" s="136" t="n">
        <v>42.2</v>
      </c>
      <c r="F25" s="136" t="n">
        <v>44.19</v>
      </c>
    </row>
    <row r="26">
      <c r="A26" t="n">
        <v>5</v>
      </c>
      <c r="B26" s="136" t="n">
        <v>37.67</v>
      </c>
      <c r="C26" s="136" t="n">
        <v>39.6</v>
      </c>
      <c r="D26" s="136" t="n">
        <v>40.92</v>
      </c>
      <c r="E26" s="136" t="n">
        <v>42.32</v>
      </c>
      <c r="F26" s="136" t="n">
        <v>44.45</v>
      </c>
    </row>
    <row r="27">
      <c r="A27" t="n">
        <v>6</v>
      </c>
      <c r="B27" s="136" t="n">
        <v>37.41</v>
      </c>
      <c r="C27" s="136" t="n">
        <v>39.52</v>
      </c>
      <c r="D27" s="136" t="n">
        <v>40.99</v>
      </c>
      <c r="E27" s="136" t="n">
        <v>42.46</v>
      </c>
      <c r="F27" s="136" t="n">
        <v>44.99</v>
      </c>
    </row>
    <row r="28">
      <c r="A28" t="n">
        <v>7</v>
      </c>
      <c r="B28" s="136" t="n">
        <v>37.25</v>
      </c>
      <c r="C28" s="136" t="n">
        <v>39.4</v>
      </c>
      <c r="D28" s="136" t="n">
        <v>41.03</v>
      </c>
      <c r="E28" s="136" t="n">
        <v>42.49</v>
      </c>
      <c r="F28" s="136" t="n">
        <v>45.52</v>
      </c>
    </row>
    <row r="29">
      <c r="A29" t="n">
        <v>8</v>
      </c>
      <c r="B29" s="136" t="n">
        <v>36.8</v>
      </c>
      <c r="C29" s="136" t="n">
        <v>39.37</v>
      </c>
      <c r="D29" s="136" t="n">
        <v>40.94</v>
      </c>
      <c r="E29" s="136" t="n">
        <v>42.67</v>
      </c>
      <c r="F29" s="136" t="n">
        <v>45.67</v>
      </c>
    </row>
    <row r="30">
      <c r="A30" t="n">
        <v>9</v>
      </c>
      <c r="B30" s="136" t="n">
        <v>36.78</v>
      </c>
      <c r="C30" s="136" t="n">
        <v>39.22</v>
      </c>
      <c r="D30" s="136" t="n">
        <v>40.99</v>
      </c>
      <c r="E30" s="136" t="n">
        <v>42.73</v>
      </c>
      <c r="F30" s="136" t="n">
        <v>45.67</v>
      </c>
    </row>
    <row r="31">
      <c r="A31" t="n">
        <v>10</v>
      </c>
      <c r="B31" s="136" t="n">
        <v>36.43</v>
      </c>
      <c r="C31" s="136" t="n">
        <v>39.11</v>
      </c>
      <c r="D31" s="136" t="n">
        <v>40.97</v>
      </c>
      <c r="E31" s="136" t="n">
        <v>42.99</v>
      </c>
      <c r="F31" s="136" t="n">
        <v>45.85</v>
      </c>
    </row>
    <row r="32">
      <c r="A32" t="n">
        <v>11</v>
      </c>
      <c r="B32" s="136" t="n">
        <v>36.25</v>
      </c>
      <c r="C32" s="136" t="n">
        <v>39</v>
      </c>
      <c r="D32" s="136" t="n">
        <v>40.95</v>
      </c>
      <c r="E32" s="136" t="n">
        <v>43.04</v>
      </c>
      <c r="F32" s="136" t="n">
        <v>46.09</v>
      </c>
    </row>
    <row r="33">
      <c r="A33" t="n">
        <v>12</v>
      </c>
      <c r="B33" s="136" t="n">
        <v>36.11</v>
      </c>
      <c r="C33" s="136" t="n">
        <v>38.96</v>
      </c>
      <c r="D33" s="136" t="n">
        <v>40.96</v>
      </c>
      <c r="E33" s="136" t="n">
        <v>43.09</v>
      </c>
      <c r="F33" s="136" t="n">
        <v>46.35</v>
      </c>
    </row>
    <row r="34">
      <c r="A34" t="n">
        <v>13</v>
      </c>
      <c r="B34" s="136" t="n">
        <v>35.83</v>
      </c>
      <c r="C34" s="136" t="n">
        <v>38.77</v>
      </c>
      <c r="D34" s="136" t="n">
        <v>40.95</v>
      </c>
      <c r="E34" s="136" t="n">
        <v>43.1</v>
      </c>
      <c r="F34" s="136" t="n">
        <v>46.66</v>
      </c>
    </row>
    <row r="35">
      <c r="A35" t="n">
        <v>14</v>
      </c>
      <c r="B35" s="136" t="n">
        <v>35.79</v>
      </c>
      <c r="C35" s="136" t="n">
        <v>38.69</v>
      </c>
      <c r="D35" s="136" t="n">
        <v>40.9</v>
      </c>
      <c r="E35" s="136" t="n">
        <v>43.27</v>
      </c>
      <c r="F35" s="136" t="n">
        <v>47.17</v>
      </c>
    </row>
    <row r="36">
      <c r="A36" t="n">
        <v>15</v>
      </c>
      <c r="B36" s="136" t="n">
        <v>35.83</v>
      </c>
      <c r="C36" s="136" t="n">
        <v>38.57</v>
      </c>
      <c r="D36" s="136" t="n">
        <v>40.95</v>
      </c>
      <c r="E36" s="136" t="n">
        <v>43.29</v>
      </c>
      <c r="F36" s="136" t="n">
        <v>47.21</v>
      </c>
    </row>
    <row r="37">
      <c r="A37" t="n">
        <v>16</v>
      </c>
      <c r="B37" s="136" t="n">
        <v>35.41</v>
      </c>
      <c r="C37" s="136" t="n">
        <v>38.61</v>
      </c>
      <c r="D37" s="136" t="n">
        <v>40.98</v>
      </c>
      <c r="E37" s="136" t="n">
        <v>43.41</v>
      </c>
      <c r="F37" s="136" t="n">
        <v>47.25</v>
      </c>
    </row>
    <row r="38">
      <c r="A38" t="n">
        <v>17</v>
      </c>
      <c r="B38" s="136" t="n">
        <v>35.41</v>
      </c>
      <c r="C38" s="136" t="n">
        <v>38.6</v>
      </c>
      <c r="D38" s="136" t="n">
        <v>41.02</v>
      </c>
      <c r="E38" s="136" t="n">
        <v>43.53</v>
      </c>
      <c r="F38" s="136" t="n">
        <v>47.82</v>
      </c>
    </row>
    <row r="39">
      <c r="A39" t="n">
        <v>18</v>
      </c>
      <c r="B39" s="136" t="n">
        <v>35.3</v>
      </c>
      <c r="C39" s="136" t="n">
        <v>38.55</v>
      </c>
      <c r="D39" s="136" t="n">
        <v>41.08</v>
      </c>
      <c r="E39" s="136" t="n">
        <v>43.72</v>
      </c>
      <c r="F39" s="136" t="n">
        <v>48.02</v>
      </c>
    </row>
    <row r="40">
      <c r="A40" t="n">
        <v>19</v>
      </c>
      <c r="B40" s="136" t="n">
        <v>35.09</v>
      </c>
      <c r="C40" s="136" t="n">
        <v>38.53</v>
      </c>
      <c r="D40" s="136" t="n">
        <v>41.16</v>
      </c>
      <c r="E40" s="136" t="n">
        <v>43.85</v>
      </c>
      <c r="F40" s="136" t="n">
        <v>48.06</v>
      </c>
    </row>
    <row r="41">
      <c r="A41" t="n">
        <v>20</v>
      </c>
      <c r="B41" s="136" t="n">
        <v>34.86</v>
      </c>
      <c r="C41" s="136" t="n">
        <v>38.63</v>
      </c>
      <c r="D41" s="136" t="n">
        <v>41.19</v>
      </c>
      <c r="E41" s="136" t="n">
        <v>44.06</v>
      </c>
      <c r="F41" s="136" t="n">
        <v>48.44</v>
      </c>
    </row>
    <row r="42">
      <c r="A42" t="n">
        <v>21</v>
      </c>
      <c r="B42" s="136" t="n">
        <v>34.97</v>
      </c>
      <c r="C42" s="136" t="n">
        <v>38.35</v>
      </c>
      <c r="D42" s="136" t="n">
        <v>41.19</v>
      </c>
      <c r="E42" s="136" t="n">
        <v>44.1</v>
      </c>
      <c r="F42" s="136" t="n">
        <v>48.82</v>
      </c>
    </row>
    <row r="43">
      <c r="A43" t="n">
        <v>22</v>
      </c>
      <c r="B43" s="136" t="n">
        <v>34.88</v>
      </c>
      <c r="C43" s="136" t="n">
        <v>38.37</v>
      </c>
      <c r="D43" s="136" t="n">
        <v>41.25</v>
      </c>
      <c r="E43" s="136" t="n">
        <v>44.26</v>
      </c>
      <c r="F43" s="136" t="n">
        <v>48.69</v>
      </c>
    </row>
    <row r="44">
      <c r="A44" t="n">
        <v>23</v>
      </c>
      <c r="B44" s="136" t="n">
        <v>34.89</v>
      </c>
      <c r="C44" s="136" t="n">
        <v>38.34</v>
      </c>
      <c r="D44" s="136" t="n">
        <v>41.14</v>
      </c>
      <c r="E44" s="136" t="n">
        <v>44.16</v>
      </c>
      <c r="F44" s="136" t="n">
        <v>49.2</v>
      </c>
    </row>
    <row r="45">
      <c r="A45" t="n">
        <v>24</v>
      </c>
      <c r="B45" s="136" t="n">
        <v>34.99</v>
      </c>
      <c r="C45" s="136" t="n">
        <v>38.27</v>
      </c>
      <c r="D45" s="136" t="n">
        <v>41.12</v>
      </c>
      <c r="E45" s="136" t="n">
        <v>44.36</v>
      </c>
      <c r="F45" s="136" t="n">
        <v>49.35</v>
      </c>
    </row>
    <row r="46">
      <c r="A46" t="n">
        <v>25</v>
      </c>
      <c r="B46" s="136" t="n">
        <v>34.57</v>
      </c>
      <c r="C46" s="136" t="n">
        <v>38.39</v>
      </c>
      <c r="D46" s="136" t="n">
        <v>41.12</v>
      </c>
      <c r="E46" s="136" t="n">
        <v>44.66</v>
      </c>
      <c r="F46" s="136" t="n">
        <v>49.39</v>
      </c>
    </row>
    <row r="47">
      <c r="A47" t="n">
        <v>26</v>
      </c>
      <c r="B47" s="136" t="n">
        <v>34.37</v>
      </c>
      <c r="C47" s="136" t="n">
        <v>38.43</v>
      </c>
      <c r="D47" s="136" t="n">
        <v>41.06</v>
      </c>
      <c r="E47" s="136" t="n">
        <v>44.71</v>
      </c>
      <c r="F47" s="136" t="n">
        <v>49.5</v>
      </c>
    </row>
    <row r="48">
      <c r="A48" t="n">
        <v>27</v>
      </c>
      <c r="B48" s="136" t="n">
        <v>34.3</v>
      </c>
      <c r="C48" s="136" t="n">
        <v>38.39</v>
      </c>
      <c r="D48" s="136" t="n">
        <v>41.3</v>
      </c>
      <c r="E48" s="136" t="n">
        <v>44.78</v>
      </c>
      <c r="F48" s="136" t="n">
        <v>49.78</v>
      </c>
    </row>
    <row r="49">
      <c r="A49" t="n">
        <v>28</v>
      </c>
      <c r="B49" s="136" t="n">
        <v>34.29</v>
      </c>
      <c r="C49" s="136" t="n">
        <v>38.31</v>
      </c>
      <c r="D49" s="136" t="n">
        <v>41.28</v>
      </c>
      <c r="E49" s="136" t="n">
        <v>45.06</v>
      </c>
      <c r="F49" s="136" t="n">
        <v>50.05</v>
      </c>
    </row>
    <row r="50">
      <c r="A50" t="n">
        <v>29</v>
      </c>
      <c r="B50" s="136" t="n">
        <v>34.12</v>
      </c>
      <c r="C50" s="136" t="n">
        <v>38.38</v>
      </c>
      <c r="D50" s="136" t="n">
        <v>41.37</v>
      </c>
      <c r="E50" s="136" t="n">
        <v>44.98</v>
      </c>
      <c r="F50" s="136" t="n">
        <v>50.05</v>
      </c>
    </row>
    <row r="51">
      <c r="A51" t="n">
        <v>30</v>
      </c>
      <c r="B51" s="136" t="n">
        <v>34.15</v>
      </c>
      <c r="C51" s="136" t="n">
        <v>38.28</v>
      </c>
      <c r="D51" s="136" t="n">
        <v>41.4</v>
      </c>
      <c r="E51" s="136" t="n">
        <v>44.88</v>
      </c>
      <c r="F51" s="136" t="n">
        <v>50.28</v>
      </c>
    </row>
    <row r="52">
      <c r="A52" t="n">
        <v>31</v>
      </c>
      <c r="B52" s="136" t="n">
        <v>34.08</v>
      </c>
      <c r="C52" s="136" t="n">
        <v>38.26</v>
      </c>
      <c r="D52" s="136" t="n">
        <v>41.35</v>
      </c>
      <c r="E52" s="136" t="n">
        <v>45.07</v>
      </c>
      <c r="F52" s="136" t="n">
        <v>50.72</v>
      </c>
    </row>
    <row r="53">
      <c r="A53" t="n">
        <v>32</v>
      </c>
      <c r="B53" s="136" t="n">
        <v>33.79</v>
      </c>
      <c r="C53" s="136" t="n">
        <v>38.21</v>
      </c>
      <c r="D53" s="136" t="n">
        <v>41.29</v>
      </c>
      <c r="E53" s="136" t="n">
        <v>45.22</v>
      </c>
      <c r="F53" s="136" t="n">
        <v>50.48</v>
      </c>
    </row>
    <row r="54">
      <c r="A54" t="n">
        <v>33</v>
      </c>
      <c r="B54" s="136" t="n">
        <v>33.81</v>
      </c>
      <c r="C54" s="136" t="n">
        <v>38.03</v>
      </c>
      <c r="D54" s="136" t="n">
        <v>41.34</v>
      </c>
      <c r="E54" s="136" t="n">
        <v>45.4</v>
      </c>
      <c r="F54" s="136" t="n">
        <v>50.92</v>
      </c>
    </row>
    <row r="55">
      <c r="A55" t="n">
        <v>34</v>
      </c>
      <c r="B55" s="136" t="n">
        <v>33.57</v>
      </c>
      <c r="C55" s="136" t="n">
        <v>38.13</v>
      </c>
      <c r="D55" s="136" t="n">
        <v>41.39</v>
      </c>
      <c r="E55" s="136" t="n">
        <v>45.35</v>
      </c>
      <c r="F55" s="136" t="n">
        <v>51.14</v>
      </c>
    </row>
    <row r="56">
      <c r="A56" t="n">
        <v>35</v>
      </c>
      <c r="B56" s="136" t="n">
        <v>33.36</v>
      </c>
      <c r="C56" s="136" t="n">
        <v>38.18</v>
      </c>
      <c r="D56" s="136" t="n">
        <v>41.34</v>
      </c>
      <c r="E56" s="136" t="n">
        <v>45.28</v>
      </c>
      <c r="F56" s="136" t="n">
        <v>51.06</v>
      </c>
    </row>
    <row r="57">
      <c r="A57" t="n">
        <v>36</v>
      </c>
      <c r="B57" s="136" t="n">
        <v>33.24</v>
      </c>
      <c r="C57" s="136" t="n">
        <v>38.1</v>
      </c>
      <c r="D57" s="136" t="n">
        <v>41.42</v>
      </c>
      <c r="E57" s="136" t="n">
        <v>45.39</v>
      </c>
      <c r="F57" s="136" t="n">
        <v>51.31</v>
      </c>
    </row>
    <row r="58">
      <c r="A58" t="n">
        <v>37</v>
      </c>
      <c r="B58" s="136" t="n">
        <v>32.91</v>
      </c>
      <c r="C58" s="136" t="n">
        <v>38.07</v>
      </c>
      <c r="D58" s="136" t="n">
        <v>41.52</v>
      </c>
      <c r="E58" s="136" t="n">
        <v>45.58</v>
      </c>
      <c r="F58" s="136" t="n">
        <v>51.33</v>
      </c>
    </row>
    <row r="59">
      <c r="A59" t="n">
        <v>38</v>
      </c>
      <c r="B59" s="136" t="n">
        <v>33.1</v>
      </c>
      <c r="C59" s="136" t="n">
        <v>38.06</v>
      </c>
      <c r="D59" s="136" t="n">
        <v>41.56</v>
      </c>
      <c r="E59" s="136" t="n">
        <v>45.65</v>
      </c>
      <c r="F59" s="136" t="n">
        <v>51.36</v>
      </c>
    </row>
    <row r="60">
      <c r="A60" t="n">
        <v>39</v>
      </c>
      <c r="B60" s="136" t="n">
        <v>33.03</v>
      </c>
      <c r="C60" s="136" t="n">
        <v>38</v>
      </c>
      <c r="D60" s="136" t="n">
        <v>41.47</v>
      </c>
      <c r="E60" s="136" t="n">
        <v>45.7</v>
      </c>
      <c r="F60" s="136" t="n">
        <v>51.86</v>
      </c>
    </row>
    <row r="61">
      <c r="A61" t="n">
        <v>40</v>
      </c>
      <c r="B61" s="136" t="n">
        <v>32.82</v>
      </c>
      <c r="C61" s="136" t="n">
        <v>37.8</v>
      </c>
      <c r="D61" s="136" t="n">
        <v>41.3</v>
      </c>
      <c r="E61" s="136" t="n">
        <v>45.57</v>
      </c>
      <c r="F61" s="136" t="n">
        <v>52.2</v>
      </c>
    </row>
    <row r="62">
      <c r="A62" t="n">
        <v>41</v>
      </c>
      <c r="B62" s="136" t="n">
        <v>32.8</v>
      </c>
      <c r="C62" s="136" t="n">
        <v>37.65</v>
      </c>
      <c r="D62" s="136" t="n">
        <v>41.31</v>
      </c>
      <c r="E62" s="136" t="n">
        <v>45.78</v>
      </c>
      <c r="F62" s="136" t="n">
        <v>52.55</v>
      </c>
    </row>
    <row r="63">
      <c r="A63" t="n">
        <v>42</v>
      </c>
      <c r="B63" s="136" t="n">
        <v>32.68</v>
      </c>
      <c r="C63" s="136" t="n">
        <v>37.62</v>
      </c>
      <c r="D63" s="136" t="n">
        <v>41.28</v>
      </c>
      <c r="E63" s="136" t="n">
        <v>45.62</v>
      </c>
      <c r="F63" s="136" t="n">
        <v>52.54</v>
      </c>
    </row>
    <row r="64">
      <c r="A64" t="n">
        <v>43</v>
      </c>
      <c r="B64" s="136" t="n">
        <v>32.37</v>
      </c>
      <c r="C64" s="136" t="n">
        <v>37.54</v>
      </c>
      <c r="D64" s="136" t="n">
        <v>41.34</v>
      </c>
      <c r="E64" s="136" t="n">
        <v>45.77</v>
      </c>
      <c r="F64" s="136" t="n">
        <v>52.17</v>
      </c>
    </row>
    <row r="65">
      <c r="A65" t="n">
        <v>44</v>
      </c>
      <c r="B65" s="136" t="n">
        <v>32.47</v>
      </c>
      <c r="C65" s="136" t="n">
        <v>37.41</v>
      </c>
      <c r="D65" s="136" t="n">
        <v>41.33</v>
      </c>
      <c r="E65" s="136" t="n">
        <v>45.88</v>
      </c>
      <c r="F65" s="136" t="n">
        <v>52.2</v>
      </c>
    </row>
    <row r="66">
      <c r="A66" t="n">
        <v>45</v>
      </c>
      <c r="B66" s="136" t="n">
        <v>32.22</v>
      </c>
      <c r="C66" s="136" t="n">
        <v>37.32</v>
      </c>
      <c r="D66" s="136" t="n">
        <v>41.36</v>
      </c>
      <c r="E66" s="136" t="n">
        <v>45.77</v>
      </c>
      <c r="F66" s="136" t="n">
        <v>51.78</v>
      </c>
    </row>
    <row r="67">
      <c r="A67" t="n">
        <v>46</v>
      </c>
      <c r="B67" s="136" t="n">
        <v>32.05</v>
      </c>
      <c r="C67" s="136" t="n">
        <v>37.15</v>
      </c>
      <c r="D67" s="136" t="n">
        <v>41.55</v>
      </c>
      <c r="E67" s="136" t="n">
        <v>46.07</v>
      </c>
      <c r="F67" s="136" t="n">
        <v>52.18</v>
      </c>
    </row>
    <row r="68">
      <c r="A68" t="n">
        <v>47</v>
      </c>
      <c r="B68" s="136" t="n">
        <v>32.06</v>
      </c>
      <c r="C68" s="136" t="n">
        <v>37.27</v>
      </c>
      <c r="D68" s="136" t="n">
        <v>41.46</v>
      </c>
      <c r="E68" s="136" t="n">
        <v>46.09</v>
      </c>
      <c r="F68" s="136" t="n">
        <v>52.49</v>
      </c>
    </row>
    <row r="69">
      <c r="A69" t="n">
        <v>48</v>
      </c>
      <c r="B69" s="136" t="n">
        <v>32.17</v>
      </c>
      <c r="C69" s="136" t="n">
        <v>37.09</v>
      </c>
      <c r="D69" s="136" t="n">
        <v>41.42</v>
      </c>
      <c r="E69" s="136" t="n">
        <v>46.09</v>
      </c>
      <c r="F69" s="136" t="n">
        <v>52.86</v>
      </c>
    </row>
    <row r="70">
      <c r="A70" t="n">
        <v>49</v>
      </c>
      <c r="B70" s="136" t="n">
        <v>32.02</v>
      </c>
      <c r="C70" s="136" t="n">
        <v>37.12</v>
      </c>
      <c r="D70" s="136" t="n">
        <v>41.4</v>
      </c>
      <c r="E70" s="136" t="n">
        <v>46.08</v>
      </c>
      <c r="F70" s="136" t="n">
        <v>52.86</v>
      </c>
    </row>
    <row r="71">
      <c r="A71" t="n">
        <v>50</v>
      </c>
      <c r="B71" s="136" t="n">
        <v>31.59</v>
      </c>
      <c r="C71" s="136" t="n">
        <v>37.08</v>
      </c>
      <c r="D71" s="136" t="n">
        <v>41.41</v>
      </c>
      <c r="E71" s="136" t="n">
        <v>46.03</v>
      </c>
      <c r="F71" s="136" t="n">
        <v>52.93</v>
      </c>
    </row>
    <row r="72">
      <c r="A72" t="n">
        <v>51</v>
      </c>
      <c r="B72" s="136" t="n">
        <v>31.63</v>
      </c>
      <c r="C72" s="136" t="n">
        <v>37.14</v>
      </c>
      <c r="D72" s="136" t="n">
        <v>41.3</v>
      </c>
      <c r="E72" s="136" t="n">
        <v>46.04</v>
      </c>
      <c r="F72" s="136" t="n">
        <v>53.45</v>
      </c>
    </row>
    <row r="73">
      <c r="A73" t="n">
        <v>52</v>
      </c>
      <c r="B73" s="136" t="n">
        <v>31.53</v>
      </c>
      <c r="C73" s="136" t="n">
        <v>37</v>
      </c>
      <c r="D73" s="136" t="n">
        <v>41.34</v>
      </c>
      <c r="E73" s="136" t="n">
        <v>46.18</v>
      </c>
      <c r="F73" s="136" t="n">
        <v>53.37</v>
      </c>
    </row>
    <row r="74">
      <c r="A74" t="n">
        <v>53</v>
      </c>
      <c r="B74" s="136" t="n">
        <v>31.48</v>
      </c>
      <c r="C74" s="136" t="n">
        <v>36.91</v>
      </c>
      <c r="D74" s="136" t="n">
        <v>41.34</v>
      </c>
      <c r="E74" s="136" t="n">
        <v>46.45</v>
      </c>
      <c r="F74" s="136" t="n">
        <v>53.14</v>
      </c>
    </row>
    <row r="75">
      <c r="A75" t="n">
        <v>54</v>
      </c>
      <c r="B75" s="136" t="n">
        <v>31.63</v>
      </c>
      <c r="C75" s="136" t="n">
        <v>36.88</v>
      </c>
      <c r="D75" s="136" t="n">
        <v>41.43</v>
      </c>
      <c r="E75" s="136" t="n">
        <v>46.6</v>
      </c>
      <c r="F75" s="136" t="n">
        <v>53.14</v>
      </c>
    </row>
    <row r="76">
      <c r="A76" t="n">
        <v>55</v>
      </c>
      <c r="B76" s="136" t="n">
        <v>31.29</v>
      </c>
      <c r="C76" s="136" t="n">
        <v>36.65</v>
      </c>
      <c r="D76" s="136" t="n">
        <v>41.45</v>
      </c>
      <c r="E76" s="136" t="n">
        <v>46.55</v>
      </c>
      <c r="F76" s="136" t="n">
        <v>53.18</v>
      </c>
    </row>
    <row r="77">
      <c r="A77" t="n">
        <v>56</v>
      </c>
      <c r="B77" s="136" t="n">
        <v>31.38</v>
      </c>
      <c r="C77" s="136" t="n">
        <v>36.7</v>
      </c>
      <c r="D77" s="136" t="n">
        <v>41.46</v>
      </c>
      <c r="E77" s="136" t="n">
        <v>46.41</v>
      </c>
      <c r="F77" s="136" t="n">
        <v>53.46</v>
      </c>
    </row>
    <row r="78">
      <c r="A78" t="n">
        <v>57</v>
      </c>
      <c r="B78" s="136" t="n">
        <v>31.22</v>
      </c>
      <c r="C78" s="136" t="n">
        <v>36.73</v>
      </c>
      <c r="D78" s="136" t="n">
        <v>41.47</v>
      </c>
      <c r="E78" s="136" t="n">
        <v>46.47</v>
      </c>
      <c r="F78" s="136" t="n">
        <v>53.69</v>
      </c>
    </row>
    <row r="79">
      <c r="A79" t="n">
        <v>58</v>
      </c>
      <c r="B79" s="136" t="n">
        <v>30.86</v>
      </c>
      <c r="C79" s="136" t="n">
        <v>36.65</v>
      </c>
      <c r="D79" s="136" t="n">
        <v>41.62</v>
      </c>
      <c r="E79" s="136" t="n">
        <v>46.55</v>
      </c>
      <c r="F79" s="136" t="n">
        <v>53.78</v>
      </c>
    </row>
    <row r="80">
      <c r="A80" t="n">
        <v>59</v>
      </c>
      <c r="B80" s="136" t="n">
        <v>30.99</v>
      </c>
      <c r="C80" s="136" t="n">
        <v>36.77</v>
      </c>
      <c r="D80" s="136" t="n">
        <v>41.53</v>
      </c>
      <c r="E80" s="136" t="n">
        <v>46.58</v>
      </c>
      <c r="F80" s="136" t="n">
        <v>54.09</v>
      </c>
    </row>
    <row r="81">
      <c r="A81" t="n">
        <v>60</v>
      </c>
      <c r="B81" s="136" t="n">
        <v>30.71</v>
      </c>
      <c r="C81" s="136" t="n">
        <v>36.6</v>
      </c>
      <c r="D81" s="136" t="n">
        <v>41.71</v>
      </c>
      <c r="E81" s="136" t="n">
        <v>46.67</v>
      </c>
      <c r="F81" s="136" t="n">
        <v>54.13</v>
      </c>
    </row>
    <row r="82">
      <c r="A82" t="n">
        <v>61</v>
      </c>
      <c r="B82" s="136" t="n">
        <v>30.55</v>
      </c>
      <c r="C82" s="136" t="n">
        <v>36.64</v>
      </c>
      <c r="D82" s="136" t="n">
        <v>41.65</v>
      </c>
      <c r="E82" s="136" t="n">
        <v>46.63</v>
      </c>
      <c r="F82" s="136" t="n">
        <v>54.24</v>
      </c>
    </row>
    <row r="83">
      <c r="A83" t="n">
        <v>62</v>
      </c>
      <c r="B83" s="136" t="n">
        <v>30.7</v>
      </c>
      <c r="C83" s="136" t="n">
        <v>36.58</v>
      </c>
      <c r="D83" s="136" t="n">
        <v>41.72</v>
      </c>
      <c r="E83" s="136" t="n">
        <v>46.52</v>
      </c>
      <c r="F83" s="136" t="n">
        <v>54.06</v>
      </c>
    </row>
    <row r="84">
      <c r="A84" t="n">
        <v>63</v>
      </c>
      <c r="B84" s="136" t="n">
        <v>30.42</v>
      </c>
      <c r="C84" s="136" t="n">
        <v>36.42</v>
      </c>
      <c r="D84" s="136" t="n">
        <v>41.56</v>
      </c>
      <c r="E84" s="136" t="n">
        <v>46.78</v>
      </c>
      <c r="F84" s="136" t="n">
        <v>54.36</v>
      </c>
    </row>
    <row r="85">
      <c r="A85" t="n">
        <v>64</v>
      </c>
      <c r="B85" s="136" t="n">
        <v>30.24</v>
      </c>
      <c r="C85" s="136" t="n">
        <v>36.53</v>
      </c>
      <c r="D85" s="136" t="n">
        <v>41.43</v>
      </c>
      <c r="E85" s="136" t="n">
        <v>46.94</v>
      </c>
      <c r="F85" s="136" t="n">
        <v>54.72</v>
      </c>
    </row>
    <row r="86">
      <c r="A86" t="n">
        <v>65</v>
      </c>
      <c r="B86" s="136" t="n">
        <v>30.34</v>
      </c>
      <c r="C86" s="136" t="n">
        <v>36.53</v>
      </c>
      <c r="D86" s="136" t="n">
        <v>41.54</v>
      </c>
      <c r="E86" s="136" t="n">
        <v>46.83</v>
      </c>
      <c r="F86" s="136" t="n">
        <v>54.41</v>
      </c>
    </row>
    <row r="87">
      <c r="A87" t="n">
        <v>66</v>
      </c>
      <c r="B87" s="136" t="n">
        <v>30.48</v>
      </c>
      <c r="C87" s="136" t="n">
        <v>36.62</v>
      </c>
      <c r="D87" s="136" t="n">
        <v>41.51</v>
      </c>
      <c r="E87" s="136" t="n">
        <v>46.99</v>
      </c>
      <c r="F87" s="136" t="n">
        <v>54.81</v>
      </c>
    </row>
    <row r="88">
      <c r="A88" t="n">
        <v>67</v>
      </c>
      <c r="B88" s="136" t="n">
        <v>30.33</v>
      </c>
      <c r="C88" s="136" t="n">
        <v>36.47</v>
      </c>
      <c r="D88" s="136" t="n">
        <v>41.52</v>
      </c>
      <c r="E88" s="136" t="n">
        <v>47</v>
      </c>
      <c r="F88" s="136" t="n">
        <v>55.45</v>
      </c>
    </row>
    <row r="89">
      <c r="A89" t="n">
        <v>68</v>
      </c>
      <c r="B89" s="136" t="n">
        <v>30.2</v>
      </c>
      <c r="C89" s="136" t="n">
        <v>36.48</v>
      </c>
      <c r="D89" s="136" t="n">
        <v>41.44</v>
      </c>
      <c r="E89" s="136" t="n">
        <v>46.87</v>
      </c>
      <c r="F89" s="136" t="n">
        <v>55.39</v>
      </c>
    </row>
    <row r="90">
      <c r="A90" t="n">
        <v>69</v>
      </c>
      <c r="B90" s="136" t="n">
        <v>30.28</v>
      </c>
      <c r="C90" s="136" t="n">
        <v>36.58</v>
      </c>
      <c r="D90" s="136" t="n">
        <v>41.54</v>
      </c>
      <c r="E90" s="136" t="n">
        <v>46.9</v>
      </c>
      <c r="F90" s="136" t="n">
        <v>55.01</v>
      </c>
    </row>
    <row r="91">
      <c r="A91" t="n">
        <v>70</v>
      </c>
      <c r="B91" s="136" t="n">
        <v>29.85</v>
      </c>
      <c r="C91" s="136" t="n">
        <v>36.42</v>
      </c>
      <c r="D91" s="136" t="n">
        <v>41.52</v>
      </c>
      <c r="E91" s="136" t="n">
        <v>46.94</v>
      </c>
      <c r="F91" s="136" t="n">
        <v>55.51</v>
      </c>
    </row>
    <row r="92">
      <c r="A92" t="n">
        <v>71</v>
      </c>
      <c r="B92" s="136" t="n">
        <v>29.81</v>
      </c>
      <c r="C92" s="136" t="n">
        <v>36.4</v>
      </c>
      <c r="D92" s="136" t="n">
        <v>41.49</v>
      </c>
      <c r="E92" s="136" t="n">
        <v>47.04</v>
      </c>
      <c r="F92" s="136" t="n">
        <v>55.93</v>
      </c>
    </row>
    <row r="93">
      <c r="A93" t="n">
        <v>72</v>
      </c>
      <c r="B93" s="136" t="n">
        <v>29.82</v>
      </c>
      <c r="C93" s="136" t="n">
        <v>36.52</v>
      </c>
      <c r="D93" s="136" t="n">
        <v>41.45</v>
      </c>
      <c r="E93" s="136" t="n">
        <v>47.03</v>
      </c>
      <c r="F93" s="136" t="n">
        <v>55.76</v>
      </c>
    </row>
    <row r="94">
      <c r="A94" t="n">
        <v>73</v>
      </c>
      <c r="B94" s="136" t="n">
        <v>29.9</v>
      </c>
      <c r="C94" s="136" t="n">
        <v>36.51</v>
      </c>
      <c r="D94" s="136" t="n">
        <v>41.45</v>
      </c>
      <c r="E94" s="136" t="n">
        <v>47.04</v>
      </c>
      <c r="F94" s="136" t="n">
        <v>56.16</v>
      </c>
    </row>
    <row r="95">
      <c r="A95" t="n">
        <v>74</v>
      </c>
      <c r="B95" s="136" t="n">
        <v>29.99</v>
      </c>
      <c r="C95" s="136" t="n">
        <v>36.54</v>
      </c>
      <c r="D95" s="136" t="n">
        <v>41.42</v>
      </c>
      <c r="E95" s="136" t="n">
        <v>47.16</v>
      </c>
      <c r="F95" s="136" t="n">
        <v>56.39</v>
      </c>
    </row>
    <row r="96">
      <c r="A96" t="n">
        <v>75</v>
      </c>
      <c r="B96" s="136" t="n">
        <v>29.77</v>
      </c>
      <c r="C96" s="136" t="n">
        <v>36.43</v>
      </c>
      <c r="D96" s="136" t="n">
        <v>41.49</v>
      </c>
      <c r="E96" s="136" t="n">
        <v>47.38</v>
      </c>
      <c r="F96" s="136" t="n">
        <v>56.73</v>
      </c>
    </row>
    <row r="97">
      <c r="A97" t="n">
        <v>76</v>
      </c>
      <c r="B97" s="136" t="n">
        <v>29.7</v>
      </c>
      <c r="C97" s="136" t="n">
        <v>36.23</v>
      </c>
      <c r="D97" s="136" t="n">
        <v>41.56</v>
      </c>
      <c r="E97" s="136" t="n">
        <v>47.51</v>
      </c>
      <c r="F97" s="136" t="n">
        <v>56.26</v>
      </c>
    </row>
    <row r="98">
      <c r="A98" t="n">
        <v>77</v>
      </c>
      <c r="B98" s="136" t="n">
        <v>29.77</v>
      </c>
      <c r="C98" s="136" t="n">
        <v>36.2</v>
      </c>
      <c r="D98" s="136" t="n">
        <v>41.44</v>
      </c>
      <c r="E98" s="136" t="n">
        <v>47.35</v>
      </c>
      <c r="F98" s="136" t="n">
        <v>56.7</v>
      </c>
    </row>
    <row r="99">
      <c r="A99" t="n">
        <v>78</v>
      </c>
      <c r="B99" s="136" t="n">
        <v>29.71</v>
      </c>
      <c r="C99" s="136" t="n">
        <v>35.98</v>
      </c>
      <c r="D99" s="136" t="n">
        <v>41.39</v>
      </c>
      <c r="E99" s="136" t="n">
        <v>47.65</v>
      </c>
      <c r="F99" s="136" t="n">
        <v>56.7</v>
      </c>
    </row>
    <row r="100">
      <c r="A100" t="n">
        <v>79</v>
      </c>
      <c r="B100" s="136" t="n">
        <v>29.59</v>
      </c>
      <c r="C100" s="136" t="n">
        <v>36</v>
      </c>
      <c r="D100" s="136" t="n">
        <v>41.38</v>
      </c>
      <c r="E100" s="136" t="n">
        <v>47.74</v>
      </c>
      <c r="F100" s="136" t="n">
        <v>56.68</v>
      </c>
    </row>
    <row r="101">
      <c r="A101" t="n">
        <v>80</v>
      </c>
      <c r="B101" s="136" t="n">
        <v>29.49</v>
      </c>
      <c r="C101" s="136" t="n">
        <v>35.9</v>
      </c>
      <c r="D101" s="136" t="n">
        <v>41.32</v>
      </c>
      <c r="E101" s="136" t="n">
        <v>47.96</v>
      </c>
      <c r="F101" s="136" t="n">
        <v>56.98</v>
      </c>
    </row>
    <row r="102">
      <c r="A102" t="n">
        <v>81</v>
      </c>
      <c r="B102" s="136" t="n">
        <v>29.25</v>
      </c>
      <c r="C102" s="136" t="n">
        <v>36.05</v>
      </c>
      <c r="D102" s="136" t="n">
        <v>41.15</v>
      </c>
      <c r="E102" s="136" t="n">
        <v>47.73</v>
      </c>
      <c r="F102" s="136" t="n">
        <v>56.34</v>
      </c>
    </row>
    <row r="103">
      <c r="A103" t="n">
        <v>82</v>
      </c>
      <c r="B103" s="136" t="n">
        <v>29.2</v>
      </c>
      <c r="C103" s="136" t="n">
        <v>35.97</v>
      </c>
      <c r="D103" s="136" t="n">
        <v>41.19</v>
      </c>
      <c r="E103" s="136" t="n">
        <v>47.99</v>
      </c>
      <c r="F103" s="136" t="n">
        <v>56.32</v>
      </c>
    </row>
    <row r="104">
      <c r="A104" t="n">
        <v>83</v>
      </c>
      <c r="B104" s="136" t="n">
        <v>28.87</v>
      </c>
      <c r="C104" s="136" t="n">
        <v>35.8</v>
      </c>
      <c r="D104" s="136" t="n">
        <v>41.2</v>
      </c>
      <c r="E104" s="136" t="n">
        <v>47.92</v>
      </c>
      <c r="F104" s="136" t="n">
        <v>56.76</v>
      </c>
    </row>
    <row r="105">
      <c r="A105" t="n">
        <v>84</v>
      </c>
      <c r="B105" s="136" t="n">
        <v>28.99</v>
      </c>
      <c r="C105" s="136" t="n">
        <v>35.77</v>
      </c>
      <c r="D105" s="136" t="n">
        <v>41.31</v>
      </c>
      <c r="E105" s="136" t="n">
        <v>48.08</v>
      </c>
      <c r="F105" s="136" t="n">
        <v>56.81</v>
      </c>
    </row>
    <row r="106">
      <c r="A106" t="n">
        <v>85</v>
      </c>
      <c r="B106" s="136" t="n">
        <v>29.15</v>
      </c>
      <c r="C106" s="136" t="n">
        <v>36.02</v>
      </c>
      <c r="D106" s="136" t="n">
        <v>41.31</v>
      </c>
      <c r="E106" s="136" t="n">
        <v>47.95</v>
      </c>
      <c r="F106" s="136" t="n">
        <v>57.43</v>
      </c>
    </row>
    <row r="107">
      <c r="A107" t="n">
        <v>86</v>
      </c>
      <c r="B107" s="136" t="n">
        <v>28.89</v>
      </c>
      <c r="C107" s="136" t="n">
        <v>35.89</v>
      </c>
      <c r="D107" s="136" t="n">
        <v>41.29</v>
      </c>
      <c r="E107" s="136" t="n">
        <v>47.86</v>
      </c>
      <c r="F107" s="136" t="n">
        <v>57.33</v>
      </c>
    </row>
    <row r="108">
      <c r="A108" t="n">
        <v>87</v>
      </c>
      <c r="B108" s="136" t="n">
        <v>28.79</v>
      </c>
      <c r="C108" s="136" t="n">
        <v>35.7</v>
      </c>
      <c r="D108" s="136" t="n">
        <v>41.29</v>
      </c>
      <c r="E108" s="136" t="n">
        <v>48.24</v>
      </c>
      <c r="F108" s="136" t="n">
        <v>57.85</v>
      </c>
    </row>
    <row r="109">
      <c r="A109" t="n">
        <v>88</v>
      </c>
      <c r="B109" s="136" t="n">
        <v>28.62</v>
      </c>
      <c r="C109" s="136" t="n">
        <v>35.68</v>
      </c>
      <c r="D109" s="136" t="n">
        <v>41.39</v>
      </c>
      <c r="E109" s="136" t="n">
        <v>48.53</v>
      </c>
      <c r="F109" s="136" t="n">
        <v>58.22</v>
      </c>
    </row>
    <row r="110">
      <c r="A110" t="n">
        <v>89</v>
      </c>
      <c r="B110" s="136" t="n">
        <v>28.87</v>
      </c>
      <c r="C110" s="136" t="n">
        <v>35.6</v>
      </c>
      <c r="D110" s="136" t="n">
        <v>41.4</v>
      </c>
      <c r="E110" s="136" t="n">
        <v>48.54</v>
      </c>
      <c r="F110" s="136" t="n">
        <v>58.27</v>
      </c>
    </row>
    <row r="111">
      <c r="A111" t="n">
        <v>90</v>
      </c>
      <c r="B111" s="136" t="n">
        <v>28.82</v>
      </c>
      <c r="C111" s="136" t="n">
        <v>35.68</v>
      </c>
      <c r="D111" s="136" t="n">
        <v>41.38</v>
      </c>
      <c r="E111" s="136" t="n">
        <v>48.61</v>
      </c>
      <c r="F111" s="136" t="n">
        <v>58.5</v>
      </c>
    </row>
    <row r="112">
      <c r="A112" t="n">
        <v>91</v>
      </c>
      <c r="B112" s="136" t="n">
        <v>28.9</v>
      </c>
      <c r="C112" s="136" t="n">
        <v>35.56</v>
      </c>
      <c r="D112" s="136" t="n">
        <v>41.37</v>
      </c>
      <c r="E112" s="136" t="n">
        <v>48.54</v>
      </c>
      <c r="F112" s="136" t="n">
        <v>58.72</v>
      </c>
    </row>
    <row r="113">
      <c r="A113" t="n">
        <v>92</v>
      </c>
      <c r="B113" s="136" t="n">
        <v>28.67</v>
      </c>
      <c r="C113" s="136" t="n">
        <v>35.5</v>
      </c>
      <c r="D113" s="136" t="n">
        <v>41.39</v>
      </c>
      <c r="E113" s="136" t="n">
        <v>48.44</v>
      </c>
      <c r="F113" s="136" t="n">
        <v>59.17</v>
      </c>
    </row>
    <row r="114">
      <c r="A114" t="n">
        <v>93</v>
      </c>
      <c r="B114" s="136" t="n">
        <v>28.77</v>
      </c>
      <c r="C114" s="136" t="n">
        <v>35.52</v>
      </c>
      <c r="D114" s="136" t="n">
        <v>41.39</v>
      </c>
      <c r="E114" s="136" t="n">
        <v>48.59</v>
      </c>
      <c r="F114" s="136" t="n">
        <v>58.9</v>
      </c>
    </row>
    <row r="115">
      <c r="A115" t="n">
        <v>94</v>
      </c>
      <c r="B115" s="136" t="n">
        <v>28.3</v>
      </c>
      <c r="C115" s="136" t="n">
        <v>35.45</v>
      </c>
      <c r="D115" s="136" t="n">
        <v>41.57</v>
      </c>
      <c r="E115" s="136" t="n">
        <v>48.51</v>
      </c>
      <c r="F115" s="136" t="n">
        <v>58.98</v>
      </c>
    </row>
    <row r="116">
      <c r="A116" t="n">
        <v>95</v>
      </c>
      <c r="B116" s="136" t="n">
        <v>28.15</v>
      </c>
      <c r="C116" s="136" t="n">
        <v>35.41</v>
      </c>
      <c r="D116" s="136" t="n">
        <v>41.7</v>
      </c>
      <c r="E116" s="136" t="n">
        <v>48.8</v>
      </c>
      <c r="F116" s="136" t="n">
        <v>58.54</v>
      </c>
    </row>
    <row r="117">
      <c r="A117" t="n">
        <v>96</v>
      </c>
      <c r="B117" s="136" t="n">
        <v>28.03</v>
      </c>
      <c r="C117" s="136" t="n">
        <v>35.31</v>
      </c>
      <c r="D117" s="136" t="n">
        <v>41.62</v>
      </c>
      <c r="E117" s="136" t="n">
        <v>48.55</v>
      </c>
      <c r="F117" s="136" t="n">
        <v>58.57</v>
      </c>
    </row>
    <row r="118">
      <c r="A118" t="n">
        <v>97</v>
      </c>
      <c r="B118" s="136" t="n">
        <v>28.34</v>
      </c>
      <c r="C118" s="136" t="n">
        <v>35.46</v>
      </c>
      <c r="D118" s="136" t="n">
        <v>41.54</v>
      </c>
      <c r="E118" s="136" t="n">
        <v>48.69</v>
      </c>
      <c r="F118" s="136" t="n">
        <v>58.88</v>
      </c>
    </row>
    <row r="119">
      <c r="A119" t="n">
        <v>98</v>
      </c>
      <c r="B119" s="136" t="n">
        <v>28.03</v>
      </c>
      <c r="C119" s="136" t="n">
        <v>35.4</v>
      </c>
      <c r="D119" s="136" t="n">
        <v>41.43</v>
      </c>
      <c r="E119" s="136" t="n">
        <v>48.65</v>
      </c>
      <c r="F119" s="136" t="n">
        <v>58.57</v>
      </c>
    </row>
    <row r="120">
      <c r="A120" t="n">
        <v>99</v>
      </c>
      <c r="B120" s="136" t="n">
        <v>27.85</v>
      </c>
      <c r="C120" s="136" t="n">
        <v>35.23</v>
      </c>
      <c r="D120" s="136" t="n">
        <v>41.35</v>
      </c>
      <c r="E120" s="136" t="n">
        <v>48.76</v>
      </c>
      <c r="F120" s="136" t="n">
        <v>58.81</v>
      </c>
    </row>
    <row r="121">
      <c r="A121" t="n">
        <v>100</v>
      </c>
      <c r="B121" s="136" t="n">
        <v>27.86</v>
      </c>
      <c r="C121" s="136" t="n">
        <v>35.22</v>
      </c>
      <c r="D121" s="136" t="n">
        <v>41.37</v>
      </c>
      <c r="E121" s="136" t="n">
        <v>48.64</v>
      </c>
      <c r="F121" s="136" t="n">
        <v>58.79</v>
      </c>
    </row>
    <row r="122">
      <c r="A122" t="n">
        <v>101</v>
      </c>
      <c r="B122" s="136" t="n">
        <v>27.73</v>
      </c>
      <c r="C122" s="136" t="n">
        <v>35.17</v>
      </c>
      <c r="D122" s="136" t="n">
        <v>41.36</v>
      </c>
      <c r="E122" s="136" t="n">
        <v>48.76</v>
      </c>
      <c r="F122" s="136" t="n">
        <v>59.39</v>
      </c>
    </row>
    <row r="123">
      <c r="A123" t="n">
        <v>102</v>
      </c>
      <c r="B123" s="136" t="n">
        <v>27.7</v>
      </c>
      <c r="C123" s="136" t="n">
        <v>35.21</v>
      </c>
      <c r="D123" s="136" t="n">
        <v>41.2</v>
      </c>
      <c r="E123" s="136" t="n">
        <v>48.64</v>
      </c>
      <c r="F123" s="136" t="n">
        <v>59.41</v>
      </c>
    </row>
    <row r="124">
      <c r="A124" t="n">
        <v>103</v>
      </c>
      <c r="B124" s="136" t="n">
        <v>27.8</v>
      </c>
      <c r="C124" s="136" t="n">
        <v>35.19</v>
      </c>
      <c r="D124" s="136" t="n">
        <v>41.08</v>
      </c>
      <c r="E124" s="136" t="n">
        <v>48.69</v>
      </c>
      <c r="F124" s="136" t="n">
        <v>60.27</v>
      </c>
    </row>
    <row r="125">
      <c r="A125" t="n">
        <v>104</v>
      </c>
      <c r="B125" s="136" t="n">
        <v>27.58</v>
      </c>
      <c r="C125" s="136" t="n">
        <v>35.16</v>
      </c>
      <c r="D125" s="136" t="n">
        <v>41.35</v>
      </c>
      <c r="E125" s="136" t="n">
        <v>48.6</v>
      </c>
      <c r="F125" s="136" t="n">
        <v>60.42</v>
      </c>
    </row>
    <row r="126">
      <c r="A126" t="n">
        <v>105</v>
      </c>
      <c r="B126" s="136" t="n">
        <v>27.41</v>
      </c>
      <c r="C126" s="136" t="n">
        <v>35.12</v>
      </c>
      <c r="D126" s="136" t="n">
        <v>41.34</v>
      </c>
      <c r="E126" s="136" t="n">
        <v>48.69</v>
      </c>
      <c r="F126" s="136" t="n">
        <v>60.29</v>
      </c>
    </row>
    <row r="127">
      <c r="A127" t="n">
        <v>106</v>
      </c>
      <c r="B127" s="136" t="n">
        <v>27.54</v>
      </c>
      <c r="C127" s="136" t="n">
        <v>35.19</v>
      </c>
      <c r="D127" s="136" t="n">
        <v>41.38</v>
      </c>
      <c r="E127" s="136" t="n">
        <v>48.53</v>
      </c>
      <c r="F127" s="136" t="n">
        <v>60.12</v>
      </c>
    </row>
    <row r="128">
      <c r="A128" t="n">
        <v>107</v>
      </c>
      <c r="B128" s="136" t="n">
        <v>27.37</v>
      </c>
      <c r="C128" s="136" t="n">
        <v>35.29</v>
      </c>
      <c r="D128" s="136" t="n">
        <v>41.42</v>
      </c>
      <c r="E128" s="136" t="n">
        <v>48.36</v>
      </c>
      <c r="F128" s="136" t="n">
        <v>60.43</v>
      </c>
    </row>
    <row r="129">
      <c r="A129" t="n">
        <v>108</v>
      </c>
      <c r="B129" s="136" t="n">
        <v>27.31</v>
      </c>
      <c r="C129" s="136" t="n">
        <v>35.42</v>
      </c>
      <c r="D129" s="136" t="n">
        <v>41.51</v>
      </c>
      <c r="E129" s="136" t="n">
        <v>48.56</v>
      </c>
      <c r="F129" s="136" t="n">
        <v>59.84</v>
      </c>
    </row>
    <row r="130">
      <c r="A130" t="n">
        <v>109</v>
      </c>
      <c r="B130" s="136" t="n">
        <v>27.22</v>
      </c>
      <c r="C130" s="136" t="n">
        <v>35.51</v>
      </c>
      <c r="D130" s="136" t="n">
        <v>41.36</v>
      </c>
      <c r="E130" s="136" t="n">
        <v>48.51</v>
      </c>
      <c r="F130" s="136" t="n">
        <v>60.56</v>
      </c>
    </row>
    <row r="131">
      <c r="A131" t="n">
        <v>110</v>
      </c>
      <c r="B131" s="136" t="n">
        <v>27.13</v>
      </c>
      <c r="C131" s="136" t="n">
        <v>35.31</v>
      </c>
      <c r="D131" s="136" t="n">
        <v>41.35</v>
      </c>
      <c r="E131" s="136" t="n">
        <v>48.64</v>
      </c>
      <c r="F131" s="136" t="n">
        <v>60.96</v>
      </c>
    </row>
    <row r="132">
      <c r="A132" t="n">
        <v>111</v>
      </c>
      <c r="B132" s="136" t="n">
        <v>27.12</v>
      </c>
      <c r="C132" s="136" t="n">
        <v>35.28</v>
      </c>
      <c r="D132" s="136" t="n">
        <v>41.36</v>
      </c>
      <c r="E132" s="136" t="n">
        <v>48.62</v>
      </c>
      <c r="F132" s="136" t="n">
        <v>61.08</v>
      </c>
    </row>
    <row r="133">
      <c r="A133" t="n">
        <v>112</v>
      </c>
      <c r="B133" s="136" t="n">
        <v>27.14</v>
      </c>
      <c r="C133" s="136" t="n">
        <v>35.35</v>
      </c>
      <c r="D133" s="136" t="n">
        <v>41.38</v>
      </c>
      <c r="E133" s="136" t="n">
        <v>48.69</v>
      </c>
      <c r="F133" s="136" t="n">
        <v>60.34</v>
      </c>
    </row>
    <row r="134">
      <c r="A134" t="n">
        <v>113</v>
      </c>
      <c r="B134" s="136" t="n">
        <v>27.28</v>
      </c>
      <c r="C134" s="136" t="n">
        <v>35.21</v>
      </c>
      <c r="D134" s="136" t="n">
        <v>41.66</v>
      </c>
      <c r="E134" s="136" t="n">
        <v>48.66</v>
      </c>
      <c r="F134" s="136" t="n">
        <v>61.72</v>
      </c>
    </row>
    <row r="135">
      <c r="A135" t="n">
        <v>114</v>
      </c>
      <c r="B135" s="136" t="n">
        <v>27.03</v>
      </c>
      <c r="C135" s="136" t="n">
        <v>35.24</v>
      </c>
      <c r="D135" s="136" t="n">
        <v>41.44</v>
      </c>
      <c r="E135" s="136" t="n">
        <v>48.77</v>
      </c>
      <c r="F135" s="136" t="n">
        <v>61.84</v>
      </c>
    </row>
    <row r="136">
      <c r="A136" t="n">
        <v>115</v>
      </c>
      <c r="B136" s="136" t="n">
        <v>26.78</v>
      </c>
      <c r="C136" s="136" t="n">
        <v>35.18</v>
      </c>
      <c r="D136" s="136" t="n">
        <v>41.48</v>
      </c>
      <c r="E136" s="136" t="n">
        <v>48.74</v>
      </c>
      <c r="F136" s="136" t="n">
        <v>61.74</v>
      </c>
    </row>
    <row r="137">
      <c r="A137" t="n">
        <v>116</v>
      </c>
      <c r="B137" s="136" t="n">
        <v>26.9</v>
      </c>
      <c r="C137" s="136" t="n">
        <v>35.04</v>
      </c>
      <c r="D137" s="136" t="n">
        <v>41.62</v>
      </c>
      <c r="E137" s="136" t="n">
        <v>48.83</v>
      </c>
      <c r="F137" s="136" t="n">
        <v>62.18</v>
      </c>
    </row>
    <row r="138">
      <c r="A138" t="n">
        <v>117</v>
      </c>
      <c r="B138" s="136" t="n">
        <v>26.7</v>
      </c>
      <c r="C138" s="136" t="n">
        <v>35.18</v>
      </c>
      <c r="D138" s="136" t="n">
        <v>41.7</v>
      </c>
      <c r="E138" s="136" t="n">
        <v>49.39</v>
      </c>
      <c r="F138" s="136" t="n">
        <v>62.03</v>
      </c>
    </row>
    <row r="139">
      <c r="A139" t="n">
        <v>118</v>
      </c>
      <c r="B139" s="136" t="n">
        <v>26.45</v>
      </c>
      <c r="C139" s="136" t="n">
        <v>35.12</v>
      </c>
      <c r="D139" s="136" t="n">
        <v>41.51</v>
      </c>
      <c r="E139" s="136" t="n">
        <v>49.1</v>
      </c>
      <c r="F139" s="136" t="n">
        <v>61.67</v>
      </c>
    </row>
    <row r="140">
      <c r="A140" t="n">
        <v>119</v>
      </c>
      <c r="B140" s="136" t="n">
        <v>26.75</v>
      </c>
      <c r="C140" s="136" t="n">
        <v>34.99</v>
      </c>
      <c r="D140" s="136" t="n">
        <v>41.32</v>
      </c>
      <c r="E140" s="136" t="n">
        <v>49.28</v>
      </c>
      <c r="F140" s="136" t="n">
        <v>63.26</v>
      </c>
    </row>
    <row r="141">
      <c r="A141" t="n">
        <v>120</v>
      </c>
      <c r="B141" s="136" t="n">
        <v>26.51</v>
      </c>
      <c r="C141" s="136" t="n">
        <v>34.8</v>
      </c>
      <c r="D141" s="136" t="n">
        <v>41.41</v>
      </c>
      <c r="E141" s="136" t="n">
        <v>49.34</v>
      </c>
      <c r="F141" s="136" t="n">
        <v>62.51</v>
      </c>
    </row>
    <row r="142">
      <c r="A142" t="n">
        <v>121</v>
      </c>
      <c r="B142" s="136" t="n">
        <v>26.28</v>
      </c>
      <c r="C142" s="136" t="n">
        <v>34.66</v>
      </c>
      <c r="D142" s="136" t="n">
        <v>41.43</v>
      </c>
      <c r="E142" s="136" t="n">
        <v>49.46</v>
      </c>
      <c r="F142" s="136" t="n">
        <v>62.52</v>
      </c>
    </row>
    <row r="143">
      <c r="A143" t="n">
        <v>122</v>
      </c>
      <c r="B143" s="136" t="n">
        <v>26.39</v>
      </c>
      <c r="C143" s="136" t="n">
        <v>34.76</v>
      </c>
      <c r="D143" s="136" t="n">
        <v>41.48</v>
      </c>
      <c r="E143" s="136" t="n">
        <v>49.44</v>
      </c>
      <c r="F143" s="136" t="n">
        <v>62.4</v>
      </c>
    </row>
    <row r="144">
      <c r="A144" t="n">
        <v>123</v>
      </c>
      <c r="B144" s="136" t="n">
        <v>26.36</v>
      </c>
      <c r="C144" s="136" t="n">
        <v>34.75</v>
      </c>
      <c r="D144" s="136" t="n">
        <v>41.43</v>
      </c>
      <c r="E144" s="136" t="n">
        <v>49.39</v>
      </c>
      <c r="F144" s="136" t="n">
        <v>62.81</v>
      </c>
    </row>
    <row r="145">
      <c r="A145" t="n">
        <v>124</v>
      </c>
      <c r="B145" s="136" t="n">
        <v>26.23</v>
      </c>
      <c r="C145" s="136" t="n">
        <v>34.64</v>
      </c>
      <c r="D145" s="136" t="n">
        <v>41.45</v>
      </c>
      <c r="E145" s="136" t="n">
        <v>49.46</v>
      </c>
      <c r="F145" s="136" t="n">
        <v>62.92</v>
      </c>
    </row>
    <row r="146">
      <c r="A146" t="n">
        <v>125</v>
      </c>
      <c r="B146" s="136" t="n">
        <v>25.99</v>
      </c>
      <c r="C146" s="136" t="n">
        <v>34.78</v>
      </c>
      <c r="D146" s="136" t="n">
        <v>41.53</v>
      </c>
      <c r="E146" s="136" t="n">
        <v>49.61</v>
      </c>
      <c r="F146" s="136" t="n">
        <v>63.36</v>
      </c>
    </row>
    <row r="147">
      <c r="A147" t="n">
        <v>126</v>
      </c>
      <c r="B147" s="136" t="n">
        <v>26.34</v>
      </c>
      <c r="C147" s="136" t="n">
        <v>34.55</v>
      </c>
      <c r="D147" s="136" t="n">
        <v>41.66</v>
      </c>
      <c r="E147" s="136" t="n">
        <v>49.93</v>
      </c>
      <c r="F147" s="136" t="n">
        <v>63.57</v>
      </c>
    </row>
    <row r="148">
      <c r="A148" t="n">
        <v>127</v>
      </c>
      <c r="B148" s="136" t="n">
        <v>26.24</v>
      </c>
      <c r="C148" s="136" t="n">
        <v>34.51</v>
      </c>
      <c r="D148" s="136" t="n">
        <v>41.52</v>
      </c>
      <c r="E148" s="136" t="n">
        <v>50.12</v>
      </c>
      <c r="F148" s="136" t="n">
        <v>63.85</v>
      </c>
    </row>
    <row r="149">
      <c r="A149" t="n">
        <v>128</v>
      </c>
      <c r="B149" s="136" t="n">
        <v>26.24</v>
      </c>
      <c r="C149" s="136" t="n">
        <v>34.42</v>
      </c>
      <c r="D149" s="136" t="n">
        <v>41.27</v>
      </c>
      <c r="E149" s="136" t="n">
        <v>49.92</v>
      </c>
      <c r="F149" s="136" t="n">
        <v>63.39</v>
      </c>
    </row>
    <row r="150">
      <c r="A150" t="n">
        <v>129</v>
      </c>
      <c r="B150" s="136" t="n">
        <v>26.21</v>
      </c>
      <c r="C150" s="136" t="n">
        <v>34.31</v>
      </c>
      <c r="D150" s="136" t="n">
        <v>41.45</v>
      </c>
      <c r="E150" s="136" t="n">
        <v>49.97</v>
      </c>
      <c r="F150" s="136" t="n">
        <v>63.23</v>
      </c>
    </row>
    <row r="151">
      <c r="A151" t="n">
        <v>130</v>
      </c>
      <c r="B151" s="136" t="n">
        <v>26.17</v>
      </c>
      <c r="C151" s="136" t="n">
        <v>34.4</v>
      </c>
      <c r="D151" s="136" t="n">
        <v>41.46</v>
      </c>
      <c r="E151" s="136" t="n">
        <v>49.63</v>
      </c>
      <c r="F151" s="136" t="n">
        <v>63.37</v>
      </c>
    </row>
    <row r="152">
      <c r="A152" t="n">
        <v>131</v>
      </c>
      <c r="B152" s="136" t="n">
        <v>26.37</v>
      </c>
      <c r="C152" s="136" t="n">
        <v>34.24</v>
      </c>
      <c r="D152" s="136" t="n">
        <v>41.72</v>
      </c>
      <c r="E152" s="136" t="n">
        <v>49.76</v>
      </c>
      <c r="F152" s="136" t="n">
        <v>62.92</v>
      </c>
    </row>
    <row r="153">
      <c r="A153" t="n">
        <v>132</v>
      </c>
      <c r="B153" s="136" t="n">
        <v>26.59</v>
      </c>
      <c r="C153" s="136" t="n">
        <v>34.22</v>
      </c>
      <c r="D153" s="136" t="n">
        <v>41.48</v>
      </c>
      <c r="E153" s="136" t="n">
        <v>49.73</v>
      </c>
      <c r="F153" s="136" t="n">
        <v>63.89</v>
      </c>
    </row>
    <row r="154">
      <c r="A154" t="n">
        <v>133</v>
      </c>
      <c r="B154" s="136" t="n">
        <v>26.4</v>
      </c>
      <c r="C154" s="136" t="n">
        <v>34.29</v>
      </c>
      <c r="D154" s="136" t="n">
        <v>41.5</v>
      </c>
      <c r="E154" s="136" t="n">
        <v>49.62</v>
      </c>
      <c r="F154" s="136" t="n">
        <v>63.82</v>
      </c>
    </row>
    <row r="155">
      <c r="A155" t="n">
        <v>134</v>
      </c>
      <c r="B155" s="136" t="n">
        <v>26.09</v>
      </c>
      <c r="C155" s="136" t="n">
        <v>34.36</v>
      </c>
      <c r="D155" s="136" t="n">
        <v>41.55</v>
      </c>
      <c r="E155" s="136" t="n">
        <v>49.45</v>
      </c>
      <c r="F155" s="136" t="n">
        <v>64.48999999999999</v>
      </c>
    </row>
    <row r="156">
      <c r="A156" t="n">
        <v>135</v>
      </c>
      <c r="B156" s="136" t="n">
        <v>26.17</v>
      </c>
      <c r="C156" s="136" t="n">
        <v>34.37</v>
      </c>
      <c r="D156" s="136" t="n">
        <v>41.65</v>
      </c>
      <c r="E156" s="136" t="n">
        <v>49.63</v>
      </c>
      <c r="F156" s="136" t="n">
        <v>64.37</v>
      </c>
    </row>
    <row r="157">
      <c r="A157" t="n">
        <v>136</v>
      </c>
      <c r="B157" s="136" t="n">
        <v>26.05</v>
      </c>
      <c r="C157" s="136" t="n">
        <v>34.43</v>
      </c>
      <c r="D157" s="136" t="n">
        <v>41.74</v>
      </c>
      <c r="E157" s="136" t="n">
        <v>49.81</v>
      </c>
      <c r="F157" s="136" t="n">
        <v>64.48</v>
      </c>
    </row>
    <row r="158">
      <c r="A158" t="n">
        <v>137</v>
      </c>
      <c r="B158" s="136" t="n">
        <v>25.81</v>
      </c>
      <c r="C158" s="136" t="n">
        <v>34.39</v>
      </c>
      <c r="D158" s="136" t="n">
        <v>41.68</v>
      </c>
      <c r="E158" s="136" t="n">
        <v>49.86</v>
      </c>
      <c r="F158" s="136" t="n">
        <v>65</v>
      </c>
    </row>
    <row r="159">
      <c r="A159" t="n">
        <v>138</v>
      </c>
      <c r="B159" s="136" t="n">
        <v>25.99</v>
      </c>
      <c r="C159" s="136" t="n">
        <v>34.52</v>
      </c>
      <c r="D159" s="136" t="n">
        <v>41.6</v>
      </c>
      <c r="E159" s="136" t="n">
        <v>49.8</v>
      </c>
      <c r="F159" s="136" t="n">
        <v>65.25</v>
      </c>
    </row>
    <row r="160">
      <c r="A160" t="n">
        <v>139</v>
      </c>
      <c r="B160" s="136" t="n">
        <v>26.02</v>
      </c>
      <c r="C160" s="136" t="n">
        <v>34.22</v>
      </c>
      <c r="D160" s="136" t="n">
        <v>41.67</v>
      </c>
      <c r="E160" s="136" t="n">
        <v>49.8</v>
      </c>
      <c r="F160" s="136" t="n">
        <v>65.8</v>
      </c>
    </row>
    <row r="161">
      <c r="A161" t="n">
        <v>140</v>
      </c>
      <c r="B161" s="136" t="n">
        <v>26.11</v>
      </c>
      <c r="C161" s="136" t="n">
        <v>34.31</v>
      </c>
      <c r="D161" s="136" t="n">
        <v>41.77</v>
      </c>
      <c r="E161" s="136" t="n">
        <v>49.66</v>
      </c>
      <c r="F161" s="136" t="n">
        <v>65.77</v>
      </c>
    </row>
    <row r="162">
      <c r="A162" t="n">
        <v>141</v>
      </c>
      <c r="B162" s="136" t="n">
        <v>25.86</v>
      </c>
      <c r="C162" s="136" t="n">
        <v>34.15</v>
      </c>
      <c r="D162" s="136" t="n">
        <v>41.53</v>
      </c>
      <c r="E162" s="136" t="n">
        <v>49.62</v>
      </c>
      <c r="F162" s="136" t="n">
        <v>65.56999999999999</v>
      </c>
    </row>
    <row r="163">
      <c r="A163" t="n">
        <v>142</v>
      </c>
      <c r="B163" s="136" t="n">
        <v>25.83</v>
      </c>
      <c r="C163" s="136" t="n">
        <v>34.31</v>
      </c>
      <c r="D163" s="136" t="n">
        <v>41.65</v>
      </c>
      <c r="E163" s="136" t="n">
        <v>49.68</v>
      </c>
      <c r="F163" s="136" t="n">
        <v>65.43000000000001</v>
      </c>
    </row>
    <row r="164">
      <c r="A164" t="n">
        <v>143</v>
      </c>
      <c r="B164" s="136" t="n">
        <v>26.03</v>
      </c>
      <c r="C164" s="136" t="n">
        <v>34.24</v>
      </c>
      <c r="D164" s="136" t="n">
        <v>41.83</v>
      </c>
      <c r="E164" s="136" t="n">
        <v>49.68</v>
      </c>
      <c r="F164" s="136" t="n">
        <v>65.83</v>
      </c>
    </row>
    <row r="165">
      <c r="A165" t="n">
        <v>144</v>
      </c>
      <c r="B165" s="136" t="n">
        <v>26.01</v>
      </c>
      <c r="C165" s="136" t="n">
        <v>34.09</v>
      </c>
      <c r="D165" s="136" t="n">
        <v>41.75</v>
      </c>
      <c r="E165" s="136" t="n">
        <v>49.76</v>
      </c>
      <c r="F165" s="136" t="n">
        <v>65.56999999999999</v>
      </c>
    </row>
    <row r="166">
      <c r="A166" t="n">
        <v>145</v>
      </c>
      <c r="B166" s="136" t="n">
        <v>25.86</v>
      </c>
      <c r="C166" s="136" t="n">
        <v>34.06</v>
      </c>
      <c r="D166" s="136" t="n">
        <v>41.7</v>
      </c>
      <c r="E166" s="136" t="n">
        <v>49.78</v>
      </c>
      <c r="F166" s="136" t="n">
        <v>65.14</v>
      </c>
    </row>
    <row r="167">
      <c r="A167" t="n">
        <v>146</v>
      </c>
      <c r="B167" s="136" t="n">
        <v>26.05</v>
      </c>
      <c r="C167" s="136" t="n">
        <v>34.16</v>
      </c>
      <c r="D167" s="136" t="n">
        <v>41.63</v>
      </c>
      <c r="E167" s="136" t="n">
        <v>50.01</v>
      </c>
      <c r="F167" s="136" t="n">
        <v>65.94</v>
      </c>
    </row>
    <row r="168">
      <c r="A168" t="n">
        <v>147</v>
      </c>
      <c r="B168" s="136" t="n">
        <v>26</v>
      </c>
      <c r="C168" s="136" t="n">
        <v>33.98</v>
      </c>
      <c r="D168" s="136" t="n">
        <v>41.59</v>
      </c>
      <c r="E168" s="136" t="n">
        <v>49.97</v>
      </c>
      <c r="F168" s="136" t="n">
        <v>66.70999999999999</v>
      </c>
    </row>
    <row r="169">
      <c r="A169" t="n">
        <v>148</v>
      </c>
      <c r="B169" s="136" t="n">
        <v>25.87</v>
      </c>
      <c r="C169" s="136" t="n">
        <v>34.23</v>
      </c>
      <c r="D169" s="136" t="n">
        <v>41.45</v>
      </c>
      <c r="E169" s="136" t="n">
        <v>49.91</v>
      </c>
      <c r="F169" s="136" t="n">
        <v>66.16</v>
      </c>
    </row>
    <row r="170">
      <c r="A170" t="n">
        <v>149</v>
      </c>
      <c r="B170" s="136" t="n">
        <v>25.97</v>
      </c>
      <c r="C170" s="136" t="n">
        <v>34.08</v>
      </c>
      <c r="D170" s="136" t="n">
        <v>41.45</v>
      </c>
      <c r="E170" s="136" t="n">
        <v>49.87</v>
      </c>
      <c r="F170" s="136" t="n">
        <v>66.56999999999999</v>
      </c>
    </row>
    <row r="171">
      <c r="A171" t="n">
        <v>150</v>
      </c>
      <c r="B171" s="136" t="n">
        <v>25.91</v>
      </c>
      <c r="C171" s="136" t="n">
        <v>33.9</v>
      </c>
      <c r="D171" s="136" t="n">
        <v>41.51</v>
      </c>
      <c r="E171" s="136" t="n">
        <v>49.69</v>
      </c>
      <c r="F171" s="136" t="n">
        <v>66.55</v>
      </c>
    </row>
    <row r="172">
      <c r="A172" t="n">
        <v>151</v>
      </c>
      <c r="B172" s="136" t="n">
        <v>26.01</v>
      </c>
      <c r="C172" s="136" t="n">
        <v>33.92</v>
      </c>
      <c r="D172" s="136" t="n">
        <v>41.61</v>
      </c>
      <c r="E172" s="136" t="n">
        <v>49.9</v>
      </c>
      <c r="F172" s="136" t="n">
        <v>66.64</v>
      </c>
    </row>
    <row r="173">
      <c r="A173" t="n">
        <v>152</v>
      </c>
      <c r="B173" s="136" t="n">
        <v>25.94</v>
      </c>
      <c r="C173" s="136" t="n">
        <v>33.78</v>
      </c>
      <c r="D173" s="136" t="n">
        <v>41.56</v>
      </c>
      <c r="E173" s="136" t="n">
        <v>49.9</v>
      </c>
      <c r="F173" s="136" t="n">
        <v>66.16</v>
      </c>
    </row>
    <row r="174">
      <c r="A174" t="n">
        <v>153</v>
      </c>
      <c r="B174" s="136" t="n">
        <v>25.84</v>
      </c>
      <c r="C174" s="136" t="n">
        <v>34.15</v>
      </c>
      <c r="D174" s="136" t="n">
        <v>41.68</v>
      </c>
      <c r="E174" s="136" t="n">
        <v>50.2</v>
      </c>
      <c r="F174" s="136" t="n">
        <v>66.52</v>
      </c>
    </row>
    <row r="175">
      <c r="A175" t="n">
        <v>154</v>
      </c>
      <c r="B175" s="136" t="n">
        <v>25.54</v>
      </c>
      <c r="C175" s="136" t="n">
        <v>34.11</v>
      </c>
      <c r="D175" s="136" t="n">
        <v>41.56</v>
      </c>
      <c r="E175" s="136" t="n">
        <v>50.66</v>
      </c>
      <c r="F175" s="136" t="n">
        <v>66.04000000000001</v>
      </c>
    </row>
    <row r="176">
      <c r="A176" t="n">
        <v>155</v>
      </c>
      <c r="B176" s="136" t="n">
        <v>25.51</v>
      </c>
      <c r="C176" s="136" t="n">
        <v>34.03</v>
      </c>
      <c r="D176" s="136" t="n">
        <v>41.35</v>
      </c>
      <c r="E176" s="136" t="n">
        <v>50.2</v>
      </c>
      <c r="F176" s="136" t="n">
        <v>66.77</v>
      </c>
    </row>
    <row r="177">
      <c r="A177" t="n">
        <v>156</v>
      </c>
      <c r="B177" s="136" t="n">
        <v>25.7</v>
      </c>
      <c r="C177" s="136" t="n">
        <v>33.84</v>
      </c>
      <c r="D177" s="136" t="n">
        <v>41.47</v>
      </c>
      <c r="E177" s="136" t="n">
        <v>50.55</v>
      </c>
      <c r="F177" s="136" t="n">
        <v>66.81999999999999</v>
      </c>
    </row>
    <row r="178">
      <c r="A178" t="n">
        <v>157</v>
      </c>
      <c r="B178" s="136" t="n">
        <v>25.7</v>
      </c>
      <c r="C178" s="136" t="n">
        <v>33.76</v>
      </c>
      <c r="D178" s="136" t="n">
        <v>41.09</v>
      </c>
      <c r="E178" s="136" t="n">
        <v>51.13</v>
      </c>
      <c r="F178" s="136" t="n">
        <v>66.67</v>
      </c>
    </row>
    <row r="179">
      <c r="A179" t="n">
        <v>158</v>
      </c>
      <c r="B179" s="136" t="n">
        <v>25.74</v>
      </c>
      <c r="C179" s="136" t="n">
        <v>33.74</v>
      </c>
      <c r="D179" s="136" t="n">
        <v>41.33</v>
      </c>
      <c r="E179" s="136" t="n">
        <v>51</v>
      </c>
      <c r="F179" s="136" t="n">
        <v>66.47</v>
      </c>
    </row>
    <row r="180">
      <c r="A180" t="n">
        <v>159</v>
      </c>
      <c r="B180" s="136" t="n">
        <v>25.86</v>
      </c>
      <c r="C180" s="136" t="n">
        <v>33.82</v>
      </c>
      <c r="D180" s="136" t="n">
        <v>41.46</v>
      </c>
      <c r="E180" s="136" t="n">
        <v>51.15</v>
      </c>
      <c r="F180" s="136" t="n">
        <v>66.5</v>
      </c>
    </row>
    <row r="181">
      <c r="A181" t="n">
        <v>160</v>
      </c>
      <c r="B181" s="136" t="n">
        <v>25.79</v>
      </c>
      <c r="C181" s="136" t="n">
        <v>33.8</v>
      </c>
      <c r="D181" s="136" t="n">
        <v>41.39</v>
      </c>
      <c r="E181" s="136" t="n">
        <v>51.14</v>
      </c>
      <c r="F181" s="136" t="n">
        <v>67.29000000000001</v>
      </c>
    </row>
    <row r="182">
      <c r="A182" t="n">
        <v>161</v>
      </c>
      <c r="B182" s="136" t="n">
        <v>25.7</v>
      </c>
      <c r="C182" s="136" t="n">
        <v>33.74</v>
      </c>
      <c r="D182" s="136" t="n">
        <v>41.3</v>
      </c>
      <c r="E182" s="136" t="n">
        <v>51.32</v>
      </c>
      <c r="F182" s="136" t="n">
        <v>67.18000000000001</v>
      </c>
    </row>
    <row r="183">
      <c r="A183" t="n">
        <v>162</v>
      </c>
      <c r="B183" s="136" t="n">
        <v>25.72</v>
      </c>
      <c r="C183" s="136" t="n">
        <v>33.56</v>
      </c>
      <c r="D183" s="136" t="n">
        <v>41.45</v>
      </c>
      <c r="E183" s="136" t="n">
        <v>51.09</v>
      </c>
      <c r="F183" s="136" t="n">
        <v>67.25</v>
      </c>
    </row>
    <row r="184">
      <c r="A184" t="n">
        <v>163</v>
      </c>
      <c r="B184" s="136" t="n">
        <v>25.6</v>
      </c>
      <c r="C184" s="136" t="n">
        <v>33.6</v>
      </c>
      <c r="D184" s="136" t="n">
        <v>41.43</v>
      </c>
      <c r="E184" s="136" t="n">
        <v>51.12</v>
      </c>
      <c r="F184" s="136" t="n">
        <v>67.36</v>
      </c>
    </row>
    <row r="185">
      <c r="A185" t="n">
        <v>164</v>
      </c>
      <c r="B185" s="136" t="n">
        <v>25.63</v>
      </c>
      <c r="C185" s="136" t="n">
        <v>33.79</v>
      </c>
      <c r="D185" s="136" t="n">
        <v>41.18</v>
      </c>
      <c r="E185" s="136" t="n">
        <v>51.43</v>
      </c>
      <c r="F185" s="136" t="n">
        <v>67.19</v>
      </c>
    </row>
    <row r="186">
      <c r="A186" t="n">
        <v>165</v>
      </c>
      <c r="B186" s="136" t="n">
        <v>25.54</v>
      </c>
      <c r="C186" s="136" t="n">
        <v>33.76</v>
      </c>
      <c r="D186" s="136" t="n">
        <v>41.32</v>
      </c>
      <c r="E186" s="136" t="n">
        <v>51.46</v>
      </c>
      <c r="F186" s="136" t="n">
        <v>68.56</v>
      </c>
    </row>
    <row r="187">
      <c r="A187" t="n">
        <v>166</v>
      </c>
      <c r="B187" s="136" t="n">
        <v>25.36</v>
      </c>
      <c r="C187" s="136" t="n">
        <v>34</v>
      </c>
      <c r="D187" s="136" t="n">
        <v>41.29</v>
      </c>
      <c r="E187" s="136" t="n">
        <v>51.42</v>
      </c>
      <c r="F187" s="136" t="n">
        <v>67.65000000000001</v>
      </c>
    </row>
    <row r="188">
      <c r="A188" t="n">
        <v>167</v>
      </c>
      <c r="B188" s="136" t="n">
        <v>25.38</v>
      </c>
      <c r="C188" s="136" t="n">
        <v>33.83</v>
      </c>
      <c r="D188" s="136" t="n">
        <v>41.41</v>
      </c>
      <c r="E188" s="136" t="n">
        <v>51.38</v>
      </c>
      <c r="F188" s="136" t="n">
        <v>67.77</v>
      </c>
    </row>
    <row r="189">
      <c r="A189" t="n">
        <v>168</v>
      </c>
      <c r="B189" s="136" t="n">
        <v>25.2</v>
      </c>
      <c r="C189" s="136" t="n">
        <v>33.81</v>
      </c>
      <c r="D189" s="136" t="n">
        <v>41.47</v>
      </c>
      <c r="E189" s="136" t="n">
        <v>51.39</v>
      </c>
      <c r="F189" s="136" t="n">
        <v>67.73999999999999</v>
      </c>
    </row>
    <row r="190">
      <c r="A190" t="n">
        <v>169</v>
      </c>
      <c r="B190" s="136" t="n">
        <v>25.15</v>
      </c>
      <c r="C190" s="136" t="n">
        <v>33.74</v>
      </c>
      <c r="D190" s="136" t="n">
        <v>41.57</v>
      </c>
      <c r="E190" s="136" t="n">
        <v>51.39</v>
      </c>
      <c r="F190" s="136" t="n">
        <v>68.28</v>
      </c>
    </row>
    <row r="191">
      <c r="A191" t="n">
        <v>170</v>
      </c>
      <c r="B191" s="136" t="n">
        <v>25.09</v>
      </c>
      <c r="C191" s="136" t="n">
        <v>33.77</v>
      </c>
      <c r="D191" s="136" t="n">
        <v>41.43</v>
      </c>
      <c r="E191" s="136" t="n">
        <v>51.46</v>
      </c>
      <c r="F191" s="136" t="n">
        <v>67.67</v>
      </c>
    </row>
    <row r="192">
      <c r="A192" t="n">
        <v>171</v>
      </c>
      <c r="B192" s="136" t="n">
        <v>24.99</v>
      </c>
      <c r="C192" s="136" t="n">
        <v>33.9</v>
      </c>
      <c r="D192" s="136" t="n">
        <v>41.45</v>
      </c>
      <c r="E192" s="136" t="n">
        <v>51.79</v>
      </c>
      <c r="F192" s="136" t="n">
        <v>67.53</v>
      </c>
    </row>
    <row r="193">
      <c r="A193" t="n">
        <v>172</v>
      </c>
      <c r="B193" s="136" t="n">
        <v>25.18</v>
      </c>
      <c r="C193" s="136" t="n">
        <v>34.12</v>
      </c>
      <c r="D193" s="136" t="n">
        <v>41.58</v>
      </c>
      <c r="E193" s="136" t="n">
        <v>51.87</v>
      </c>
      <c r="F193" s="136" t="n">
        <v>67.29000000000001</v>
      </c>
    </row>
    <row r="194">
      <c r="A194" t="n">
        <v>173</v>
      </c>
      <c r="B194" s="136" t="n">
        <v>25.13</v>
      </c>
      <c r="C194" s="136" t="n">
        <v>34.07</v>
      </c>
      <c r="D194" s="136" t="n">
        <v>41.48</v>
      </c>
      <c r="E194" s="136" t="n">
        <v>52.07</v>
      </c>
      <c r="F194" s="136" t="n">
        <v>67.56999999999999</v>
      </c>
    </row>
    <row r="195">
      <c r="A195" t="n">
        <v>174</v>
      </c>
      <c r="B195" s="136" t="n">
        <v>25.27</v>
      </c>
      <c r="C195" s="136" t="n">
        <v>33.94</v>
      </c>
      <c r="D195" s="136" t="n">
        <v>41.44</v>
      </c>
      <c r="E195" s="136" t="n">
        <v>52.05</v>
      </c>
      <c r="F195" s="136" t="n">
        <v>67.67</v>
      </c>
    </row>
    <row r="196">
      <c r="A196" t="n">
        <v>175</v>
      </c>
      <c r="B196" s="136" t="n">
        <v>25.21</v>
      </c>
      <c r="C196" s="136" t="n">
        <v>34.01</v>
      </c>
      <c r="D196" s="136" t="n">
        <v>41.51</v>
      </c>
      <c r="E196" s="136" t="n">
        <v>52.3</v>
      </c>
      <c r="F196" s="136" t="n">
        <v>69.31</v>
      </c>
    </row>
    <row r="197">
      <c r="A197" t="n">
        <v>176</v>
      </c>
      <c r="B197" s="136" t="n">
        <v>25.34</v>
      </c>
      <c r="C197" s="136" t="n">
        <v>34.08</v>
      </c>
      <c r="D197" s="136" t="n">
        <v>41.66</v>
      </c>
      <c r="E197" s="136" t="n">
        <v>52.35</v>
      </c>
      <c r="F197" s="136" t="n">
        <v>68.28</v>
      </c>
    </row>
    <row r="198">
      <c r="A198" t="n">
        <v>177</v>
      </c>
      <c r="B198" s="136" t="n">
        <v>25.67</v>
      </c>
      <c r="C198" s="136" t="n">
        <v>34</v>
      </c>
      <c r="D198" s="136" t="n">
        <v>41.71</v>
      </c>
      <c r="E198" s="136" t="n">
        <v>51.97</v>
      </c>
      <c r="F198" s="136" t="n">
        <v>69.23999999999999</v>
      </c>
    </row>
    <row r="199">
      <c r="A199" t="n">
        <v>178</v>
      </c>
      <c r="B199" s="136" t="n">
        <v>25.39</v>
      </c>
      <c r="C199" s="136" t="n">
        <v>33.91</v>
      </c>
      <c r="D199" s="136" t="n">
        <v>41.65</v>
      </c>
      <c r="E199" s="136" t="n">
        <v>52.2</v>
      </c>
      <c r="F199" s="136" t="n">
        <v>68.59</v>
      </c>
    </row>
    <row r="200">
      <c r="A200" t="n">
        <v>179</v>
      </c>
      <c r="B200" s="136" t="n">
        <v>25.47</v>
      </c>
      <c r="C200" s="136" t="n">
        <v>33.79</v>
      </c>
      <c r="D200" s="136" t="n">
        <v>41.78</v>
      </c>
      <c r="E200" s="136" t="n">
        <v>52.06</v>
      </c>
      <c r="F200" s="136" t="n">
        <v>69.68000000000001</v>
      </c>
    </row>
    <row r="201">
      <c r="A201" t="n">
        <v>180</v>
      </c>
      <c r="B201" s="136" t="n">
        <v>25.41</v>
      </c>
      <c r="C201" s="136" t="n">
        <v>33.85</v>
      </c>
      <c r="D201" s="136" t="n">
        <v>41.66</v>
      </c>
      <c r="E201" s="136" t="n">
        <v>52.09</v>
      </c>
      <c r="F201" s="136" t="n">
        <v>68.95</v>
      </c>
    </row>
    <row r="202">
      <c r="A202" t="n">
        <v>181</v>
      </c>
      <c r="B202" s="136" t="n">
        <v>25.49</v>
      </c>
      <c r="C202" s="136" t="n">
        <v>33.86</v>
      </c>
      <c r="D202" s="136" t="n">
        <v>41.83</v>
      </c>
      <c r="E202" s="136" t="n">
        <v>52.34</v>
      </c>
      <c r="F202" s="136" t="n">
        <v>69.38</v>
      </c>
    </row>
    <row r="203">
      <c r="A203" t="n">
        <v>182</v>
      </c>
      <c r="B203" s="136" t="n">
        <v>25.28</v>
      </c>
      <c r="C203" s="136" t="n">
        <v>33.81</v>
      </c>
      <c r="D203" s="136" t="n">
        <v>42.18</v>
      </c>
      <c r="E203" s="136" t="n">
        <v>52.17</v>
      </c>
      <c r="F203" s="136" t="n">
        <v>69.54000000000001</v>
      </c>
    </row>
    <row r="204">
      <c r="A204" t="n">
        <v>183</v>
      </c>
      <c r="B204" s="136" t="n">
        <v>25.29</v>
      </c>
      <c r="C204" s="136" t="n">
        <v>33.84</v>
      </c>
      <c r="D204" s="136" t="n">
        <v>42.22</v>
      </c>
      <c r="E204" s="136" t="n">
        <v>52.03</v>
      </c>
      <c r="F204" s="136" t="n">
        <v>69.61</v>
      </c>
    </row>
    <row r="205">
      <c r="A205" t="n">
        <v>184</v>
      </c>
      <c r="B205" s="136" t="n">
        <v>25.48</v>
      </c>
      <c r="C205" s="136" t="n">
        <v>33.76</v>
      </c>
      <c r="D205" s="136" t="n">
        <v>42.23</v>
      </c>
      <c r="E205" s="136" t="n">
        <v>52.03</v>
      </c>
      <c r="F205" s="136" t="n">
        <v>69.44</v>
      </c>
    </row>
    <row r="206">
      <c r="A206" t="n">
        <v>185</v>
      </c>
      <c r="B206" s="136" t="n">
        <v>25.52</v>
      </c>
      <c r="C206" s="136" t="n">
        <v>33.87</v>
      </c>
      <c r="D206" s="136" t="n">
        <v>42.29</v>
      </c>
      <c r="E206" s="136" t="n">
        <v>52.22</v>
      </c>
      <c r="F206" s="136" t="n">
        <v>69.45</v>
      </c>
    </row>
    <row r="207">
      <c r="A207" t="n">
        <v>186</v>
      </c>
      <c r="B207" s="136" t="n">
        <v>25.46</v>
      </c>
      <c r="C207" s="136" t="n">
        <v>33.6</v>
      </c>
      <c r="D207" s="136" t="n">
        <v>42.42</v>
      </c>
      <c r="E207" s="136" t="n">
        <v>52.36</v>
      </c>
      <c r="F207" s="136" t="n">
        <v>69.43000000000001</v>
      </c>
    </row>
    <row r="208">
      <c r="A208" t="n">
        <v>187</v>
      </c>
      <c r="B208" s="136" t="n">
        <v>25.11</v>
      </c>
      <c r="C208" s="136" t="n">
        <v>33.75</v>
      </c>
      <c r="D208" s="136" t="n">
        <v>42.6</v>
      </c>
      <c r="E208" s="136" t="n">
        <v>52.13</v>
      </c>
      <c r="F208" s="136" t="n">
        <v>70.15000000000001</v>
      </c>
    </row>
    <row r="209">
      <c r="A209" t="n">
        <v>188</v>
      </c>
      <c r="B209" s="136" t="n">
        <v>24.95</v>
      </c>
      <c r="C209" s="136" t="n">
        <v>33.76</v>
      </c>
      <c r="D209" s="136" t="n">
        <v>42.28</v>
      </c>
      <c r="E209" s="136" t="n">
        <v>52.14</v>
      </c>
      <c r="F209" s="136" t="n">
        <v>70.70999999999999</v>
      </c>
    </row>
    <row r="210">
      <c r="A210" t="n">
        <v>189</v>
      </c>
      <c r="B210" s="136" t="n">
        <v>24.86</v>
      </c>
      <c r="C210" s="136" t="n">
        <v>33.89</v>
      </c>
      <c r="D210" s="136" t="n">
        <v>42.2</v>
      </c>
      <c r="E210" s="136" t="n">
        <v>52.54</v>
      </c>
      <c r="F210" s="136" t="n">
        <v>70.18000000000001</v>
      </c>
    </row>
    <row r="211">
      <c r="A211" t="n">
        <v>190</v>
      </c>
      <c r="B211" s="136" t="n">
        <v>25.19</v>
      </c>
      <c r="C211" s="136" t="n">
        <v>33.86</v>
      </c>
      <c r="D211" s="136" t="n">
        <v>41.67</v>
      </c>
      <c r="E211" s="136" t="n">
        <v>52.07</v>
      </c>
      <c r="F211" s="136" t="n">
        <v>70.68000000000001</v>
      </c>
    </row>
    <row r="212">
      <c r="A212" t="n">
        <v>191</v>
      </c>
      <c r="B212" s="136" t="n">
        <v>24.92</v>
      </c>
      <c r="C212" s="136" t="n">
        <v>33.94</v>
      </c>
      <c r="D212" s="136" t="n">
        <v>41.81</v>
      </c>
      <c r="E212" s="136" t="n">
        <v>51.96</v>
      </c>
      <c r="F212" s="136" t="n">
        <v>71.5</v>
      </c>
    </row>
    <row r="213">
      <c r="A213" t="n">
        <v>192</v>
      </c>
      <c r="B213" s="136" t="n">
        <v>24.96</v>
      </c>
      <c r="C213" s="136" t="n">
        <v>33.9</v>
      </c>
      <c r="D213" s="136" t="n">
        <v>41.59</v>
      </c>
      <c r="E213" s="136" t="n">
        <v>51.64</v>
      </c>
      <c r="F213" s="136" t="n">
        <v>71.28</v>
      </c>
    </row>
    <row r="214">
      <c r="A214" t="n">
        <v>193</v>
      </c>
      <c r="B214" s="136" t="n">
        <v>25.14</v>
      </c>
      <c r="C214" s="136" t="n">
        <v>33.78</v>
      </c>
      <c r="D214" s="136" t="n">
        <v>41.87</v>
      </c>
      <c r="E214" s="136" t="n">
        <v>52.06</v>
      </c>
      <c r="F214" s="136" t="n">
        <v>71.64</v>
      </c>
    </row>
    <row r="215">
      <c r="A215" t="n">
        <v>194</v>
      </c>
      <c r="B215" s="136" t="n">
        <v>25.14</v>
      </c>
      <c r="C215" s="136" t="n">
        <v>33.62</v>
      </c>
      <c r="D215" s="136" t="n">
        <v>41.79</v>
      </c>
      <c r="E215" s="136" t="n">
        <v>51.87</v>
      </c>
      <c r="F215" s="136" t="n">
        <v>71.56999999999999</v>
      </c>
    </row>
    <row r="216">
      <c r="A216" t="n">
        <v>195</v>
      </c>
      <c r="B216" s="136" t="n">
        <v>25.01</v>
      </c>
      <c r="C216" s="136" t="n">
        <v>33.64</v>
      </c>
      <c r="D216" s="136" t="n">
        <v>41.77</v>
      </c>
      <c r="E216" s="136" t="n">
        <v>51.74</v>
      </c>
      <c r="F216" s="136" t="n">
        <v>71.90000000000001</v>
      </c>
    </row>
    <row r="217">
      <c r="A217" t="n">
        <v>196</v>
      </c>
      <c r="B217" s="136" t="n">
        <v>24.92</v>
      </c>
      <c r="C217" s="136" t="n">
        <v>33.45</v>
      </c>
      <c r="D217" s="136" t="n">
        <v>42.01</v>
      </c>
      <c r="E217" s="136" t="n">
        <v>52.15</v>
      </c>
      <c r="F217" s="136" t="n">
        <v>72.27</v>
      </c>
    </row>
    <row r="218">
      <c r="A218" t="n">
        <v>197</v>
      </c>
      <c r="B218" s="136" t="n">
        <v>25.1</v>
      </c>
      <c r="C218" s="136" t="n">
        <v>33.56</v>
      </c>
      <c r="D218" s="136" t="n">
        <v>41.82</v>
      </c>
      <c r="E218" s="136" t="n">
        <v>52.09</v>
      </c>
      <c r="F218" s="136" t="n">
        <v>72.81</v>
      </c>
    </row>
    <row r="219">
      <c r="A219" t="n">
        <v>198</v>
      </c>
      <c r="B219" s="136" t="n">
        <v>24.88</v>
      </c>
      <c r="C219" s="136" t="n">
        <v>33.78</v>
      </c>
      <c r="D219" s="136" t="n">
        <v>41.95</v>
      </c>
      <c r="E219" s="136" t="n">
        <v>52.15</v>
      </c>
      <c r="F219" s="136" t="n">
        <v>72.62</v>
      </c>
    </row>
    <row r="220">
      <c r="A220" t="n">
        <v>199</v>
      </c>
      <c r="B220" s="136" t="n">
        <v>25.11</v>
      </c>
      <c r="C220" s="136" t="n">
        <v>33.48</v>
      </c>
      <c r="D220" s="136" t="n">
        <v>41.92</v>
      </c>
      <c r="E220" s="136" t="n">
        <v>52.32</v>
      </c>
      <c r="F220" s="136" t="n">
        <v>72.45</v>
      </c>
    </row>
    <row r="221">
      <c r="A221" t="n">
        <v>200</v>
      </c>
      <c r="B221" s="136" t="n">
        <v>24.86</v>
      </c>
      <c r="C221" s="136" t="n">
        <v>33.43</v>
      </c>
      <c r="D221" s="136" t="n">
        <v>41.96</v>
      </c>
      <c r="E221" s="136" t="n">
        <v>52.18</v>
      </c>
      <c r="F221" s="136" t="n">
        <v>73.43000000000001</v>
      </c>
    </row>
    <row r="222">
      <c r="A222" t="n">
        <v>201</v>
      </c>
      <c r="B222" s="136" t="n">
        <v>24.96</v>
      </c>
      <c r="C222" s="136" t="n">
        <v>33.36</v>
      </c>
      <c r="D222" s="136" t="n">
        <v>41.88</v>
      </c>
      <c r="E222" s="136" t="n">
        <v>51.96</v>
      </c>
      <c r="F222" s="136" t="n">
        <v>73</v>
      </c>
    </row>
    <row r="223">
      <c r="A223" t="n">
        <v>202</v>
      </c>
      <c r="B223" s="136" t="n">
        <v>24.88</v>
      </c>
      <c r="C223" s="136" t="n">
        <v>33.27</v>
      </c>
      <c r="D223" s="136" t="n">
        <v>41.95</v>
      </c>
      <c r="E223" s="136" t="n">
        <v>51.98</v>
      </c>
      <c r="F223" s="136" t="n">
        <v>72.61</v>
      </c>
    </row>
    <row r="224">
      <c r="A224" t="n">
        <v>203</v>
      </c>
      <c r="B224" s="136" t="n">
        <v>24.88</v>
      </c>
      <c r="C224" s="136" t="n">
        <v>33.33</v>
      </c>
      <c r="D224" s="136" t="n">
        <v>41.87</v>
      </c>
      <c r="E224" s="136" t="n">
        <v>52.3</v>
      </c>
      <c r="F224" s="136" t="n">
        <v>72</v>
      </c>
    </row>
    <row r="225">
      <c r="A225" t="n">
        <v>204</v>
      </c>
      <c r="B225" s="136" t="n">
        <v>25.07</v>
      </c>
      <c r="C225" s="136" t="n">
        <v>33.39</v>
      </c>
      <c r="D225" s="136" t="n">
        <v>41.92</v>
      </c>
      <c r="E225" s="136" t="n">
        <v>51.94</v>
      </c>
      <c r="F225" s="136" t="n">
        <v>72.11</v>
      </c>
    </row>
    <row r="226">
      <c r="A226" t="n">
        <v>205</v>
      </c>
      <c r="B226" s="136" t="n">
        <v>25.1</v>
      </c>
      <c r="C226" s="136" t="n">
        <v>33.39</v>
      </c>
      <c r="D226" s="136" t="n">
        <v>42.03</v>
      </c>
      <c r="E226" s="136" t="n">
        <v>52.05</v>
      </c>
      <c r="F226" s="136" t="n">
        <v>72.48999999999999</v>
      </c>
    </row>
    <row r="227">
      <c r="A227" t="n">
        <v>206</v>
      </c>
      <c r="B227" s="136" t="n">
        <v>25</v>
      </c>
      <c r="C227" s="136" t="n">
        <v>33.5</v>
      </c>
      <c r="D227" s="136" t="n">
        <v>42</v>
      </c>
      <c r="E227" s="136" t="n">
        <v>51.96</v>
      </c>
      <c r="F227" s="136" t="n">
        <v>73.41</v>
      </c>
    </row>
    <row r="228">
      <c r="A228" t="n">
        <v>207</v>
      </c>
      <c r="B228" s="136" t="n">
        <v>24.73</v>
      </c>
      <c r="C228" s="136" t="n">
        <v>33.49</v>
      </c>
      <c r="D228" s="136" t="n">
        <v>42.33</v>
      </c>
      <c r="E228" s="136" t="n">
        <v>52.14</v>
      </c>
      <c r="F228" s="136" t="n">
        <v>73.47</v>
      </c>
    </row>
    <row r="229">
      <c r="A229" t="n">
        <v>208</v>
      </c>
      <c r="B229" s="136" t="n">
        <v>24.74</v>
      </c>
      <c r="C229" s="136" t="n">
        <v>33.26</v>
      </c>
      <c r="D229" s="136" t="n">
        <v>42.1</v>
      </c>
      <c r="E229" s="136" t="n">
        <v>52.29</v>
      </c>
      <c r="F229" s="136" t="n">
        <v>72.81999999999999</v>
      </c>
    </row>
    <row r="230">
      <c r="A230" t="n">
        <v>209</v>
      </c>
      <c r="B230" s="136" t="n">
        <v>24.67</v>
      </c>
      <c r="C230" s="136" t="n">
        <v>33.53</v>
      </c>
      <c r="D230" s="136" t="n">
        <v>42.42</v>
      </c>
      <c r="E230" s="136" t="n">
        <v>52.27</v>
      </c>
      <c r="F230" s="136" t="n">
        <v>72.75</v>
      </c>
    </row>
    <row r="231">
      <c r="A231" t="n">
        <v>210</v>
      </c>
      <c r="B231" s="136" t="n">
        <v>24.73</v>
      </c>
      <c r="C231" s="136" t="n">
        <v>33.43</v>
      </c>
      <c r="D231" s="136" t="n">
        <v>42.23</v>
      </c>
      <c r="E231" s="136" t="n">
        <v>52.13</v>
      </c>
      <c r="F231" s="136" t="n">
        <v>73.18000000000001</v>
      </c>
    </row>
    <row r="232">
      <c r="A232" t="n">
        <v>211</v>
      </c>
      <c r="B232" s="136" t="n">
        <v>24.66</v>
      </c>
      <c r="C232" s="136" t="n">
        <v>33.47</v>
      </c>
      <c r="D232" s="136" t="n">
        <v>42.13</v>
      </c>
      <c r="E232" s="136" t="n">
        <v>51.92</v>
      </c>
      <c r="F232" s="136" t="n">
        <v>72.64</v>
      </c>
    </row>
    <row r="233">
      <c r="A233" t="n">
        <v>212</v>
      </c>
      <c r="B233" s="136" t="n">
        <v>24.86</v>
      </c>
      <c r="C233" s="136" t="n">
        <v>33.57</v>
      </c>
      <c r="D233" s="136" t="n">
        <v>42.13</v>
      </c>
      <c r="E233" s="136" t="n">
        <v>52.24</v>
      </c>
      <c r="F233" s="136" t="n">
        <v>73.5</v>
      </c>
    </row>
    <row r="234">
      <c r="A234" t="n">
        <v>213</v>
      </c>
      <c r="B234" s="136" t="n">
        <v>24.72</v>
      </c>
      <c r="C234" s="136" t="n">
        <v>33.84</v>
      </c>
      <c r="D234" s="136" t="n">
        <v>41.97</v>
      </c>
      <c r="E234" s="136" t="n">
        <v>52.19</v>
      </c>
      <c r="F234" s="136" t="n">
        <v>72.87</v>
      </c>
    </row>
    <row r="235">
      <c r="A235" t="n">
        <v>214</v>
      </c>
      <c r="B235" s="136" t="n">
        <v>24.84</v>
      </c>
      <c r="C235" s="136" t="n">
        <v>33.85</v>
      </c>
      <c r="D235" s="136" t="n">
        <v>42.15</v>
      </c>
      <c r="E235" s="136" t="n">
        <v>52.09</v>
      </c>
      <c r="F235" s="136" t="n">
        <v>73.06</v>
      </c>
    </row>
    <row r="236">
      <c r="A236" t="n">
        <v>215</v>
      </c>
      <c r="B236" s="136" t="n">
        <v>24.85</v>
      </c>
      <c r="C236" s="136" t="n">
        <v>33.71</v>
      </c>
      <c r="D236" s="136" t="n">
        <v>42.09</v>
      </c>
      <c r="E236" s="136" t="n">
        <v>52.23</v>
      </c>
      <c r="F236" s="136" t="n">
        <v>73.40000000000001</v>
      </c>
    </row>
    <row r="237">
      <c r="A237" t="n">
        <v>216</v>
      </c>
      <c r="B237" s="136" t="n">
        <v>24.58</v>
      </c>
      <c r="C237" s="136" t="n">
        <v>33.73</v>
      </c>
      <c r="D237" s="136" t="n">
        <v>42.28</v>
      </c>
      <c r="E237" s="136" t="n">
        <v>52.32</v>
      </c>
      <c r="F237" s="136" t="n">
        <v>73.65000000000001</v>
      </c>
    </row>
    <row r="238">
      <c r="A238" t="n">
        <v>217</v>
      </c>
      <c r="B238" s="136" t="n">
        <v>24.42</v>
      </c>
      <c r="C238" s="136" t="n">
        <v>33.6</v>
      </c>
      <c r="D238" s="136" t="n">
        <v>41.92</v>
      </c>
      <c r="E238" s="136" t="n">
        <v>52.42</v>
      </c>
      <c r="F238" s="136" t="n">
        <v>73.8</v>
      </c>
    </row>
    <row r="239">
      <c r="A239" t="n">
        <v>218</v>
      </c>
      <c r="B239" s="136" t="n">
        <v>24.07</v>
      </c>
      <c r="C239" s="136" t="n">
        <v>33.52</v>
      </c>
      <c r="D239" s="136" t="n">
        <v>42.09</v>
      </c>
      <c r="E239" s="136" t="n">
        <v>52.49</v>
      </c>
      <c r="F239" s="136" t="n">
        <v>73.5</v>
      </c>
    </row>
    <row r="240">
      <c r="A240" t="n">
        <v>219</v>
      </c>
      <c r="B240" s="136" t="n">
        <v>24.35</v>
      </c>
      <c r="C240" s="136" t="n">
        <v>33.31</v>
      </c>
      <c r="D240" s="136" t="n">
        <v>42</v>
      </c>
      <c r="E240" s="136" t="n">
        <v>52.67</v>
      </c>
      <c r="F240" s="136" t="n">
        <v>72.86</v>
      </c>
    </row>
    <row r="241">
      <c r="A241" t="n">
        <v>220</v>
      </c>
      <c r="B241" s="136" t="n">
        <v>24.21</v>
      </c>
      <c r="C241" s="136" t="n">
        <v>33.62</v>
      </c>
      <c r="D241" s="136" t="n">
        <v>41.97</v>
      </c>
      <c r="E241" s="136" t="n">
        <v>52.72</v>
      </c>
      <c r="F241" s="136" t="n">
        <v>73.34</v>
      </c>
    </row>
    <row r="242">
      <c r="A242" t="n">
        <v>221</v>
      </c>
      <c r="B242" s="136" t="n">
        <v>24.55</v>
      </c>
      <c r="C242" s="136" t="n">
        <v>33.57</v>
      </c>
      <c r="D242" s="136" t="n">
        <v>42.02</v>
      </c>
      <c r="E242" s="136" t="n">
        <v>52.8</v>
      </c>
      <c r="F242" s="136" t="n">
        <v>73.28</v>
      </c>
    </row>
    <row r="243">
      <c r="A243" t="n">
        <v>222</v>
      </c>
      <c r="B243" s="136" t="n">
        <v>24.35</v>
      </c>
      <c r="C243" s="136" t="n">
        <v>33.75</v>
      </c>
      <c r="D243" s="136" t="n">
        <v>41.86</v>
      </c>
      <c r="E243" s="136" t="n">
        <v>52.72</v>
      </c>
      <c r="F243" s="136" t="n">
        <v>73.14</v>
      </c>
    </row>
    <row r="244">
      <c r="A244" t="n">
        <v>223</v>
      </c>
      <c r="B244" s="136" t="n">
        <v>24.17</v>
      </c>
      <c r="C244" s="136" t="n">
        <v>33.66</v>
      </c>
      <c r="D244" s="136" t="n">
        <v>42.12</v>
      </c>
      <c r="E244" s="136" t="n">
        <v>52.97</v>
      </c>
      <c r="F244" s="136" t="n">
        <v>73.86</v>
      </c>
    </row>
    <row r="245">
      <c r="A245" t="n">
        <v>224</v>
      </c>
      <c r="B245" s="136" t="n">
        <v>24.05</v>
      </c>
      <c r="C245" s="136" t="n">
        <v>33.8</v>
      </c>
      <c r="D245" s="136" t="n">
        <v>42.09</v>
      </c>
      <c r="E245" s="136" t="n">
        <v>53.29</v>
      </c>
      <c r="F245" s="136" t="n">
        <v>74.05</v>
      </c>
    </row>
    <row r="246">
      <c r="A246" t="n">
        <v>225</v>
      </c>
      <c r="B246" s="136" t="n">
        <v>23.9</v>
      </c>
      <c r="C246" s="136" t="n">
        <v>33.71</v>
      </c>
      <c r="D246" s="136" t="n">
        <v>41.96</v>
      </c>
      <c r="E246" s="136" t="n">
        <v>53.25</v>
      </c>
      <c r="F246" s="136" t="n">
        <v>73.65000000000001</v>
      </c>
    </row>
    <row r="247">
      <c r="A247" t="n">
        <v>226</v>
      </c>
      <c r="B247" s="136" t="n">
        <v>24.2</v>
      </c>
      <c r="C247" s="136" t="n">
        <v>33.85</v>
      </c>
      <c r="D247" s="136" t="n">
        <v>41.93</v>
      </c>
      <c r="E247" s="136" t="n">
        <v>53.36</v>
      </c>
      <c r="F247" s="136" t="n">
        <v>74.15000000000001</v>
      </c>
    </row>
    <row r="248">
      <c r="A248" t="n">
        <v>227</v>
      </c>
      <c r="B248" s="136" t="n">
        <v>24.35</v>
      </c>
      <c r="C248" s="136" t="n">
        <v>33.91</v>
      </c>
      <c r="D248" s="136" t="n">
        <v>42.01</v>
      </c>
      <c r="E248" s="136" t="n">
        <v>53.17</v>
      </c>
      <c r="F248" s="136" t="n">
        <v>73.7</v>
      </c>
    </row>
    <row r="249">
      <c r="A249" t="n">
        <v>228</v>
      </c>
      <c r="B249" s="136" t="n">
        <v>24.42</v>
      </c>
      <c r="C249" s="136" t="n">
        <v>33.71</v>
      </c>
      <c r="D249" s="136" t="n">
        <v>41.99</v>
      </c>
      <c r="E249" s="136" t="n">
        <v>53.2</v>
      </c>
      <c r="F249" s="136" t="n">
        <v>74.52</v>
      </c>
    </row>
    <row r="250">
      <c r="A250" t="n">
        <v>229</v>
      </c>
      <c r="B250" s="136" t="n">
        <v>24.66</v>
      </c>
      <c r="C250" s="136" t="n">
        <v>33.76</v>
      </c>
      <c r="D250" s="136" t="n">
        <v>42.12</v>
      </c>
      <c r="E250" s="136" t="n">
        <v>53.41</v>
      </c>
      <c r="F250" s="136" t="n">
        <v>74.81999999999999</v>
      </c>
    </row>
    <row r="251">
      <c r="A251" t="n">
        <v>230</v>
      </c>
      <c r="B251" s="136" t="n">
        <v>24.49</v>
      </c>
      <c r="C251" s="136" t="n">
        <v>33.49</v>
      </c>
      <c r="D251" s="136" t="n">
        <v>41.98</v>
      </c>
      <c r="E251" s="136" t="n">
        <v>53.25</v>
      </c>
      <c r="F251" s="136" t="n">
        <v>74.72</v>
      </c>
    </row>
    <row r="252">
      <c r="A252" t="n">
        <v>231</v>
      </c>
      <c r="B252" s="136" t="n">
        <v>24.52</v>
      </c>
      <c r="C252" s="136" t="n">
        <v>33.59</v>
      </c>
      <c r="D252" s="136" t="n">
        <v>42.12</v>
      </c>
      <c r="E252" s="136" t="n">
        <v>53.48</v>
      </c>
      <c r="F252" s="136" t="n">
        <v>75</v>
      </c>
    </row>
    <row r="253">
      <c r="A253" t="n">
        <v>232</v>
      </c>
      <c r="B253" s="136" t="n">
        <v>24.39</v>
      </c>
      <c r="C253" s="136" t="n">
        <v>33.31</v>
      </c>
      <c r="D253" s="136" t="n">
        <v>42.29</v>
      </c>
      <c r="E253" s="136" t="n">
        <v>53.68</v>
      </c>
      <c r="F253" s="136" t="n">
        <v>75.3</v>
      </c>
    </row>
    <row r="254">
      <c r="A254" t="n">
        <v>233</v>
      </c>
      <c r="B254" s="136" t="n">
        <v>24.26</v>
      </c>
      <c r="C254" s="136" t="n">
        <v>33.67</v>
      </c>
      <c r="D254" s="136" t="n">
        <v>42.35</v>
      </c>
      <c r="E254" s="136" t="n">
        <v>54.04</v>
      </c>
      <c r="F254" s="136" t="n">
        <v>76.3</v>
      </c>
    </row>
    <row r="255">
      <c r="A255" t="n">
        <v>234</v>
      </c>
      <c r="B255" s="136" t="n">
        <v>23.88</v>
      </c>
      <c r="C255" s="136" t="n">
        <v>33.67</v>
      </c>
      <c r="D255" s="136" t="n">
        <v>42.3</v>
      </c>
      <c r="E255" s="136" t="n">
        <v>54.06</v>
      </c>
      <c r="F255" s="136" t="n">
        <v>76</v>
      </c>
    </row>
    <row r="256">
      <c r="A256" t="n">
        <v>235</v>
      </c>
      <c r="B256" s="136" t="n">
        <v>23.97</v>
      </c>
      <c r="C256" s="136" t="n">
        <v>33.66</v>
      </c>
      <c r="D256" s="136" t="n">
        <v>42.09</v>
      </c>
      <c r="E256" s="136" t="n">
        <v>53.96</v>
      </c>
      <c r="F256" s="136" t="n">
        <v>75.28</v>
      </c>
    </row>
    <row r="257">
      <c r="A257" t="n">
        <v>236</v>
      </c>
      <c r="B257" s="136" t="n">
        <v>23.59</v>
      </c>
      <c r="C257" s="136" t="n">
        <v>33.55</v>
      </c>
      <c r="D257" s="136" t="n">
        <v>41.97</v>
      </c>
      <c r="E257" s="136" t="n">
        <v>53.99</v>
      </c>
      <c r="F257" s="136" t="n">
        <v>75.94</v>
      </c>
    </row>
    <row r="258">
      <c r="A258" t="n">
        <v>237</v>
      </c>
      <c r="B258" s="136" t="n">
        <v>23.78</v>
      </c>
      <c r="C258" s="136" t="n">
        <v>33.49</v>
      </c>
      <c r="D258" s="136" t="n">
        <v>42.06</v>
      </c>
      <c r="E258" s="136" t="n">
        <v>53.94</v>
      </c>
      <c r="F258" s="136" t="n">
        <v>75.20999999999999</v>
      </c>
    </row>
    <row r="259">
      <c r="A259" t="n">
        <v>238</v>
      </c>
      <c r="B259" s="136" t="n">
        <v>23.62</v>
      </c>
      <c r="C259" s="136" t="n">
        <v>33.46</v>
      </c>
      <c r="D259" s="136" t="n">
        <v>41.95</v>
      </c>
      <c r="E259" s="136" t="n">
        <v>53.95</v>
      </c>
      <c r="F259" s="136" t="n">
        <v>75.55</v>
      </c>
    </row>
    <row r="260">
      <c r="A260" t="n">
        <v>239</v>
      </c>
      <c r="B260" s="136" t="n">
        <v>23.81</v>
      </c>
      <c r="C260" s="136" t="n">
        <v>33.43</v>
      </c>
      <c r="D260" s="136" t="n">
        <v>42.35</v>
      </c>
      <c r="E260" s="136" t="n">
        <v>53.71</v>
      </c>
      <c r="F260" s="136" t="n">
        <v>76.84</v>
      </c>
    </row>
    <row r="261">
      <c r="A261" t="n">
        <v>240</v>
      </c>
      <c r="B261" s="136" t="n">
        <v>23.79</v>
      </c>
      <c r="C261" s="136" t="n">
        <v>33.42</v>
      </c>
      <c r="D261" s="136" t="n">
        <v>42.22</v>
      </c>
      <c r="E261" s="136" t="n">
        <v>54.06</v>
      </c>
      <c r="F261" s="136" t="n">
        <v>76.42</v>
      </c>
    </row>
    <row r="262">
      <c r="A262" t="n">
        <v>241</v>
      </c>
      <c r="B262" s="136" t="n">
        <v>23.94</v>
      </c>
      <c r="C262" s="136" t="n">
        <v>33.54</v>
      </c>
      <c r="D262" s="136" t="n">
        <v>42.27</v>
      </c>
      <c r="E262" s="136" t="n">
        <v>53.83</v>
      </c>
      <c r="F262" s="136" t="n">
        <v>76.51000000000001</v>
      </c>
    </row>
    <row r="263">
      <c r="A263" t="n">
        <v>242</v>
      </c>
      <c r="B263" s="136" t="n">
        <v>23.83</v>
      </c>
      <c r="C263" s="136" t="n">
        <v>33.33</v>
      </c>
      <c r="D263" s="136" t="n">
        <v>42.35</v>
      </c>
      <c r="E263" s="136" t="n">
        <v>53.86</v>
      </c>
      <c r="F263" s="136" t="n">
        <v>76.20999999999999</v>
      </c>
    </row>
    <row r="264">
      <c r="A264" t="n">
        <v>243</v>
      </c>
      <c r="B264" s="136" t="n">
        <v>23.99</v>
      </c>
      <c r="C264" s="136" t="n">
        <v>33.22</v>
      </c>
      <c r="D264" s="136" t="n">
        <v>42.23</v>
      </c>
      <c r="E264" s="136" t="n">
        <v>53.91</v>
      </c>
      <c r="F264" s="136" t="n">
        <v>75.76000000000001</v>
      </c>
    </row>
    <row r="265">
      <c r="A265" t="n">
        <v>244</v>
      </c>
      <c r="B265" s="136" t="n">
        <v>23.83</v>
      </c>
      <c r="C265" s="136" t="n">
        <v>33.45</v>
      </c>
      <c r="D265" s="136" t="n">
        <v>42.43</v>
      </c>
      <c r="E265" s="136" t="n">
        <v>53.99</v>
      </c>
      <c r="F265" s="136" t="n">
        <v>75.84</v>
      </c>
    </row>
    <row r="266">
      <c r="A266" t="n">
        <v>245</v>
      </c>
      <c r="B266" s="136" t="n">
        <v>23.94</v>
      </c>
      <c r="C266" s="136" t="n">
        <v>33.56</v>
      </c>
      <c r="D266" s="136" t="n">
        <v>42.22</v>
      </c>
      <c r="E266" s="136" t="n">
        <v>54.27</v>
      </c>
      <c r="F266" s="136" t="n">
        <v>76.19</v>
      </c>
    </row>
    <row r="267">
      <c r="A267" t="n">
        <v>246</v>
      </c>
      <c r="B267" s="136" t="n">
        <v>23.91</v>
      </c>
      <c r="C267" s="136" t="n">
        <v>33.38</v>
      </c>
      <c r="D267" s="136" t="n">
        <v>42.19</v>
      </c>
      <c r="E267" s="136" t="n">
        <v>54.4</v>
      </c>
      <c r="F267" s="136" t="n">
        <v>76.54000000000001</v>
      </c>
    </row>
    <row r="268">
      <c r="A268" t="n">
        <v>247</v>
      </c>
      <c r="B268" s="136" t="n">
        <v>23.95</v>
      </c>
      <c r="C268" s="136" t="n">
        <v>33.22</v>
      </c>
      <c r="D268" s="136" t="n">
        <v>41.99</v>
      </c>
      <c r="E268" s="136" t="n">
        <v>54.95</v>
      </c>
      <c r="F268" s="136" t="n">
        <v>76.62</v>
      </c>
    </row>
    <row r="269">
      <c r="A269" t="n">
        <v>248</v>
      </c>
      <c r="B269" s="136" t="n">
        <v>24</v>
      </c>
      <c r="C269" s="136" t="n">
        <v>33.47</v>
      </c>
      <c r="D269" s="136" t="n">
        <v>41.9</v>
      </c>
      <c r="E269" s="136" t="n">
        <v>54.92</v>
      </c>
      <c r="F269" s="136" t="n">
        <v>76.20999999999999</v>
      </c>
    </row>
    <row r="270">
      <c r="A270" t="n">
        <v>249</v>
      </c>
      <c r="B270" s="136" t="n">
        <v>23.89</v>
      </c>
      <c r="C270" s="136" t="n">
        <v>33.34</v>
      </c>
      <c r="D270" s="136" t="n">
        <v>42.28</v>
      </c>
      <c r="E270" s="136" t="n">
        <v>54.68</v>
      </c>
      <c r="F270" s="136" t="n">
        <v>77.23999999999999</v>
      </c>
    </row>
    <row r="271">
      <c r="A271" t="n">
        <v>250</v>
      </c>
      <c r="B271" s="136" t="n">
        <v>23.99</v>
      </c>
      <c r="C271" s="136" t="n">
        <v>33.53</v>
      </c>
      <c r="D271" s="136" t="n">
        <v>41.92</v>
      </c>
      <c r="E271" s="136" t="n">
        <v>54.84</v>
      </c>
      <c r="F271" s="136" t="n">
        <v>76.3</v>
      </c>
    </row>
    <row r="272">
      <c r="A272" t="n">
        <v>251</v>
      </c>
      <c r="B272" s="136" t="n">
        <v>24.02</v>
      </c>
      <c r="C272" s="136" t="n">
        <v>33.16</v>
      </c>
      <c r="D272" s="136" t="n">
        <v>42.21</v>
      </c>
      <c r="E272" s="136" t="n">
        <v>54.65</v>
      </c>
      <c r="F272" s="136" t="n">
        <v>75.41</v>
      </c>
    </row>
    <row r="273">
      <c r="A273" t="n">
        <v>252</v>
      </c>
      <c r="B273" s="136" t="n">
        <v>23.86</v>
      </c>
      <c r="C273" s="136" t="n">
        <v>33.27</v>
      </c>
      <c r="D273" s="136" t="n">
        <v>42.12</v>
      </c>
      <c r="E273" s="136" t="n">
        <v>55.17</v>
      </c>
      <c r="F273" s="136" t="n">
        <v>75.43000000000001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3" customWidth="1" min="1" max="1"/>
  </cols>
  <sheetData>
    <row r="1">
      <c r="A1" s="59" t="inlineStr">
        <is>
          <t>NKE — Charts</t>
        </is>
      </c>
    </row>
    <row r="2">
      <c r="A2" s="93" t="inlineStr">
        <is>
          <t>Live charts, not images: every series points at the Price_Indicators sheet, so edits there redraw these.</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9" t="inlineStr">
        <is>
          <t>Methodology &amp; Definitions</t>
        </is>
      </c>
    </row>
    <row r="2">
      <c r="A2" s="60" t="inlineStr">
        <is>
          <t>Every metric in this report, in plain language and with its key assumptions — so nothing reads as a black box.</t>
        </is>
      </c>
    </row>
    <row r="4" ht="18" customHeight="1">
      <c r="A4" s="61" t="inlineStr">
        <is>
          <t>Risk &amp; Return</t>
        </is>
      </c>
    </row>
    <row r="5" ht="24" customHeight="1">
      <c r="A5" s="137" t="inlineStr">
        <is>
          <t>Annualised Volatility</t>
        </is>
      </c>
      <c r="B5" s="138" t="inlineStr">
        <is>
          <t>Standard deviation of daily returns × √252. How much the price swings; higher = riskier.</t>
        </is>
      </c>
    </row>
    <row r="6" ht="31" customHeight="1">
      <c r="A6" s="137" t="inlineStr">
        <is>
          <t>Sharpe Ratio</t>
        </is>
      </c>
      <c r="B6" s="138" t="inlineStr">
        <is>
          <t>(Annualised return − risk-free rate) ÷ annualised volatility — excess return per unit of total risk. Risk-free rate = current 3-month US Treasury yield via FRED (3.87% now). Above 1 is strong.</t>
        </is>
      </c>
    </row>
    <row r="7" ht="43.5" customHeight="1">
      <c r="A7" s="137" t="inlineStr">
        <is>
          <t>Sortino Ratio</t>
        </is>
      </c>
      <c r="B7" s="138" t="inlineStr">
        <is>
          <t>Like Sharpe, but the denominator is downside deviation about zero — √(mean of squared shortfalls below zero, over ALL days) × √252 — so upside volatility isn't penalised. Note this is not the standard deviation of the losing days, which would understate the denominator and flatter the ratio.</t>
        </is>
      </c>
    </row>
    <row r="8" ht="56" customHeight="1">
      <c r="A8" s="137" t="inlineStr">
        <is>
          <t>Max Drawdown (60d)</t>
        </is>
      </c>
      <c r="B8" s="138" t="inlineStr">
        <is>
          <t>Deepest fall from a rolling 60-day peak — how bad the worst quarter-ish stretch was. A decline that unfolds over longer than 60 trading days shows up here only in part, so this reads shallower than a full peak-to-trough figure. The Scorecard's risk factor and the PowerPoint deck use the full peak-to-trough drawdown over the whole window.</t>
        </is>
      </c>
    </row>
    <row r="10" ht="18" customHeight="1">
      <c r="A10" s="61" t="inlineStr">
        <is>
          <t>Technical Indicators</t>
        </is>
      </c>
    </row>
    <row r="11" ht="31" customHeight="1">
      <c r="A11" s="137" t="inlineStr">
        <is>
          <t>Moving Average (20/50/200-day)</t>
        </is>
      </c>
      <c r="B11" s="138" t="inlineStr">
        <is>
          <t>Average close over the last N sessions; smooths the trend. Price above the average is bullish, below is cautionary.</t>
        </is>
      </c>
    </row>
    <row r="12" ht="24" customHeight="1">
      <c r="A12" s="137" t="inlineStr">
        <is>
          <t>RSI (14)</t>
        </is>
      </c>
      <c r="B12" s="138" t="inlineStr">
        <is>
          <t>Relative Strength Index, 0–100. &gt;70 overbought (stretched up), &lt;30 oversold, 30–70 neutral.</t>
        </is>
      </c>
    </row>
    <row r="13" ht="31" customHeight="1">
      <c r="A13" s="137" t="inlineStr">
        <is>
          <t>MACD</t>
        </is>
      </c>
      <c r="B13" s="138" t="inlineStr">
        <is>
          <t>12-day minus 26-day exponential moving average vs a 9-day signal line. MACD above signal = bullish momentum.</t>
        </is>
      </c>
    </row>
    <row r="14" ht="31" customHeight="1">
      <c r="A14" s="137" t="inlineStr">
        <is>
          <t>Bollinger Bands (20, 2σ)</t>
        </is>
      </c>
      <c r="B14" s="138" t="inlineStr">
        <is>
          <t>20-day average ± 2 standard deviations. %B shows where price sits within the bands; near the upper band is relatively high.</t>
        </is>
      </c>
    </row>
    <row r="15" ht="31" customHeight="1">
      <c r="A15" s="137" t="inlineStr">
        <is>
          <t>Support / Resistance</t>
        </is>
      </c>
      <c r="B15" s="138" t="inlineStr">
        <is>
          <t>Recent levels where the stock repeatedly stalled (resistance) or bounced (support), detected from local highs/lows.</t>
        </is>
      </c>
    </row>
    <row r="17" ht="18" customHeight="1">
      <c r="A17" s="61" t="inlineStr">
        <is>
          <t>Valuation</t>
        </is>
      </c>
    </row>
    <row r="18" ht="31" customHeight="1">
      <c r="A18" s="137" t="inlineStr">
        <is>
          <t>P/E · P/S · P/B</t>
        </is>
      </c>
      <c r="B18" s="138" t="inlineStr">
        <is>
          <t>Market cap ÷ net income / revenue / book equity — dollars paid per dollar of earnings, sales, or book value.</t>
        </is>
      </c>
    </row>
    <row r="19" ht="24" customHeight="1">
      <c r="A19" s="137" t="inlineStr">
        <is>
          <t>EV / EBITDA</t>
        </is>
      </c>
      <c r="B19" s="138" t="inlineStr">
        <is>
          <t>Enterprise value (market cap + debt − cash) ÷ EBITDA — a capital-structure-neutral earnings multiple.</t>
        </is>
      </c>
    </row>
    <row r="20" ht="24" customHeight="1">
      <c r="A20" s="137" t="inlineStr">
        <is>
          <t>FCF / Earnings Yield</t>
        </is>
      </c>
      <c r="B20" s="138" t="inlineStr">
        <is>
          <t>Free cash flow / net income ÷ market cap — the cash or earnings return at today's price; higher = cheaper.</t>
        </is>
      </c>
    </row>
    <row r="21" ht="93.5" customHeight="1">
      <c r="A21" s="137" t="inlineStr">
        <is>
          <t>What a Reverse DCF Is</t>
        </is>
      </c>
      <c r="B21" s="138"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37" t="inlineStr">
        <is>
          <t>Reverse-DCF Implied Growth</t>
        </is>
      </c>
      <c r="B22" s="138" t="inlineStr">
        <is>
          <t>The stage-1 free-cash-flow growth rate the current price implies, solved numerically from the same 10-year two-stage DCF used for fair value (9.3%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37" t="inlineStr">
        <is>
          <t>DCF Fair Value</t>
        </is>
      </c>
      <c r="B23" s="138" t="inlineStr">
        <is>
          <t>Two-stage DCF on free cash flow: PV of 10-year of projected FCF + PV of terminal value − net debt, ÷ shares (market cap ÷ price). Discount rate 9.3%,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37" t="inlineStr">
        <is>
          <t>Sensitivity Grid</t>
        </is>
      </c>
      <c r="B24" s="138"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61" t="inlineStr">
        <is>
          <t>Quality Scores</t>
        </is>
      </c>
    </row>
    <row r="27" ht="31" customHeight="1">
      <c r="A27" s="137" t="inlineStr">
        <is>
          <t>Piotroski F-Score (0–9)</t>
        </is>
      </c>
      <c r="B27" s="138" t="inlineStr">
        <is>
          <t>Nine pass/fail fundamental-quality tests (profitability, leverage, efficiency) across the two latest fiscal years. Higher = higher quality.</t>
        </is>
      </c>
    </row>
    <row r="28" ht="24" customHeight="1">
      <c r="A28" s="137" t="inlineStr">
        <is>
          <t>Altman Z-Score</t>
        </is>
      </c>
      <c r="B28" s="138" t="inlineStr">
        <is>
          <t>Bankruptcy-risk score from five ratios. &gt;2.99 'safe', 1.81–2.99 'grey', &lt;1.81 'distress'.</t>
        </is>
      </c>
    </row>
    <row r="29" ht="31" customHeight="1">
      <c r="A29" s="137" t="inlineStr">
        <is>
          <t>Technical Posture (0–100)</t>
        </is>
      </c>
      <c r="B29" s="138" t="inlineStr">
        <is>
          <t>A blend of trend (vs 50/200-day MA), RSI, MACD, 52-week location and relative strength. Describes what the indicators say — not a recommendation.</t>
        </is>
      </c>
    </row>
    <row r="30" ht="31" customHeight="1">
      <c r="A30" s="137" t="inlineStr">
        <is>
          <t>Stock Scorecard (0–100)</t>
        </is>
      </c>
      <c r="B30" s="138" t="inlineStr">
        <is>
          <t>Weighted composite of seven factors — valuation, growth, profitability, financial health, momentum, risk, sentiment. Describes the stock's profile; not a buy/sell call.</t>
        </is>
      </c>
    </row>
    <row r="32" ht="18" customHeight="1">
      <c r="A32" s="61" t="inlineStr">
        <is>
          <t>Forecasting</t>
        </is>
      </c>
    </row>
    <row r="33" ht="56" customHeight="1">
      <c r="A33" s="137" t="inlineStr">
        <is>
          <t>Monte Carlo Simulation</t>
        </is>
      </c>
      <c r="B33" s="138"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37" t="inlineStr">
        <is>
          <t>Custom Forecast (GARCH + ML)</t>
        </is>
      </c>
      <c r="B34" s="138" t="inlineStr">
        <is>
          <t>Optional variant modelling time-varying volatility (GARCH) and a machine-learned drift before simulating; same percentile interpretation.</t>
        </is>
      </c>
    </row>
    <row r="36" ht="18" customHeight="1">
      <c r="A36" s="61" t="inlineStr">
        <is>
          <t>Sentiment &amp; Data Sources</t>
        </is>
      </c>
    </row>
    <row r="37" ht="31" customHeight="1">
      <c r="A37" s="137" t="inlineStr">
        <is>
          <t>Analyst Consensus</t>
        </is>
      </c>
      <c r="B37" s="138" t="inlineStr">
        <is>
          <t>Wall-Street Buy/Hold/Sell counts aggregated by Finnhub, scored into one verdict. Analysts' view, not QuantWizard's.</t>
        </is>
      </c>
    </row>
    <row r="38" ht="31" customHeight="1">
      <c r="A38" s="137" t="inlineStr">
        <is>
          <t>News Relevance &amp; Sentiment</t>
        </is>
      </c>
      <c r="B38" s="138" t="inlineStr">
        <is>
          <t>Headlines are ranked High/Medium/Low for how directly they concern the company (broad round-ups are dropped) and tagged with Polygon's per-article sentiment.</t>
        </is>
      </c>
    </row>
    <row r="39" ht="31" customHeight="1">
      <c r="A39" s="137" t="inlineStr">
        <is>
          <t>Data Sources</t>
        </is>
      </c>
      <c r="B39" s="138" t="inlineStr">
        <is>
          <t>Prices: Yahoo Finance (Polygon fallback), split/dividend-adjusted. Fundamentals: SEC EDGAR (Polygon fallback). News &amp; analyst data: Finnhub / Polygon. Risk-free rate: US Treasury via FRED.</t>
        </is>
      </c>
    </row>
    <row r="40" ht="31" customHeight="1">
      <c r="A40" s="137" t="inlineStr">
        <is>
          <t>Disclaimer</t>
        </is>
      </c>
      <c r="B40" s="138"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2026-08-24T19:03:16Z</dcterms:created>
  <dcterms:modified xmlns:dcterms="http://purl.org/dc/terms/" xmlns:xsi="http://www.w3.org/2001/XMLSchema-instance" xsi:type="dcterms:W3CDTF">2026-08-24T19:03:16Z</dcterms:modified>
</cp:coreProperties>
</file>
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Valuation" sheetId="3" state="visible" r:id="rId3"/>
    <sheet xmlns:r="http://schemas.openxmlformats.org/officeDocument/2006/relationships" name="Fundamentals" sheetId="4" state="visible" r:id="rId4"/>
    <sheet xmlns:r="http://schemas.openxmlformats.org/officeDocument/2006/relationships" name="Annual_Summary" sheetId="5" state="visible" r:id="rId5"/>
    <sheet xmlns:r="http://schemas.openxmlformats.org/officeDocument/2006/relationships" name="Price_Indicators" sheetId="6" state="visible" r:id="rId6"/>
    <sheet xmlns:r="http://schemas.openxmlformats.org/officeDocument/2006/relationships" name="News_Headlines" sheetId="7" state="visible" r:id="rId7"/>
    <sheet xmlns:r="http://schemas.openxmlformats.org/officeDocument/2006/relationships" name="Peer_Comparison" sheetId="8" state="visible" r:id="rId8"/>
    <sheet xmlns:r="http://schemas.openxmlformats.org/officeDocument/2006/relationships" name="Correlation_Matrix" sheetId="9" state="visible" r:id="rId9"/>
    <sheet xmlns:r="http://schemas.openxmlformats.org/officeDocument/2006/relationships" name="Monte_Carlo" sheetId="10" state="visible" r:id="rId10"/>
    <sheet xmlns:r="http://schemas.openxmlformats.org/officeDocument/2006/relationships" name="Charts" sheetId="11" state="visible" r:id="rId11"/>
    <sheet xmlns:r="http://schemas.openxmlformats.org/officeDocument/2006/relationships" name="Methodology" sheetId="12" state="visible" r:id="rId12"/>
  </sheets>
  <definedNames>
    <definedName name="_xlnm._FilterDatabase" localSheetId="4" hidden="1">'Annual_Summary'!$A$2:$E$2</definedName>
    <definedName name="_xlnm._FilterDatabase" localSheetId="5" hidden="1">'Price_Indicators'!$A$1:$Q$1</definedName>
    <definedName name="_xlnm._FilterDatabase" localSheetId="6" hidden="1">'News_Headlines'!$A$1:$G$1</definedName>
    <definedName name="_xlnm._FilterDatabase" localSheetId="7" hidden="1">'Peer_Comparison'!$A$1:$F$1</definedName>
  </definedNames>
  <calcPr calcId="124519" fullCalcOnLoad="1"/>
</workbook>
</file>

<file path=xl/styles.xml><?xml version="1.0" encoding="utf-8"?>
<styleSheet xmlns="http://schemas.openxmlformats.org/spreadsheetml/2006/main">
  <numFmts count="14">
    <numFmt numFmtId="164" formatCode="&quot;$&quot;#,##0.00"/>
    <numFmt numFmtId="165" formatCode="0.0000"/>
    <numFmt numFmtId="166" formatCode="+0.0&quot; pts&quot;;-0.0&quot; pts&quot;"/>
    <numFmt numFmtId="167" formatCode="+0.0%;-0.0%"/>
    <numFmt numFmtId="168" formatCode="0.0%"/>
    <numFmt numFmtId="169" formatCode="yyyy-mm-dd h:mm:ss"/>
    <numFmt numFmtId="170" formatCode="yyyy-mm-dd"/>
    <numFmt numFmtId="171" formatCode="_($* #,##0.00_)"/>
    <numFmt numFmtId="172" formatCode="$#,##0.0,,,&quot;B&quot;"/>
    <numFmt numFmtId="173" formatCode="#,##0.00,,,&quot;B&quot;"/>
    <numFmt numFmtId="174" formatCode="0.000"/>
    <numFmt numFmtId="175" formatCode="0.00&quot;x&quot;"/>
    <numFmt numFmtId="176" formatCode="&quot;$&quot;#,##0.0,,,&quot;B&quot;"/>
    <numFmt numFmtId="177" formatCode="0.0"/>
  </numFmts>
  <fonts count="33">
    <font>
      <name val="Calibri"/>
      <family val="2"/>
      <color theme="1"/>
      <sz val="11"/>
      <scheme val="minor"/>
    </font>
    <font>
      <name val="Calibri"/>
      <b val="1"/>
      <color rgb="001F4E79"/>
      <sz val="18"/>
    </font>
    <font>
      <name val="Calibri"/>
      <i val="1"/>
      <color rgb="00888888"/>
      <sz val="9"/>
    </font>
    <font>
      <name val="Calibri"/>
      <b val="1"/>
      <color rgb="00FFFFFF"/>
      <sz val="11"/>
    </font>
    <font>
      <name val="Calibri"/>
      <sz val="10"/>
    </font>
    <font>
      <name val="Calibri"/>
      <b val="1"/>
      <sz val="10"/>
    </font>
    <font>
      <name val="Calibri"/>
      <b val="1"/>
      <color rgb="00FFFFFF"/>
      <sz val="10"/>
    </font>
    <font>
      <name val="Calibri"/>
      <b val="1"/>
      <color rgb="00FFFFFF"/>
      <sz val="12"/>
    </font>
    <font>
      <name val="Calibri"/>
      <i val="1"/>
      <sz val="10"/>
    </font>
    <font>
      <name val="Calibri"/>
      <b val="1"/>
      <color rgb="001F4E79"/>
      <sz val="10"/>
    </font>
    <font>
      <name val="Calibri"/>
      <b val="1"/>
      <color rgb="00FFFFFF"/>
      <sz val="9"/>
    </font>
    <font>
      <name val="Calibri"/>
      <color rgb="00000000"/>
      <sz val="10"/>
    </font>
    <font>
      <name val="Calibri"/>
      <b val="1"/>
      <color rgb="00FF0000"/>
      <sz val="10"/>
    </font>
    <font>
      <name val="Calibri"/>
      <sz val="9"/>
    </font>
    <font>
      <name val="Calibri"/>
      <i val="1"/>
      <color rgb="00888888"/>
      <sz val="8"/>
    </font>
    <font>
      <name val="Calibri"/>
      <b val="1"/>
      <color rgb="00FFFFFF"/>
    </font>
    <font>
      <name val="Calibri"/>
      <b val="1"/>
      <sz val="9"/>
    </font>
    <font>
      <name val="Calibri"/>
      <b val="1"/>
      <color rgb="001F4E79"/>
      <sz val="14"/>
    </font>
    <font>
      <name val="Calibri"/>
      <b val="1"/>
      <color rgb="009C0006"/>
      <sz val="10"/>
    </font>
    <font>
      <name val="Calibri"/>
      <b val="1"/>
      <color rgb="007F6000"/>
      <sz val="10"/>
    </font>
    <font>
      <name val="Calibri"/>
      <color rgb="002E75B6"/>
      <sz val="10"/>
      <u val="single"/>
    </font>
    <font>
      <name val="Calibri"/>
      <b val="1"/>
      <color rgb="00006100"/>
      <sz val="10"/>
    </font>
    <font>
      <name val="Calibri"/>
      <b val="1"/>
      <color rgb="001F4E79"/>
      <sz val="12"/>
    </font>
    <font>
      <name val="Calibri"/>
      <b val="1"/>
      <color rgb="001F4E79"/>
      <sz val="13"/>
    </font>
    <font>
      <name val="Calibri"/>
      <b val="1"/>
      <color rgb="001F4E79"/>
      <sz val="30"/>
    </font>
    <font>
      <name val="Calibri"/>
      <sz val="11"/>
    </font>
    <font>
      <name val="Calibri"/>
      <b val="1"/>
      <color rgb="00000000"/>
      <sz val="10"/>
    </font>
    <font>
      <name val="Calibri"/>
      <b val="1"/>
      <color rgb="00999999"/>
      <sz val="10"/>
    </font>
    <font>
      <name val="Calibri"/>
      <b val="1"/>
      <color rgb="00FFFFFF"/>
      <sz val="22"/>
    </font>
    <font>
      <name val="Calibri"/>
      <b val="1"/>
      <color rgb="001F4E79"/>
      <sz val="16"/>
    </font>
    <font>
      <name val="Calibri"/>
      <b val="1"/>
      <color rgb="00808080"/>
      <sz val="8"/>
    </font>
    <font>
      <name val="Calibri"/>
      <b val="1"/>
      <color rgb="00FF0000"/>
      <sz val="16"/>
    </font>
    <font>
      <name val="Calibri"/>
      <b val="1"/>
      <color rgb="002E75B6"/>
      <sz val="10"/>
      <u val="single"/>
    </font>
  </fonts>
  <fills count="16">
    <fill>
      <patternFill/>
    </fill>
    <fill>
      <patternFill patternType="gray125"/>
    </fill>
    <fill>
      <patternFill patternType="solid">
        <fgColor rgb="001F4E79"/>
      </patternFill>
    </fill>
    <fill>
      <patternFill patternType="solid">
        <fgColor rgb="00FFFFFF"/>
      </patternFill>
    </fill>
    <fill>
      <patternFill patternType="solid">
        <fgColor rgb="00FF0000"/>
      </patternFill>
    </fill>
    <fill>
      <patternFill patternType="solid">
        <fgColor rgb="00F2F2F2"/>
      </patternFill>
    </fill>
    <fill>
      <patternFill patternType="solid">
        <fgColor rgb="00F0F5FB"/>
      </patternFill>
    </fill>
    <fill>
      <patternFill patternType="solid">
        <fgColor rgb="00BF8F00"/>
      </patternFill>
    </fill>
    <fill>
      <patternFill patternType="solid">
        <fgColor rgb="002E75B6"/>
      </patternFill>
    </fill>
    <fill>
      <patternFill patternType="solid">
        <fgColor rgb="0070AD47"/>
      </patternFill>
    </fill>
    <fill>
      <patternFill patternType="solid">
        <fgColor rgb="00FFF8E1"/>
      </patternFill>
    </fill>
    <fill>
      <patternFill patternType="solid">
        <fgColor rgb="0016a34a"/>
      </patternFill>
    </fill>
    <fill>
      <patternFill patternType="solid">
        <fgColor rgb="00FFC7CE"/>
      </patternFill>
    </fill>
    <fill>
      <patternFill patternType="solid">
        <fgColor rgb="00FFF2CC"/>
      </patternFill>
    </fill>
    <fill>
      <patternFill patternType="solid">
        <fgColor rgb="00C6EFCE"/>
      </patternFill>
    </fill>
    <fill>
      <patternFill patternType="solid">
        <fgColor rgb="00D6E4F0"/>
      </patternFill>
    </fill>
  </fills>
  <borders count="5">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139">
    <xf numFmtId="0" fontId="0" fillId="0" borderId="0" pivotButton="0" quotePrefix="0" xfId="0"/>
    <xf numFmtId="0" fontId="0" fillId="2" borderId="0" pivotButton="0" quotePrefix="0" xfId="0"/>
    <xf numFmtId="0" fontId="28" fillId="2" borderId="0" applyAlignment="1" pivotButton="0" quotePrefix="0" xfId="0">
      <alignment horizontal="left" vertical="center" indent="1"/>
    </xf>
    <xf numFmtId="0" fontId="2" fillId="0" borderId="0" applyAlignment="1" pivotButton="0" quotePrefix="0" xfId="0">
      <alignment horizontal="left" indent="1"/>
    </xf>
    <xf numFmtId="0" fontId="29" fillId="6" borderId="1" applyAlignment="1" pivotButton="0" quotePrefix="0" xfId="0">
      <alignment horizontal="center" vertical="center"/>
    </xf>
    <xf numFmtId="0" fontId="31" fillId="6" borderId="1" applyAlignment="1" pivotButton="0" quotePrefix="0" xfId="0">
      <alignment horizontal="center" vertical="center"/>
    </xf>
    <xf numFmtId="0" fontId="30" fillId="6" borderId="1" applyAlignment="1" pivotButton="0" quotePrefix="0" xfId="0">
      <alignment horizontal="center" vertical="center"/>
    </xf>
    <xf numFmtId="0" fontId="22" fillId="0" borderId="0" pivotButton="0" quotePrefix="0" xfId="0"/>
    <xf numFmtId="0" fontId="20" fillId="0" borderId="0" pivotButton="0" quotePrefix="0" xfId="0"/>
    <xf numFmtId="0" fontId="32" fillId="0" borderId="0" pivotButton="0" quotePrefix="0" xfId="0"/>
    <xf numFmtId="0" fontId="14"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2" borderId="0" applyAlignment="1" pivotButton="0" quotePrefix="0" xfId="0">
      <alignment horizontal="left" vertical="center"/>
    </xf>
    <xf numFmtId="0" fontId="15" fillId="8" borderId="0" pivotButton="0" quotePrefix="0" xfId="0"/>
    <xf numFmtId="0" fontId="4" fillId="3" borderId="1" pivotButton="0" quotePrefix="0" xfId="0"/>
    <xf numFmtId="164" fontId="5" fillId="3" borderId="1" applyAlignment="1" pivotButton="0" quotePrefix="0" xfId="0">
      <alignment horizontal="right"/>
    </xf>
    <xf numFmtId="0" fontId="16" fillId="0" borderId="0" pivotButton="0" quotePrefix="0" xfId="0"/>
    <xf numFmtId="0" fontId="4" fillId="5" borderId="1" pivotButton="0" quotePrefix="0" xfId="0"/>
    <xf numFmtId="10" fontId="6" fillId="4" borderId="1" applyAlignment="1" pivotButton="0" quotePrefix="0" xfId="0">
      <alignment horizontal="right"/>
    </xf>
    <xf numFmtId="164" fontId="5" fillId="5" borderId="1" applyAlignment="1" pivotButton="0" quotePrefix="0" xfId="0">
      <alignment horizontal="right"/>
    </xf>
    <xf numFmtId="165" fontId="5" fillId="3" borderId="1" applyAlignment="1" pivotButton="0" quotePrefix="0" xfId="0">
      <alignment horizontal="right"/>
    </xf>
    <xf numFmtId="10" fontId="5" fillId="5" borderId="1" applyAlignment="1" pivotButton="0" quotePrefix="0" xfId="0">
      <alignment horizontal="right"/>
    </xf>
    <xf numFmtId="10" fontId="5" fillId="3" borderId="1" applyAlignment="1" pivotButton="0" quotePrefix="0" xfId="0">
      <alignment horizontal="right"/>
    </xf>
    <xf numFmtId="0" fontId="5" fillId="3" borderId="1" applyAlignment="1" pivotButton="0" quotePrefix="0" xfId="0">
      <alignment horizontal="right"/>
    </xf>
    <xf numFmtId="0" fontId="6" fillId="4" borderId="1" applyAlignment="1" pivotButton="0" quotePrefix="0" xfId="0">
      <alignment horizontal="right"/>
    </xf>
    <xf numFmtId="0" fontId="5" fillId="6" borderId="1" applyAlignment="1" pivotButton="0" quotePrefix="0" xfId="0">
      <alignment vertical="top" wrapText="1"/>
    </xf>
    <xf numFmtId="0" fontId="5" fillId="0" borderId="1" pivotButton="0" quotePrefix="0" xfId="0"/>
    <xf numFmtId="0" fontId="7" fillId="7" borderId="1" applyAlignment="1" pivotButton="0" quotePrefix="0" xfId="0">
      <alignment horizontal="right"/>
    </xf>
    <xf numFmtId="0" fontId="4" fillId="0" borderId="1" pivotButton="0" quotePrefix="0" xfId="0"/>
    <xf numFmtId="0" fontId="6" fillId="7" borderId="1" applyAlignment="1" pivotButton="0" quotePrefix="0" xfId="0">
      <alignment horizontal="right"/>
    </xf>
    <xf numFmtId="0" fontId="6" fillId="8" borderId="1" applyAlignment="1" pivotButton="0" quotePrefix="0" xfId="0">
      <alignment horizontal="center" vertical="center" wrapText="1"/>
    </xf>
    <xf numFmtId="0" fontId="5" fillId="0" borderId="1" applyAlignment="1" pivotButton="0" quotePrefix="0" xfId="0">
      <alignment horizontal="right"/>
    </xf>
    <xf numFmtId="0" fontId="6" fillId="7" borderId="1" applyAlignment="1" pivotButton="0" quotePrefix="0" xfId="0">
      <alignment horizontal="center"/>
    </xf>
    <xf numFmtId="0" fontId="6" fillId="4" borderId="1" applyAlignment="1" pivotButton="0" quotePrefix="0" xfId="0">
      <alignment horizontal="center"/>
    </xf>
    <xf numFmtId="0" fontId="6" fillId="9" borderId="1" applyAlignment="1" pivotButton="0" quotePrefix="0" xfId="0">
      <alignment horizontal="center"/>
    </xf>
    <xf numFmtId="0" fontId="8" fillId="10" borderId="1" applyAlignment="1" pivotButton="0" quotePrefix="0" xfId="0">
      <alignment vertical="top" wrapText="1"/>
    </xf>
    <xf numFmtId="0" fontId="9" fillId="0" borderId="0" pivotButton="0" quotePrefix="0" xfId="0"/>
    <xf numFmtId="0" fontId="4" fillId="0" borderId="1" applyAlignment="1" pivotButton="0" quotePrefix="0" xfId="0">
      <alignment vertical="top" wrapText="1"/>
    </xf>
    <xf numFmtId="166" fontId="6" fillId="4" borderId="1" applyAlignment="1" pivotButton="0" quotePrefix="0" xfId="0">
      <alignment horizontal="right"/>
    </xf>
    <xf numFmtId="0" fontId="10" fillId="2" borderId="1" applyAlignment="1" pivotButton="0" quotePrefix="0" xfId="0">
      <alignment horizontal="left"/>
    </xf>
    <xf numFmtId="0" fontId="10" fillId="2" borderId="1" applyAlignment="1" pivotButton="0" quotePrefix="0" xfId="0">
      <alignment horizontal="center"/>
    </xf>
    <xf numFmtId="0" fontId="11" fillId="0" borderId="1" pivotButton="0" quotePrefix="0" xfId="0"/>
    <xf numFmtId="167" fontId="11" fillId="0" borderId="1" applyAlignment="1" pivotButton="0" quotePrefix="0" xfId="0">
      <alignment horizontal="right"/>
    </xf>
    <xf numFmtId="166" fontId="12" fillId="0" borderId="1" applyAlignment="1" pivotButton="0" quotePrefix="0" xfId="0">
      <alignment horizontal="right"/>
    </xf>
    <xf numFmtId="0" fontId="5" fillId="5" borderId="1" applyAlignment="1" pivotButton="0" quotePrefix="0" xfId="0">
      <alignment horizontal="right"/>
    </xf>
    <xf numFmtId="0" fontId="13" fillId="0" borderId="0" applyAlignment="1" pivotButton="0" quotePrefix="0" xfId="0">
      <alignment vertical="center" wrapText="1"/>
    </xf>
    <xf numFmtId="0" fontId="6" fillId="11" borderId="1" applyAlignment="1" pivotButton="0" quotePrefix="0" xfId="0">
      <alignment horizontal="right"/>
    </xf>
    <xf numFmtId="168" fontId="5" fillId="5" borderId="1" applyAlignment="1" pivotButton="0" quotePrefix="0" xfId="0">
      <alignment horizontal="right"/>
    </xf>
    <xf numFmtId="167" fontId="6" fillId="4" borderId="1" applyAlignment="1" pivotButton="0" quotePrefix="0" xfId="0">
      <alignment horizontal="right"/>
    </xf>
    <xf numFmtId="0" fontId="6" fillId="2" borderId="1" applyAlignment="1" pivotButton="0" quotePrefix="0" xfId="0">
      <alignment horizontal="right"/>
    </xf>
    <xf numFmtId="0" fontId="5" fillId="0" borderId="1" applyAlignment="1" pivotButton="0" quotePrefix="0" xfId="0">
      <alignment horizontal="left"/>
    </xf>
    <xf numFmtId="2" fontId="5" fillId="5" borderId="1" applyAlignment="1" pivotButton="0" quotePrefix="0" xfId="0">
      <alignment horizontal="right"/>
    </xf>
    <xf numFmtId="1" fontId="5" fillId="3" borderId="1" applyAlignment="1" pivotButton="0" quotePrefix="0" xfId="0">
      <alignment horizontal="right"/>
    </xf>
    <xf numFmtId="1" fontId="5" fillId="5" borderId="1" applyAlignment="1" pivotButton="0" quotePrefix="0" xfId="0">
      <alignment horizontal="right"/>
    </xf>
    <xf numFmtId="2" fontId="5" fillId="3" borderId="1" applyAlignment="1" pivotButton="0" quotePrefix="0" xfId="0">
      <alignment horizontal="right"/>
    </xf>
    <xf numFmtId="168" fontId="5" fillId="3" borderId="1" applyAlignment="1" pivotButton="0" quotePrefix="0" xfId="0">
      <alignment horizontal="right"/>
    </xf>
    <xf numFmtId="0" fontId="4" fillId="6" borderId="1" applyAlignment="1" pivotButton="0" quotePrefix="0" xfId="0">
      <alignment vertical="top" wrapText="1"/>
    </xf>
    <xf numFmtId="0" fontId="8" fillId="0" borderId="1" applyAlignment="1" pivotButton="0" quotePrefix="0" xfId="0">
      <alignment vertical="top" wrapText="1"/>
    </xf>
    <xf numFmtId="0" fontId="17" fillId="0" borderId="0" pivotButton="0" quotePrefix="0" xfId="0"/>
    <xf numFmtId="0" fontId="2" fillId="0" borderId="0" applyAlignment="1" pivotButton="0" quotePrefix="0" xfId="0">
      <alignment vertical="top" wrapText="1"/>
    </xf>
    <xf numFmtId="0" fontId="3" fillId="2" borderId="0" pivotButton="0" quotePrefix="0" xfId="0"/>
    <xf numFmtId="168" fontId="24" fillId="6" borderId="1" applyAlignment="1" pivotButton="0" quotePrefix="0" xfId="0">
      <alignment horizontal="center" vertical="center"/>
    </xf>
    <xf numFmtId="0" fontId="25" fillId="6" borderId="1" applyAlignment="1" pivotButton="0" quotePrefix="0" xfId="0">
      <alignment vertical="center" wrapText="1"/>
    </xf>
    <xf numFmtId="171" fontId="5" fillId="0" borderId="1" applyAlignment="1" pivotButton="0" quotePrefix="0" xfId="0">
      <alignment horizontal="right"/>
    </xf>
    <xf numFmtId="0" fontId="2" fillId="0" borderId="0" applyAlignment="1" pivotButton="0" quotePrefix="0" xfId="0">
      <alignment vertical="center"/>
    </xf>
    <xf numFmtId="167" fontId="5" fillId="0" borderId="1" applyAlignment="1" pivotButton="0" quotePrefix="0" xfId="0">
      <alignment horizontal="right"/>
    </xf>
    <xf numFmtId="0" fontId="0" fillId="0" borderId="4" pivotButton="0" quotePrefix="0" xfId="0"/>
    <xf numFmtId="0" fontId="4" fillId="0" borderId="1" applyAlignment="1" pivotButton="0" quotePrefix="0" xfId="0">
      <alignment horizontal="left"/>
    </xf>
    <xf numFmtId="168" fontId="4" fillId="0" borderId="1" applyAlignment="1" pivotButton="0" quotePrefix="0" xfId="0">
      <alignment horizontal="right"/>
    </xf>
    <xf numFmtId="171" fontId="4" fillId="0" borderId="1" applyAlignment="1" pivotButton="0" quotePrefix="0" xfId="0">
      <alignment horizontal="right"/>
    </xf>
    <xf numFmtId="167" fontId="4" fillId="0" borderId="1" applyAlignment="1" pivotButton="0" quotePrefix="0" xfId="0">
      <alignment horizontal="right"/>
    </xf>
    <xf numFmtId="0" fontId="5" fillId="15" borderId="1" applyAlignment="1" pivotButton="0" quotePrefix="0" xfId="0">
      <alignment horizontal="left"/>
    </xf>
    <xf numFmtId="168" fontId="5" fillId="15" borderId="1" applyAlignment="1" pivotButton="0" quotePrefix="0" xfId="0">
      <alignment horizontal="right"/>
    </xf>
    <xf numFmtId="171" fontId="5" fillId="15" borderId="1" applyAlignment="1" pivotButton="0" quotePrefix="0" xfId="0">
      <alignment horizontal="right"/>
    </xf>
    <xf numFmtId="167" fontId="5" fillId="15" borderId="1" applyAlignment="1" pivotButton="0" quotePrefix="0" xfId="0">
      <alignment horizontal="right"/>
    </xf>
    <xf numFmtId="0" fontId="5" fillId="6" borderId="1" applyAlignment="1" pivotButton="0" quotePrefix="0" xfId="0">
      <alignment horizontal="left"/>
    </xf>
    <xf numFmtId="168" fontId="5" fillId="6" borderId="1" applyAlignment="1" pivotButton="0" quotePrefix="0" xfId="0">
      <alignment horizontal="right"/>
    </xf>
    <xf numFmtId="171" fontId="5" fillId="6" borderId="1" applyAlignment="1" pivotButton="0" quotePrefix="0" xfId="0">
      <alignment horizontal="right"/>
    </xf>
    <xf numFmtId="167" fontId="5" fillId="6" borderId="1" applyAlignment="1" pivotButton="0" quotePrefix="0" xfId="0">
      <alignment horizontal="right"/>
    </xf>
    <xf numFmtId="10" fontId="5" fillId="13" borderId="1" applyAlignment="1" pivotButton="0" quotePrefix="0" xfId="0">
      <alignment horizontal="right"/>
    </xf>
    <xf numFmtId="1" fontId="5" fillId="13" borderId="1" applyAlignment="1" pivotButton="0" quotePrefix="0" xfId="0">
      <alignment horizontal="right"/>
    </xf>
    <xf numFmtId="172" fontId="5" fillId="13" borderId="1" applyAlignment="1" pivotButton="0" quotePrefix="0" xfId="0">
      <alignment horizontal="right"/>
    </xf>
    <xf numFmtId="168" fontId="5" fillId="13" borderId="1" applyAlignment="1" pivotButton="0" quotePrefix="0" xfId="0">
      <alignment horizontal="right"/>
    </xf>
    <xf numFmtId="173" fontId="5" fillId="13" borderId="1" applyAlignment="1" pivotButton="0" quotePrefix="0" xfId="0">
      <alignment horizontal="right"/>
    </xf>
    <xf numFmtId="171" fontId="5" fillId="13" borderId="1" applyAlignment="1" pivotButton="0" quotePrefix="0" xfId="0">
      <alignment horizontal="right"/>
    </xf>
    <xf numFmtId="1" fontId="4" fillId="0" borderId="1" applyAlignment="1" pivotButton="0" quotePrefix="0" xfId="0">
      <alignment horizontal="right"/>
    </xf>
    <xf numFmtId="172" fontId="4" fillId="0" borderId="1" applyAlignment="1" pivotButton="0" quotePrefix="0" xfId="0">
      <alignment horizontal="right"/>
    </xf>
    <xf numFmtId="174" fontId="4" fillId="0" borderId="1" applyAlignment="1" pivotButton="0" quotePrefix="0" xfId="0">
      <alignment horizontal="right"/>
    </xf>
    <xf numFmtId="1" fontId="4" fillId="5" borderId="1" applyAlignment="1" pivotButton="0" quotePrefix="0" xfId="0">
      <alignment horizontal="right"/>
    </xf>
    <xf numFmtId="168" fontId="4" fillId="5" borderId="1" applyAlignment="1" pivotButton="0" quotePrefix="0" xfId="0">
      <alignment horizontal="right"/>
    </xf>
    <xf numFmtId="172" fontId="4" fillId="5" borderId="1" applyAlignment="1" pivotButton="0" quotePrefix="0" xfId="0">
      <alignment horizontal="right"/>
    </xf>
    <xf numFmtId="174" fontId="4" fillId="5" borderId="1" applyAlignment="1" pivotButton="0" quotePrefix="0" xfId="0">
      <alignment horizontal="right"/>
    </xf>
    <xf numFmtId="0" fontId="2" fillId="0" borderId="0" pivotButton="0" quotePrefix="0" xfId="0"/>
    <xf numFmtId="172" fontId="5" fillId="15" borderId="1" applyAlignment="1" pivotButton="0" quotePrefix="0" xfId="0">
      <alignment horizontal="right"/>
    </xf>
    <xf numFmtId="0" fontId="16" fillId="0" borderId="1" pivotButton="0" quotePrefix="0" xfId="0"/>
    <xf numFmtId="0" fontId="8" fillId="6" borderId="1" applyAlignment="1" pivotButton="0" quotePrefix="0" xfId="0">
      <alignment vertical="top" wrapText="1"/>
    </xf>
    <xf numFmtId="175" fontId="26" fillId="5" borderId="1" applyAlignment="1" pivotButton="0" quotePrefix="0" xfId="0">
      <alignment horizontal="right"/>
    </xf>
    <xf numFmtId="175" fontId="26" fillId="0" borderId="1" applyAlignment="1" pivotButton="0" quotePrefix="0" xfId="0">
      <alignment horizontal="right"/>
    </xf>
    <xf numFmtId="0" fontId="27" fillId="0" borderId="1" applyAlignment="1" pivotButton="0" quotePrefix="0" xfId="0">
      <alignment horizontal="right"/>
    </xf>
    <xf numFmtId="168" fontId="26" fillId="5" borderId="1" applyAlignment="1" pivotButton="0" quotePrefix="0" xfId="0">
      <alignment horizontal="right"/>
    </xf>
    <xf numFmtId="168" fontId="26" fillId="0" borderId="1" applyAlignment="1" pivotButton="0" quotePrefix="0" xfId="0">
      <alignment horizontal="right"/>
    </xf>
    <xf numFmtId="0" fontId="26" fillId="0" borderId="1" applyAlignment="1" pivotButton="0" quotePrefix="0" xfId="0">
      <alignment horizontal="right"/>
    </xf>
    <xf numFmtId="176" fontId="26" fillId="0" borderId="1" applyAlignment="1" pivotButton="0" quotePrefix="0" xfId="0">
      <alignment horizontal="right"/>
    </xf>
    <xf numFmtId="2" fontId="26" fillId="5" borderId="1" applyAlignment="1" pivotButton="0" quotePrefix="0" xfId="0">
      <alignment horizontal="right"/>
    </xf>
    <xf numFmtId="2" fontId="26" fillId="0" borderId="1" applyAlignment="1" pivotButton="0" quotePrefix="0" xfId="0">
      <alignment horizontal="right"/>
    </xf>
    <xf numFmtId="0" fontId="26" fillId="5" borderId="1" applyAlignment="1" pivotButton="0" quotePrefix="0" xfId="0">
      <alignment horizontal="right"/>
    </xf>
    <xf numFmtId="0" fontId="6" fillId="8" borderId="1" pivotButton="0" quotePrefix="0" xfId="0"/>
    <xf numFmtId="177" fontId="4" fillId="0" borderId="1" pivotButton="0" quotePrefix="0" xfId="0"/>
    <xf numFmtId="0" fontId="17" fillId="0" borderId="0" applyAlignment="1" pivotButton="0" quotePrefix="0" xfId="0">
      <alignment horizontal="center" vertical="center"/>
    </xf>
    <xf numFmtId="1" fontId="4" fillId="3" borderId="1" pivotButton="0" quotePrefix="0" xfId="0"/>
    <xf numFmtId="10" fontId="18" fillId="12" borderId="1" pivotButton="0" quotePrefix="0" xfId="0"/>
    <xf numFmtId="10" fontId="6" fillId="9" borderId="1" pivotButton="0" quotePrefix="0" xfId="0"/>
    <xf numFmtId="10" fontId="4" fillId="3" borderId="1" pivotButton="0" quotePrefix="0" xfId="0"/>
    <xf numFmtId="1" fontId="4" fillId="5" borderId="1" pivotButton="0" quotePrefix="0" xfId="0"/>
    <xf numFmtId="10" fontId="4" fillId="5" borderId="1" pivotButton="0" quotePrefix="0" xfId="0"/>
    <xf numFmtId="0" fontId="6" fillId="2" borderId="1" applyAlignment="1" pivotButton="0" quotePrefix="0" xfId="0">
      <alignment horizontal="center" vertical="center" wrapText="1"/>
    </xf>
    <xf numFmtId="170" fontId="0" fillId="0" borderId="0" pivotButton="0" quotePrefix="0" xfId="0"/>
    <xf numFmtId="171" fontId="0" fillId="0" borderId="0" pivotButton="0" quotePrefix="0" xfId="0"/>
    <xf numFmtId="3" fontId="0" fillId="0" borderId="0" pivotButton="0" quotePrefix="0" xfId="0"/>
    <xf numFmtId="10" fontId="0" fillId="0" borderId="0" pivotButton="0" quotePrefix="0" xfId="0"/>
    <xf numFmtId="4" fontId="0" fillId="0" borderId="0" pivotButton="0" quotePrefix="0" xfId="0"/>
    <xf numFmtId="0" fontId="19" fillId="13" borderId="1" applyAlignment="1" pivotButton="0" quotePrefix="0" xfId="0">
      <alignment horizontal="center"/>
    </xf>
    <xf numFmtId="0" fontId="4" fillId="5" borderId="1" applyAlignment="1" pivotButton="0" quotePrefix="0" xfId="0">
      <alignment horizontal="center"/>
    </xf>
    <xf numFmtId="0" fontId="20" fillId="5" borderId="1" pivotButton="0" quotePrefix="0" xfId="0"/>
    <xf numFmtId="0" fontId="4" fillId="0" borderId="1" applyAlignment="1" pivotButton="0" quotePrefix="0" xfId="0">
      <alignment horizontal="center"/>
    </xf>
    <xf numFmtId="0" fontId="20" fillId="0" borderId="1" pivotButton="0" quotePrefix="0" xfId="0"/>
    <xf numFmtId="0" fontId="18" fillId="12" borderId="1" applyAlignment="1" pivotButton="0" quotePrefix="0" xfId="0">
      <alignment horizontal="center"/>
    </xf>
    <xf numFmtId="0" fontId="21" fillId="14" borderId="1" applyAlignment="1" pivotButton="0" quotePrefix="0" xfId="0">
      <alignment horizontal="center"/>
    </xf>
    <xf numFmtId="0" fontId="5" fillId="15" borderId="1" pivotButton="0" quotePrefix="0" xfId="0"/>
    <xf numFmtId="165" fontId="4" fillId="0" borderId="1" applyAlignment="1" pivotButton="0" quotePrefix="0" xfId="0">
      <alignment horizontal="center"/>
    </xf>
    <xf numFmtId="0" fontId="23" fillId="0" borderId="0" pivotButton="0" quotePrefix="0" xfId="0"/>
    <xf numFmtId="0" fontId="4" fillId="0" borderId="0" pivotButton="0" quotePrefix="0" xfId="0"/>
    <xf numFmtId="2" fontId="5" fillId="0" borderId="0" applyAlignment="1" pivotButton="0" quotePrefix="0" xfId="0">
      <alignment horizontal="right"/>
    </xf>
    <xf numFmtId="1" fontId="5" fillId="0" borderId="0" applyAlignment="1" pivotButton="0" quotePrefix="0" xfId="0">
      <alignment horizontal="right"/>
    </xf>
    <xf numFmtId="168" fontId="5" fillId="0" borderId="0" applyAlignment="1" pivotButton="0" quotePrefix="0" xfId="0">
      <alignment horizontal="right"/>
    </xf>
    <xf numFmtId="164" fontId="0" fillId="0" borderId="0" pivotButton="0" quotePrefix="0" xfId="0"/>
    <xf numFmtId="0" fontId="5" fillId="0" borderId="1" applyAlignment="1" pivotButton="0" quotePrefix="0" xfId="0">
      <alignment vertical="top" wrapText="1"/>
    </xf>
    <xf numFmtId="0" fontId="13" fillId="0" borderId="1" applyAlignment="1" pivotButton="0" quotePrefix="0" xfId="0">
      <alignment vertical="top" wrapText="1"/>
    </xf>
  </cellXfs>
  <cellStyles count="1">
    <cellStyle name="Normal" xfId="0" builtinId="0" hidden="0"/>
  </cellStyles>
  <dxfs count="4">
    <dxf>
      <font>
        <b val="1"/>
        <color rgb="00006100"/>
      </font>
      <fill>
        <patternFill patternType="solid">
          <bgColor rgb="00C6EFCE"/>
        </patternFill>
      </fill>
    </dxf>
    <dxf>
      <font>
        <color rgb="009C0006"/>
      </font>
      <fill>
        <patternFill patternType="solid">
          <bgColor rgb="00FFC7CE"/>
        </patternFill>
      </fill>
    </dxf>
    <dxf>
      <fill>
        <patternFill patternType="solid">
          <fgColor rgb="00FF9999"/>
        </patternFill>
      </fill>
    </dxf>
    <dxf>
      <fill>
        <patternFill patternType="solid">
          <fgColor rgb="0099FF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a:pPr>
            <a:r>
              <a:t>Fair value per share — scenarios vs today's price</a:t>
            </a:r>
          </a:p>
        </rich>
      </tx>
    </title>
    <plotArea>
      <barChart>
        <barDir val="bar"/>
        <grouping val="clustered"/>
        <varyColors val="0"/>
        <ser>
          <idx val="0"/>
          <order val="0"/>
          <tx>
            <strRef>
              <f>'Valuation'!C15</f>
            </strRef>
          </tx>
          <spPr>
            <a:ln xmlns:a="http://schemas.openxmlformats.org/drawingml/2006/main">
              <a:prstDash val="solid"/>
            </a:ln>
          </spPr>
          <cat>
            <numRef>
              <f>'Valuation'!$A$16:$A$19</f>
            </numRef>
          </cat>
          <val>
            <numRef>
              <f>'Valuation'!$C$16:$C$19</f>
            </numRef>
          </val>
        </ser>
        <gapWidth val="150"/>
        <axId val="10"/>
        <axId val="100"/>
      </barChart>
      <catAx>
        <axId val="10"/>
        <scaling>
          <orientation val="minMax"/>
        </scaling>
        <delete val="0"/>
        <axPos val="l"/>
        <majorTickMark val="none"/>
        <minorTickMark val="none"/>
        <spPr>
          <a:ln xmlns:a="http://schemas.openxmlformats.org/drawingml/2006/main" w="9525">
            <a:solidFill>
              <a:srgbClr val="D9D9D9"/>
            </a:solidFill>
            <a:prstDash val="solid"/>
          </a:ln>
        </sp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numFmt formatCode="$#,##0" sourceLinked="0"/>
        <majorTickMark val="none"/>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Price &amp; Moving Averages</a:t>
            </a:r>
          </a:p>
        </rich>
      </tx>
    </title>
    <plotArea>
      <lineChart>
        <grouping val="standard"/>
        <varyColors val="0"/>
        <ser>
          <idx val="0"/>
          <order val="0"/>
          <tx>
            <v>NKE</v>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'Price_Indicators'!$A$2:$A$1254</f>
            </numRef>
          </cat>
          <val>
            <numRef>
              <f>'Price_Indicators'!$E$2:$E$1254</f>
            </numRef>
          </val>
          <smooth val="0"/>
        </ser>
        <ser>
          <idx val="1"/>
          <order val="1"/>
          <tx>
            <v>MA 50</v>
          </tx>
          <spPr>
            <a:ln xmlns:a="http://schemas.openxmlformats.org/drawingml/2006/main" w="13970">
              <a:solidFill>
                <a:srgbClr val="70AD47"/>
              </a:solidFill>
              <a:prstDash val="dash"/>
            </a:ln>
          </spPr>
          <marker>
            <symbol val="none"/>
            <spPr>
              <a:ln xmlns:a="http://schemas.openxmlformats.org/drawingml/2006/main">
                <a:prstDash val="solid"/>
              </a:ln>
            </spPr>
          </marker>
          <cat>
            <numRef>
              <f>'Price_Indicators'!$A$2:$A$1254</f>
            </numRef>
          </cat>
          <val>
            <numRef>
              <f>'Price_Indicators'!$I$2:$I$1254</f>
            </numRef>
          </val>
          <smooth val="0"/>
        </ser>
        <ser>
          <idx val="2"/>
          <order val="2"/>
          <tx>
            <v>MA 200</v>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'Price_Indicators'!$A$2:$A$1254</f>
            </numRef>
          </cat>
          <val>
            <numRef>
              <f>'Price_Indicators'!$J$2:$J$1254</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Cumulative Return vs Benchmarks</a:t>
            </a:r>
          </a:p>
        </rich>
      </tx>
    </title>
    <plotArea>
      <lineChart>
        <grouping val="standard"/>
        <varyColors val="0"/>
        <ser>
          <idx val="0"/>
          <order val="0"/>
          <tx>
            <v>NKE</v>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'Price_Indicators'!$A$2:$A$1254</f>
            </numRef>
          </cat>
          <val>
            <numRef>
              <f>'Price_Indicators'!$H$2:$H$1254</f>
            </numRef>
          </val>
          <smooth val="0"/>
        </ser>
        <ser>
          <idx val="1"/>
          <order val="1"/>
          <tx>
            <v>S&amp;P 500</v>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'Price_Indicators'!$A$2:$A$1254</f>
            </numRef>
          </cat>
          <val>
            <numRef>
              <f>'Price_Indicators'!$P$2:$P$1254</f>
            </numRef>
          </val>
          <smooth val="0"/>
        </ser>
        <ser>
          <idx val="2"/>
          <order val="2"/>
          <tx>
            <v>NASDAQ 100</v>
          </tx>
          <spPr>
            <a:ln xmlns:a="http://schemas.openxmlformats.org/drawingml/2006/main" w="13970">
              <a:solidFill>
                <a:srgbClr val="00B0F0"/>
              </a:solidFill>
              <a:prstDash val="dash"/>
            </a:ln>
          </spPr>
          <marker>
            <symbol val="none"/>
            <spPr>
              <a:ln xmlns:a="http://schemas.openxmlformats.org/drawingml/2006/main">
                <a:prstDash val="solid"/>
              </a:ln>
            </spPr>
          </marker>
          <cat>
            <numRef>
              <f>'Price_Indicators'!$A$2:$A$1254</f>
            </numRef>
          </cat>
          <val>
            <numRef>
              <f>'Price_Indicators'!$Q$2:$Q$1254</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Volume</a:t>
            </a:r>
          </a:p>
        </rich>
      </tx>
    </title>
    <plotArea>
      <barChart>
        <barDir val="col"/>
        <grouping val="clustered"/>
        <varyColors val="0"/>
        <ser>
          <idx val="0"/>
          <order val="0"/>
          <tx>
            <strRef>
              <f>'Price_Indicators'!F1</f>
            </strRef>
          </tx>
          <spPr>
            <a:solidFill xmlns:a="http://schemas.openxmlformats.org/drawingml/2006/main">
              <a:srgbClr val="8FAADC"/>
            </a:solidFill>
            <a:ln xmlns:a="http://schemas.openxmlformats.org/drawingml/2006/main">
              <a:noFill/>
              <a:prstDash val="solid"/>
            </a:ln>
          </spPr>
          <cat>
            <numRef>
              <f>'Price_Indicators'!$A$2:$A$1254</f>
            </numRef>
          </cat>
          <val>
            <numRef>
              <f>'Price_Indicators'!$F$2:$F$1254</f>
            </numRef>
          </val>
        </ser>
        <gapWidth val="20"/>
        <axId val="10"/>
        <axId val="100"/>
      </barChart>
      <catAx>
        <axId val="10"/>
        <scaling>
          <orientation val="minMax"/>
        </scaling>
        <delete val="0"/>
        <axPos val="l"/>
        <numFmt formatCode="mmm yy" sourceLinked="0"/>
        <majorTickMark val="none"/>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numFmt formatCode="#,##0,,&quot;M&quot;" sourceLinked="0"/>
        <majorTickMark val="none"/>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5.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RSI (14)</a:t>
            </a:r>
          </a:p>
        </rich>
      </tx>
    </title>
    <plotArea>
      <lineChart>
        <grouping val="standard"/>
        <varyColors val="0"/>
        <ser>
          <idx val="0"/>
          <order val="0"/>
          <tx>
            <strRef>
              <f>'Price_Indicators'!N1</f>
            </strRef>
          </tx>
          <spPr>
            <a:ln xmlns:a="http://schemas.openxmlformats.org/drawingml/2006/main" w="16510">
              <a:solidFill>
                <a:srgbClr val="6C3483"/>
              </a:solidFill>
              <a:prstDash val="solid"/>
            </a:ln>
          </spPr>
          <marker>
            <symbol val="none"/>
            <spPr>
              <a:ln xmlns:a="http://schemas.openxmlformats.org/drawingml/2006/main">
                <a:prstDash val="solid"/>
              </a:ln>
            </spPr>
          </marker>
          <cat>
            <numRef>
              <f>'Price_Indicators'!$A$2:$A$1254</f>
            </numRef>
          </cat>
          <val>
            <numRef>
              <f>'Price_Indicators'!$N$2:$N$1254</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max val="100"/>
          <min val="0"/>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Monte Carlo Forecast (252 trading days)</a:t>
            </a:r>
          </a:p>
        </rich>
      </tx>
    </title>
    <plotArea>
      <lineChart>
        <grouping val="standard"/>
        <varyColors val="0"/>
        <ser>
          <idx val="0"/>
          <order val="0"/>
          <tx>
            <strRef>
              <f>'Monte_Carlo'!B20</f>
            </strRef>
          </tx>
          <spPr>
            <a:ln xmlns:a="http://schemas.openxmlformats.org/drawingml/2006/main" w="12700">
              <a:solidFill>
                <a:srgbClr val="C00000"/>
              </a:solidFill>
              <a:prstDash val="dash"/>
            </a:ln>
          </spPr>
          <marker>
            <symbol val="none"/>
            <spPr>
              <a:ln xmlns:a="http://schemas.openxmlformats.org/drawingml/2006/main">
                <a:prstDash val="solid"/>
              </a:ln>
            </spPr>
          </marker>
          <cat>
            <numRef>
              <f>'Monte_Carlo'!$A$21:$A$273</f>
            </numRef>
          </cat>
          <val>
            <numRef>
              <f>'Monte_Carlo'!$B$21:$B$273</f>
            </numRef>
          </val>
          <smooth val="0"/>
        </ser>
        <ser>
          <idx val="1"/>
          <order val="1"/>
          <tx>
            <strRef>
              <f>'Monte_Carlo'!C20</f>
            </strRef>
          </tx>
          <spPr>
            <a:ln xmlns:a="http://schemas.openxmlformats.org/drawingml/2006/main" w="12700">
              <a:solidFill>
                <a:srgbClr val="E8A838"/>
              </a:solidFill>
              <a:prstDash val="dash"/>
            </a:ln>
          </spPr>
          <marker>
            <symbol val="none"/>
            <spPr>
              <a:ln xmlns:a="http://schemas.openxmlformats.org/drawingml/2006/main">
                <a:prstDash val="solid"/>
              </a:ln>
            </spPr>
          </marker>
          <cat>
            <numRef>
              <f>'Monte_Carlo'!$A$21:$A$273</f>
            </numRef>
          </cat>
          <val>
            <numRef>
              <f>'Monte_Carlo'!$C$21:$C$273</f>
            </numRef>
          </val>
          <smooth val="0"/>
        </ser>
        <ser>
          <idx val="2"/>
          <order val="2"/>
          <tx>
            <strRef>
              <f>'Monte_Carlo'!D20</f>
            </strRef>
          </tx>
          <spPr>
            <a:ln xmlns:a="http://schemas.openxmlformats.org/drawingml/2006/main" w="22860">
              <a:solidFill>
                <a:srgbClr val="1F4E79"/>
              </a:solidFill>
              <a:prstDash val="solid"/>
            </a:ln>
          </spPr>
          <marker>
            <symbol val="none"/>
            <spPr>
              <a:ln xmlns:a="http://schemas.openxmlformats.org/drawingml/2006/main">
                <a:prstDash val="solid"/>
              </a:ln>
            </spPr>
          </marker>
          <cat>
            <numRef>
              <f>'Monte_Carlo'!$A$21:$A$273</f>
            </numRef>
          </cat>
          <val>
            <numRef>
              <f>'Monte_Carlo'!$D$21:$D$273</f>
            </numRef>
          </val>
          <smooth val="0"/>
        </ser>
        <ser>
          <idx val="3"/>
          <order val="3"/>
          <tx>
            <strRef>
              <f>'Monte_Carlo'!E20</f>
            </strRef>
          </tx>
          <spPr>
            <a:ln xmlns:a="http://schemas.openxmlformats.org/drawingml/2006/main" w="12700">
              <a:solidFill>
                <a:srgbClr val="92D050"/>
              </a:solidFill>
              <a:prstDash val="dash"/>
            </a:ln>
          </spPr>
          <marker>
            <symbol val="none"/>
            <spPr>
              <a:ln xmlns:a="http://schemas.openxmlformats.org/drawingml/2006/main">
                <a:prstDash val="solid"/>
              </a:ln>
            </spPr>
          </marker>
          <cat>
            <numRef>
              <f>'Monte_Carlo'!$A$21:$A$273</f>
            </numRef>
          </cat>
          <val>
            <numRef>
              <f>'Monte_Carlo'!$E$21:$E$273</f>
            </numRef>
          </val>
          <smooth val="0"/>
        </ser>
        <ser>
          <idx val="4"/>
          <order val="4"/>
          <tx>
            <strRef>
              <f>'Monte_Carlo'!F20</f>
            </strRef>
          </tx>
          <spPr>
            <a:ln xmlns:a="http://schemas.openxmlformats.org/drawingml/2006/main" w="12700">
              <a:solidFill>
                <a:srgbClr val="375623"/>
              </a:solidFill>
              <a:prstDash val="dash"/>
            </a:ln>
          </spPr>
          <marker>
            <symbol val="none"/>
            <spPr>
              <a:ln xmlns:a="http://schemas.openxmlformats.org/drawingml/2006/main">
                <a:prstDash val="solid"/>
              </a:ln>
            </spPr>
          </marker>
          <cat>
            <numRef>
              <f>'Monte_Carlo'!$A$21:$A$273</f>
            </numRef>
          </cat>
          <val>
            <numRef>
              <f>'Monte_Carlo'!$F$21:$F$273</f>
            </numRef>
          </val>
          <smooth val="0"/>
        </ser>
        <axId val="10"/>
        <axId val="100"/>
      </lineChart>
      <catAx>
        <axId val="10"/>
        <scaling>
          <orientation val="minMax"/>
        </scaling>
        <delete val="0"/>
        <axPos val="l"/>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chart" Target="/xl/charts/chart1.xml" Id="rId1"/></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chart" Target="/xl/charts/chart4.xml" Id="rId3"/><Relationship Type="http://schemas.openxmlformats.org/officeDocument/2006/relationships/chart" Target="/xl/charts/chart5.xml" Id="rId4"/><Relationship Type="http://schemas.openxmlformats.org/officeDocument/2006/relationships/chart" Target="/xl/charts/chart6.xml" Id="rId5"/></Relationships>
</file>

<file path=xl/drawings/drawing1.xml><?xml version="1.0" encoding="utf-8"?>
<wsDr xmlns="http://schemas.openxmlformats.org/drawingml/2006/spreadsheetDrawing">
  <oneCellAnchor>
    <from>
      <col>1</col>
      <colOff>0</colOff>
      <row>0</row>
      <rowOff>0</rowOff>
    </from>
    <ext cx="666750"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5</row>
      <rowOff>0</rowOff>
    </from>
    <ext cx="1238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8</row>
      <rowOff>0</rowOff>
    </from>
    <ext cx="1238250" cy="333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11</row>
      <rowOff>0</rowOff>
    </from>
    <ext cx="1238250" cy="333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14</row>
      <rowOff>0</rowOff>
    </from>
    <ext cx="1238250" cy="333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17</row>
      <rowOff>0</rowOff>
    </from>
    <ext cx="1238250" cy="3333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65</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row>
      <rowOff>0</rowOff>
    </from>
    <ext cx="79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79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37</row>
      <rowOff>0</rowOff>
    </from>
    <ext cx="7920000" cy="23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54</row>
      <rowOff>0</rowOff>
    </from>
    <ext cx="792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9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Valuation!A1" TargetMode="External" Id="rId2"/><Relationship Type="http://schemas.openxmlformats.org/officeDocument/2006/relationships/hyperlink" Target="#Fundamentals!A1" TargetMode="External" Id="rId3"/><Relationship Type="http://schemas.openxmlformats.org/officeDocument/2006/relationships/hyperlink" Target="#Annual_Summary!A1" TargetMode="External" Id="rId4"/><Relationship Type="http://schemas.openxmlformats.org/officeDocument/2006/relationships/hyperlink" Target="#Price_Indicators!A1" TargetMode="External" Id="rId5"/><Relationship Type="http://schemas.openxmlformats.org/officeDocument/2006/relationships/hyperlink" Target="#News_Headlines!A1" TargetMode="External" Id="rId6"/><Relationship Type="http://schemas.openxmlformats.org/officeDocument/2006/relationships/hyperlink" Target="#Peer_Comparison!A1" TargetMode="External" Id="rId7"/><Relationship Type="http://schemas.openxmlformats.org/officeDocument/2006/relationships/hyperlink" Target="#Correlation_Matrix!A1" TargetMode="External" Id="rId8"/><Relationship Type="http://schemas.openxmlformats.org/officeDocument/2006/relationships/hyperlink" Target="#Monte_Carlo!A1" TargetMode="External" Id="rId9"/><Relationship Type="http://schemas.openxmlformats.org/officeDocument/2006/relationships/hyperlink" Target="#Charts!A1" TargetMode="External" Id="rId10"/><Relationship Type="http://schemas.openxmlformats.org/officeDocument/2006/relationships/hyperlink" Target="#Methodology!A1" TargetMode="External" Id="rId11"/><Relationship Type="http://schemas.openxmlformats.org/officeDocument/2006/relationships/hyperlink" Target="https://quantwizard.co/?page=analysis&amp;ticker=NKE" TargetMode="External" Id="rId12"/><Relationship Type="http://schemas.openxmlformats.org/officeDocument/2006/relationships/drawing" Target="/xl/drawings/drawing1.xml" Id="rId13"/></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hyperlink" Target="https://www.sec.gov/Archives/edgar/data/320187/000032018726000076/nke-20260630.htm" TargetMode="External" Id="rId1"/><Relationship Type="http://schemas.openxmlformats.org/officeDocument/2006/relationships/hyperlink" Target="https://news.google.com/rss/articles/CBMiygFBVV95cUxQWEdCTTM4Mm1mZFVsSXdya1E3clVGTjhpSzRuek5Ld2xGSDlFejJxblBWVWx1YUd6b1A0UVBBOFhibE5fcDZCNVZpU29qRERrZVpNNkVNOUF3MzRPZHdhcjI5SGpSRF9Gb01DbXUwdFozNE81T2RwTkFkWURxSnJEQW5nMEUxU0JoQ0wyVjRUVHZWdkp6WmMxYlhFb3VsZTMycnZiT0g4cTcxWjJqdERrdTNxUTNHdE12UTdPZTl5RlJiRGx1Q2JacVRR?oc=5" TargetMode="External" Id="rId2"/><Relationship Type="http://schemas.openxmlformats.org/officeDocument/2006/relationships/hyperlink" Target="https://finnhub.io/api/news?id=a995ddd9aa26aa0342f3768c736215a0d64e6a949e3395d027ea25c0d9723363" TargetMode="External" Id="rId3"/><Relationship Type="http://schemas.openxmlformats.org/officeDocument/2006/relationships/hyperlink" Target="https://news.google.com/rss/articles/CBMiuwFBVV95cUxNc0hpUnlJWDE3UmU4Z0NqbTlHRkdDRHRpbTl0a0xIYmpPalFjSVdoeXZDRGdaSXhFRlFicEhCSU5FUkdVTDlmdWFWcXd5X0RqTlN3MjROMy0tNHdod2NFem43WlE3Y3NnUFQ2VVpuVWVTcUloN2g0ZW1mMEZqRFdzZVNTcDJ4R3pDNmthRnlyVERrQ0xkamdjUkR1LWQzMWs2YW1ud21YWXdzYjBDUjdDclJGU2xDQ0hFNUdV?oc=5" TargetMode="External" Id="rId4"/><Relationship Type="http://schemas.openxmlformats.org/officeDocument/2006/relationships/hyperlink" Target="https://news.google.com/rss/articles/CBMiugFBVV95cUxNX0VHNmpqWVJ0cm5KOVlBZk1GQ1BRWnZmZkt3MVBIVllDYm4ySE4xRW0tVTJjaHh1REo2blIyMklDSTVLLVhveHlPR1BMdDNzWlFqR1Qtb0oyYjlCb0VjWnBvVk8yVmszd29PUlBzOTZUR1htakgzRUF2dDJqTER4R2czeEEtV0lkTm9mNnd3VXdUVERYX1JWQjBJa0dKUjAxVTZOS0JoZTZ6OGZyVm9rUkt3RFctYzQtaGc?oc=5" TargetMode="External" Id="rId5"/><Relationship Type="http://schemas.openxmlformats.org/officeDocument/2006/relationships/hyperlink" Target="https://www.fool.com/investing/2026/07/30/nike-ultimate-dividend-stock-you-buy-right-now/?source=iedfolrf0000001" TargetMode="External" Id="rId6"/><Relationship Type="http://schemas.openxmlformats.org/officeDocument/2006/relationships/hyperlink" Target="https://www.investing.com/analysis/nikes-40-floor-reflects-deep-value-but-not-yet-a-confirmed-recovery-200683845" TargetMode="External" Id="rId7"/><Relationship Type="http://schemas.openxmlformats.org/officeDocument/2006/relationships/hyperlink" Target="https://news.google.com/rss/articles/CBMipAFBVV95cUxNQVBnNUJzYnV6bVpSVjdGc1VubjM0UUM5YmVhRFVQR3dyN1ZnVTZVU2dvSHc1bHNiMWZ0akVoTTRqamxxN2VXM3RWQ3NPZUNPbjJNLVBsUmxKY3dCUWRDT2NTXzBVUl93LVlaZl9ZUzcxSXdseTZ6MF9VYTRGMmN0clFJRFotMFF5Q1VqSmpKMFZfTi10aDc4dVpHMV9Xd3BpQ0k5NQ?oc=5" TargetMode="External" Id="rId8"/><Relationship Type="http://schemas.openxmlformats.org/officeDocument/2006/relationships/hyperlink" Target="https://news.google.com/rss/articles/CBMimwFBVV95cUxPT2NkS0pHdGNnNERZTUdXcm8yYTUtZXRPZ2NRNGpVdUxPRXFOa09odVBoV3BMVmFXckVPb2dnZ1NKV0xWdGVVMng2ZG5TRmwxQUp1Y21qYnZ0c0l5VklzclJQOVFhWTdzU0NrZC1fSnRqblFmQmRPSTZaWHlrV2FTNmx4OWdIRXNLNUZ1OF9LZHFrU3lVOEZyWkRjVQ?oc=5" TargetMode="External" Id="rId9"/><Relationship Type="http://schemas.openxmlformats.org/officeDocument/2006/relationships/hyperlink" Target="https://finnhub.io/api/news?id=eb30af20e76cc92b1500d802e67b9e0d42671ce37e4a52c30a61be8d1b9c89dc" TargetMode="External" Id="rId10"/><Relationship Type="http://schemas.openxmlformats.org/officeDocument/2006/relationships/hyperlink" Target="https://news.google.com/rss/articles/CBMiwwFBVV95cUxOWmx3ejRxZU9ZU3djdWVaa25HNzdDUzJ0WjMxamRBeWJxdk9WTUVmZUdJTjdBTUpCUHFaWEZzSmloSG03S0otcjkyUXJXTHdBalZlcF8zNjhxWWx3RlpKd2k3N3RkdnNlU1ZMcGZ4S1BxTl9JTVJ6QUROTHpkWEJDdWVUTGZnV0JXWkw0eWw0YzRob2FMb1l5ZU52aG4zczZmM19HNGIyZU95MWJXWWVNM0g2RWJfUGJzekpqQ0NDN0xBYW8?oc=5" TargetMode="External" Id="rId11"/><Relationship Type="http://schemas.openxmlformats.org/officeDocument/2006/relationships/hyperlink" Target="https://news.google.com/rss/articles/CBMi1gFBVV95cUxPSFphc2QyRnd2U2ExSXNFdlhQZXN5WGNpaGRNSzVTUThvdHFKVFVSclVBTTVKVW5FZUlOLWJQYUFvXy1Rakx1a0gwY091Z0dqUjdxQk1qbjdJMXFrakVScFVXTkhtNGhMWU9sZWlmUmIwS1V1bnVHcW1DbDFRSEpQcTlOYTY5Q3BKYWVpa1JEc3YwYVh2NUVLQXh0VElFSGZhT1pxMmJpVENWM1AwaU1JNTlPcktINTJmdjlPUFZzbVliTzloNENGclp6RXVxblZ1WjRrZ21B?oc=5" TargetMode="External" Id="rId12"/><Relationship Type="http://schemas.openxmlformats.org/officeDocument/2006/relationships/hyperlink" Target="https://news.google.com/rss/articles/CBMizgFBVV95cUxPcVdwMEdtc2Y3TVFXMmFMZEI3QnpkaG91bTV3aW5oczl1eVhfTTd0V00tZnFvYXplQ3RXZ0Q0bE1GUXByVkVCOHgzUTQ0NGxtSlo1VGg1RnQ4REx1azhqdWd5ZUZ6ZzNCTE9jZktqWTd0XzdmSmk5ZkVHSWxHdkMtbHA2Zjc3TWk3ZHZIdlYyTXdoM3RoZEtZUEVpQV9DQXNlNGc4UF9IeC10ZGp4ZkpVSGczdFRhQU1oYzE5dTFFNmx4Q21hTmJnN1ZsSU5WZ9IBzgFBVV95cUxPcVdwMEdtc2Y3TVFXMmFMZEI3QnpkaG91bTV3aW5oczl1eVhfTTd0V00tZnFvYXplQ3RXZ0Q0bE1GUXByVkVCOHgzUTQ0NGxtSlo1VGg1RnQ4REx1azhqdWd5ZUZ6ZzNCTE9jZktqWTd0XzdmSmk5ZkVHSWxHdkMtbHA2Zjc3TWk3ZHZIdlYyTXdoM3RoZEtZUEVpQV9DQXNlNGc4UF9IeC10ZGp4ZkpVSGczdFRhQU1oYzE5dTFFNmx4Q21hTmJnN1ZsSU5WZw?oc=5" TargetMode="External" Id="rId13"/><Relationship Type="http://schemas.openxmlformats.org/officeDocument/2006/relationships/hyperlink" Target="https://news.google.com/rss/articles/CBMioAFBVV95cUxNM0J3V0paRVRPNnVQbU05RGVvVnBkdTRfWU9mRHdaRUUzcS1fd0g2TlpvMTdmQVczSzNWRVEweGJfRjBTOE9hQUZ1dWlrLTN0aHJMV1AzZHgtVkJtZWZkOGw2MWxHNHc2QkZOOVVVcjd3STRaWWh5cDRIS1gzSndCdjBkdlc0Q1UwaG5ySTRwenQ3TWpHUGNkQTNwZEFyaFlB?oc=5" TargetMode="External" Id="rId14"/></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1:E23"/>
  <sheetViews>
    <sheetView showGridLines="0" workbookViewId="0">
      <selection activeCell="A1" sqref="A1"/>
    </sheetView>
  </sheetViews>
  <sheetFormatPr baseColWidth="8" defaultRowHeight="15"/>
  <cols>
    <col width="4" customWidth="1" min="1" max="1"/>
    <col width="21" customWidth="1" min="2" max="2"/>
    <col width="21" customWidth="1" min="3" max="3"/>
    <col width="21" customWidth="1" min="4" max="4"/>
    <col width="21" customWidth="1" min="5" max="5"/>
  </cols>
  <sheetData>
    <row r="1" ht="54" customHeight="1">
      <c r="B1" s="1" t="n"/>
    </row>
    <row r="2" ht="30" customHeight="1">
      <c r="B2" s="2" t="inlineStr">
        <is>
          <t>NKE  —  Equity Research Report</t>
        </is>
      </c>
    </row>
    <row r="3" ht="14" customHeight="1"/>
    <row r="4">
      <c r="B4" s="3" t="inlineStr">
        <is>
          <t>Period: 5Y    |    Generated: August 05, 2026 01:19    |    Multi-source data: Polygon · Yahoo Finance · Finnhub · SEC EDGAR</t>
        </is>
      </c>
    </row>
    <row r="6" ht="30" customHeight="1">
      <c r="B6" s="4" t="inlineStr">
        <is>
          <t>$41.53</t>
        </is>
      </c>
      <c r="C6" s="5" t="inlineStr">
        <is>
          <t>-73.9%</t>
        </is>
      </c>
      <c r="D6" s="4" t="inlineStr">
        <is>
          <t>-0.69</t>
        </is>
      </c>
      <c r="E6" s="4" t="inlineStr">
        <is>
          <t>35.6%</t>
        </is>
      </c>
    </row>
    <row r="7" ht="16" customHeight="1">
      <c r="B7" s="6" t="inlineStr">
        <is>
          <t>CURRENT PRICE</t>
        </is>
      </c>
      <c r="C7" s="6" t="inlineStr">
        <is>
          <t>PERIOD RETURN</t>
        </is>
      </c>
      <c r="D7" s="6" t="inlineStr">
        <is>
          <t>SHARPE RATIO</t>
        </is>
      </c>
      <c r="E7" s="6" t="inlineStr">
        <is>
          <t>ANN. VOLATILITY</t>
        </is>
      </c>
    </row>
    <row r="9">
      <c r="B9" s="7" t="inlineStr">
        <is>
          <t>TABLE OF CONTENTS</t>
        </is>
      </c>
    </row>
    <row r="10" ht="16" customHeight="1">
      <c r="B10" s="8" t="inlineStr">
        <is>
          <t>Dashboard</t>
        </is>
      </c>
    </row>
    <row r="11" ht="16" customHeight="1">
      <c r="B11" s="8" t="inlineStr">
        <is>
          <t>Valuation</t>
        </is>
      </c>
    </row>
    <row r="12" ht="16" customHeight="1">
      <c r="B12" s="8" t="inlineStr">
        <is>
          <t>Fundamentals</t>
        </is>
      </c>
    </row>
    <row r="13" ht="16" customHeight="1">
      <c r="B13" s="8" t="inlineStr">
        <is>
          <t>Annual Summary</t>
        </is>
      </c>
    </row>
    <row r="14" ht="16" customHeight="1">
      <c r="B14" s="8" t="inlineStr">
        <is>
          <t>Price Indicators</t>
        </is>
      </c>
    </row>
    <row r="15" ht="16" customHeight="1">
      <c r="B15" s="8" t="inlineStr">
        <is>
          <t>News Headlines</t>
        </is>
      </c>
    </row>
    <row r="16" ht="16" customHeight="1">
      <c r="B16" s="8" t="inlineStr">
        <is>
          <t>Peer Comparison</t>
        </is>
      </c>
    </row>
    <row r="17" ht="16" customHeight="1">
      <c r="B17" s="8" t="inlineStr">
        <is>
          <t>Correlation Matrix</t>
        </is>
      </c>
    </row>
    <row r="18" ht="16" customHeight="1">
      <c r="B18" s="8" t="inlineStr">
        <is>
          <t>Monte Carlo</t>
        </is>
      </c>
    </row>
    <row r="19" ht="16" customHeight="1">
      <c r="B19" s="8" t="inlineStr">
        <is>
          <t>Charts</t>
        </is>
      </c>
    </row>
    <row r="20" ht="16" customHeight="1">
      <c r="B20" s="8" t="inlineStr">
        <is>
          <t>Methodology</t>
        </is>
      </c>
    </row>
    <row r="22">
      <c r="B22" s="9" t="inlineStr">
        <is>
          <t>↗  Open NKE live on QuantWizard (refreshes this analysis)</t>
        </is>
      </c>
    </row>
    <row r="23">
      <c r="B23" s="10" t="inlineStr">
        <is>
          <t>Figures below are as of the generation date above.</t>
        </is>
      </c>
    </row>
  </sheetData>
  <mergeCells count="3">
    <mergeCell ref="B2:E3"/>
    <mergeCell ref="B1:E1"/>
    <mergeCell ref="B4:E4"/>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 xmlns:r="http://schemas.openxmlformats.org/officeDocument/2006/relationships" ref="B22" r:id="rId12"/>
  </hyperlinks>
  <pageMargins left="0.75" right="0.75" top="1" bottom="1" header="0.5" footer="0.5"/>
  <drawing xmlns:r="http://schemas.openxmlformats.org/officeDocument/2006/relationships" r:id="rId13"/>
</worksheet>
</file>

<file path=xl/worksheets/sheet2.xml><?xml version="1.0" encoding="utf-8"?>
<worksheet xmlns="http://schemas.openxmlformats.org/spreadsheetml/2006/main">
  <sheetPr>
    <outlinePr summaryBelow="1" summaryRight="1"/>
    <pageSetUpPr/>
  </sheetPr>
  <dimension ref="A1:E123"/>
  <sheetViews>
    <sheetView showGridLines="0" workbookViewId="0">
      <selection activeCell="A1" sqref="A1"/>
    </sheetView>
  </sheetViews>
  <sheetFormatPr baseColWidth="8" defaultRowHeight="15"/>
  <cols>
    <col width="34" customWidth="1" min="1" max="1"/>
    <col width="24" customWidth="1" min="2" max="2"/>
    <col width="18" customWidth="1" min="3" max="3"/>
    <col width="10" customWidth="1" min="4" max="4"/>
    <col width="18" customWidth="1" min="5" max="5"/>
  </cols>
  <sheetData>
    <row r="1" ht="34" customHeight="1">
      <c r="A1" s="11" t="inlineStr">
        <is>
          <t>NKE — Equity Research Dashboard</t>
        </is>
      </c>
    </row>
    <row r="2">
      <c r="A2" s="12" t="inlineStr">
        <is>
          <t>Generated: August 05, 2026 01:19  |  Multi-source data: Polygon · Yahoo Finance · Finnhub · SEC EDGAR</t>
        </is>
      </c>
    </row>
    <row r="4" ht="20" customHeight="1">
      <c r="A4" s="13" t="inlineStr">
        <is>
          <t>Price &amp; Performance</t>
        </is>
      </c>
      <c r="E4" s="14" t="inlineStr">
        <is>
          <t>SPARKLINES</t>
        </is>
      </c>
    </row>
    <row r="5">
      <c r="A5" s="15" t="inlineStr">
        <is>
          <t>Current Price ($)</t>
        </is>
      </c>
      <c r="B5" s="16" t="n">
        <v>41.52999877929688</v>
      </c>
      <c r="E5" s="17" t="inlineStr">
        <is>
          <t>Price</t>
        </is>
      </c>
    </row>
    <row r="6">
      <c r="A6" s="18" t="inlineStr">
        <is>
          <t>Period Return</t>
        </is>
      </c>
      <c r="B6" s="19" t="n">
        <v>-0.7389367204195874</v>
      </c>
    </row>
    <row r="7">
      <c r="A7" s="15" t="inlineStr">
        <is>
          <t>52-Week High ($)</t>
        </is>
      </c>
      <c r="B7" s="16" t="n">
        <v>77.05551910400391</v>
      </c>
    </row>
    <row r="8">
      <c r="A8" s="18" t="inlineStr">
        <is>
          <t>52-Week Low ($)</t>
        </is>
      </c>
      <c r="B8" s="20" t="n">
        <v>40.75</v>
      </c>
      <c r="E8" s="17" t="inlineStr">
        <is>
          <t>Volume</t>
        </is>
      </c>
    </row>
    <row r="9">
      <c r="A9" s="15" t="inlineStr">
        <is>
          <t>% from 52W High</t>
        </is>
      </c>
      <c r="B9" s="19" t="n">
        <v>-0.4610379728512021</v>
      </c>
    </row>
    <row r="10">
      <c r="A10" s="18" t="inlineStr">
        <is>
          <t>20-Day MA ($)</t>
        </is>
      </c>
      <c r="B10" s="20" t="n">
        <v>42.7834997177124</v>
      </c>
    </row>
    <row r="11">
      <c r="A11" s="15" t="inlineStr">
        <is>
          <t>50-Day MA ($)</t>
        </is>
      </c>
      <c r="B11" s="16" t="n">
        <v>43.41054748535156</v>
      </c>
      <c r="E11" s="17" t="inlineStr">
        <is>
          <t>Daily Ret</t>
        </is>
      </c>
    </row>
    <row r="12">
      <c r="A12" s="18" t="inlineStr">
        <is>
          <t>200-Day MA ($)</t>
        </is>
      </c>
      <c r="B12" s="20" t="n">
        <v>53.65097972869873</v>
      </c>
    </row>
    <row r="13">
      <c r="A13" s="15" t="inlineStr">
        <is>
          <t>Price vs 50-Day MA</t>
        </is>
      </c>
      <c r="B13" s="19" t="n">
        <v>-0.04332008728268777</v>
      </c>
    </row>
    <row r="14">
      <c r="E14" s="17" t="inlineStr">
        <is>
          <t>Volatility</t>
        </is>
      </c>
    </row>
    <row r="15" ht="20" customHeight="1">
      <c r="A15" s="13" t="inlineStr">
        <is>
          <t>Bollinger Bands (20-day, 2σ)</t>
        </is>
      </c>
    </row>
    <row r="16">
      <c r="A16" s="18" t="inlineStr">
        <is>
          <t>BB Upper ($)</t>
        </is>
      </c>
      <c r="B16" s="20" t="n">
        <v>44.60110497714321</v>
      </c>
    </row>
    <row r="17">
      <c r="A17" s="15" t="inlineStr">
        <is>
          <t>BB Middle ($)</t>
        </is>
      </c>
      <c r="B17" s="16" t="n">
        <v>42.7834997177124</v>
      </c>
      <c r="E17" s="17" t="inlineStr">
        <is>
          <t>Drawdown</t>
        </is>
      </c>
    </row>
    <row r="18">
      <c r="A18" s="18" t="inlineStr">
        <is>
          <t>BB Lower ($)</t>
        </is>
      </c>
      <c r="B18" s="20" t="n">
        <v>40.9658944582816</v>
      </c>
    </row>
    <row r="19">
      <c r="A19" s="15" t="inlineStr">
        <is>
          <t>BB Width</t>
        </is>
      </c>
      <c r="B19" s="21" t="n">
        <v>0.08496758196143155</v>
      </c>
    </row>
    <row r="20">
      <c r="A20" s="18" t="inlineStr">
        <is>
          <t>BB %B</t>
        </is>
      </c>
      <c r="B20" s="22" t="n">
        <v>0.155177896324951</v>
      </c>
    </row>
    <row r="22" ht="20" customHeight="1">
      <c r="A22" s="13" t="inlineStr">
        <is>
          <t>Risk &amp; Return Metrics</t>
        </is>
      </c>
    </row>
    <row r="23">
      <c r="A23" s="15" t="inlineStr">
        <is>
          <t>20-Day Ann. Volatility</t>
        </is>
      </c>
      <c r="B23" s="23" t="n">
        <v>0.3285423159738549</v>
      </c>
    </row>
    <row r="24">
      <c r="A24" s="18" t="inlineStr">
        <is>
          <t>60-Day Max Drawdown</t>
        </is>
      </c>
      <c r="B24" s="19" t="n">
        <v>-0.3553826303470411</v>
      </c>
    </row>
    <row r="25">
      <c r="A25" s="15" t="inlineStr">
        <is>
          <t>RSI (14)</t>
        </is>
      </c>
      <c r="B25" s="24" t="n">
        <v>43.9</v>
      </c>
    </row>
    <row r="26">
      <c r="A26" s="18" t="inlineStr">
        <is>
          <t>Sharpe Ratio</t>
        </is>
      </c>
      <c r="B26" s="25" t="n">
        <v>-0.6899999999999999</v>
      </c>
    </row>
    <row r="27">
      <c r="A27" s="15" t="inlineStr">
        <is>
          <t>Sortino Ratio</t>
        </is>
      </c>
      <c r="B27" s="25" t="n">
        <v>-0.92</v>
      </c>
    </row>
    <row r="29" ht="20" customHeight="1">
      <c r="A29" s="13" t="inlineStr">
        <is>
          <t>Investor Takeaway</t>
        </is>
      </c>
    </row>
    <row r="30" ht="58" customHeight="1">
      <c r="A30" s="26" t="inlineStr">
        <is>
          <t>NKE is -73.9% over the period, last $41.53.  Technical posture: Bearish technicals (6/100).  Wall-Street consensus: Buy (46 analysts).  DCF fair value $40 (-3% vs price).</t>
        </is>
      </c>
    </row>
    <row r="31" ht="20" customHeight="1">
      <c r="A31" s="13" t="inlineStr">
        <is>
          <t>Stock Scorecard</t>
        </is>
      </c>
    </row>
    <row r="32">
      <c r="A32" s="27" t="inlineStr">
        <is>
          <t>Composite Score (0–100)</t>
        </is>
      </c>
      <c r="B32" s="28" t="n">
        <v>47</v>
      </c>
    </row>
    <row r="33">
      <c r="A33" s="29" t="inlineStr">
        <is>
          <t>Overall Profile</t>
        </is>
      </c>
      <c r="B33" s="30" t="inlineStr">
        <is>
          <t>Mixed profile</t>
        </is>
      </c>
    </row>
    <row r="34">
      <c r="A34" s="31" t="inlineStr">
        <is>
          <t>Factor</t>
        </is>
      </c>
      <c r="B34" s="31" t="inlineStr">
        <is>
          <t>Score</t>
        </is>
      </c>
      <c r="C34" s="31" t="inlineStr">
        <is>
          <t>Grade</t>
        </is>
      </c>
    </row>
    <row r="35">
      <c r="A35" s="29" t="inlineStr">
        <is>
          <t>Valuation</t>
        </is>
      </c>
      <c r="B35" s="32" t="n">
        <v>52</v>
      </c>
      <c r="C35" s="33" t="inlineStr">
        <is>
          <t>Average</t>
        </is>
      </c>
    </row>
    <row r="36">
      <c r="A36" s="29" t="inlineStr">
        <is>
          <t>Growth</t>
        </is>
      </c>
      <c r="B36" s="32" t="n">
        <v>30</v>
      </c>
      <c r="C36" s="34" t="inlineStr">
        <is>
          <t>Weak</t>
        </is>
      </c>
    </row>
    <row r="37">
      <c r="A37" s="29" t="inlineStr">
        <is>
          <t>Profitability</t>
        </is>
      </c>
      <c r="B37" s="32" t="n">
        <v>72</v>
      </c>
      <c r="C37" s="35" t="inlineStr">
        <is>
          <t>Above-avg</t>
        </is>
      </c>
    </row>
    <row r="38">
      <c r="A38" s="29" t="inlineStr">
        <is>
          <t>Financial Health</t>
        </is>
      </c>
      <c r="B38" s="32" t="n">
        <v>69</v>
      </c>
      <c r="C38" s="35" t="inlineStr">
        <is>
          <t>Above-avg</t>
        </is>
      </c>
    </row>
    <row r="39">
      <c r="A39" s="29" t="inlineStr">
        <is>
          <t>Momentum</t>
        </is>
      </c>
      <c r="B39" s="32" t="n">
        <v>6</v>
      </c>
      <c r="C39" s="34" t="inlineStr">
        <is>
          <t>Weak</t>
        </is>
      </c>
    </row>
    <row r="40">
      <c r="A40" s="29" t="inlineStr">
        <is>
          <t>Risk</t>
        </is>
      </c>
      <c r="B40" s="32" t="n">
        <v>24</v>
      </c>
      <c r="C40" s="34" t="inlineStr">
        <is>
          <t>Weak</t>
        </is>
      </c>
    </row>
    <row r="41">
      <c r="A41" s="29" t="inlineStr">
        <is>
          <t>Sentiment</t>
        </is>
      </c>
      <c r="B41" s="32" t="n">
        <v>62</v>
      </c>
      <c r="C41" s="33" t="inlineStr">
        <is>
          <t>Average</t>
        </is>
      </c>
    </row>
    <row r="42" ht="96" customHeight="1">
      <c r="A42" s="36" t="inlineStr">
        <is>
          <t>Weighted blend of valuation, growth, profitability, financial health, momentum, risk and sentiment — a descriptive profile of the stock's characteristics, not a recommendation.
Valuation: DCF -3%, FCF yield 3.5%   ·   Growth: Rev CAGR 3%, EPS CAGR -2%   ·   Profitability: Net margin 7%, ROE 21%   ·   Financial Health: F-Score 5/9, D/E 0.40   ·   Momentum: Technical posture 6/100   ·   Risk: Sharpe -0.69, Max DD -75%   ·   Sentiment: Analysts: Buy (46)
For informational purposes only. Not investment advice. Past performance does not guarantee future results.</t>
        </is>
      </c>
    </row>
    <row r="44">
      <c r="A44" s="37" t="inlineStr">
        <is>
          <t>What changed recently</t>
        </is>
      </c>
    </row>
    <row r="45" ht="88" customHeight="1">
      <c r="A45" s="38" t="inlineStr">
        <is>
          <t>•  Price -3.5% over the last 5 sessions ($43.05 -&gt; $41.53).
•  Best day +2.2%, worst day -2.6% in that window.
•  Latest volume ran 1.5x its 20-day average (+51%) — heavier trading.
•  RSI moved 50 -&gt; 44.
•  Trailed the S&amp;P 500 by 7.6 pts over the last 5 sessions.</t>
        </is>
      </c>
    </row>
    <row r="47" ht="20" customHeight="1">
      <c r="A47" s="13" t="inlineStr">
        <is>
          <t>Relative Performance</t>
        </is>
      </c>
    </row>
    <row r="48">
      <c r="A48" s="18" t="inlineStr">
        <is>
          <t>vs S&amp;P 500 (SPY) (difference)</t>
        </is>
      </c>
      <c r="B48" s="39" t="n">
        <v>-160.4013061803648</v>
      </c>
    </row>
    <row r="49">
      <c r="A49" s="15" t="inlineStr">
        <is>
          <t>vs NASDAQ 100 (QQQ) (difference)</t>
        </is>
      </c>
      <c r="B49" s="39" t="n">
        <v>-176.5457103087376</v>
      </c>
    </row>
    <row r="50" ht="26" customHeight="1">
      <c r="A50" s="38" t="inlineStr">
        <is>
          <t>Period return:    NKE -73.9%      |      S&amp;P 500 +86.5%      |      NASDAQ 100 +102.7%</t>
        </is>
      </c>
    </row>
    <row r="52">
      <c r="A52" s="40" t="inlineStr">
        <is>
          <t>Window</t>
        </is>
      </c>
      <c r="B52" s="41" t="inlineStr">
        <is>
          <t>NKE</t>
        </is>
      </c>
      <c r="C52" s="41" t="inlineStr">
        <is>
          <t>S&amp;P 500</t>
        </is>
      </c>
      <c r="D52" s="41" t="inlineStr">
        <is>
          <t>Relative</t>
        </is>
      </c>
    </row>
    <row r="53">
      <c r="A53" s="42" t="inlineStr">
        <is>
          <t>1 month</t>
        </is>
      </c>
      <c r="B53" s="43" t="n">
        <v>-0.04176283726161734</v>
      </c>
      <c r="C53" s="43" t="n">
        <v>0.02668776888922908</v>
      </c>
      <c r="D53" s="44" t="n">
        <v>-6.845060615084641</v>
      </c>
    </row>
    <row r="54">
      <c r="A54" s="42" t="inlineStr">
        <is>
          <t>3 months</t>
        </is>
      </c>
      <c r="B54" s="43" t="n">
        <v>-0.02757921277329634</v>
      </c>
      <c r="C54" s="43" t="n">
        <v>0.07702839534886174</v>
      </c>
      <c r="D54" s="44" t="n">
        <v>-10.46076081221581</v>
      </c>
    </row>
    <row r="55">
      <c r="A55" s="42" t="inlineStr">
        <is>
          <t>6 months</t>
        </is>
      </c>
      <c r="B55" s="43" t="n">
        <v>-0.3216510882560042</v>
      </c>
      <c r="C55" s="43" t="n">
        <v>0.1150674614053397</v>
      </c>
      <c r="D55" s="44" t="n">
        <v>-43.67185496613439</v>
      </c>
    </row>
    <row r="56">
      <c r="A56" s="42" t="inlineStr">
        <is>
          <t>1 year</t>
        </is>
      </c>
      <c r="B56" s="43" t="n">
        <v>-0.428174463609574</v>
      </c>
      <c r="C56" s="43" t="n">
        <v>0.254385620117064</v>
      </c>
      <c r="D56" s="44" t="n">
        <v>-68.2560083726638</v>
      </c>
    </row>
    <row r="57">
      <c r="A57" s="42" t="inlineStr">
        <is>
          <t>Full period</t>
        </is>
      </c>
      <c r="B57" s="43" t="n">
        <v>-0.7389367204195875</v>
      </c>
      <c r="C57" s="43" t="n">
        <v>0.8650763413840601</v>
      </c>
      <c r="D57" s="44" t="n">
        <v>-160.4013061803648</v>
      </c>
    </row>
    <row r="59" ht="20" customHeight="1">
      <c r="A59" s="13" t="inlineStr">
        <is>
          <t>Technical Posture</t>
        </is>
      </c>
    </row>
    <row r="60">
      <c r="A60" s="18" t="inlineStr">
        <is>
          <t>Technical Score (0–100)</t>
        </is>
      </c>
      <c r="B60" s="45" t="n">
        <v>6</v>
      </c>
    </row>
    <row r="61">
      <c r="A61" s="29" t="inlineStr">
        <is>
          <t>Reading</t>
        </is>
      </c>
      <c r="B61" s="25" t="inlineStr">
        <is>
          <t>Bearish technicals</t>
        </is>
      </c>
    </row>
    <row r="62">
      <c r="A62" s="46" t="inlineStr">
        <is>
          <t>•  Price is below the 50-day moving average</t>
        </is>
      </c>
    </row>
    <row r="63">
      <c r="A63" s="46" t="inlineStr">
        <is>
          <t>•  Price is below the 200-day moving average</t>
        </is>
      </c>
    </row>
    <row r="64">
      <c r="A64" s="46" t="inlineStr">
        <is>
          <t>•  50-day MA is below the 200-day MA (downtrend structure)</t>
        </is>
      </c>
    </row>
    <row r="65">
      <c r="A65" s="46" t="inlineStr">
        <is>
          <t>•  RSI is 44 — soft momentum</t>
        </is>
      </c>
    </row>
    <row r="66">
      <c r="A66" s="46" t="inlineStr">
        <is>
          <t>•  MACD is below its signal line (bearish momentum)</t>
        </is>
      </c>
    </row>
    <row r="67">
      <c r="A67" s="46" t="inlineStr">
        <is>
          <t>•  Trading 46% below the 52-week high</t>
        </is>
      </c>
    </row>
    <row r="68">
      <c r="A68" s="46" t="inlineStr">
        <is>
          <t>•  Lagging S&amp;P 500 by 160.4 pts over the period</t>
        </is>
      </c>
    </row>
    <row r="69" ht="40" customHeight="1">
      <c r="A69" s="36" t="inlineStr">
        <is>
          <t>Describes what the technical indicators say today — a signal, not a recommendation. For informational purposes only. Not investment advice. Past performance does not guarantee future results.</t>
        </is>
      </c>
    </row>
    <row r="71" ht="20" customHeight="1">
      <c r="A71" s="13" t="inlineStr">
        <is>
          <t>Analyst Consensus</t>
        </is>
      </c>
    </row>
    <row r="72">
      <c r="A72" s="29" t="inlineStr">
        <is>
          <t>Wall-Street Rating</t>
        </is>
      </c>
      <c r="B72" s="47" t="inlineStr">
        <is>
          <t>Buy</t>
        </is>
      </c>
    </row>
    <row r="73">
      <c r="A73" s="15" t="inlineStr">
        <is>
          <t>Buy (Strong Buy + Buy)</t>
        </is>
      </c>
      <c r="B73" s="24" t="n">
        <v>18</v>
      </c>
    </row>
    <row r="74">
      <c r="A74" s="18" t="inlineStr">
        <is>
          <t>Hold</t>
        </is>
      </c>
      <c r="B74" s="45" t="n">
        <v>26</v>
      </c>
    </row>
    <row r="75">
      <c r="A75" s="15" t="inlineStr">
        <is>
          <t>Sell (Sell + Strong Sell)</t>
        </is>
      </c>
      <c r="B75" s="24" t="n">
        <v>2</v>
      </c>
    </row>
    <row r="76">
      <c r="A76" s="18" t="inlineStr">
        <is>
          <t>Analysts covering</t>
        </is>
      </c>
      <c r="B76" s="45" t="n">
        <v>46</v>
      </c>
    </row>
    <row r="77" ht="40" customHeight="1">
      <c r="A77" s="36" t="inlineStr">
        <is>
          <t>Source: 46 Wall-Street analyst ratings aggregated by Finnhub (period 2026-08). This is analysts' consensus, not QuantWizard's opinion. For informational purposes only. Not investment advice. Past performance does not guarantee future results.</t>
        </is>
      </c>
    </row>
    <row r="79" ht="20" customHeight="1">
      <c r="A79" s="13" t="inlineStr">
        <is>
          <t>Valuation — Reverse DCF &amp; Fair Value</t>
        </is>
      </c>
    </row>
    <row r="80">
      <c r="A80" s="18" t="inlineStr">
        <is>
          <t>Market-Implied FCF Growth</t>
        </is>
      </c>
      <c r="B80" s="48" t="n">
        <v>0.03806883951677473</v>
      </c>
    </row>
    <row r="81">
      <c r="A81" s="15" t="inlineStr">
        <is>
          <t>DCF Fair Value / Share</t>
        </is>
      </c>
      <c r="B81" s="16" t="n">
        <v>40.15962821446028</v>
      </c>
    </row>
    <row r="82">
      <c r="A82" s="18" t="inlineStr">
        <is>
          <t>Upside / Downside</t>
        </is>
      </c>
      <c r="B82" s="49" t="n">
        <v>-0.03299712509309616</v>
      </c>
    </row>
    <row r="83">
      <c r="A83" s="29" t="inlineStr">
        <is>
          <t>DCF Verdict</t>
        </is>
      </c>
      <c r="B83" s="50" t="inlineStr">
        <is>
          <t>Fairly valued vs DCF</t>
        </is>
      </c>
    </row>
    <row r="84" ht="70" customHeight="1">
      <c r="A84" s="36" t="inlineStr">
        <is>
          <t>Today's $41.53 price implies free cash flow compounding at ~3.8% a year for 10 years. That is the number to argue with. 2-stage FCF DCF at a 9.3% discount rate, 2.5% terminal growth, base case 3.0% stage-1 growth. Bear $35 / Bull $45. The Valuation sheet holds the full model as live formulas — change an assumption there and it recalculates. For informational purposes only. Not investment advice. Past performance does not guarantee future results.</t>
        </is>
      </c>
    </row>
    <row r="86" ht="20" customHeight="1">
      <c r="A86" s="13" t="inlineStr">
        <is>
          <t>Support &amp; Resistance Levels</t>
        </is>
      </c>
    </row>
    <row r="87">
      <c r="A87" s="29" t="inlineStr">
        <is>
          <t>Resistance (above price)</t>
        </is>
      </c>
      <c r="B87" s="51" t="inlineStr">
        <is>
          <t>$41.72   |   $47.23   |   $56.11</t>
        </is>
      </c>
    </row>
    <row r="88">
      <c r="A88" s="29" t="inlineStr">
        <is>
          <t>Support (below price)</t>
        </is>
      </c>
      <c r="B88" s="51" t="inlineStr">
        <is>
          <t>$40.98   |   $40.00</t>
        </is>
      </c>
    </row>
    <row r="89">
      <c r="A89" s="10" t="inlineStr">
        <is>
          <t>Swing highs/lows from the last 12 months, nearest to the current price first.</t>
        </is>
      </c>
    </row>
    <row r="91" ht="20" customHeight="1">
      <c r="A91" s="13" t="inlineStr">
        <is>
          <t>Monte Carlo Forecast</t>
        </is>
      </c>
    </row>
    <row r="92">
      <c r="A92" s="18" t="inlineStr">
        <is>
          <t>Last Price</t>
        </is>
      </c>
      <c r="B92" s="52" t="n">
        <v>41.53</v>
      </c>
    </row>
    <row r="93">
      <c r="A93" s="15" t="inlineStr">
        <is>
          <t>Forecast Horizon (days)</t>
        </is>
      </c>
      <c r="B93" s="53" t="n">
        <v>252</v>
      </c>
    </row>
    <row r="94">
      <c r="A94" s="18" t="inlineStr">
        <is>
          <t>Simulations</t>
        </is>
      </c>
      <c r="B94" s="54" t="n">
        <v>1000</v>
      </c>
    </row>
    <row r="95">
      <c r="A95" s="15" t="inlineStr">
        <is>
          <t>Mean Forecast</t>
        </is>
      </c>
      <c r="B95" s="55" t="n">
        <v>46.01</v>
      </c>
    </row>
    <row r="96">
      <c r="A96" s="18" t="inlineStr">
        <is>
          <t>Median (P50)</t>
        </is>
      </c>
      <c r="B96" s="52" t="n">
        <v>42.69</v>
      </c>
    </row>
    <row r="97">
      <c r="A97" s="15" t="inlineStr">
        <is>
          <t>Bear Case (P5)</t>
        </is>
      </c>
      <c r="B97" s="55" t="n">
        <v>24.23</v>
      </c>
    </row>
    <row r="98">
      <c r="A98" s="18" t="inlineStr">
        <is>
          <t>Low Case (P25)</t>
        </is>
      </c>
      <c r="B98" s="52" t="n">
        <v>33.74</v>
      </c>
    </row>
    <row r="99">
      <c r="A99" s="15" t="inlineStr">
        <is>
          <t>Bull Case (P75)</t>
        </is>
      </c>
      <c r="B99" s="55" t="n">
        <v>55.87</v>
      </c>
    </row>
    <row r="100">
      <c r="A100" s="18" t="inlineStr">
        <is>
          <t>Best Case (P95)</t>
        </is>
      </c>
      <c r="B100" s="52" t="n">
        <v>76.31</v>
      </c>
    </row>
    <row r="101">
      <c r="A101" s="15" t="inlineStr">
        <is>
          <t>Prob. of Gain</t>
        </is>
      </c>
      <c r="B101" s="56" t="n">
        <v>0.532</v>
      </c>
    </row>
    <row r="102">
      <c r="A102" s="18" t="inlineStr">
        <is>
          <t>Ann. Volatility</t>
        </is>
      </c>
      <c r="B102" s="48" t="n">
        <v>0.3561</v>
      </c>
    </row>
    <row r="103">
      <c r="A103" s="15" t="inlineStr">
        <is>
          <t>Expected Return (CAPM)</t>
        </is>
      </c>
      <c r="B103" s="56" t="n">
        <v>0.099</v>
      </c>
    </row>
    <row r="104">
      <c r="A104" s="18" t="inlineStr">
        <is>
          <t>Beta (vs benchmark)</t>
        </is>
      </c>
      <c r="B104" s="52" t="n">
        <v>1.07</v>
      </c>
    </row>
    <row r="105">
      <c r="A105" s="15" t="inlineStr">
        <is>
          <t>Beta (adjusted, used)</t>
        </is>
      </c>
      <c r="B105" s="55" t="n">
        <v>1.04</v>
      </c>
    </row>
    <row r="106" ht="166" customHeight="1">
      <c r="A106" s="57" t="inlineStr">
        <is>
          <t>Monte Carlo in plain English
From today's $41.53 over ~252 trading days:
Median outcome (P50): $42.69 (+2.8% vs today)
Bear case (P5, ~5% chance): $24.23 (-41.7% vs today)
Low case (P25, ~25% chance): $33.74 (-18.8% vs today)
Bull case (P75, ~25% chance): $55.87 (+34.5% vs today)
Best case (P95, ~5% chance): $76.31 (+83.7% vs today)
Probability of finishing above today's price: 53.2%.
Simulated from the historical return distribution — outcomes are probabilities, not guarantees.</t>
        </is>
      </c>
    </row>
    <row r="108" ht="20" customHeight="1">
      <c r="A108" s="13" t="inlineStr">
        <is>
          <t>Company Information</t>
        </is>
      </c>
    </row>
    <row r="109">
      <c r="A109" s="15" t="inlineStr">
        <is>
          <t>Ticker</t>
        </is>
      </c>
      <c r="B109" s="24" t="inlineStr">
        <is>
          <t>NKE</t>
        </is>
      </c>
    </row>
    <row r="110">
      <c r="A110" s="18" t="inlineStr">
        <is>
          <t>Name</t>
        </is>
      </c>
      <c r="B110" s="45" t="inlineStr">
        <is>
          <t>Nike, Inc.</t>
        </is>
      </c>
    </row>
    <row r="111">
      <c r="A111" s="15" t="inlineStr">
        <is>
          <t>Sector</t>
        </is>
      </c>
      <c r="B111" s="24" t="inlineStr">
        <is>
          <t>Rubber &amp; Plastics Footwear</t>
        </is>
      </c>
    </row>
    <row r="112">
      <c r="A112" s="18" t="inlineStr">
        <is>
          <t>Exchange</t>
        </is>
      </c>
      <c r="B112" s="45" t="inlineStr">
        <is>
          <t>XNYS</t>
        </is>
      </c>
    </row>
    <row r="113">
      <c r="A113" s="15" t="inlineStr">
        <is>
          <t>Market Cap</t>
        </is>
      </c>
      <c r="B113" s="24" t="inlineStr">
        <is>
          <t>$63.26B</t>
        </is>
      </c>
    </row>
    <row r="114">
      <c r="A114" s="18" t="inlineStr">
        <is>
          <t>Employees</t>
        </is>
      </c>
      <c r="B114" s="45" t="inlineStr">
        <is>
          <t>73,000</t>
        </is>
      </c>
    </row>
    <row r="115">
      <c r="A115" s="15" t="inlineStr">
        <is>
          <t>Website</t>
        </is>
      </c>
      <c r="B115" s="24" t="inlineStr">
        <is>
          <t>https://www.nike.com</t>
        </is>
      </c>
    </row>
    <row r="116">
      <c r="A116" s="18" t="inlineStr">
        <is>
          <t>Country</t>
        </is>
      </c>
      <c r="B116" s="45" t="inlineStr">
        <is>
          <t>US</t>
        </is>
      </c>
    </row>
    <row r="118" ht="20" customHeight="1">
      <c r="A118" s="13" t="inlineStr">
        <is>
          <t>Automated Analysis Summary</t>
        </is>
      </c>
    </row>
    <row r="119" ht="90" customHeight="1">
      <c r="A119" s="58" t="inlineStr">
        <is>
          <t>NKE delivered a cumulative return of -73.9% over the selected period, most recently closing at $41.53.  Price is currently below its 50-day moving average — cautionary.  RSI 44 — soft momentum  The stock sits 46.1% below its 52-week high of $77.06 (52-week low: $40.75).  20-day annualised volatility: 32.9%. Peak 60-day drawdown: -35.5%.  Sharpe ratio -0.69 (weak risk-adjusted return); Sortino -0.88 (elevated downside risk).  NKE (Nike, Inc.) trades on XNYS.  Monte Carlo (1,000 paths, 252 days): median $42.69 (bear $24.23 / bull $76.31), 53.2% probability of gain.  This report is generated programmatically and does not constitute investment advice.</t>
        </is>
      </c>
    </row>
    <row r="120"/>
    <row r="121"/>
    <row r="122"/>
    <row r="123"/>
  </sheetData>
  <mergeCells count="35">
    <mergeCell ref="A106:D106"/>
    <mergeCell ref="A22:D22"/>
    <mergeCell ref="A91:D91"/>
    <mergeCell ref="A4:D4"/>
    <mergeCell ref="A62:D62"/>
    <mergeCell ref="A29:D29"/>
    <mergeCell ref="B88:D88"/>
    <mergeCell ref="A63:D63"/>
    <mergeCell ref="B87:D87"/>
    <mergeCell ref="A68:D68"/>
    <mergeCell ref="A67:D67"/>
    <mergeCell ref="A31:D31"/>
    <mergeCell ref="A77:D77"/>
    <mergeCell ref="A30:D30"/>
    <mergeCell ref="A15:D15"/>
    <mergeCell ref="A59:D59"/>
    <mergeCell ref="A64:D64"/>
    <mergeCell ref="A1:D1"/>
    <mergeCell ref="A45:D45"/>
    <mergeCell ref="A79:D79"/>
    <mergeCell ref="A69:D69"/>
    <mergeCell ref="A65:D65"/>
    <mergeCell ref="A84:D84"/>
    <mergeCell ref="A108:D108"/>
    <mergeCell ref="A66:D66"/>
    <mergeCell ref="A118:D118"/>
    <mergeCell ref="A119:D123"/>
    <mergeCell ref="A89:D89"/>
    <mergeCell ref="B33:C33"/>
    <mergeCell ref="A50:D50"/>
    <mergeCell ref="A86:D86"/>
    <mergeCell ref="A2:D2"/>
    <mergeCell ref="A71:D71"/>
    <mergeCell ref="A47:D47"/>
    <mergeCell ref="A42:D4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59" t="inlineStr">
        <is>
          <t>NKE — Reverse DCF &amp; Fair Value</t>
        </is>
      </c>
    </row>
    <row r="2" ht="26" customHeight="1">
      <c r="A2" s="60" t="inlineStr">
        <is>
          <t>Two-stage unlevered DCF on free cash flow, run both ways: forwards (what is it worth?) and backwards (what does today's price already assume?).  Every shaded cell is an input — change one and the projection, bridge, fair value and scenarios below all recalculate.</t>
        </is>
      </c>
    </row>
    <row r="4" ht="18" customHeight="1">
      <c r="A4" s="61" t="inlineStr">
        <is>
          <t>The Headline — What Today's Price Already Assumes</t>
        </is>
      </c>
    </row>
    <row r="5" ht="30" customHeight="1">
      <c r="A5" s="62" t="n">
        <v>0.03806883951677473</v>
      </c>
      <c r="C5" s="63" t="inlineStr">
        <is>
          <t>At $41.53 the market is pricing NKE's free cash flow to compound at roughly 3.8% a year for 10 years, then 2.5% in perpetuity, discounted at 9.3%.
The reverse DCF asks one question: is that rate plausible for this business?  This model's own base case assumes 3.0%.</t>
        </is>
      </c>
    </row>
    <row r="6" ht="42" customHeight="1"/>
    <row r="8" ht="18" customHeight="1">
      <c r="A8" s="61" t="inlineStr">
        <is>
          <t>Conclusion — Fair Value vs Price</t>
        </is>
      </c>
    </row>
    <row r="9">
      <c r="A9" s="29" t="inlineStr">
        <is>
          <t>Base-case fair value / share</t>
        </is>
      </c>
      <c r="B9" s="64">
        <f>B52/B30</f>
        <v/>
      </c>
      <c r="C9" s="65" t="inlineStr">
        <is>
          <t>Equity value ÷ shares, both computed below</t>
        </is>
      </c>
    </row>
    <row r="10">
      <c r="A10" s="29" t="inlineStr">
        <is>
          <t>Current price</t>
        </is>
      </c>
      <c r="B10" s="64">
        <f>B31</f>
        <v/>
      </c>
    </row>
    <row r="11">
      <c r="A11" s="29" t="inlineStr">
        <is>
          <t>Upside / downside</t>
        </is>
      </c>
      <c r="B11" s="66">
        <f>IF(B10=0,"",B9/B10-1)</f>
        <v/>
      </c>
    </row>
    <row r="12">
      <c r="A12" s="29" t="inlineStr">
        <is>
          <t>Verdict</t>
        </is>
      </c>
      <c r="B12" s="50">
        <f>IF(B11&gt;0.15,"Undervalued vs DCF",IF(B11&lt;-0.15,"Overvalued vs DCF","Fairly valued vs DCF"))</f>
        <v/>
      </c>
      <c r="C12" s="67" t="n"/>
    </row>
    <row r="14" ht="18" customHeight="1">
      <c r="A14" s="61" t="inlineStr">
        <is>
          <t>Scenarios — and What the Market Is Assuming</t>
        </is>
      </c>
    </row>
    <row r="15">
      <c r="A15" s="31" t="inlineStr">
        <is>
          <t>Scenario</t>
        </is>
      </c>
      <c r="B15" s="31" t="inlineStr">
        <is>
          <t>Stage-1 FCF growth</t>
        </is>
      </c>
      <c r="C15" s="31" t="inlineStr">
        <is>
          <t>Fair value / share</t>
        </is>
      </c>
      <c r="D15" s="31" t="inlineStr">
        <is>
          <t>Upside / downside</t>
        </is>
      </c>
    </row>
    <row r="16">
      <c r="A16" s="68" t="inlineStr">
        <is>
          <t>Bear</t>
        </is>
      </c>
      <c r="B16" s="69">
        <f>B27</f>
        <v/>
      </c>
      <c r="C16" s="70">
        <f>((SUM(H35:H44)+G44*(1+B23)/(B22-B23)/(1+B22)^B24)-B29)/B30</f>
        <v/>
      </c>
      <c r="D16" s="71">
        <f>IF(B31=0,"",C16/B31-1)</f>
        <v/>
      </c>
    </row>
    <row r="17">
      <c r="A17" s="72" t="inlineStr">
        <is>
          <t>Base</t>
        </is>
      </c>
      <c r="B17" s="73">
        <f>B26</f>
        <v/>
      </c>
      <c r="C17" s="74">
        <f>B9</f>
        <v/>
      </c>
      <c r="D17" s="75">
        <f>IF(B31=0,"",C17/B31-1)</f>
        <v/>
      </c>
    </row>
    <row r="18">
      <c r="A18" s="68" t="inlineStr">
        <is>
          <t>Bull</t>
        </is>
      </c>
      <c r="B18" s="69">
        <f>B28</f>
        <v/>
      </c>
      <c r="C18" s="70">
        <f>((SUM(K35:K44)+J44*(1+B23)/(B22-B23)/(1+B22)^B24)-B29)/B30</f>
        <v/>
      </c>
      <c r="D18" s="71">
        <f>IF(B31=0,"",C18/B31-1)</f>
        <v/>
      </c>
    </row>
    <row r="19">
      <c r="A19" s="76" t="inlineStr">
        <is>
          <t>Market (today's price)</t>
        </is>
      </c>
      <c r="B19" s="77" t="n">
        <v>0.03806883951677473</v>
      </c>
      <c r="C19" s="78">
        <f>B31</f>
        <v/>
      </c>
      <c r="D19" s="79">
        <f>IF(B31=0,"",C19/B31-1)</f>
        <v/>
      </c>
    </row>
    <row r="21" ht="18" customHeight="1">
      <c r="A21" s="61" t="inlineStr">
        <is>
          <t>Model Inputs — every shaded cell is editable</t>
        </is>
      </c>
    </row>
    <row r="22">
      <c r="A22" s="29" t="inlineStr">
        <is>
          <t>Discount rate (WACC)</t>
        </is>
      </c>
      <c r="B22" s="80" t="n">
        <v>0.0934</v>
      </c>
      <c r="C22" s="65" t="inlineStr">
        <is>
          <t>Company-specific cost of capital. Raise it and fair value falls.</t>
        </is>
      </c>
    </row>
    <row r="23">
      <c r="A23" s="29" t="inlineStr">
        <is>
          <t>Terminal growth rate</t>
        </is>
      </c>
      <c r="B23" s="80" t="n">
        <v>0.025</v>
      </c>
      <c r="C23" s="65" t="inlineStr">
        <is>
          <t>Growth forever after the explicit horizon. Must stay below WACC.</t>
        </is>
      </c>
    </row>
    <row r="24">
      <c r="A24" s="29" t="inlineStr">
        <is>
          <t>Explicit forecast horizon (years)</t>
        </is>
      </c>
      <c r="B24" s="81" t="n">
        <v>10</v>
      </c>
      <c r="C24" s="65" t="inlineStr">
        <is>
          <t>Drives discounting and the terminal year; the projection table is fixed at 10 rows.</t>
        </is>
      </c>
    </row>
    <row r="25">
      <c r="A25" s="29" t="inlineStr">
        <is>
          <t>Normalised base free cash flow</t>
        </is>
      </c>
      <c r="B25" s="82" t="n">
        <v>4023000000</v>
      </c>
      <c r="C25" s="65" t="inlineStr">
        <is>
          <t>Mean of the last three positive annual FCF figures.</t>
        </is>
      </c>
    </row>
    <row r="26">
      <c r="A26" s="29" t="inlineStr">
        <is>
          <t>Stage-1 FCF growth — base case</t>
        </is>
      </c>
      <c r="B26" s="83" t="n">
        <v>0.03</v>
      </c>
      <c r="C26" s="65" t="inlineStr">
        <is>
          <t>Year-1 growth, fading linearly to the terminal rate.</t>
        </is>
      </c>
    </row>
    <row r="27">
      <c r="A27" s="29" t="inlineStr">
        <is>
          <t>Stage-1 FCF growth — bear case</t>
        </is>
      </c>
      <c r="B27" s="83" t="n">
        <v>3.469446951953614e-18</v>
      </c>
    </row>
    <row r="28">
      <c r="A28" s="29" t="inlineStr">
        <is>
          <t>Stage-1 FCF growth — bull case</t>
        </is>
      </c>
      <c r="B28" s="83" t="n">
        <v>0.06</v>
      </c>
    </row>
    <row r="29">
      <c r="A29" s="29" t="inlineStr">
        <is>
          <t>Net debt (total debt − cash)</t>
        </is>
      </c>
      <c r="B29" s="82" t="n">
        <v>379000000</v>
      </c>
      <c r="C29" s="65" t="inlineStr">
        <is>
          <t>Subtracted from enterprise value to reach equity value.</t>
        </is>
      </c>
    </row>
    <row r="30">
      <c r="A30" s="29" t="inlineStr">
        <is>
          <t>Shares outstanding</t>
        </is>
      </c>
      <c r="B30" s="84" t="n">
        <v>1523149206.723645</v>
      </c>
      <c r="C30" s="65" t="inlineStr">
        <is>
          <t>Derived as market cap ÷ price, so the model ties to the quoted price.</t>
        </is>
      </c>
    </row>
    <row r="31">
      <c r="A31" s="29" t="inlineStr">
        <is>
          <t>Current price</t>
        </is>
      </c>
      <c r="B31" s="85" t="n">
        <v>41.52999877929688</v>
      </c>
    </row>
    <row r="33" ht="18" customHeight="1">
      <c r="A33" s="61" t="inlineStr">
        <is>
          <t>Base-Case Projection  (bear and bull run alongside)</t>
        </is>
      </c>
    </row>
    <row r="34">
      <c r="A34" s="31" t="inlineStr">
        <is>
          <t>Year</t>
        </is>
      </c>
      <c r="B34" s="31" t="inlineStr">
        <is>
          <t>Growth</t>
        </is>
      </c>
      <c r="C34" s="31" t="inlineStr">
        <is>
          <t>Projected FCF</t>
        </is>
      </c>
      <c r="D34" s="31" t="inlineStr">
        <is>
          <t>Discount factor</t>
        </is>
      </c>
      <c r="E34" s="31" t="inlineStr">
        <is>
          <t>PV of FCF</t>
        </is>
      </c>
      <c r="F34" s="31" t="inlineStr">
        <is>
          <t>Bear growth</t>
        </is>
      </c>
      <c r="G34" s="31" t="inlineStr">
        <is>
          <t>Bear FCF</t>
        </is>
      </c>
      <c r="H34" s="31" t="inlineStr">
        <is>
          <t>Bear PV</t>
        </is>
      </c>
      <c r="I34" s="31" t="inlineStr">
        <is>
          <t>Bull growth</t>
        </is>
      </c>
      <c r="J34" s="31" t="inlineStr">
        <is>
          <t>Bull FCF</t>
        </is>
      </c>
      <c r="K34" s="31" t="inlineStr">
        <is>
          <t>Bull PV</t>
        </is>
      </c>
    </row>
    <row r="35">
      <c r="A35" s="86" t="n">
        <v>1</v>
      </c>
      <c r="B35" s="69">
        <f>IF($B$24&lt;=1,$B$23,$B$26+($B$23-$B$26)*(A35-1)/($B$24-1))</f>
        <v/>
      </c>
      <c r="C35" s="87">
        <f>$B$25*(1+B35)</f>
        <v/>
      </c>
      <c r="D35" s="88">
        <f>1/(1+$B$22)^A35</f>
        <v/>
      </c>
      <c r="E35" s="87">
        <f>C35*D35</f>
        <v/>
      </c>
      <c r="F35" s="69">
        <f>IF($B$24&lt;=1,$B$23,$B$27+($B$23-$B$27)*(A35-1)/($B$24-1))</f>
        <v/>
      </c>
      <c r="G35" s="87">
        <f>$B$25*(1+F35)</f>
        <v/>
      </c>
      <c r="H35" s="87">
        <f>G35*D35</f>
        <v/>
      </c>
      <c r="I35" s="69">
        <f>IF($B$24&lt;=1,$B$23,$B$28+($B$23-$B$28)*(A35-1)/($B$24-1))</f>
        <v/>
      </c>
      <c r="J35" s="87">
        <f>$B$25*(1+I35)</f>
        <v/>
      </c>
      <c r="K35" s="87">
        <f>J35*D35</f>
        <v/>
      </c>
    </row>
    <row r="36">
      <c r="A36" s="89" t="n">
        <v>2</v>
      </c>
      <c r="B36" s="90">
        <f>IF($B$24&lt;=1,$B$23,$B$26+($B$23-$B$26)*(A36-1)/($B$24-1))</f>
        <v/>
      </c>
      <c r="C36" s="91">
        <f>C35*(1+B36)</f>
        <v/>
      </c>
      <c r="D36" s="92">
        <f>1/(1+$B$22)^A36</f>
        <v/>
      </c>
      <c r="E36" s="91">
        <f>C36*D36</f>
        <v/>
      </c>
      <c r="F36" s="90">
        <f>IF($B$24&lt;=1,$B$23,$B$27+($B$23-$B$27)*(A36-1)/($B$24-1))</f>
        <v/>
      </c>
      <c r="G36" s="91">
        <f>G35*(1+F36)</f>
        <v/>
      </c>
      <c r="H36" s="91">
        <f>G36*D36</f>
        <v/>
      </c>
      <c r="I36" s="90">
        <f>IF($B$24&lt;=1,$B$23,$B$28+($B$23-$B$28)*(A36-1)/($B$24-1))</f>
        <v/>
      </c>
      <c r="J36" s="91">
        <f>J35*(1+I36)</f>
        <v/>
      </c>
      <c r="K36" s="91">
        <f>J36*D36</f>
        <v/>
      </c>
    </row>
    <row r="37">
      <c r="A37" s="86" t="n">
        <v>3</v>
      </c>
      <c r="B37" s="69">
        <f>IF($B$24&lt;=1,$B$23,$B$26+($B$23-$B$26)*(A37-1)/($B$24-1))</f>
        <v/>
      </c>
      <c r="C37" s="87">
        <f>C36*(1+B37)</f>
        <v/>
      </c>
      <c r="D37" s="88">
        <f>1/(1+$B$22)^A37</f>
        <v/>
      </c>
      <c r="E37" s="87">
        <f>C37*D37</f>
        <v/>
      </c>
      <c r="F37" s="69">
        <f>IF($B$24&lt;=1,$B$23,$B$27+($B$23-$B$27)*(A37-1)/($B$24-1))</f>
        <v/>
      </c>
      <c r="G37" s="87">
        <f>G36*(1+F37)</f>
        <v/>
      </c>
      <c r="H37" s="87">
        <f>G37*D37</f>
        <v/>
      </c>
      <c r="I37" s="69">
        <f>IF($B$24&lt;=1,$B$23,$B$28+($B$23-$B$28)*(A37-1)/($B$24-1))</f>
        <v/>
      </c>
      <c r="J37" s="87">
        <f>J36*(1+I37)</f>
        <v/>
      </c>
      <c r="K37" s="87">
        <f>J37*D37</f>
        <v/>
      </c>
    </row>
    <row r="38">
      <c r="A38" s="89" t="n">
        <v>4</v>
      </c>
      <c r="B38" s="90">
        <f>IF($B$24&lt;=1,$B$23,$B$26+($B$23-$B$26)*(A38-1)/($B$24-1))</f>
        <v/>
      </c>
      <c r="C38" s="91">
        <f>C37*(1+B38)</f>
        <v/>
      </c>
      <c r="D38" s="92">
        <f>1/(1+$B$22)^A38</f>
        <v/>
      </c>
      <c r="E38" s="91">
        <f>C38*D38</f>
        <v/>
      </c>
      <c r="F38" s="90">
        <f>IF($B$24&lt;=1,$B$23,$B$27+($B$23-$B$27)*(A38-1)/($B$24-1))</f>
        <v/>
      </c>
      <c r="G38" s="91">
        <f>G37*(1+F38)</f>
        <v/>
      </c>
      <c r="H38" s="91">
        <f>G38*D38</f>
        <v/>
      </c>
      <c r="I38" s="90">
        <f>IF($B$24&lt;=1,$B$23,$B$28+($B$23-$B$28)*(A38-1)/($B$24-1))</f>
        <v/>
      </c>
      <c r="J38" s="91">
        <f>J37*(1+I38)</f>
        <v/>
      </c>
      <c r="K38" s="91">
        <f>J38*D38</f>
        <v/>
      </c>
    </row>
    <row r="39">
      <c r="A39" s="86" t="n">
        <v>5</v>
      </c>
      <c r="B39" s="69">
        <f>IF($B$24&lt;=1,$B$23,$B$26+($B$23-$B$26)*(A39-1)/($B$24-1))</f>
        <v/>
      </c>
      <c r="C39" s="87">
        <f>C38*(1+B39)</f>
        <v/>
      </c>
      <c r="D39" s="88">
        <f>1/(1+$B$22)^A39</f>
        <v/>
      </c>
      <c r="E39" s="87">
        <f>C39*D39</f>
        <v/>
      </c>
      <c r="F39" s="69">
        <f>IF($B$24&lt;=1,$B$23,$B$27+($B$23-$B$27)*(A39-1)/($B$24-1))</f>
        <v/>
      </c>
      <c r="G39" s="87">
        <f>G38*(1+F39)</f>
        <v/>
      </c>
      <c r="H39" s="87">
        <f>G39*D39</f>
        <v/>
      </c>
      <c r="I39" s="69">
        <f>IF($B$24&lt;=1,$B$23,$B$28+($B$23-$B$28)*(A39-1)/($B$24-1))</f>
        <v/>
      </c>
      <c r="J39" s="87">
        <f>J38*(1+I39)</f>
        <v/>
      </c>
      <c r="K39" s="87">
        <f>J39*D39</f>
        <v/>
      </c>
    </row>
    <row r="40">
      <c r="A40" s="89" t="n">
        <v>6</v>
      </c>
      <c r="B40" s="90">
        <f>IF($B$24&lt;=1,$B$23,$B$26+($B$23-$B$26)*(A40-1)/($B$24-1))</f>
        <v/>
      </c>
      <c r="C40" s="91">
        <f>C39*(1+B40)</f>
        <v/>
      </c>
      <c r="D40" s="92">
        <f>1/(1+$B$22)^A40</f>
        <v/>
      </c>
      <c r="E40" s="91">
        <f>C40*D40</f>
        <v/>
      </c>
      <c r="F40" s="90">
        <f>IF($B$24&lt;=1,$B$23,$B$27+($B$23-$B$27)*(A40-1)/($B$24-1))</f>
        <v/>
      </c>
      <c r="G40" s="91">
        <f>G39*(1+F40)</f>
        <v/>
      </c>
      <c r="H40" s="91">
        <f>G40*D40</f>
        <v/>
      </c>
      <c r="I40" s="90">
        <f>IF($B$24&lt;=1,$B$23,$B$28+($B$23-$B$28)*(A40-1)/($B$24-1))</f>
        <v/>
      </c>
      <c r="J40" s="91">
        <f>J39*(1+I40)</f>
        <v/>
      </c>
      <c r="K40" s="91">
        <f>J40*D40</f>
        <v/>
      </c>
    </row>
    <row r="41">
      <c r="A41" s="86" t="n">
        <v>7</v>
      </c>
      <c r="B41" s="69">
        <f>IF($B$24&lt;=1,$B$23,$B$26+($B$23-$B$26)*(A41-1)/($B$24-1))</f>
        <v/>
      </c>
      <c r="C41" s="87">
        <f>C40*(1+B41)</f>
        <v/>
      </c>
      <c r="D41" s="88">
        <f>1/(1+$B$22)^A41</f>
        <v/>
      </c>
      <c r="E41" s="87">
        <f>C41*D41</f>
        <v/>
      </c>
      <c r="F41" s="69">
        <f>IF($B$24&lt;=1,$B$23,$B$27+($B$23-$B$27)*(A41-1)/($B$24-1))</f>
        <v/>
      </c>
      <c r="G41" s="87">
        <f>G40*(1+F41)</f>
        <v/>
      </c>
      <c r="H41" s="87">
        <f>G41*D41</f>
        <v/>
      </c>
      <c r="I41" s="69">
        <f>IF($B$24&lt;=1,$B$23,$B$28+($B$23-$B$28)*(A41-1)/($B$24-1))</f>
        <v/>
      </c>
      <c r="J41" s="87">
        <f>J40*(1+I41)</f>
        <v/>
      </c>
      <c r="K41" s="87">
        <f>J41*D41</f>
        <v/>
      </c>
    </row>
    <row r="42">
      <c r="A42" s="89" t="n">
        <v>8</v>
      </c>
      <c r="B42" s="90">
        <f>IF($B$24&lt;=1,$B$23,$B$26+($B$23-$B$26)*(A42-1)/($B$24-1))</f>
        <v/>
      </c>
      <c r="C42" s="91">
        <f>C41*(1+B42)</f>
        <v/>
      </c>
      <c r="D42" s="92">
        <f>1/(1+$B$22)^A42</f>
        <v/>
      </c>
      <c r="E42" s="91">
        <f>C42*D42</f>
        <v/>
      </c>
      <c r="F42" s="90">
        <f>IF($B$24&lt;=1,$B$23,$B$27+($B$23-$B$27)*(A42-1)/($B$24-1))</f>
        <v/>
      </c>
      <c r="G42" s="91">
        <f>G41*(1+F42)</f>
        <v/>
      </c>
      <c r="H42" s="91">
        <f>G42*D42</f>
        <v/>
      </c>
      <c r="I42" s="90">
        <f>IF($B$24&lt;=1,$B$23,$B$28+($B$23-$B$28)*(A42-1)/($B$24-1))</f>
        <v/>
      </c>
      <c r="J42" s="91">
        <f>J41*(1+I42)</f>
        <v/>
      </c>
      <c r="K42" s="91">
        <f>J42*D42</f>
        <v/>
      </c>
    </row>
    <row r="43">
      <c r="A43" s="86" t="n">
        <v>9</v>
      </c>
      <c r="B43" s="69">
        <f>IF($B$24&lt;=1,$B$23,$B$26+($B$23-$B$26)*(A43-1)/($B$24-1))</f>
        <v/>
      </c>
      <c r="C43" s="87">
        <f>C42*(1+B43)</f>
        <v/>
      </c>
      <c r="D43" s="88">
        <f>1/(1+$B$22)^A43</f>
        <v/>
      </c>
      <c r="E43" s="87">
        <f>C43*D43</f>
        <v/>
      </c>
      <c r="F43" s="69">
        <f>IF($B$24&lt;=1,$B$23,$B$27+($B$23-$B$27)*(A43-1)/($B$24-1))</f>
        <v/>
      </c>
      <c r="G43" s="87">
        <f>G42*(1+F43)</f>
        <v/>
      </c>
      <c r="H43" s="87">
        <f>G43*D43</f>
        <v/>
      </c>
      <c r="I43" s="69">
        <f>IF($B$24&lt;=1,$B$23,$B$28+($B$23-$B$28)*(A43-1)/($B$24-1))</f>
        <v/>
      </c>
      <c r="J43" s="87">
        <f>J42*(1+I43)</f>
        <v/>
      </c>
      <c r="K43" s="87">
        <f>J43*D43</f>
        <v/>
      </c>
    </row>
    <row r="44">
      <c r="A44" s="89" t="n">
        <v>10</v>
      </c>
      <c r="B44" s="90">
        <f>IF($B$24&lt;=1,$B$23,$B$26+($B$23-$B$26)*(A44-1)/($B$24-1))</f>
        <v/>
      </c>
      <c r="C44" s="91">
        <f>C43*(1+B44)</f>
        <v/>
      </c>
      <c r="D44" s="92">
        <f>1/(1+$B$22)^A44</f>
        <v/>
      </c>
      <c r="E44" s="91">
        <f>C44*D44</f>
        <v/>
      </c>
      <c r="F44" s="90">
        <f>IF($B$24&lt;=1,$B$23,$B$27+($B$23-$B$27)*(A44-1)/($B$24-1))</f>
        <v/>
      </c>
      <c r="G44" s="91">
        <f>G43*(1+F44)</f>
        <v/>
      </c>
      <c r="H44" s="91">
        <f>G44*D44</f>
        <v/>
      </c>
      <c r="I44" s="90">
        <f>IF($B$24&lt;=1,$B$23,$B$28+($B$23-$B$28)*(A44-1)/($B$24-1))</f>
        <v/>
      </c>
      <c r="J44" s="91">
        <f>J43*(1+I44)</f>
        <v/>
      </c>
      <c r="K44" s="91">
        <f>J44*D44</f>
        <v/>
      </c>
    </row>
    <row r="46" ht="18" customHeight="1">
      <c r="A46" s="61" t="inlineStr">
        <is>
          <t>Enterprise Value → Equity Bridge</t>
        </is>
      </c>
    </row>
    <row r="47">
      <c r="A47" s="29" t="inlineStr">
        <is>
          <t>PV of explicit FCF</t>
        </is>
      </c>
      <c r="B47" s="87">
        <f>SUM(E35:E44)</f>
        <v/>
      </c>
    </row>
    <row r="48">
      <c r="A48" s="29" t="inlineStr">
        <is>
          <t>Terminal value</t>
        </is>
      </c>
      <c r="B48" s="87">
        <f>C44*(1+B23)/(B22-B23)</f>
        <v/>
      </c>
    </row>
    <row r="49">
      <c r="A49" s="29" t="inlineStr">
        <is>
          <t>PV of terminal value</t>
        </is>
      </c>
      <c r="B49" s="87">
        <f>B48/(1+B22)^B24</f>
        <v/>
      </c>
      <c r="C49" s="93">
        <f>TEXT(B49/B50,"0%")&amp;" of enterprise value — above 85% the terminal assumption is doing nearly all the work"</f>
        <v/>
      </c>
    </row>
    <row r="50">
      <c r="A50" s="29" t="inlineStr">
        <is>
          <t>Enterprise value</t>
        </is>
      </c>
      <c r="B50" s="87">
        <f>B47+B49</f>
        <v/>
      </c>
    </row>
    <row r="51">
      <c r="A51" s="29" t="inlineStr">
        <is>
          <t>Less: net debt</t>
        </is>
      </c>
      <c r="B51" s="87">
        <f>B29</f>
        <v/>
      </c>
    </row>
    <row r="52">
      <c r="A52" s="29" t="inlineStr">
        <is>
          <t>Equity value</t>
        </is>
      </c>
      <c r="B52" s="94">
        <f>B50-B51</f>
        <v/>
      </c>
    </row>
    <row r="54" ht="18" customHeight="1">
      <c r="A54" s="61" t="inlineStr">
        <is>
          <t>Sensitivity — Fair Value / Share  (WACC × Terminal Growth)  ·  snapshot computed at generation</t>
        </is>
      </c>
    </row>
    <row r="55">
      <c r="A55" s="95" t="inlineStr">
        <is>
          <t>WACC ╲ Term. g</t>
        </is>
      </c>
      <c r="B55" s="31" t="inlineStr">
        <is>
          <t>1.5%</t>
        </is>
      </c>
      <c r="C55" s="31" t="inlineStr">
        <is>
          <t>2.0%</t>
        </is>
      </c>
      <c r="D55" s="31" t="inlineStr">
        <is>
          <t>2.5%</t>
        </is>
      </c>
      <c r="E55" s="31" t="inlineStr">
        <is>
          <t>3.0%</t>
        </is>
      </c>
      <c r="F55" s="31" t="inlineStr">
        <is>
          <t>3.5%</t>
        </is>
      </c>
    </row>
    <row r="56">
      <c r="A56" s="31" t="inlineStr">
        <is>
          <t>7.3%</t>
        </is>
      </c>
      <c r="B56" s="70" t="n">
        <v>48.69</v>
      </c>
      <c r="C56" s="70" t="n">
        <v>52.42</v>
      </c>
      <c r="D56" s="70" t="n">
        <v>56.91</v>
      </c>
      <c r="E56" s="70" t="n">
        <v>62.43</v>
      </c>
      <c r="F56" s="70" t="n">
        <v>69.39</v>
      </c>
    </row>
    <row r="57">
      <c r="A57" s="31" t="inlineStr">
        <is>
          <t>8.3%</t>
        </is>
      </c>
      <c r="B57" s="70" t="n">
        <v>41.47</v>
      </c>
      <c r="C57" s="70" t="n">
        <v>44.07</v>
      </c>
      <c r="D57" s="70" t="n">
        <v>47.1</v>
      </c>
      <c r="E57" s="70" t="n">
        <v>50.7</v>
      </c>
      <c r="F57" s="70" t="n">
        <v>55.03</v>
      </c>
    </row>
    <row r="58">
      <c r="A58" s="31" t="inlineStr">
        <is>
          <t>9.3%</t>
        </is>
      </c>
      <c r="B58" s="70" t="n">
        <v>36.11</v>
      </c>
      <c r="C58" s="70" t="n">
        <v>38</v>
      </c>
      <c r="D58" s="70" t="n">
        <v>40.16</v>
      </c>
      <c r="E58" s="70" t="n">
        <v>42.66</v>
      </c>
      <c r="F58" s="70" t="n">
        <v>45.59</v>
      </c>
    </row>
    <row r="59">
      <c r="A59" s="31" t="inlineStr">
        <is>
          <t>10.3%</t>
        </is>
      </c>
      <c r="B59" s="70" t="n">
        <v>31.95</v>
      </c>
      <c r="C59" s="70" t="n">
        <v>33.38</v>
      </c>
      <c r="D59" s="70" t="n">
        <v>34.99</v>
      </c>
      <c r="E59" s="70" t="n">
        <v>36.81</v>
      </c>
      <c r="F59" s="70" t="n">
        <v>38.9</v>
      </c>
    </row>
    <row r="60">
      <c r="A60" s="31" t="inlineStr">
        <is>
          <t>11.3%</t>
        </is>
      </c>
      <c r="B60" s="70" t="n">
        <v>28.65</v>
      </c>
      <c r="C60" s="70" t="n">
        <v>29.76</v>
      </c>
      <c r="D60" s="70" t="n">
        <v>30.99</v>
      </c>
      <c r="E60" s="70" t="n">
        <v>32.37</v>
      </c>
      <c r="F60" s="70" t="n">
        <v>33.92</v>
      </c>
    </row>
    <row r="62" ht="44" customHeight="1">
      <c r="A62" s="96" t="inlineStr">
        <is>
          <t>Each cell is base-case fair value per share at that discount rate and terminal growth rate. Green = above today's $41.53 price, red = below. These 25 values are computed once when the report is generated; the rest of this sheet is live formulas, so editing the inputs above moves everything except this grid.</t>
        </is>
      </c>
    </row>
    <row r="64" ht="76" customHeight="1">
      <c r="A64" s="36" t="inlineStr">
        <is>
          <t>How to use this sheet: the reverse DCF is the headline — it converts today's price into the growth rate you would have to believe. Change the discount rate or the terminal growth rate in the shaded input cells and every projection, bridge and scenario figure recalculates, so you can test your own assumptions rather than accept ours. A DCF is a model, not a forecast: base FCF is normalised over recent years, shares are derived from market cap ÷ price, and small changes in WACC or terminal growth move fair value materially. For informational purposes only. Not investment advice. Past performance does not guarantee future results.</t>
        </is>
      </c>
    </row>
  </sheetData>
  <mergeCells count="22">
    <mergeCell ref="C25:K25"/>
    <mergeCell ref="A62:D62"/>
    <mergeCell ref="C22:K22"/>
    <mergeCell ref="C9:K9"/>
    <mergeCell ref="A5:B6"/>
    <mergeCell ref="A1:K1"/>
    <mergeCell ref="B12:C12"/>
    <mergeCell ref="A54:K54"/>
    <mergeCell ref="C5:K6"/>
    <mergeCell ref="A64:D64"/>
    <mergeCell ref="C23:K23"/>
    <mergeCell ref="A46:K46"/>
    <mergeCell ref="A21:K21"/>
    <mergeCell ref="A2:K2"/>
    <mergeCell ref="A33:K33"/>
    <mergeCell ref="A14:K14"/>
    <mergeCell ref="A8:K8"/>
    <mergeCell ref="C24:K24"/>
    <mergeCell ref="C30:K30"/>
    <mergeCell ref="A4:K4"/>
    <mergeCell ref="C26:K26"/>
    <mergeCell ref="C29:K29"/>
  </mergeCells>
  <conditionalFormatting sqref="B56:F60">
    <cfRule type="cellIs" priority="1" operator="greaterThan" dxfId="0">
      <formula>$B$31</formula>
    </cfRule>
    <cfRule type="cellIs" priority="2" operator="lessThan" dxfId="1">
      <formula>$B$31</formula>
    </cfRule>
  </conditionalFormatting>
  <pageMargins left="0.75" right="0.75" top="1" bottom="1" header="0.5" footer="0.5"/>
  <rowBreaks count="1" manualBreakCount="1">
    <brk id="65" min="0" max="16383" man="1"/>
  </rowBreaks>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59" t="inlineStr">
        <is>
          <t>Fundamentals &amp; Valuation   ·   source: SEC EDGAR   ·   FY ending 2026-05-31</t>
        </is>
      </c>
    </row>
    <row r="3">
      <c r="A3" s="61" t="inlineStr">
        <is>
          <t>Valuation</t>
        </is>
      </c>
      <c r="B3" s="61" t="n"/>
    </row>
    <row r="4">
      <c r="A4" s="18" t="inlineStr">
        <is>
          <t>P/E</t>
        </is>
      </c>
      <c r="B4" s="97" t="n">
        <v>20.35</v>
      </c>
    </row>
    <row r="5">
      <c r="A5" s="29" t="inlineStr">
        <is>
          <t>P/S</t>
        </is>
      </c>
      <c r="B5" s="98" t="n">
        <v>1.36</v>
      </c>
    </row>
    <row r="6">
      <c r="A6" s="18" t="inlineStr">
        <is>
          <t>P/B</t>
        </is>
      </c>
      <c r="B6" s="97" t="n">
        <v>4.26</v>
      </c>
    </row>
    <row r="7">
      <c r="A7" s="29" t="inlineStr">
        <is>
          <t>EV / EBITDA</t>
        </is>
      </c>
      <c r="B7" s="99" t="inlineStr">
        <is>
          <t>N/A</t>
        </is>
      </c>
    </row>
    <row r="8">
      <c r="A8" s="18" t="inlineStr">
        <is>
          <t>Earnings Yield</t>
        </is>
      </c>
      <c r="B8" s="100" t="n">
        <v>0.049</v>
      </c>
    </row>
    <row r="9">
      <c r="A9" s="29" t="inlineStr">
        <is>
          <t>FCF Yield</t>
        </is>
      </c>
      <c r="B9" s="101" t="n">
        <v>0.035</v>
      </c>
    </row>
    <row r="10">
      <c r="A10" s="18" t="inlineStr">
        <is>
          <t>Implied growth — earnings basis, flat 9% discount</t>
        </is>
      </c>
      <c r="B10" s="100" t="n">
        <v>0.0588</v>
      </c>
    </row>
    <row r="11">
      <c r="A11" s="29" t="inlineStr">
        <is>
          <t xml:space="preserve">  (cross-check only; the headline reverse DCF is on the Valuation sheet)</t>
        </is>
      </c>
      <c r="B11" s="102" t="inlineStr"/>
    </row>
    <row r="13">
      <c r="A13" s="61" t="inlineStr">
        <is>
          <t>Profitability &amp; Returns</t>
        </is>
      </c>
      <c r="B13" s="61" t="n"/>
    </row>
    <row r="14">
      <c r="A14" s="18" t="inlineStr">
        <is>
          <t>Gross Margin</t>
        </is>
      </c>
      <c r="B14" s="100" t="n">
        <v>0.429</v>
      </c>
    </row>
    <row r="15">
      <c r="A15" s="29" t="inlineStr">
        <is>
          <t>Operating Margin</t>
        </is>
      </c>
      <c r="B15" s="99" t="inlineStr">
        <is>
          <t>N/A</t>
        </is>
      </c>
    </row>
    <row r="16">
      <c r="A16" s="18" t="inlineStr">
        <is>
          <t>Net Margin</t>
        </is>
      </c>
      <c r="B16" s="100" t="n">
        <v>0.067</v>
      </c>
    </row>
    <row r="17">
      <c r="A17" s="29" t="inlineStr">
        <is>
          <t>Return on Equity</t>
        </is>
      </c>
      <c r="B17" s="101" t="n">
        <v>0.209</v>
      </c>
    </row>
    <row r="18">
      <c r="A18" s="18" t="inlineStr">
        <is>
          <t>Return on Assets</t>
        </is>
      </c>
      <c r="B18" s="100" t="n">
        <v>0.081</v>
      </c>
    </row>
    <row r="19">
      <c r="A19" s="29" t="inlineStr">
        <is>
          <t>Free Cash Flow</t>
        </is>
      </c>
      <c r="B19" s="103" t="n">
        <v>2184000000</v>
      </c>
    </row>
    <row r="21">
      <c r="A21" s="61" t="inlineStr">
        <is>
          <t>Growth</t>
        </is>
      </c>
      <c r="B21" s="61" t="n"/>
    </row>
    <row r="22">
      <c r="A22" s="18" t="inlineStr">
        <is>
          <t>Revenue YoY</t>
        </is>
      </c>
      <c r="B22" s="100" t="n">
        <v>0.002</v>
      </c>
    </row>
    <row r="23">
      <c r="A23" s="29" t="inlineStr">
        <is>
          <t>EPS YoY</t>
        </is>
      </c>
      <c r="B23" s="101" t="n">
        <v>-0.028</v>
      </c>
    </row>
    <row r="24">
      <c r="A24" s="18" t="inlineStr">
        <is>
          <t>Revenue CAGR</t>
        </is>
      </c>
      <c r="B24" s="100" t="n">
        <v>0.034</v>
      </c>
    </row>
    <row r="25">
      <c r="A25" s="29" t="inlineStr">
        <is>
          <t>EPS CAGR</t>
        </is>
      </c>
      <c r="B25" s="101" t="n">
        <v>-0.02</v>
      </c>
    </row>
    <row r="27">
      <c r="A27" s="61" t="inlineStr">
        <is>
          <t>Balance Sheet &amp; Quality</t>
        </is>
      </c>
      <c r="B27" s="61" t="n"/>
    </row>
    <row r="28">
      <c r="A28" s="18" t="inlineStr">
        <is>
          <t>Current Ratio</t>
        </is>
      </c>
      <c r="B28" s="104" t="n">
        <v>1.96</v>
      </c>
    </row>
    <row r="29">
      <c r="A29" s="29" t="inlineStr">
        <is>
          <t>Debt / Equity</t>
        </is>
      </c>
      <c r="B29" s="105" t="n">
        <v>0.4</v>
      </c>
    </row>
    <row r="30">
      <c r="A30" s="18" t="inlineStr">
        <is>
          <t>Piotroski F-Score</t>
        </is>
      </c>
      <c r="B30" s="106" t="inlineStr">
        <is>
          <t>5 / 9</t>
        </is>
      </c>
    </row>
    <row r="31">
      <c r="A31" s="29" t="inlineStr">
        <is>
          <t>Altman Z-Score</t>
        </is>
      </c>
      <c r="B31" s="99" t="inlineStr">
        <is>
          <t>N/A</t>
        </is>
      </c>
    </row>
    <row r="33">
      <c r="A33" s="107" t="inlineStr">
        <is>
          <t>Fiscal Period</t>
        </is>
      </c>
      <c r="B33" s="107" t="inlineStr">
        <is>
          <t>2017-05</t>
        </is>
      </c>
      <c r="C33" s="107" t="inlineStr">
        <is>
          <t>2018-05</t>
        </is>
      </c>
      <c r="D33" s="107" t="inlineStr">
        <is>
          <t>2019-05</t>
        </is>
      </c>
      <c r="E33" s="107" t="inlineStr">
        <is>
          <t>2020-05</t>
        </is>
      </c>
      <c r="F33" s="107" t="inlineStr">
        <is>
          <t>2021-05</t>
        </is>
      </c>
      <c r="G33" s="107" t="inlineStr">
        <is>
          <t>2022-05</t>
        </is>
      </c>
      <c r="H33" s="107" t="inlineStr">
        <is>
          <t>2023-05</t>
        </is>
      </c>
      <c r="I33" s="107" t="inlineStr">
        <is>
          <t>2024-05</t>
        </is>
      </c>
      <c r="J33" s="107" t="inlineStr">
        <is>
          <t>2025-05</t>
        </is>
      </c>
      <c r="K33" s="107" t="inlineStr">
        <is>
          <t>2026-05</t>
        </is>
      </c>
    </row>
    <row r="34">
      <c r="A34" s="27" t="inlineStr">
        <is>
          <t>Revenue ($B)</t>
        </is>
      </c>
      <c r="B34" s="108" t="n">
        <v>34.4</v>
      </c>
      <c r="C34" s="108" t="n">
        <v>36.4</v>
      </c>
      <c r="D34" s="108" t="n">
        <v>39.1</v>
      </c>
      <c r="E34" s="108" t="n">
        <v>37.4</v>
      </c>
      <c r="F34" s="108" t="n">
        <v>44.5</v>
      </c>
      <c r="G34" s="108" t="n">
        <v>46.7</v>
      </c>
      <c r="H34" s="108" t="n">
        <v>51.2</v>
      </c>
      <c r="I34" s="108" t="n">
        <v>51.4</v>
      </c>
      <c r="J34" s="108" t="n">
        <v>46.3</v>
      </c>
      <c r="K34" s="108" t="n">
        <v>46.4</v>
      </c>
    </row>
    <row r="35">
      <c r="A35" s="27" t="inlineStr">
        <is>
          <t>Net Income ($B)</t>
        </is>
      </c>
      <c r="B35" s="108" t="n">
        <v>4.2</v>
      </c>
      <c r="C35" s="108" t="n">
        <v>1.9</v>
      </c>
      <c r="D35" s="108" t="n">
        <v>4</v>
      </c>
      <c r="E35" s="108" t="n">
        <v>2.5</v>
      </c>
      <c r="F35" s="108" t="n">
        <v>5.7</v>
      </c>
      <c r="G35" s="108" t="n">
        <v>6</v>
      </c>
      <c r="H35" s="108" t="n">
        <v>5.1</v>
      </c>
      <c r="I35" s="108" t="n">
        <v>5.7</v>
      </c>
      <c r="J35" s="108" t="n">
        <v>3.2</v>
      </c>
      <c r="K35" s="108" t="n">
        <v>3.1</v>
      </c>
    </row>
    <row r="36">
      <c r="A36" s="27" t="inlineStr">
        <is>
          <t>Free Cash Flow ($B)</t>
        </is>
      </c>
      <c r="B36" s="108" t="n">
        <v>2.5</v>
      </c>
      <c r="C36" s="108" t="n">
        <v>3.9</v>
      </c>
      <c r="D36" s="108" t="n">
        <v>4.8</v>
      </c>
      <c r="E36" s="108" t="n">
        <v>1.4</v>
      </c>
      <c r="F36" s="108" t="n">
        <v>6</v>
      </c>
      <c r="G36" s="108" t="n">
        <v>4.4</v>
      </c>
      <c r="H36" s="108" t="n">
        <v>4.9</v>
      </c>
      <c r="I36" s="108" t="n">
        <v>6.6</v>
      </c>
      <c r="J36" s="108" t="n">
        <v>3.3</v>
      </c>
      <c r="K36" s="108" t="n">
        <v>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8" customWidth="1" min="1" max="1"/>
    <col width="23" customWidth="1" min="2" max="2"/>
    <col width="23" customWidth="1" min="3" max="3"/>
    <col width="22" customWidth="1" min="4" max="4"/>
    <col width="9" customWidth="1" min="5" max="5"/>
    <col width="3" customWidth="1" min="6" max="6"/>
    <col width="3" customWidth="1" min="7" max="7"/>
    <col width="3" customWidth="1" min="8" max="8"/>
  </cols>
  <sheetData>
    <row r="1" ht="26" customHeight="1">
      <c r="A1" s="109" t="inlineStr">
        <is>
          <t>Annual Performance Summary</t>
        </is>
      </c>
    </row>
    <row r="2">
      <c r="A2" s="31" t="inlineStr">
        <is>
          <t>Year</t>
        </is>
      </c>
      <c r="B2" s="31" t="inlineStr">
        <is>
          <t>Annual Return</t>
        </is>
      </c>
      <c r="C2" s="31" t="inlineStr">
        <is>
          <t>Max Drawdown (60d)</t>
        </is>
      </c>
      <c r="D2" s="31" t="inlineStr">
        <is>
          <t>Ann. Volatility</t>
        </is>
      </c>
      <c r="E2" s="31" t="inlineStr">
        <is>
          <t>Sharpe</t>
        </is>
      </c>
    </row>
    <row r="3">
      <c r="A3" s="110" t="n">
        <v>2021</v>
      </c>
      <c r="B3" s="111" t="n">
        <v>-0.0321462417078161</v>
      </c>
      <c r="C3" s="112" t="n">
        <v>-0.1140662133568846</v>
      </c>
      <c r="D3" s="113" t="n">
        <v>0.2406178742610045</v>
      </c>
      <c r="E3" s="15" t="n">
        <v>-0.38</v>
      </c>
    </row>
    <row r="4">
      <c r="A4" s="114" t="n">
        <v>2022</v>
      </c>
      <c r="B4" s="111" t="n">
        <v>-0.2904111754410655</v>
      </c>
      <c r="C4" s="111" t="n">
        <v>-0.3018232092699208</v>
      </c>
      <c r="D4" s="115" t="n">
        <v>0.4227475314909052</v>
      </c>
      <c r="E4" s="18" t="n">
        <v>-0.7</v>
      </c>
    </row>
    <row r="5">
      <c r="A5" s="110" t="n">
        <v>2023</v>
      </c>
      <c r="B5" s="111" t="n">
        <v>-0.06013707416592817</v>
      </c>
      <c r="C5" s="111" t="n">
        <v>-0.1959537167709192</v>
      </c>
      <c r="D5" s="113" t="n">
        <v>0.2706323317565329</v>
      </c>
      <c r="E5" s="15" t="n">
        <v>-0.24</v>
      </c>
    </row>
    <row r="6">
      <c r="A6" s="114" t="n">
        <v>2024</v>
      </c>
      <c r="B6" s="111" t="n">
        <v>-0.2910746355754883</v>
      </c>
      <c r="C6" s="111" t="n">
        <v>-0.2684707855293578</v>
      </c>
      <c r="D6" s="115" t="n">
        <v>0.3199281702671593</v>
      </c>
      <c r="E6" s="18" t="n">
        <v>-1.03</v>
      </c>
    </row>
    <row r="7">
      <c r="A7" s="110" t="n">
        <v>2025</v>
      </c>
      <c r="B7" s="111" t="n">
        <v>-0.1382763734211941</v>
      </c>
      <c r="C7" s="111" t="n">
        <v>-0.3448406860497293</v>
      </c>
      <c r="D7" s="113" t="n">
        <v>0.420494612349356</v>
      </c>
      <c r="E7" s="15" t="n">
        <v>-0.24</v>
      </c>
    </row>
    <row r="8">
      <c r="A8" s="114" t="inlineStr">
        <is>
          <t>2026 (YTD)</t>
        </is>
      </c>
      <c r="B8" s="111" t="n">
        <v>-0.3379416804828088</v>
      </c>
      <c r="C8" s="111" t="n">
        <v>-0.3553826303470411</v>
      </c>
      <c r="D8" s="115" t="n">
        <v>0.3695148118155157</v>
      </c>
      <c r="E8" s="18" t="n">
        <v>-1.83</v>
      </c>
    </row>
  </sheetData>
  <autoFilter ref="A2:E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254"/>
  <sheetViews>
    <sheetView workbookViewId="0">
      <pane ySplit="1" topLeftCell="A2" activePane="bottomLeft" state="frozen"/>
      <selection pane="bottomLeft" activeCell="A1" sqref="A1"/>
    </sheetView>
  </sheetViews>
  <sheetFormatPr baseColWidth="8" defaultRowHeight="15"/>
  <cols>
    <col width="22" customWidth="1" min="1" max="1"/>
    <col width="21" customWidth="1" min="2" max="2"/>
    <col width="21" customWidth="1" min="3" max="3"/>
    <col width="21" customWidth="1" min="4" max="4"/>
    <col width="21" customWidth="1" min="5" max="5"/>
    <col width="14" customWidth="1" min="6" max="6"/>
    <col width="26" customWidth="1" min="7" max="7"/>
    <col width="21" customWidth="1" min="8" max="8"/>
    <col width="21" customWidth="1" min="9" max="9"/>
    <col width="21" customWidth="1" min="10" max="10"/>
    <col width="22" customWidth="1" min="11" max="11"/>
    <col width="26" customWidth="1" min="12" max="12"/>
    <col width="25" customWidth="1" min="13" max="13"/>
    <col width="21" customWidth="1" min="14" max="14"/>
    <col width="25" customWidth="1" min="15" max="15"/>
    <col width="21" customWidth="1" min="16" max="16"/>
    <col width="21" customWidth="1" min="17" max="17"/>
  </cols>
  <sheetData>
    <row r="1">
      <c r="A1" s="116" t="inlineStr">
        <is>
          <t>Date</t>
        </is>
      </c>
      <c r="B1" s="116" t="inlineStr">
        <is>
          <t>Open</t>
        </is>
      </c>
      <c r="C1" s="116" t="inlineStr">
        <is>
          <t>High</t>
        </is>
      </c>
      <c r="D1" s="116" t="inlineStr">
        <is>
          <t>Low</t>
        </is>
      </c>
      <c r="E1" s="116" t="inlineStr">
        <is>
          <t>Close</t>
        </is>
      </c>
      <c r="F1" s="116" t="inlineStr">
        <is>
          <t>Volume</t>
        </is>
      </c>
      <c r="G1" s="116" t="inlineStr">
        <is>
          <t>Daily_Return</t>
        </is>
      </c>
      <c r="H1" s="116" t="inlineStr">
        <is>
          <t>Cumulative_Index</t>
        </is>
      </c>
      <c r="I1" s="116" t="inlineStr">
        <is>
          <t>MA50</t>
        </is>
      </c>
      <c r="J1" s="116" t="inlineStr">
        <is>
          <t>MA200</t>
        </is>
      </c>
      <c r="K1" s="116" t="inlineStr">
        <is>
          <t>Volatility_20d</t>
        </is>
      </c>
      <c r="L1" s="116" t="inlineStr">
        <is>
          <t>Drawdown_60d</t>
        </is>
      </c>
      <c r="M1" s="116" t="inlineStr">
        <is>
          <t>Pct_From_52W_High</t>
        </is>
      </c>
      <c r="N1" s="116" t="inlineStr">
        <is>
          <t>RSI14</t>
        </is>
      </c>
      <c r="O1" s="116" t="inlineStr">
        <is>
          <t>MACD_Hist</t>
        </is>
      </c>
      <c r="P1" s="116" t="inlineStr">
        <is>
          <t>SPY_Cumulative</t>
        </is>
      </c>
      <c r="Q1" s="116" t="inlineStr">
        <is>
          <t>QQQ_Cumulative</t>
        </is>
      </c>
    </row>
    <row r="2">
      <c r="A2" s="117" t="n">
        <v>44414</v>
      </c>
      <c r="B2" s="118" t="n">
        <v>160.5163386185911</v>
      </c>
      <c r="C2" s="118" t="n">
        <v>160.5347546117141</v>
      </c>
      <c r="D2" s="118" t="n">
        <v>158.9881342769846</v>
      </c>
      <c r="E2" s="118" t="n">
        <v>159.0802001953125</v>
      </c>
      <c r="F2" s="119" t="n">
        <v>4088700</v>
      </c>
      <c r="G2" s="120" t="n">
        <v/>
      </c>
      <c r="H2" s="121" t="n">
        <v>100</v>
      </c>
      <c r="I2" s="118" t="n">
        <v/>
      </c>
      <c r="J2" s="118" t="n">
        <v/>
      </c>
      <c r="K2" s="120" t="n">
        <v/>
      </c>
      <c r="L2" s="120" t="n">
        <v/>
      </c>
      <c r="M2" s="120" t="n">
        <v/>
      </c>
      <c r="N2" t="n">
        <v/>
      </c>
      <c r="O2" t="n">
        <v/>
      </c>
      <c r="P2" t="n">
        <v>100</v>
      </c>
      <c r="Q2" t="n">
        <v>100</v>
      </c>
    </row>
    <row r="3">
      <c r="A3" s="117" t="n">
        <v>44417</v>
      </c>
      <c r="B3" s="118" t="n">
        <v>158.8040554603714</v>
      </c>
      <c r="C3" s="118" t="n">
        <v>159.3195910160386</v>
      </c>
      <c r="D3" s="118" t="n">
        <v>157.9939201315855</v>
      </c>
      <c r="E3" s="118" t="n">
        <v>158.1320190429688</v>
      </c>
      <c r="F3" s="119" t="n">
        <v>3612800</v>
      </c>
      <c r="G3" s="120" t="n">
        <v>-0.005960397027283126</v>
      </c>
      <c r="H3" s="121" t="n">
        <v>99.40396029727168</v>
      </c>
      <c r="I3" s="118" t="n">
        <v/>
      </c>
      <c r="J3" s="118" t="n">
        <v/>
      </c>
      <c r="K3" s="120" t="n">
        <v/>
      </c>
      <c r="L3" s="120" t="n">
        <v/>
      </c>
      <c r="M3" s="120" t="n">
        <v/>
      </c>
      <c r="N3" t="n">
        <v/>
      </c>
      <c r="O3" t="n">
        <v/>
      </c>
      <c r="P3" t="n">
        <v>99.91861533463015</v>
      </c>
      <c r="Q3" t="n">
        <v>100.1847944474689</v>
      </c>
    </row>
    <row r="4">
      <c r="A4" s="117" t="n">
        <v>44418</v>
      </c>
      <c r="B4" s="118" t="n">
        <v>157.9386964231995</v>
      </c>
      <c r="C4" s="118" t="n">
        <v>160.1481527229303</v>
      </c>
      <c r="D4" s="118" t="n">
        <v>157.8190135017012</v>
      </c>
      <c r="E4" s="118" t="n">
        <v>158.5923309326172</v>
      </c>
      <c r="F4" s="119" t="n">
        <v>3747100</v>
      </c>
      <c r="G4" s="120" t="n">
        <v>0.002910934119694897</v>
      </c>
      <c r="H4" s="121" t="n">
        <v>99.69331867693381</v>
      </c>
      <c r="I4" s="118" t="n">
        <v/>
      </c>
      <c r="J4" s="118" t="n">
        <v/>
      </c>
      <c r="K4" s="120" t="n">
        <v/>
      </c>
      <c r="L4" s="120" t="n">
        <v/>
      </c>
      <c r="M4" s="120" t="n">
        <v/>
      </c>
      <c r="N4" t="n">
        <v/>
      </c>
      <c r="O4" t="n">
        <v/>
      </c>
      <c r="P4" t="n">
        <v>100.042924526109</v>
      </c>
      <c r="Q4" t="n">
        <v>99.67122496957542</v>
      </c>
    </row>
    <row r="5">
      <c r="A5" s="117" t="n">
        <v>44419</v>
      </c>
      <c r="B5" s="118" t="n">
        <v>158.3437588507344</v>
      </c>
      <c r="C5" s="118" t="n">
        <v>159.4668959384589</v>
      </c>
      <c r="D5" s="118" t="n">
        <v>157.3679216542209</v>
      </c>
      <c r="E5" s="118" t="n">
        <v>157.6717224121094</v>
      </c>
      <c r="F5" s="119" t="n">
        <v>4078300</v>
      </c>
      <c r="G5" s="120" t="n">
        <v>-0.005804874139210159</v>
      </c>
      <c r="H5" s="121" t="n">
        <v>99.11461150949404</v>
      </c>
      <c r="I5" s="118" t="n">
        <v/>
      </c>
      <c r="J5" s="118" t="n">
        <v/>
      </c>
      <c r="K5" s="120" t="n">
        <v/>
      </c>
      <c r="L5" s="120" t="n">
        <v/>
      </c>
      <c r="M5" s="120" t="n">
        <v/>
      </c>
      <c r="N5" t="n">
        <v/>
      </c>
      <c r="O5" t="n">
        <v/>
      </c>
      <c r="P5" t="n">
        <v>100.2915060133077</v>
      </c>
      <c r="Q5" t="n">
        <v>99.50006647097884</v>
      </c>
    </row>
    <row r="6">
      <c r="A6" s="117" t="n">
        <v>44420</v>
      </c>
      <c r="B6" s="118" t="n">
        <v>157.3218866491524</v>
      </c>
      <c r="C6" s="118" t="n">
        <v>157.7177533457545</v>
      </c>
      <c r="D6" s="118" t="n">
        <v>156.0238327133017</v>
      </c>
      <c r="E6" s="118" t="n">
        <v>157.0917358398438</v>
      </c>
      <c r="F6" s="119" t="n">
        <v>3997100</v>
      </c>
      <c r="G6" s="120" t="n">
        <v>-0.003678443816004684</v>
      </c>
      <c r="H6" s="121" t="n">
        <v>98.75002397971124</v>
      </c>
      <c r="I6" s="118" t="n">
        <v/>
      </c>
      <c r="J6" s="118" t="n">
        <v/>
      </c>
      <c r="K6" s="120" t="n">
        <v/>
      </c>
      <c r="L6" s="120" t="n">
        <v/>
      </c>
      <c r="M6" s="120" t="n">
        <v/>
      </c>
      <c r="N6" t="n">
        <v/>
      </c>
      <c r="O6" t="n">
        <v/>
      </c>
      <c r="P6" t="n">
        <v>100.5920736250445</v>
      </c>
      <c r="Q6" t="n">
        <v>99.85871926657049</v>
      </c>
    </row>
    <row r="7">
      <c r="A7" s="117" t="n">
        <v>44421</v>
      </c>
      <c r="B7" s="118" t="n">
        <v>156.9168118488265</v>
      </c>
      <c r="C7" s="118" t="n">
        <v>158.0859818402433</v>
      </c>
      <c r="D7" s="118" t="n">
        <v>155.3794061981603</v>
      </c>
      <c r="E7" s="118" t="n">
        <v>158.0583648681641</v>
      </c>
      <c r="F7" s="119" t="n">
        <v>2966200</v>
      </c>
      <c r="G7" s="120" t="n">
        <v>0.006153277402866086</v>
      </c>
      <c r="H7" s="121" t="n">
        <v>99.35766027079809</v>
      </c>
      <c r="I7" s="118" t="n">
        <v/>
      </c>
      <c r="J7" s="118" t="n">
        <v/>
      </c>
      <c r="K7" s="120" t="n">
        <v/>
      </c>
      <c r="L7" s="120" t="n">
        <v/>
      </c>
      <c r="M7" s="120" t="n">
        <v/>
      </c>
      <c r="N7" t="n">
        <v/>
      </c>
      <c r="O7" t="n">
        <v/>
      </c>
      <c r="P7" t="n">
        <v>100.775135623276</v>
      </c>
      <c r="Q7" t="n">
        <v>100.2092041629629</v>
      </c>
    </row>
    <row r="8">
      <c r="A8" s="117" t="n">
        <v>44424</v>
      </c>
      <c r="B8" s="118" t="n">
        <v>157.1469813001011</v>
      </c>
      <c r="C8" s="118" t="n">
        <v>158.7120041086056</v>
      </c>
      <c r="D8" s="118" t="n">
        <v>156.1895600440381</v>
      </c>
      <c r="E8" s="118" t="n">
        <v>158.6751861572266</v>
      </c>
      <c r="F8" s="119" t="n">
        <v>3530200</v>
      </c>
      <c r="G8" s="120" t="n">
        <v>0.003902490637410994</v>
      </c>
      <c r="H8" s="121" t="n">
        <v>99.74540260975994</v>
      </c>
      <c r="I8" s="118" t="n">
        <v/>
      </c>
      <c r="J8" s="118" t="n">
        <v/>
      </c>
      <c r="K8" s="120" t="n">
        <v/>
      </c>
      <c r="L8" s="120" t="n">
        <v/>
      </c>
      <c r="M8" s="120" t="n">
        <v/>
      </c>
      <c r="N8" t="n">
        <v/>
      </c>
      <c r="O8" t="n">
        <v/>
      </c>
      <c r="P8" t="n">
        <v>101.0124343873492</v>
      </c>
      <c r="Q8" t="n">
        <v>100.2526751578643</v>
      </c>
    </row>
    <row r="9">
      <c r="A9" s="117" t="n">
        <v>44425</v>
      </c>
      <c r="B9" s="118" t="n">
        <v>157.9202898393353</v>
      </c>
      <c r="C9" s="118" t="n">
        <v>158.0675897442241</v>
      </c>
      <c r="D9" s="118" t="n">
        <v>155.9317973125053</v>
      </c>
      <c r="E9" s="118" t="n">
        <v>157.1101684570312</v>
      </c>
      <c r="F9" s="119" t="n">
        <v>3602900</v>
      </c>
      <c r="G9" s="120" t="n">
        <v>-0.009863027345968112</v>
      </c>
      <c r="H9" s="121" t="n">
        <v>98.76161097618528</v>
      </c>
      <c r="I9" s="118" t="n">
        <v/>
      </c>
      <c r="J9" s="118" t="n">
        <v/>
      </c>
      <c r="K9" s="120" t="n">
        <v/>
      </c>
      <c r="L9" s="120" t="n">
        <v/>
      </c>
      <c r="M9" s="120" t="n">
        <v/>
      </c>
      <c r="N9" t="n">
        <v/>
      </c>
      <c r="O9" t="n">
        <v/>
      </c>
      <c r="P9" t="n">
        <v>100.350273578364</v>
      </c>
      <c r="Q9" t="n">
        <v>99.3696534862747</v>
      </c>
    </row>
    <row r="10">
      <c r="A10" s="117" t="n">
        <v>44426</v>
      </c>
      <c r="B10" s="118" t="n">
        <v>156.2724281650079</v>
      </c>
      <c r="C10" s="118" t="n">
        <v>158.1596679567243</v>
      </c>
      <c r="D10" s="118" t="n">
        <v>155.2689738238407</v>
      </c>
      <c r="E10" s="118" t="n">
        <v>155.4070587158203</v>
      </c>
      <c r="F10" s="119" t="n">
        <v>5487400</v>
      </c>
      <c r="G10" s="120" t="n">
        <v>-0.01084022605243862</v>
      </c>
      <c r="H10" s="121" t="n">
        <v>97.69101278790042</v>
      </c>
      <c r="I10" s="118" t="n">
        <v/>
      </c>
      <c r="J10" s="118" t="n">
        <v/>
      </c>
      <c r="K10" s="120" t="n">
        <v/>
      </c>
      <c r="L10" s="120" t="n">
        <v/>
      </c>
      <c r="M10" s="120" t="n">
        <v/>
      </c>
      <c r="N10" t="n">
        <v/>
      </c>
      <c r="O10" t="n">
        <v/>
      </c>
      <c r="P10" t="n">
        <v>99.25193110558214</v>
      </c>
      <c r="Q10" t="n">
        <v>98.41325742313377</v>
      </c>
    </row>
    <row r="11">
      <c r="A11" s="117" t="n">
        <v>44427</v>
      </c>
      <c r="B11" s="118" t="n">
        <v>153.7039393712879</v>
      </c>
      <c r="C11" s="118" t="n">
        <v>154.237876945287</v>
      </c>
      <c r="D11" s="118" t="n">
        <v>151.3195660518184</v>
      </c>
      <c r="E11" s="118" t="n">
        <v>152.4427032470703</v>
      </c>
      <c r="F11" s="119" t="n">
        <v>7336300</v>
      </c>
      <c r="G11" s="120" t="n">
        <v>-0.01907478008557295</v>
      </c>
      <c r="H11" s="121" t="n">
        <v>95.82757820263433</v>
      </c>
      <c r="I11" s="118" t="n">
        <v/>
      </c>
      <c r="J11" s="118" t="n">
        <v/>
      </c>
      <c r="K11" s="120" t="n">
        <v/>
      </c>
      <c r="L11" s="120" t="n">
        <v/>
      </c>
      <c r="M11" s="120" t="n">
        <v/>
      </c>
      <c r="N11" t="n">
        <v/>
      </c>
      <c r="O11" t="n">
        <v/>
      </c>
      <c r="P11" t="n">
        <v>99.40562407958916</v>
      </c>
      <c r="Q11" t="n">
        <v>98.8887385175229</v>
      </c>
    </row>
    <row r="12">
      <c r="A12" s="117" t="n">
        <v>44428</v>
      </c>
      <c r="B12" s="118" t="n">
        <v>153.0686955913784</v>
      </c>
      <c r="C12" s="118" t="n">
        <v>154.6705361439358</v>
      </c>
      <c r="D12" s="118" t="n">
        <v>152.2861772647616</v>
      </c>
      <c r="E12" s="118" t="n">
        <v>154.4680023193359</v>
      </c>
      <c r="F12" s="119" t="n">
        <v>4039100</v>
      </c>
      <c r="G12" s="120" t="n">
        <v>0.01328564128768517</v>
      </c>
      <c r="H12" s="121" t="n">
        <v>97.10070903210212</v>
      </c>
      <c r="I12" s="118" t="n">
        <v/>
      </c>
      <c r="J12" s="118" t="n">
        <v/>
      </c>
      <c r="K12" s="120" t="n">
        <v/>
      </c>
      <c r="L12" s="120" t="n">
        <v/>
      </c>
      <c r="M12" s="120" t="n">
        <v/>
      </c>
      <c r="N12" t="n">
        <v/>
      </c>
      <c r="O12" t="n">
        <v/>
      </c>
      <c r="P12" t="n">
        <v>100.196580604357</v>
      </c>
      <c r="Q12" t="n">
        <v>99.91304092254202</v>
      </c>
    </row>
    <row r="13">
      <c r="A13" s="117" t="n">
        <v>44431</v>
      </c>
      <c r="B13" s="118" t="n">
        <v>155.9962451575496</v>
      </c>
      <c r="C13" s="118" t="n">
        <v>157.3311172938104</v>
      </c>
      <c r="D13" s="118" t="n">
        <v>155.7476783033804</v>
      </c>
      <c r="E13" s="118" t="n">
        <v>156.2448120117188</v>
      </c>
      <c r="F13" s="119" t="n">
        <v>3796500</v>
      </c>
      <c r="G13" s="120" t="n">
        <v>0.01150276863624855</v>
      </c>
      <c r="H13" s="121" t="n">
        <v>98.21763602251407</v>
      </c>
      <c r="I13" s="118" t="n">
        <v/>
      </c>
      <c r="J13" s="118" t="n">
        <v/>
      </c>
      <c r="K13" s="120" t="n">
        <v/>
      </c>
      <c r="L13" s="120" t="n">
        <v/>
      </c>
      <c r="M13" s="120" t="n">
        <v/>
      </c>
      <c r="N13" t="n">
        <v/>
      </c>
      <c r="O13" t="n">
        <v/>
      </c>
      <c r="P13" t="n">
        <v>101.0779833929237</v>
      </c>
      <c r="Q13" t="n">
        <v>101.4074161790704</v>
      </c>
    </row>
    <row r="14">
      <c r="A14" s="117" t="n">
        <v>44432</v>
      </c>
      <c r="B14" s="118" t="n">
        <v>156.1343264138244</v>
      </c>
      <c r="C14" s="118" t="n">
        <v>157.303482499123</v>
      </c>
      <c r="D14" s="118" t="n">
        <v>155.4806918853487</v>
      </c>
      <c r="E14" s="118" t="n">
        <v>156.4841461181641</v>
      </c>
      <c r="F14" s="119" t="n">
        <v>3133100</v>
      </c>
      <c r="G14" s="120" t="n">
        <v>0.001531789141436368</v>
      </c>
      <c r="H14" s="121" t="n">
        <v>98.3680847308709</v>
      </c>
      <c r="I14" s="118" t="n">
        <v/>
      </c>
      <c r="J14" s="118" t="n">
        <v/>
      </c>
      <c r="K14" s="120" t="n">
        <v/>
      </c>
      <c r="L14" s="120" t="n">
        <v/>
      </c>
      <c r="M14" s="120" t="n">
        <v/>
      </c>
      <c r="N14" t="n">
        <v/>
      </c>
      <c r="O14" t="n">
        <v/>
      </c>
      <c r="P14" t="n">
        <v>101.2384356699934</v>
      </c>
      <c r="Q14" t="n">
        <v>101.7171726492257</v>
      </c>
    </row>
    <row r="15">
      <c r="A15" s="117" t="n">
        <v>44433</v>
      </c>
      <c r="B15" s="118" t="n">
        <v>156.5025855670036</v>
      </c>
      <c r="C15" s="118" t="n">
        <v>157.1378041912838</v>
      </c>
      <c r="D15" s="118" t="n">
        <v>156.0699008242996</v>
      </c>
      <c r="E15" s="118" t="n">
        <v>156.3552856445312</v>
      </c>
      <c r="F15" s="119" t="n">
        <v>3003800</v>
      </c>
      <c r="G15" s="120" t="n">
        <v>-0.0008234730279673697</v>
      </c>
      <c r="H15" s="121" t="n">
        <v>98.28708126628223</v>
      </c>
      <c r="I15" s="118" t="n">
        <v/>
      </c>
      <c r="J15" s="118" t="n">
        <v/>
      </c>
      <c r="K15" s="120" t="n">
        <v/>
      </c>
      <c r="L15" s="120" t="n">
        <v/>
      </c>
      <c r="M15" s="120" t="n">
        <v/>
      </c>
      <c r="N15" t="n">
        <v>44.28377273852631</v>
      </c>
      <c r="O15" t="n">
        <v/>
      </c>
      <c r="P15" t="n">
        <v>101.4508519341458</v>
      </c>
      <c r="Q15" t="n">
        <v>101.8339753165403</v>
      </c>
    </row>
    <row r="16">
      <c r="A16" s="117" t="n">
        <v>44434</v>
      </c>
      <c r="B16" s="118" t="n">
        <v>155.931773782459</v>
      </c>
      <c r="C16" s="118" t="n">
        <v>156.0606576679652</v>
      </c>
      <c r="D16" s="118" t="n">
        <v>153.0686972819467</v>
      </c>
      <c r="E16" s="118" t="n">
        <v>153.6670837402344</v>
      </c>
      <c r="F16" s="119" t="n">
        <v>4069600</v>
      </c>
      <c r="G16" s="120" t="n">
        <v>-0.01719290712312993</v>
      </c>
      <c r="H16" s="121" t="n">
        <v>96.59724060666751</v>
      </c>
      <c r="I16" s="118" t="n">
        <v/>
      </c>
      <c r="J16" s="118" t="n">
        <v/>
      </c>
      <c r="K16" s="120" t="n">
        <v/>
      </c>
      <c r="L16" s="120" t="n">
        <v/>
      </c>
      <c r="M16" s="120" t="n">
        <v/>
      </c>
      <c r="N16" t="n">
        <v>34.43268723804485</v>
      </c>
      <c r="O16" t="n">
        <v/>
      </c>
      <c r="P16" t="n">
        <v>100.8519673519759</v>
      </c>
      <c r="Q16" t="n">
        <v>101.1873357235546</v>
      </c>
    </row>
    <row r="17">
      <c r="A17" s="117" t="n">
        <v>44435</v>
      </c>
      <c r="B17" s="118" t="n">
        <v>154.2434259084364</v>
      </c>
      <c r="C17" s="118" t="n">
        <v>154.9811266813696</v>
      </c>
      <c r="D17" s="118" t="n">
        <v>153.3305196190035</v>
      </c>
      <c r="E17" s="118" t="n">
        <v>154.5292816162109</v>
      </c>
      <c r="F17" s="119" t="n">
        <v>3012400</v>
      </c>
      <c r="G17" s="120" t="n">
        <v>0.005610816936137519</v>
      </c>
      <c r="H17" s="121" t="n">
        <v>97.13923004024755</v>
      </c>
      <c r="I17" s="118" t="n">
        <v/>
      </c>
      <c r="J17" s="118" t="n">
        <v/>
      </c>
      <c r="K17" s="120" t="n">
        <v/>
      </c>
      <c r="L17" s="120" t="n">
        <v/>
      </c>
      <c r="M17" s="120" t="n">
        <v/>
      </c>
      <c r="N17" t="n">
        <v>39.1111881881911</v>
      </c>
      <c r="O17" t="n">
        <v/>
      </c>
      <c r="P17" t="n">
        <v>101.7536997037935</v>
      </c>
      <c r="Q17" t="n">
        <v>102.1709097023365</v>
      </c>
    </row>
    <row r="18">
      <c r="A18" s="117" t="n">
        <v>44438</v>
      </c>
      <c r="B18" s="118" t="n">
        <v>154.8151325499796</v>
      </c>
      <c r="C18" s="118" t="n">
        <v>155.2946401481704</v>
      </c>
      <c r="D18" s="118" t="n">
        <v>153.5979382720754</v>
      </c>
      <c r="E18" s="118" t="n">
        <v>154.9442291259766</v>
      </c>
      <c r="F18" s="119" t="n">
        <v>3537100</v>
      </c>
      <c r="G18" s="120" t="n">
        <v>0.002685235480458514</v>
      </c>
      <c r="H18" s="121" t="n">
        <v>97.40007174729605</v>
      </c>
      <c r="I18" s="118" t="n">
        <v/>
      </c>
      <c r="J18" s="118" t="n">
        <v/>
      </c>
      <c r="K18" s="120" t="n">
        <v/>
      </c>
      <c r="L18" s="120" t="n">
        <v/>
      </c>
      <c r="M18" s="120" t="n">
        <v/>
      </c>
      <c r="N18" t="n">
        <v>41.28267162780342</v>
      </c>
      <c r="O18" t="n">
        <v/>
      </c>
      <c r="P18" t="n">
        <v>102.2011567115637</v>
      </c>
      <c r="Q18" t="n">
        <v>103.3174742805158</v>
      </c>
    </row>
    <row r="19">
      <c r="A19" s="117" t="n">
        <v>44439</v>
      </c>
      <c r="B19" s="118" t="n">
        <v>154.5016388453981</v>
      </c>
      <c r="C19" s="118" t="n">
        <v>154.621505211132</v>
      </c>
      <c r="D19" s="118" t="n">
        <v>151.4125226191492</v>
      </c>
      <c r="E19" s="118" t="n">
        <v>151.9104766845703</v>
      </c>
      <c r="F19" s="119" t="n">
        <v>7545600</v>
      </c>
      <c r="G19" s="120" t="n">
        <v>-0.01957964138786783</v>
      </c>
      <c r="H19" s="121" t="n">
        <v>95.49301327133139</v>
      </c>
      <c r="I19" s="118" t="n">
        <v/>
      </c>
      <c r="J19" s="118" t="n">
        <v/>
      </c>
      <c r="K19" s="120" t="n">
        <v/>
      </c>
      <c r="L19" s="120" t="n">
        <v/>
      </c>
      <c r="M19" s="120" t="n">
        <v/>
      </c>
      <c r="N19" t="n">
        <v>32.23204672958842</v>
      </c>
      <c r="O19" t="n">
        <v/>
      </c>
      <c r="P19" t="n">
        <v>102.0497438954675</v>
      </c>
      <c r="Q19" t="n">
        <v>103.233257771722</v>
      </c>
    </row>
    <row r="20">
      <c r="A20" s="117" t="n">
        <v>44440</v>
      </c>
      <c r="B20" s="118" t="n">
        <v>152.0764409811119</v>
      </c>
      <c r="C20" s="118" t="n">
        <v>153.6440464167036</v>
      </c>
      <c r="D20" s="118" t="n">
        <v>151.3018614581803</v>
      </c>
      <c r="E20" s="118" t="n">
        <v>151.7444763183594</v>
      </c>
      <c r="F20" s="119" t="n">
        <v>4706500</v>
      </c>
      <c r="G20" s="120" t="n">
        <v>-0.001092751269259895</v>
      </c>
      <c r="H20" s="121" t="n">
        <v>95.3886631598737</v>
      </c>
      <c r="I20" s="118" t="n">
        <v/>
      </c>
      <c r="J20" s="118" t="n">
        <v/>
      </c>
      <c r="K20" s="120" t="n">
        <v/>
      </c>
      <c r="L20" s="120" t="n">
        <v/>
      </c>
      <c r="M20" s="120" t="n">
        <v/>
      </c>
      <c r="N20" t="n">
        <v>31.8209560921412</v>
      </c>
      <c r="O20" t="n">
        <v/>
      </c>
      <c r="P20" t="n">
        <v>102.1039880404611</v>
      </c>
      <c r="Q20" t="n">
        <v>103.4044162703185</v>
      </c>
    </row>
    <row r="21">
      <c r="A21" s="117" t="n">
        <v>44441</v>
      </c>
      <c r="B21" s="118" t="n">
        <v>152.3715059691779</v>
      </c>
      <c r="C21" s="118" t="n">
        <v>152.5466974008402</v>
      </c>
      <c r="D21" s="118" t="n">
        <v>150.1122948991101</v>
      </c>
      <c r="E21" s="118" t="n">
        <v>150.9237670898438</v>
      </c>
      <c r="F21" s="119" t="n">
        <v>4632100</v>
      </c>
      <c r="G21" s="120" t="n">
        <v>-0.005408494914792006</v>
      </c>
      <c r="H21" s="121" t="n">
        <v>94.87275406024472</v>
      </c>
      <c r="I21" s="118" t="n">
        <v/>
      </c>
      <c r="J21" s="118" t="n">
        <v/>
      </c>
      <c r="K21" s="120" t="n">
        <v/>
      </c>
      <c r="L21" s="120" t="n">
        <v/>
      </c>
      <c r="M21" s="120" t="n">
        <v/>
      </c>
      <c r="N21" t="n">
        <v>29.79749694786301</v>
      </c>
      <c r="O21" t="n">
        <v/>
      </c>
      <c r="P21" t="n">
        <v>102.4181111540824</v>
      </c>
      <c r="Q21" t="n">
        <v>103.3555199448821</v>
      </c>
    </row>
    <row r="22">
      <c r="A22" s="117" t="n">
        <v>44442</v>
      </c>
      <c r="B22" s="118" t="n">
        <v>150.4903766166572</v>
      </c>
      <c r="C22" s="118" t="n">
        <v>151.384836492588</v>
      </c>
      <c r="D22" s="118" t="n">
        <v>149.5867005818664</v>
      </c>
      <c r="E22" s="118" t="n">
        <v>150.5733642578125</v>
      </c>
      <c r="F22" s="119" t="n">
        <v>4254500</v>
      </c>
      <c r="G22" s="120" t="n">
        <v>-0.002321720685799278</v>
      </c>
      <c r="H22" s="121" t="n">
        <v>94.6524860246243</v>
      </c>
      <c r="I22" s="118" t="n">
        <v/>
      </c>
      <c r="J22" s="118" t="n">
        <v/>
      </c>
      <c r="K22" s="120" t="n">
        <v>0.147582038772453</v>
      </c>
      <c r="L22" s="120" t="n">
        <v/>
      </c>
      <c r="M22" s="120" t="n">
        <v>-0.05347513975375717</v>
      </c>
      <c r="N22" t="n">
        <v>28.95103340058506</v>
      </c>
      <c r="O22" t="n">
        <v/>
      </c>
      <c r="P22" t="n">
        <v>102.393250791617</v>
      </c>
      <c r="Q22" t="n">
        <v>103.6734101389261</v>
      </c>
    </row>
    <row r="23">
      <c r="A23" s="117" t="n">
        <v>44446</v>
      </c>
      <c r="B23" s="118" t="n">
        <v>150.951446597306</v>
      </c>
      <c r="C23" s="118" t="n">
        <v>151.0989895704675</v>
      </c>
      <c r="D23" s="118" t="n">
        <v>149.3008535552875</v>
      </c>
      <c r="E23" s="118" t="n">
        <v>149.9739990234375</v>
      </c>
      <c r="F23" s="119" t="n">
        <v>5648800</v>
      </c>
      <c r="G23" s="120" t="n">
        <v>-0.003980552850959551</v>
      </c>
      <c r="H23" s="121" t="n">
        <v>94.27571680152856</v>
      </c>
      <c r="I23" s="118" t="n">
        <v/>
      </c>
      <c r="J23" s="118" t="n">
        <v/>
      </c>
      <c r="K23" s="120" t="n">
        <v>0.1471691874246188</v>
      </c>
      <c r="L23" s="120" t="n">
        <v/>
      </c>
      <c r="M23" s="120" t="n">
        <v>-0.05724283198471436</v>
      </c>
      <c r="N23" t="n">
        <v>27.51140668540789</v>
      </c>
      <c r="O23" t="n">
        <v/>
      </c>
      <c r="P23" t="n">
        <v>102.0271563117612</v>
      </c>
      <c r="Q23" t="n">
        <v>103.8201076590631</v>
      </c>
    </row>
    <row r="24">
      <c r="A24" s="117" t="n">
        <v>44447</v>
      </c>
      <c r="B24" s="118" t="n">
        <v>149.3838371917373</v>
      </c>
      <c r="C24" s="118" t="n">
        <v>149.4668248354861</v>
      </c>
      <c r="D24" s="118" t="n">
        <v>147.3090616751854</v>
      </c>
      <c r="E24" s="118" t="n">
        <v>148.1943054199219</v>
      </c>
      <c r="F24" s="119" t="n">
        <v>6591700</v>
      </c>
      <c r="G24" s="120" t="n">
        <v>-0.01186668099206645</v>
      </c>
      <c r="H24" s="121" t="n">
        <v>93.15697694494642</v>
      </c>
      <c r="I24" s="118" t="n">
        <v/>
      </c>
      <c r="J24" s="118" t="n">
        <v/>
      </c>
      <c r="K24" s="120" t="n">
        <v>0.1491594495451969</v>
      </c>
      <c r="L24" s="120" t="n">
        <v/>
      </c>
      <c r="M24" s="120" t="n">
        <v>-0.06843023055053576</v>
      </c>
      <c r="N24" t="n">
        <v>23.73698996472056</v>
      </c>
      <c r="O24" t="n">
        <v/>
      </c>
      <c r="P24" t="n">
        <v>101.9028397411305</v>
      </c>
      <c r="Q24" t="n">
        <v>103.4587550139453</v>
      </c>
    </row>
    <row r="25">
      <c r="A25" s="117" t="n">
        <v>44448</v>
      </c>
      <c r="B25" s="118" t="n">
        <v>152.3899342806158</v>
      </c>
      <c r="C25" s="118" t="n">
        <v>153.2106226081391</v>
      </c>
      <c r="D25" s="118" t="n">
        <v>150.4903644935713</v>
      </c>
      <c r="E25" s="118" t="n">
        <v>150.6194610595703</v>
      </c>
      <c r="F25" s="119" t="n">
        <v>8414800</v>
      </c>
      <c r="G25" s="120" t="n">
        <v>0.01636470195515649</v>
      </c>
      <c r="H25" s="121" t="n">
        <v>94.68146310769386</v>
      </c>
      <c r="I25" s="118" t="n">
        <v/>
      </c>
      <c r="J25" s="118" t="n">
        <v/>
      </c>
      <c r="K25" s="120" t="n">
        <v>0.164296725422537</v>
      </c>
      <c r="L25" s="120" t="n">
        <v/>
      </c>
      <c r="M25" s="120" t="n">
        <v>-0.05318536892306158</v>
      </c>
      <c r="N25" t="n">
        <v>36.5180376029645</v>
      </c>
      <c r="O25" t="n">
        <v/>
      </c>
      <c r="P25" t="n">
        <v>101.4666802147894</v>
      </c>
      <c r="Q25" t="n">
        <v>103.1028276993626</v>
      </c>
    </row>
    <row r="26">
      <c r="A26" s="117" t="n">
        <v>44449</v>
      </c>
      <c r="B26" s="118" t="n">
        <v>151.4586562499475</v>
      </c>
      <c r="C26" s="118" t="n">
        <v>152.7588526576832</v>
      </c>
      <c r="D26" s="118" t="n">
        <v>150.711739100539</v>
      </c>
      <c r="E26" s="118" t="n">
        <v>150.8500518798828</v>
      </c>
      <c r="F26" s="119" t="n">
        <v>4252100</v>
      </c>
      <c r="G26" s="120" t="n">
        <v>0.001530949710551122</v>
      </c>
      <c r="H26" s="121" t="n">
        <v>94.82641566623313</v>
      </c>
      <c r="I26" s="118" t="n">
        <v/>
      </c>
      <c r="J26" s="118" t="n">
        <v/>
      </c>
      <c r="K26" s="120" t="n">
        <v>0.1647294429954734</v>
      </c>
      <c r="L26" s="120" t="n">
        <v/>
      </c>
      <c r="M26" s="120" t="n">
        <v>-0.0517358433376689</v>
      </c>
      <c r="N26" t="n">
        <v>37.58906427691763</v>
      </c>
      <c r="O26" t="n">
        <v/>
      </c>
      <c r="P26" t="n">
        <v>100.6666547124407</v>
      </c>
      <c r="Q26" t="n">
        <v>102.3203327034824</v>
      </c>
    </row>
    <row r="27">
      <c r="A27" s="117" t="n">
        <v>44452</v>
      </c>
      <c r="B27" s="118" t="n">
        <v>148.9780776608911</v>
      </c>
      <c r="C27" s="118" t="n">
        <v>150.2321645611731</v>
      </c>
      <c r="D27" s="118" t="n">
        <v>145.9996265491477</v>
      </c>
      <c r="E27" s="118" t="n">
        <v>147.0969543457031</v>
      </c>
      <c r="F27" s="119" t="n">
        <v>8814500</v>
      </c>
      <c r="G27" s="120" t="n">
        <v>-0.02487965690040439</v>
      </c>
      <c r="H27" s="121" t="n">
        <v>92.46716697936212</v>
      </c>
      <c r="I27" s="118" t="n">
        <v/>
      </c>
      <c r="J27" s="118" t="n">
        <v/>
      </c>
      <c r="K27" s="120" t="n">
        <v>0.1804992608845883</v>
      </c>
      <c r="L27" s="120" t="n">
        <v/>
      </c>
      <c r="M27" s="120" t="n">
        <v>-0.07532833020637897</v>
      </c>
      <c r="N27" t="n">
        <v>29.0101483283383</v>
      </c>
      <c r="O27" t="n">
        <v/>
      </c>
      <c r="P27" t="n">
        <v>100.9242904189167</v>
      </c>
      <c r="Q27" t="n">
        <v>102.2497094244229</v>
      </c>
    </row>
    <row r="28">
      <c r="A28" s="117" t="n">
        <v>44453</v>
      </c>
      <c r="B28" s="118" t="n">
        <v>146.7742069482915</v>
      </c>
      <c r="C28" s="118" t="n">
        <v>146.9770749828949</v>
      </c>
      <c r="D28" s="118" t="n">
        <v>144.8377585322636</v>
      </c>
      <c r="E28" s="118" t="n">
        <v>146.3961334228516</v>
      </c>
      <c r="F28" s="119" t="n">
        <v>5323900</v>
      </c>
      <c r="G28" s="120" t="n">
        <v>-0.004764346930015373</v>
      </c>
      <c r="H28" s="121" t="n">
        <v>92.02662131623678</v>
      </c>
      <c r="I28" s="118" t="n">
        <v/>
      </c>
      <c r="J28" s="118" t="n">
        <v/>
      </c>
      <c r="K28" s="120" t="n">
        <v>0.1783780715477674</v>
      </c>
      <c r="L28" s="120" t="n">
        <v/>
      </c>
      <c r="M28" s="120" t="n">
        <v>-0.07973378683763244</v>
      </c>
      <c r="N28" t="n">
        <v>27.73713096607497</v>
      </c>
      <c r="O28" t="n">
        <v/>
      </c>
      <c r="P28" t="n">
        <v>100.3796352234367</v>
      </c>
      <c r="Q28" t="n">
        <v>101.9589886021923</v>
      </c>
    </row>
    <row r="29">
      <c r="A29" s="117" t="n">
        <v>44454</v>
      </c>
      <c r="B29" s="118" t="n">
        <v>145.2342769058025</v>
      </c>
      <c r="C29" s="118" t="n">
        <v>145.9904240219319</v>
      </c>
      <c r="D29" s="118" t="n">
        <v>143.5467912380595</v>
      </c>
      <c r="E29" s="118" t="n">
        <v>145.6123504638672</v>
      </c>
      <c r="F29" s="119" t="n">
        <v>6827100</v>
      </c>
      <c r="G29" s="120" t="n">
        <v>-0.005353850137014837</v>
      </c>
      <c r="H29" s="121" t="n">
        <v>91.53392457709383</v>
      </c>
      <c r="I29" s="118" t="n">
        <v/>
      </c>
      <c r="J29" s="118" t="n">
        <v/>
      </c>
      <c r="K29" s="120" t="n">
        <v>0.1771121528607107</v>
      </c>
      <c r="L29" s="120" t="n">
        <v/>
      </c>
      <c r="M29" s="120" t="n">
        <v>-0.08466075422906183</v>
      </c>
      <c r="N29" t="n">
        <v>26.34476881133624</v>
      </c>
      <c r="O29" t="n">
        <v/>
      </c>
      <c r="P29" t="n">
        <v>101.2180839692871</v>
      </c>
      <c r="Q29" t="n">
        <v>102.7170226196128</v>
      </c>
    </row>
    <row r="30">
      <c r="A30" s="117" t="n">
        <v>44455</v>
      </c>
      <c r="B30" s="118" t="n">
        <v>145.3172468228749</v>
      </c>
      <c r="C30" s="118" t="n">
        <v>146.6266587728708</v>
      </c>
      <c r="D30" s="118" t="n">
        <v>144.9576196962595</v>
      </c>
      <c r="E30" s="118" t="n">
        <v>145.3264770507812</v>
      </c>
      <c r="F30" s="119" t="n">
        <v>5085900</v>
      </c>
      <c r="G30" s="120" t="n">
        <v>-0.001963249766762543</v>
      </c>
      <c r="H30" s="121" t="n">
        <v>91.35422062101699</v>
      </c>
      <c r="I30" s="118" t="n">
        <v/>
      </c>
      <c r="J30" s="118" t="n">
        <v/>
      </c>
      <c r="K30" s="120" t="n">
        <v>0.1751802640492267</v>
      </c>
      <c r="L30" s="120" t="n">
        <v/>
      </c>
      <c r="M30" s="120" t="n">
        <v>-0.08645779378983032</v>
      </c>
      <c r="N30" t="n">
        <v>25.83535842249323</v>
      </c>
      <c r="O30" t="n">
        <v/>
      </c>
      <c r="P30" t="n">
        <v>101.0576243130655</v>
      </c>
      <c r="Q30" t="n">
        <v>102.7876715301552</v>
      </c>
    </row>
    <row r="31">
      <c r="A31" s="117" t="n">
        <v>44456</v>
      </c>
      <c r="B31" s="118" t="n">
        <v>145.6584490667804</v>
      </c>
      <c r="C31" s="118" t="n">
        <v>148.461694751833</v>
      </c>
      <c r="D31" s="118" t="n">
        <v>143.9156384303385</v>
      </c>
      <c r="E31" s="118" t="n">
        <v>144.2383728027344</v>
      </c>
      <c r="F31" s="119" t="n">
        <v>7944800</v>
      </c>
      <c r="G31" s="120" t="n">
        <v>-0.007487309058394453</v>
      </c>
      <c r="H31" s="121" t="n">
        <v>90.67022333743869</v>
      </c>
      <c r="I31" s="118" t="n">
        <v/>
      </c>
      <c r="J31" s="118" t="n">
        <v/>
      </c>
      <c r="K31" s="120" t="n">
        <v>0.1659155085428461</v>
      </c>
      <c r="L31" s="120" t="n">
        <v/>
      </c>
      <c r="M31" s="120" t="n">
        <v>-0.0932977666256134</v>
      </c>
      <c r="N31" t="n">
        <v>23.93802707505377</v>
      </c>
      <c r="O31" t="n">
        <v/>
      </c>
      <c r="P31" t="n">
        <v>100.073230702614</v>
      </c>
      <c r="Q31" t="n">
        <v>101.5704238661231</v>
      </c>
    </row>
    <row r="32">
      <c r="A32" s="117" t="n">
        <v>44459</v>
      </c>
      <c r="B32" s="118" t="n">
        <v>141.75785818373</v>
      </c>
      <c r="C32" s="118" t="n">
        <v>143.1779344146543</v>
      </c>
      <c r="D32" s="118" t="n">
        <v>140.4576764256245</v>
      </c>
      <c r="E32" s="118" t="n">
        <v>142.2373657226562</v>
      </c>
      <c r="F32" s="119" t="n">
        <v>7041200</v>
      </c>
      <c r="G32" s="120" t="n">
        <v>-0.01387291773469168</v>
      </c>
      <c r="H32" s="121" t="n">
        <v>89.41236278809227</v>
      </c>
      <c r="I32" s="118" t="n">
        <v/>
      </c>
      <c r="J32" s="118" t="n">
        <v/>
      </c>
      <c r="K32" s="120" t="n">
        <v>0.1590532419817768</v>
      </c>
      <c r="L32" s="120" t="n">
        <v/>
      </c>
      <c r="M32" s="120" t="n">
        <v>-0.1058763721190775</v>
      </c>
      <c r="N32" t="n">
        <v>20.8984963756489</v>
      </c>
      <c r="O32" t="n">
        <v/>
      </c>
      <c r="P32" t="n">
        <v>98.40459048179439</v>
      </c>
      <c r="Q32" t="n">
        <v>99.47166678798914</v>
      </c>
    </row>
    <row r="33">
      <c r="A33" s="117" t="n">
        <v>44460</v>
      </c>
      <c r="B33" s="118" t="n">
        <v>143.0119594641667</v>
      </c>
      <c r="C33" s="118" t="n">
        <v>143.9709746384575</v>
      </c>
      <c r="D33" s="118" t="n">
        <v>141.6195597072393</v>
      </c>
      <c r="E33" s="118" t="n">
        <v>142.9474182128906</v>
      </c>
      <c r="F33" s="119" t="n">
        <v>5857900</v>
      </c>
      <c r="G33" s="120" t="n">
        <v>0.004992025032429792</v>
      </c>
      <c r="H33" s="121" t="n">
        <v>89.85871154133912</v>
      </c>
      <c r="I33" s="118" t="n">
        <v/>
      </c>
      <c r="J33" s="118" t="n">
        <v/>
      </c>
      <c r="K33" s="120" t="n">
        <v>0.1521278018305557</v>
      </c>
      <c r="L33" s="120" t="n">
        <v/>
      </c>
      <c r="M33" s="120" t="n">
        <v>-0.1014128845866089</v>
      </c>
      <c r="N33" t="n">
        <v>24.55909074513828</v>
      </c>
      <c r="O33" t="n">
        <v/>
      </c>
      <c r="P33" t="n">
        <v>98.31162054807466</v>
      </c>
      <c r="Q33" t="n">
        <v>99.59404857473588</v>
      </c>
    </row>
    <row r="34">
      <c r="A34" s="117" t="n">
        <v>44461</v>
      </c>
      <c r="B34" s="118" t="n">
        <v>144.5795670668797</v>
      </c>
      <c r="C34" s="118" t="n">
        <v>145.6953413785711</v>
      </c>
      <c r="D34" s="118" t="n">
        <v>143.4822532136674</v>
      </c>
      <c r="E34" s="118" t="n">
        <v>145.178955078125</v>
      </c>
      <c r="F34" s="119" t="n">
        <v>6844800</v>
      </c>
      <c r="G34" s="120" t="n">
        <v>0.01561089310414099</v>
      </c>
      <c r="H34" s="121" t="n">
        <v>91.26148628168681</v>
      </c>
      <c r="I34" s="118" t="n">
        <v/>
      </c>
      <c r="J34" s="118" t="n">
        <v/>
      </c>
      <c r="K34" s="120" t="n">
        <v>0.1668933531547846</v>
      </c>
      <c r="L34" s="120" t="n">
        <v/>
      </c>
      <c r="M34" s="120" t="n">
        <v>-0.08738513718313212</v>
      </c>
      <c r="N34" t="n">
        <v>34.77504522919564</v>
      </c>
      <c r="O34" t="n">
        <v/>
      </c>
      <c r="P34" t="n">
        <v>99.27063725543367</v>
      </c>
      <c r="Q34" t="n">
        <v>100.5243090692048</v>
      </c>
    </row>
    <row r="35">
      <c r="A35" s="117" t="n">
        <v>44462</v>
      </c>
      <c r="B35" s="118" t="n">
        <v>146.3500711436507</v>
      </c>
      <c r="C35" s="118" t="n">
        <v>147.8070123412777</v>
      </c>
      <c r="D35" s="118" t="n">
        <v>145.9443349841199</v>
      </c>
      <c r="E35" s="118" t="n">
        <v>147.1523132324219</v>
      </c>
      <c r="F35" s="119" t="n">
        <v>11981500</v>
      </c>
      <c r="G35" s="120" t="n">
        <v>0.01359259097322307</v>
      </c>
      <c r="H35" s="121" t="n">
        <v>92.50196633632218</v>
      </c>
      <c r="I35" s="118" t="n">
        <v/>
      </c>
      <c r="J35" s="118" t="n">
        <v/>
      </c>
      <c r="K35" s="120" t="n">
        <v>0.1776738561249262</v>
      </c>
      <c r="L35" s="120" t="n">
        <v/>
      </c>
      <c r="M35" s="120" t="n">
        <v>-0.07498033663677839</v>
      </c>
      <c r="N35" t="n">
        <v>42.22568205231465</v>
      </c>
      <c r="O35" t="n">
        <v>-0.001253856494290329</v>
      </c>
      <c r="P35" t="n">
        <v>100.4767743779319</v>
      </c>
      <c r="Q35" t="n">
        <v>101.4518355388371</v>
      </c>
    </row>
    <row r="36">
      <c r="A36" s="117" t="n">
        <v>44463</v>
      </c>
      <c r="B36" s="118" t="n">
        <v>139.2773824883756</v>
      </c>
      <c r="C36" s="118" t="n">
        <v>140.0243135662484</v>
      </c>
      <c r="D36" s="118" t="n">
        <v>136.4741361529979</v>
      </c>
      <c r="E36" s="118" t="n">
        <v>137.9403076171875</v>
      </c>
      <c r="F36" s="119" t="n">
        <v>26913300</v>
      </c>
      <c r="G36" s="120" t="n">
        <v>-0.06260184031687177</v>
      </c>
      <c r="H36" s="121" t="n">
        <v>86.71117301073909</v>
      </c>
      <c r="I36" s="118" t="n">
        <v/>
      </c>
      <c r="J36" s="118" t="n">
        <v/>
      </c>
      <c r="K36" s="120" t="n">
        <v>0.2732803911926514</v>
      </c>
      <c r="L36" s="120" t="n">
        <v/>
      </c>
      <c r="M36" s="120" t="n">
        <v>-0.1328882698926093</v>
      </c>
      <c r="N36" t="n">
        <v>26.8224689955461</v>
      </c>
      <c r="O36" t="n">
        <v>-0.3748480886595664</v>
      </c>
      <c r="P36" t="n">
        <v>100.6422813739951</v>
      </c>
      <c r="Q36" t="n">
        <v>101.5470308661153</v>
      </c>
    </row>
    <row r="37">
      <c r="A37" s="117" t="n">
        <v>44466</v>
      </c>
      <c r="B37" s="118" t="n">
        <v>137.8664918962211</v>
      </c>
      <c r="C37" s="118" t="n">
        <v>138.2353492368011</v>
      </c>
      <c r="D37" s="118" t="n">
        <v>135.8193793850259</v>
      </c>
      <c r="E37" s="118" t="n">
        <v>136.5109710693359</v>
      </c>
      <c r="F37" s="119" t="n">
        <v>11479300</v>
      </c>
      <c r="G37" s="120" t="n">
        <v>-0.01036199333278465</v>
      </c>
      <c r="H37" s="121" t="n">
        <v>85.81267241412388</v>
      </c>
      <c r="I37" s="118" t="n">
        <v/>
      </c>
      <c r="J37" s="118" t="n">
        <v/>
      </c>
      <c r="K37" s="120" t="n">
        <v>0.2707390448235341</v>
      </c>
      <c r="L37" s="120" t="n">
        <v/>
      </c>
      <c r="M37" s="120" t="n">
        <v>-0.1418732758587614</v>
      </c>
      <c r="N37" t="n">
        <v>25.28147132342819</v>
      </c>
      <c r="O37" t="n">
        <v>-0.6529021207452086</v>
      </c>
      <c r="P37" t="n">
        <v>100.3543616284696</v>
      </c>
      <c r="Q37" t="n">
        <v>100.7364779403499</v>
      </c>
    </row>
    <row r="38">
      <c r="A38" s="117" t="n">
        <v>44467</v>
      </c>
      <c r="B38" s="118" t="n">
        <v>135.8654673829746</v>
      </c>
      <c r="C38" s="118" t="n">
        <v>136.0406728339532</v>
      </c>
      <c r="D38" s="118" t="n">
        <v>133.707705037217</v>
      </c>
      <c r="E38" s="118" t="n">
        <v>133.9843444824219</v>
      </c>
      <c r="F38" s="119" t="n">
        <v>10692300</v>
      </c>
      <c r="G38" s="120" t="n">
        <v>-0.01850859727333376</v>
      </c>
      <c r="H38" s="121" t="n">
        <v>84.22440021946235</v>
      </c>
      <c r="I38" s="118" t="n">
        <v/>
      </c>
      <c r="J38" s="118" t="n">
        <v/>
      </c>
      <c r="K38" s="120" t="n">
        <v>0.2721307881978354</v>
      </c>
      <c r="L38" s="120" t="n">
        <v/>
      </c>
      <c r="M38" s="120" t="n">
        <v>-0.1577559978053769</v>
      </c>
      <c r="N38" t="n">
        <v>22.78905393003429</v>
      </c>
      <c r="O38" t="n">
        <v>-0.9250357453394127</v>
      </c>
      <c r="P38" t="n">
        <v>98.33202390284372</v>
      </c>
      <c r="Q38" t="n">
        <v>97.88587257598807</v>
      </c>
    </row>
    <row r="39">
      <c r="A39" s="117" t="n">
        <v>44468</v>
      </c>
      <c r="B39" s="118" t="n">
        <v>134.3624901926359</v>
      </c>
      <c r="C39" s="118" t="n">
        <v>136.418819650224</v>
      </c>
      <c r="D39" s="118" t="n">
        <v>134.3440438009092</v>
      </c>
      <c r="E39" s="118" t="n">
        <v>134.6483459472656</v>
      </c>
      <c r="F39" s="119" t="n">
        <v>7794900</v>
      </c>
      <c r="G39" s="120" t="n">
        <v>0.004955813810999965</v>
      </c>
      <c r="H39" s="121" t="n">
        <v>84.64180066529315</v>
      </c>
      <c r="I39" s="118" t="n">
        <v/>
      </c>
      <c r="J39" s="118" t="n">
        <v/>
      </c>
      <c r="K39" s="120" t="n">
        <v>0.2711392333510719</v>
      </c>
      <c r="L39" s="120" t="n">
        <v/>
      </c>
      <c r="M39" s="120" t="n">
        <v>-0.1535819933470689</v>
      </c>
      <c r="N39" t="n">
        <v>24.88489509037504</v>
      </c>
      <c r="O39" t="n">
        <v>-0.9734661069811845</v>
      </c>
      <c r="P39" t="n">
        <v>98.49753089890687</v>
      </c>
      <c r="Q39" t="n">
        <v>97.72541949339217</v>
      </c>
    </row>
    <row r="40">
      <c r="A40" s="117" t="n">
        <v>44469</v>
      </c>
      <c r="B40" s="118" t="n">
        <v>134.5191876619229</v>
      </c>
      <c r="C40" s="118" t="n">
        <v>135.9945747026077</v>
      </c>
      <c r="D40" s="118" t="n">
        <v>133.1728830927111</v>
      </c>
      <c r="E40" s="118" t="n">
        <v>133.9197998046875</v>
      </c>
      <c r="F40" s="119" t="n">
        <v>10133600</v>
      </c>
      <c r="G40" s="120" t="n">
        <v>-0.005410732211025171</v>
      </c>
      <c r="H40" s="121" t="n">
        <v>84.18382654803426</v>
      </c>
      <c r="I40" s="118" t="n">
        <v/>
      </c>
      <c r="J40" s="118" t="n">
        <v/>
      </c>
      <c r="K40" s="120" t="n">
        <v>0.2705626108521691</v>
      </c>
      <c r="L40" s="120" t="n">
        <v/>
      </c>
      <c r="M40" s="120" t="n">
        <v>-0.1581617345196576</v>
      </c>
      <c r="N40" t="n">
        <v>24.11154310324827</v>
      </c>
      <c r="O40" t="n">
        <v>-0.9657952065629325</v>
      </c>
      <c r="P40" t="n">
        <v>97.2936813134713</v>
      </c>
      <c r="Q40" t="n">
        <v>97.36633950641979</v>
      </c>
    </row>
    <row r="41">
      <c r="A41" s="117" t="n">
        <v>44470</v>
      </c>
      <c r="B41" s="118" t="n">
        <v>133.9106283276618</v>
      </c>
      <c r="C41" s="118" t="n">
        <v>136.4741277089902</v>
      </c>
      <c r="D41" s="118" t="n">
        <v>133.1268185876307</v>
      </c>
      <c r="E41" s="118" t="n">
        <v>135.6073303222656</v>
      </c>
      <c r="F41" s="119" t="n">
        <v>8112300</v>
      </c>
      <c r="G41" s="120" t="n">
        <v>0.01260105316793525</v>
      </c>
      <c r="H41" s="121" t="n">
        <v>85.24463142224629</v>
      </c>
      <c r="I41" s="118" t="n">
        <v/>
      </c>
      <c r="J41" s="118" t="n">
        <v/>
      </c>
      <c r="K41" s="120" t="n">
        <v>0.2785944696829304</v>
      </c>
      <c r="L41" s="120" t="n">
        <v/>
      </c>
      <c r="M41" s="120" t="n">
        <v>-0.1475536857775374</v>
      </c>
      <c r="N41" t="n">
        <v>29.5712651602113</v>
      </c>
      <c r="O41" t="n">
        <v>-0.7669736325314158</v>
      </c>
      <c r="P41" t="n">
        <v>98.449927990547</v>
      </c>
      <c r="Q41" t="n">
        <v>97.97020869836849</v>
      </c>
    </row>
    <row r="42">
      <c r="A42" s="117" t="n">
        <v>44473</v>
      </c>
      <c r="B42" s="118" t="n">
        <v>135.6073198270849</v>
      </c>
      <c r="C42" s="118" t="n">
        <v>136.1237061271755</v>
      </c>
      <c r="D42" s="118" t="n">
        <v>134.408557875891</v>
      </c>
      <c r="E42" s="118" t="n">
        <v>135.6810913085938</v>
      </c>
      <c r="F42" s="119" t="n">
        <v>7951000</v>
      </c>
      <c r="G42" s="120" t="n">
        <v>0.0005439306721313208</v>
      </c>
      <c r="H42" s="121" t="n">
        <v>85.29099859191138</v>
      </c>
      <c r="I42" s="118" t="n">
        <v/>
      </c>
      <c r="J42" s="118" t="n">
        <v/>
      </c>
      <c r="K42" s="120" t="n">
        <v>0.2791703753874389</v>
      </c>
      <c r="L42" s="120" t="n">
        <v/>
      </c>
      <c r="M42" s="120" t="n">
        <v>-0.1470900140808864</v>
      </c>
      <c r="N42" t="n">
        <v>29.8089689999704</v>
      </c>
      <c r="O42" t="n">
        <v>-0.5600039883040022</v>
      </c>
      <c r="P42" t="n">
        <v>97.18030064583073</v>
      </c>
      <c r="Q42" t="n">
        <v>95.91385463668411</v>
      </c>
    </row>
    <row r="43">
      <c r="A43" s="117" t="n">
        <v>44474</v>
      </c>
      <c r="B43" s="118" t="n">
        <v>136.4740842047038</v>
      </c>
      <c r="C43" s="118" t="n">
        <v>139.2404507764208</v>
      </c>
      <c r="D43" s="118" t="n">
        <v>136.3081089642254</v>
      </c>
      <c r="E43" s="118" t="n">
        <v>137.8203887939453</v>
      </c>
      <c r="F43" s="119" t="n">
        <v>10881900</v>
      </c>
      <c r="G43" s="120" t="n">
        <v>0.01576710110980706</v>
      </c>
      <c r="H43" s="121" t="n">
        <v>86.63579039046645</v>
      </c>
      <c r="I43" s="118" t="n">
        <v/>
      </c>
      <c r="J43" s="118" t="n">
        <v/>
      </c>
      <c r="K43" s="120" t="n">
        <v>0.2888014140251705</v>
      </c>
      <c r="L43" s="120" t="n">
        <v/>
      </c>
      <c r="M43" s="120" t="n">
        <v>-0.1336420960953356</v>
      </c>
      <c r="N43" t="n">
        <v>36.50273433116222</v>
      </c>
      <c r="O43" t="n">
        <v>-0.2256829060193226</v>
      </c>
      <c r="P43" t="n">
        <v>98.19145843991595</v>
      </c>
      <c r="Q43" t="n">
        <v>97.20858627334998</v>
      </c>
    </row>
    <row r="44">
      <c r="A44" s="117" t="n">
        <v>44475</v>
      </c>
      <c r="B44" s="118" t="n">
        <v>136.4741065635659</v>
      </c>
      <c r="C44" s="118" t="n">
        <v>137.8204113733756</v>
      </c>
      <c r="D44" s="118" t="n">
        <v>136.0222615507902</v>
      </c>
      <c r="E44" s="118" t="n">
        <v>137.2118072509766</v>
      </c>
      <c r="F44" s="119" t="n">
        <v>7610700</v>
      </c>
      <c r="G44" s="120" t="n">
        <v>-0.004415758425109662</v>
      </c>
      <c r="H44" s="121" t="n">
        <v>86.25322766913371</v>
      </c>
      <c r="I44" s="118" t="n">
        <v/>
      </c>
      <c r="J44" s="118" t="n">
        <v/>
      </c>
      <c r="K44" s="120" t="n">
        <v>0.2873359312564676</v>
      </c>
      <c r="L44" s="120" t="n">
        <v/>
      </c>
      <c r="M44" s="120" t="n">
        <v>-0.137467723308663</v>
      </c>
      <c r="N44" t="n">
        <v>35.46654289515146</v>
      </c>
      <c r="O44" t="n">
        <v>-0.003914916187653716</v>
      </c>
      <c r="P44" t="n">
        <v>98.59954029360021</v>
      </c>
      <c r="Q44" t="n">
        <v>97.83148256939566</v>
      </c>
    </row>
    <row r="45">
      <c r="A45" s="117" t="n">
        <v>44476</v>
      </c>
      <c r="B45" s="118" t="n">
        <v>138.5949843558335</v>
      </c>
      <c r="C45" s="118" t="n">
        <v>141.6933158433378</v>
      </c>
      <c r="D45" s="118" t="n">
        <v>138.5580915844099</v>
      </c>
      <c r="E45" s="118" t="n">
        <v>140.0242767333984</v>
      </c>
      <c r="F45" s="119" t="n">
        <v>7958000</v>
      </c>
      <c r="G45" s="120" t="n">
        <v>0.02049728473641865</v>
      </c>
      <c r="H45" s="121" t="n">
        <v>88.02118463610309</v>
      </c>
      <c r="I45" s="118" t="n">
        <v/>
      </c>
      <c r="J45" s="118" t="n">
        <v/>
      </c>
      <c r="K45" s="120" t="n">
        <v>0.29150437881415</v>
      </c>
      <c r="L45" s="120" t="n">
        <v/>
      </c>
      <c r="M45" s="120" t="n">
        <v>-0.1197881536389691</v>
      </c>
      <c r="N45" t="n">
        <v>43.45499398737584</v>
      </c>
      <c r="O45" t="n">
        <v>0.3540139384563643</v>
      </c>
      <c r="P45" t="n">
        <v>99.4520094278995</v>
      </c>
      <c r="Q45" t="n">
        <v>98.72907146706761</v>
      </c>
    </row>
    <row r="46">
      <c r="A46" s="117" t="n">
        <v>44477</v>
      </c>
      <c r="B46" s="118" t="n">
        <v>140.3654473766816</v>
      </c>
      <c r="C46" s="118" t="n">
        <v>140.9648211997041</v>
      </c>
      <c r="D46" s="118" t="n">
        <v>138.9361551020103</v>
      </c>
      <c r="E46" s="118" t="n">
        <v>140.6051940917969</v>
      </c>
      <c r="F46" s="119" t="n">
        <v>6333700</v>
      </c>
      <c r="G46" s="120" t="n">
        <v>0.004148690298215074</v>
      </c>
      <c r="H46" s="121" t="n">
        <v>88.38635727084029</v>
      </c>
      <c r="I46" s="118" t="n">
        <v/>
      </c>
      <c r="J46" s="118" t="n">
        <v/>
      </c>
      <c r="K46" s="120" t="n">
        <v>0.2922479302541924</v>
      </c>
      <c r="L46" s="120" t="n">
        <v/>
      </c>
      <c r="M46" s="120" t="n">
        <v>-0.1161364272915971</v>
      </c>
      <c r="N46" t="n">
        <v>44.97025133027594</v>
      </c>
      <c r="O46" t="n">
        <v>0.6353032506626874</v>
      </c>
      <c r="P46" t="n">
        <v>99.27063725543367</v>
      </c>
      <c r="Q46" t="n">
        <v>98.23675903227837</v>
      </c>
    </row>
    <row r="47">
      <c r="A47" s="117" t="n">
        <v>44480</v>
      </c>
      <c r="B47" s="118" t="n">
        <v>140.1534197068227</v>
      </c>
      <c r="C47" s="118" t="n">
        <v>141.6288074315644</v>
      </c>
      <c r="D47" s="118" t="n">
        <v>138.3737157637006</v>
      </c>
      <c r="E47" s="118" t="n">
        <v>138.5765838623047</v>
      </c>
      <c r="F47" s="119" t="n">
        <v>5551200</v>
      </c>
      <c r="G47" s="120" t="n">
        <v>-0.01442770477005118</v>
      </c>
      <c r="H47" s="121" t="n">
        <v>87.11114500243634</v>
      </c>
      <c r="I47" s="118" t="n">
        <v/>
      </c>
      <c r="J47" s="118" t="n">
        <v/>
      </c>
      <c r="K47" s="120" t="n">
        <v>0.2842796985658436</v>
      </c>
      <c r="L47" s="120" t="n">
        <v/>
      </c>
      <c r="M47" s="120" t="n">
        <v>-0.1288885499756366</v>
      </c>
      <c r="N47" t="n">
        <v>40.85319240580223</v>
      </c>
      <c r="O47" t="n">
        <v>0.6858287929255202</v>
      </c>
      <c r="P47" t="n">
        <v>98.55193000608851</v>
      </c>
      <c r="Q47" t="n">
        <v>97.48332159411432</v>
      </c>
    </row>
    <row r="48">
      <c r="A48" s="117" t="n">
        <v>44481</v>
      </c>
      <c r="B48" s="118" t="n">
        <v>140.5498895845912</v>
      </c>
      <c r="C48" s="118" t="n">
        <v>141.6380012950307</v>
      </c>
      <c r="D48" s="118" t="n">
        <v>139.5171170354044</v>
      </c>
      <c r="E48" s="118" t="n">
        <v>141.407470703125</v>
      </c>
      <c r="F48" s="119" t="n">
        <v>7408600</v>
      </c>
      <c r="G48" s="120" t="n">
        <v>0.02042832029712316</v>
      </c>
      <c r="H48" s="121" t="n">
        <v>88.89067937399525</v>
      </c>
      <c r="I48" s="118" t="n">
        <v/>
      </c>
      <c r="J48" s="118" t="n">
        <v/>
      </c>
      <c r="K48" s="120" t="n">
        <v>0.2958283583766947</v>
      </c>
      <c r="L48" s="120" t="n">
        <v/>
      </c>
      <c r="M48" s="120" t="n">
        <v>-0.1110932062600475</v>
      </c>
      <c r="N48" t="n">
        <v>48.00668103505478</v>
      </c>
      <c r="O48" t="n">
        <v>0.8976260502181512</v>
      </c>
      <c r="P48" t="n">
        <v>98.30936990677104</v>
      </c>
      <c r="Q48" t="n">
        <v>97.14333706185982</v>
      </c>
    </row>
    <row r="49">
      <c r="A49" s="117" t="n">
        <v>44482</v>
      </c>
      <c r="B49" s="118" t="n">
        <v>142.3019630750321</v>
      </c>
      <c r="C49" s="118" t="n">
        <v>144.4689426923306</v>
      </c>
      <c r="D49" s="118" t="n">
        <v>141.2322975070051</v>
      </c>
      <c r="E49" s="118" t="n">
        <v>144.1277618408203</v>
      </c>
      <c r="F49" s="119" t="n">
        <v>8456300</v>
      </c>
      <c r="G49" s="120" t="n">
        <v>0.01923725192289427</v>
      </c>
      <c r="H49" s="121" t="n">
        <v>90.60069176671001</v>
      </c>
      <c r="I49" s="118" t="n">
        <v/>
      </c>
      <c r="J49" s="118" t="n">
        <v/>
      </c>
      <c r="K49" s="120" t="n">
        <v>0.3044031995884552</v>
      </c>
      <c r="L49" s="120" t="n">
        <v/>
      </c>
      <c r="M49" s="120" t="n">
        <v>-0.09399308233289982</v>
      </c>
      <c r="N49" t="n">
        <v>53.79027181369732</v>
      </c>
      <c r="O49" t="n">
        <v>1.190298701192251</v>
      </c>
      <c r="P49" t="n">
        <v>98.66305265327364</v>
      </c>
      <c r="Q49" t="n">
        <v>97.92124402231114</v>
      </c>
    </row>
    <row r="50">
      <c r="A50" s="117" t="n">
        <v>44483</v>
      </c>
      <c r="B50" s="118" t="n">
        <v>145.8612989767073</v>
      </c>
      <c r="C50" s="118" t="n">
        <v>146.1195061660997</v>
      </c>
      <c r="D50" s="118" t="n">
        <v>144.0816096876706</v>
      </c>
      <c r="E50" s="118" t="n">
        <v>144.9022979736328</v>
      </c>
      <c r="F50" s="119" t="n">
        <v>6024500</v>
      </c>
      <c r="G50" s="120" t="n">
        <v>0.00537395518337358</v>
      </c>
      <c r="H50" s="121" t="n">
        <v>91.08757582384696</v>
      </c>
      <c r="I50" s="118" t="n">
        <v/>
      </c>
      <c r="J50" s="118" t="n">
        <v/>
      </c>
      <c r="K50" s="120" t="n">
        <v>0.3049958640472062</v>
      </c>
      <c r="L50" s="120" t="n">
        <v/>
      </c>
      <c r="M50" s="120" t="n">
        <v>-0.08912424176153044</v>
      </c>
      <c r="N50" t="n">
        <v>55.31442407419428</v>
      </c>
      <c r="O50" t="n">
        <v>1.39143362784063</v>
      </c>
      <c r="P50" t="n">
        <v>100.3226017590569</v>
      </c>
      <c r="Q50" t="n">
        <v>99.72460680450949</v>
      </c>
    </row>
    <row r="51">
      <c r="A51" s="117" t="n">
        <v>44484</v>
      </c>
      <c r="B51" s="118" t="n">
        <v>145.5109367348735</v>
      </c>
      <c r="C51" s="118" t="n">
        <v>145.9996605457249</v>
      </c>
      <c r="D51" s="118" t="n">
        <v>144.3674997426225</v>
      </c>
      <c r="E51" s="118" t="n">
        <v>145.7045745849609</v>
      </c>
      <c r="F51" s="119" t="n">
        <v>5532100</v>
      </c>
      <c r="G51" s="120" t="n">
        <v>0.005536672796411457</v>
      </c>
      <c r="H51" s="121" t="n">
        <v>91.59189792700192</v>
      </c>
      <c r="I51" s="118" t="n">
        <v>147.7720623779297</v>
      </c>
      <c r="J51" s="118" t="n">
        <v/>
      </c>
      <c r="K51" s="120" t="n">
        <v>0.3042393827203586</v>
      </c>
      <c r="L51" s="120" t="n">
        <v/>
      </c>
      <c r="M51" s="120" t="n">
        <v>-0.0840810207299808</v>
      </c>
      <c r="N51" t="n">
        <v>56.90018417694892</v>
      </c>
      <c r="O51" t="n">
        <v>1.52324963088354</v>
      </c>
      <c r="P51" t="n">
        <v>101.0866465171547</v>
      </c>
      <c r="Q51" t="n">
        <v>100.352954062573</v>
      </c>
    </row>
    <row r="52">
      <c r="A52" s="117" t="n">
        <v>44487</v>
      </c>
      <c r="B52" s="118" t="n">
        <v>145.0590518262663</v>
      </c>
      <c r="C52" s="118" t="n">
        <v>147.0508393034109</v>
      </c>
      <c r="D52" s="118" t="n">
        <v>143.8049649781163</v>
      </c>
      <c r="E52" s="118" t="n">
        <v>147.0139465332031</v>
      </c>
      <c r="F52" s="119" t="n">
        <v>5765300</v>
      </c>
      <c r="G52" s="120" t="n">
        <v>0.008986484823636731</v>
      </c>
      <c r="H52" s="121" t="n">
        <v>92.41498712769101</v>
      </c>
      <c r="I52" s="118" t="n">
        <v>147.5307373046875</v>
      </c>
      <c r="J52" s="118" t="n">
        <v/>
      </c>
      <c r="K52" s="120" t="n">
        <v>0.3005305576209453</v>
      </c>
      <c r="L52" s="120" t="n">
        <v/>
      </c>
      <c r="M52" s="120" t="n">
        <v>-0.07585012872308994</v>
      </c>
      <c r="N52" t="n">
        <v>59.43060220343924</v>
      </c>
      <c r="O52" t="n">
        <v>1.633597708550325</v>
      </c>
      <c r="P52" t="n">
        <v>101.3859227773238</v>
      </c>
      <c r="Q52" t="n">
        <v>101.3620997174045</v>
      </c>
    </row>
    <row r="53">
      <c r="A53" s="117" t="n">
        <v>44488</v>
      </c>
      <c r="B53" s="118" t="n">
        <v>147.2445228728961</v>
      </c>
      <c r="C53" s="118" t="n">
        <v>147.4750535117154</v>
      </c>
      <c r="D53" s="118" t="n">
        <v>144.5888194816187</v>
      </c>
      <c r="E53" s="118" t="n">
        <v>145.5293884277344</v>
      </c>
      <c r="F53" s="119" t="n">
        <v>6198200</v>
      </c>
      <c r="G53" s="120" t="n">
        <v>-0.01009807668236062</v>
      </c>
      <c r="H53" s="121" t="n">
        <v>91.48177350107622</v>
      </c>
      <c r="I53" s="118" t="n">
        <v>147.2786846923828</v>
      </c>
      <c r="J53" s="118" t="n">
        <v/>
      </c>
      <c r="K53" s="120" t="n">
        <v>0.3031847197495984</v>
      </c>
      <c r="L53" s="120" t="n">
        <v/>
      </c>
      <c r="M53" s="120" t="n">
        <v>-0.08518226498923787</v>
      </c>
      <c r="N53" t="n">
        <v>55.45522637783122</v>
      </c>
      <c r="O53" t="n">
        <v>1.542680089402916</v>
      </c>
      <c r="P53" t="n">
        <v>102.1680981114315</v>
      </c>
      <c r="Q53" t="n">
        <v>102.1291218414752</v>
      </c>
    </row>
    <row r="54">
      <c r="A54" s="117" t="n">
        <v>44489</v>
      </c>
      <c r="B54" s="118" t="n">
        <v>146.1563841975374</v>
      </c>
      <c r="C54" s="118" t="n">
        <v>146.4330237009642</v>
      </c>
      <c r="D54" s="118" t="n">
        <v>145.0682866399869</v>
      </c>
      <c r="E54" s="118" t="n">
        <v>146.1102752685547</v>
      </c>
      <c r="F54" s="119" t="n">
        <v>4487000</v>
      </c>
      <c r="G54" s="120" t="n">
        <v>0.003991543200284609</v>
      </c>
      <c r="H54" s="121" t="n">
        <v>91.8469269520444</v>
      </c>
      <c r="I54" s="118" t="n">
        <v>147.0290435791016</v>
      </c>
      <c r="J54" s="118" t="n">
        <v/>
      </c>
      <c r="K54" s="120" t="n">
        <v>0.2985651876847643</v>
      </c>
      <c r="L54" s="120" t="n">
        <v/>
      </c>
      <c r="M54" s="120" t="n">
        <v>-0.08153073047955584</v>
      </c>
      <c r="N54" t="n">
        <v>56.67638415270878</v>
      </c>
      <c r="O54" t="n">
        <v>1.458674873727155</v>
      </c>
      <c r="P54" t="n">
        <v>102.5693911454458</v>
      </c>
      <c r="Q54" t="n">
        <v>101.9958552183478</v>
      </c>
    </row>
    <row r="55">
      <c r="A55" s="117" t="n">
        <v>44490</v>
      </c>
      <c r="B55" s="118" t="n">
        <v>146.1103069690684</v>
      </c>
      <c r="C55" s="118" t="n">
        <v>149.6973629228573</v>
      </c>
      <c r="D55" s="118" t="n">
        <v>145.9535478328919</v>
      </c>
      <c r="E55" s="118" t="n">
        <v>149.5498199462891</v>
      </c>
      <c r="F55" s="119" t="n">
        <v>6121700</v>
      </c>
      <c r="G55" s="120" t="n">
        <v>0.02354074462875655</v>
      </c>
      <c r="H55" s="121" t="n">
        <v>94.00907200435854</v>
      </c>
      <c r="I55" s="118" t="n">
        <v>146.8666055297851</v>
      </c>
      <c r="J55" s="118" t="n">
        <v/>
      </c>
      <c r="K55" s="120" t="n">
        <v>0.306341769572492</v>
      </c>
      <c r="L55" s="120" t="n">
        <v/>
      </c>
      <c r="M55" s="120" t="n">
        <v>-0.05990927995641449</v>
      </c>
      <c r="N55" t="n">
        <v>63.12291047747174</v>
      </c>
      <c r="O55" t="n">
        <v>1.562514160558777</v>
      </c>
      <c r="P55" t="n">
        <v>102.8369149153541</v>
      </c>
      <c r="Q55" t="n">
        <v>102.6187258829107</v>
      </c>
    </row>
    <row r="56">
      <c r="A56" s="117" t="n">
        <v>44491</v>
      </c>
      <c r="B56" s="118" t="n">
        <v>149.6420519039757</v>
      </c>
      <c r="C56" s="118" t="n">
        <v>151.7998153750364</v>
      </c>
      <c r="D56" s="118" t="n">
        <v>149.6420519039757</v>
      </c>
      <c r="E56" s="118" t="n">
        <v>150.7485961914062</v>
      </c>
      <c r="F56" s="119" t="n">
        <v>5323000</v>
      </c>
      <c r="G56" s="120" t="n">
        <v>0.008015898952922429</v>
      </c>
      <c r="H56" s="121" t="n">
        <v>94.76263922620348</v>
      </c>
      <c r="I56" s="118" t="n">
        <v>146.7397427368164</v>
      </c>
      <c r="J56" s="118" t="n">
        <v/>
      </c>
      <c r="K56" s="120" t="n">
        <v>0.1938020138159703</v>
      </c>
      <c r="L56" s="120" t="n">
        <v/>
      </c>
      <c r="M56" s="120" t="n">
        <v>-0.05237360773796507</v>
      </c>
      <c r="N56" t="n">
        <v>65.07355147534059</v>
      </c>
      <c r="O56" t="n">
        <v>1.632085423045214</v>
      </c>
      <c r="P56" t="n">
        <v>102.730345204839</v>
      </c>
      <c r="Q56" t="n">
        <v>101.7564913439066</v>
      </c>
    </row>
    <row r="57">
      <c r="A57" s="117" t="n">
        <v>44494</v>
      </c>
      <c r="B57" s="118" t="n">
        <v>150.5180324970148</v>
      </c>
      <c r="C57" s="118" t="n">
        <v>151.9012160702251</v>
      </c>
      <c r="D57" s="118" t="n">
        <v>149.9924300558397</v>
      </c>
      <c r="E57" s="118" t="n">
        <v>151.4309387207031</v>
      </c>
      <c r="F57" s="119" t="n">
        <v>3878200</v>
      </c>
      <c r="G57" s="120" t="n">
        <v>0.004526360752510783</v>
      </c>
      <c r="H57" s="121" t="n">
        <v>95.19156911720131</v>
      </c>
      <c r="I57" s="118" t="n">
        <v>146.6071942138672</v>
      </c>
      <c r="J57" s="118" t="n">
        <v/>
      </c>
      <c r="K57" s="120" t="n">
        <v>0.1856737603881466</v>
      </c>
      <c r="L57" s="120" t="n">
        <v/>
      </c>
      <c r="M57" s="120" t="n">
        <v>-0.04808430882798687</v>
      </c>
      <c r="N57" t="n">
        <v>66.1704487148738</v>
      </c>
      <c r="O57" t="n">
        <v>1.639853665137061</v>
      </c>
      <c r="P57" t="n">
        <v>103.2812579210583</v>
      </c>
      <c r="Q57" t="n">
        <v>102.7982573325692</v>
      </c>
    </row>
    <row r="58">
      <c r="A58" s="117" t="n">
        <v>44495</v>
      </c>
      <c r="B58" s="118" t="n">
        <v>151.984238213056</v>
      </c>
      <c r="C58" s="118" t="n">
        <v>152.5651658239921</v>
      </c>
      <c r="D58" s="118" t="n">
        <v>150.4166186962682</v>
      </c>
      <c r="E58" s="118" t="n">
        <v>151.0344390869141</v>
      </c>
      <c r="F58" s="119" t="n">
        <v>4711200</v>
      </c>
      <c r="G58" s="120" t="n">
        <v>-0.002618352875170094</v>
      </c>
      <c r="H58" s="121" t="n">
        <v>94.94232399851134</v>
      </c>
      <c r="I58" s="118" t="n">
        <v>146.4543792724609</v>
      </c>
      <c r="J58" s="118" t="n">
        <v/>
      </c>
      <c r="K58" s="120" t="n">
        <v>0.1662397333141303</v>
      </c>
      <c r="L58" s="120" t="n">
        <v/>
      </c>
      <c r="M58" s="120" t="n">
        <v>-0.05057676001488665</v>
      </c>
      <c r="N58" t="n">
        <v>64.89504381960806</v>
      </c>
      <c r="O58" t="n">
        <v>1.535891002594924</v>
      </c>
      <c r="P58" t="n">
        <v>103.3742204756262</v>
      </c>
      <c r="Q58" t="n">
        <v>103.1219316979081</v>
      </c>
    </row>
    <row r="59">
      <c r="A59" s="117" t="n">
        <v>44496</v>
      </c>
      <c r="B59" s="118" t="n">
        <v>150.9053520816106</v>
      </c>
      <c r="C59" s="118" t="n">
        <v>151.2834257100429</v>
      </c>
      <c r="D59" s="118" t="n">
        <v>149.0703371830016</v>
      </c>
      <c r="E59" s="118" t="n">
        <v>149.7066040039062</v>
      </c>
      <c r="F59" s="119" t="n">
        <v>4163900</v>
      </c>
      <c r="G59" s="120" t="n">
        <v>-0.008791604689866173</v>
      </c>
      <c r="H59" s="121" t="n">
        <v>94.10762861757924</v>
      </c>
      <c r="I59" s="118" t="n">
        <v>146.3063079833984</v>
      </c>
      <c r="J59" s="118" t="n">
        <v/>
      </c>
      <c r="K59" s="120" t="n">
        <v>0.1744111461675288</v>
      </c>
      <c r="L59" s="120" t="n">
        <v/>
      </c>
      <c r="M59" s="120" t="n">
        <v>-0.05892371382420758</v>
      </c>
      <c r="N59" t="n">
        <v>60.67715396939314</v>
      </c>
      <c r="O59" t="n">
        <v>1.304411209302703</v>
      </c>
      <c r="P59" t="n">
        <v>102.9162481765193</v>
      </c>
      <c r="Q59" t="n">
        <v>103.3612955723494</v>
      </c>
    </row>
    <row r="60">
      <c r="A60" s="117" t="n">
        <v>44497</v>
      </c>
      <c r="B60" s="118" t="n">
        <v>150.3151332467438</v>
      </c>
      <c r="C60" s="118" t="n">
        <v>151.781318223572</v>
      </c>
      <c r="D60" s="118" t="n">
        <v>150.1307116226899</v>
      </c>
      <c r="E60" s="118" t="n">
        <v>151.6522216796875</v>
      </c>
      <c r="F60" s="119" t="n">
        <v>3762000</v>
      </c>
      <c r="G60" s="120" t="n">
        <v>0.01299620473476559</v>
      </c>
      <c r="H60" s="121" t="n">
        <v>95.33067062619658</v>
      </c>
      <c r="I60" s="118" t="n">
        <v>146.2312112426758</v>
      </c>
      <c r="J60" s="118" t="n">
        <v/>
      </c>
      <c r="K60" s="120" t="n">
        <v>0.1715331597938716</v>
      </c>
      <c r="L60" s="120" t="n">
        <v/>
      </c>
      <c r="M60" s="120" t="n">
        <v>-0.0466932937380341</v>
      </c>
      <c r="N60" t="n">
        <v>64.33498899208068</v>
      </c>
      <c r="O60" t="n">
        <v>1.211071792822409</v>
      </c>
      <c r="P60" t="n">
        <v>103.90929753205</v>
      </c>
      <c r="Q60" t="n">
        <v>104.5091929876365</v>
      </c>
    </row>
    <row r="61">
      <c r="A61" s="117" t="n">
        <v>44498</v>
      </c>
      <c r="B61" s="118" t="n">
        <v>150.3612821157757</v>
      </c>
      <c r="C61" s="118" t="n">
        <v>154.5753884008019</v>
      </c>
      <c r="D61" s="118" t="n">
        <v>150.3059570209085</v>
      </c>
      <c r="E61" s="118" t="n">
        <v>154.2618560791016</v>
      </c>
      <c r="F61" s="119" t="n">
        <v>6740600</v>
      </c>
      <c r="G61" s="120" t="n">
        <v>0.01720801957604023</v>
      </c>
      <c r="H61" s="121" t="n">
        <v>96.97112267252921</v>
      </c>
      <c r="I61" s="118" t="n">
        <v>146.2675942993164</v>
      </c>
      <c r="J61" s="118" t="n">
        <v/>
      </c>
      <c r="K61" s="120" t="n">
        <v>0.1745338140470498</v>
      </c>
      <c r="L61" s="120" t="n">
        <v>-0.03028877327470791</v>
      </c>
      <c r="M61" s="120" t="n">
        <v>-0.03028877327470769</v>
      </c>
      <c r="N61" t="n">
        <v>68.55949157644861</v>
      </c>
      <c r="O61" t="n">
        <v>1.24882481319961</v>
      </c>
      <c r="P61" t="n">
        <v>104.1201494160176</v>
      </c>
      <c r="Q61" t="n">
        <v>105.0232323760488</v>
      </c>
    </row>
    <row r="62">
      <c r="A62" s="117" t="n">
        <v>44501</v>
      </c>
      <c r="B62" s="118" t="n">
        <v>154.7321384583333</v>
      </c>
      <c r="C62" s="118" t="n">
        <v>155.6542608400034</v>
      </c>
      <c r="D62" s="118" t="n">
        <v>152.9708813324304</v>
      </c>
      <c r="E62" s="118" t="n">
        <v>153.3766174316406</v>
      </c>
      <c r="F62" s="119" t="n">
        <v>3610800</v>
      </c>
      <c r="G62" s="120" t="n">
        <v>-0.005738545288908048</v>
      </c>
      <c r="H62" s="121" t="n">
        <v>96.41464949335663</v>
      </c>
      <c r="I62" s="118" t="n">
        <v>146.2457666015625</v>
      </c>
      <c r="J62" s="118" t="n">
        <v/>
      </c>
      <c r="K62" s="120" t="n">
        <v>0.1787615085129594</v>
      </c>
      <c r="L62" s="120" t="n">
        <v>-0.03339254771906042</v>
      </c>
      <c r="M62" s="120" t="n">
        <v>-0.03585350506643337</v>
      </c>
      <c r="N62" t="n">
        <v>65.71588845451893</v>
      </c>
      <c r="O62" t="n">
        <v>1.140884000053033</v>
      </c>
      <c r="P62" t="n">
        <v>104.2992414305725</v>
      </c>
      <c r="Q62" t="n">
        <v>105.3822867315383</v>
      </c>
    </row>
    <row r="63">
      <c r="A63" s="117" t="n">
        <v>44502</v>
      </c>
      <c r="B63" s="118" t="n">
        <v>153.7731336328662</v>
      </c>
      <c r="C63" s="118" t="n">
        <v>155.0641134962187</v>
      </c>
      <c r="D63" s="118" t="n">
        <v>153.1737596727014</v>
      </c>
      <c r="E63" s="118" t="n">
        <v>154.7598114013672</v>
      </c>
      <c r="F63" s="119" t="n">
        <v>5038000</v>
      </c>
      <c r="G63" s="120" t="n">
        <v>0.009018284487484207</v>
      </c>
      <c r="H63" s="121" t="n">
        <v>97.2841442312488</v>
      </c>
      <c r="I63" s="118" t="n">
        <v>146.2160665893555</v>
      </c>
      <c r="J63" s="118" t="n">
        <v/>
      </c>
      <c r="K63" s="120" t="n">
        <v>0.1755514773531615</v>
      </c>
      <c r="L63" s="120" t="n">
        <v>-0.02467540672666857</v>
      </c>
      <c r="M63" s="120" t="n">
        <v>-0.02715855768751174</v>
      </c>
      <c r="N63" t="n">
        <v>67.9525596568466</v>
      </c>
      <c r="O63" t="n">
        <v>1.089449315144701</v>
      </c>
      <c r="P63" t="n">
        <v>104.7209230610522</v>
      </c>
      <c r="Q63" t="n">
        <v>105.8229346407441</v>
      </c>
    </row>
    <row r="64">
      <c r="A64" s="117" t="n">
        <v>44503</v>
      </c>
      <c r="B64" s="118" t="n">
        <v>155.8387327332428</v>
      </c>
      <c r="C64" s="118" t="n">
        <v>159.407342998014</v>
      </c>
      <c r="D64" s="118" t="n">
        <v>155.5159841674393</v>
      </c>
      <c r="E64" s="118" t="n">
        <v>159.066162109375</v>
      </c>
      <c r="F64" s="119" t="n">
        <v>7176700</v>
      </c>
      <c r="G64" s="120" t="n">
        <v>0.0278260271126809</v>
      </c>
      <c r="H64" s="121" t="n">
        <v>99.9911754662615</v>
      </c>
      <c r="I64" s="118" t="n">
        <v>146.2677069091797</v>
      </c>
      <c r="J64" s="118" t="n">
        <v/>
      </c>
      <c r="K64" s="120" t="n">
        <v>0.1874001307742753</v>
      </c>
      <c r="L64" s="120" t="n">
        <v>0</v>
      </c>
      <c r="M64" s="120" t="n">
        <v>-8.824533738494011e-05</v>
      </c>
      <c r="N64" t="n">
        <v>73.70436197746636</v>
      </c>
      <c r="O64" t="n">
        <v>1.260193826532972</v>
      </c>
      <c r="P64" t="n">
        <v>105.3602822909285</v>
      </c>
      <c r="Q64" t="n">
        <v>106.9463027269506</v>
      </c>
    </row>
    <row r="65">
      <c r="A65" s="117" t="n">
        <v>44504</v>
      </c>
      <c r="B65" s="118" t="n">
        <v>158.7986642151422</v>
      </c>
      <c r="C65" s="118" t="n">
        <v>161.9523203307773</v>
      </c>
      <c r="D65" s="118" t="n">
        <v>158.6050123694993</v>
      </c>
      <c r="E65" s="118" t="n">
        <v>161.7771148681641</v>
      </c>
      <c r="F65" s="119" t="n">
        <v>5460100</v>
      </c>
      <c r="G65" s="120" t="n">
        <v>0.01704292555273312</v>
      </c>
      <c r="H65" s="121" t="n">
        <v>101.6953176256633</v>
      </c>
      <c r="I65" s="118" t="n">
        <v>146.3761434936523</v>
      </c>
      <c r="J65" s="118" t="n">
        <v/>
      </c>
      <c r="K65" s="120" t="n">
        <v>0.1845985662898045</v>
      </c>
      <c r="L65" s="120" t="n">
        <v>0</v>
      </c>
      <c r="M65" s="120" t="n">
        <v>0</v>
      </c>
      <c r="N65" t="n">
        <v>76.55684987130316</v>
      </c>
      <c r="O65" t="n">
        <v>1.45655843778443</v>
      </c>
      <c r="P65" t="n">
        <v>105.8567958999662</v>
      </c>
      <c r="Q65" t="n">
        <v>108.3172196744529</v>
      </c>
    </row>
    <row r="66">
      <c r="A66" s="117" t="n">
        <v>44505</v>
      </c>
      <c r="B66" s="118" t="n">
        <v>162.0445668426646</v>
      </c>
      <c r="C66" s="118" t="n">
        <v>165.152128926016</v>
      </c>
      <c r="D66" s="118" t="n">
        <v>161.8324826285244</v>
      </c>
      <c r="E66" s="118" t="n">
        <v>163.6859436035156</v>
      </c>
      <c r="F66" s="119" t="n">
        <v>5892200</v>
      </c>
      <c r="G66" s="120" t="n">
        <v>0.01179912707002551</v>
      </c>
      <c r="H66" s="121" t="n">
        <v>102.8952336007551</v>
      </c>
      <c r="I66" s="118" t="n">
        <v>146.576520690918</v>
      </c>
      <c r="J66" s="118" t="n">
        <v/>
      </c>
      <c r="K66" s="120" t="n">
        <v>0.1848581006242189</v>
      </c>
      <c r="L66" s="120" t="n">
        <v>0</v>
      </c>
      <c r="M66" s="120" t="n">
        <v>0</v>
      </c>
      <c r="N66" t="n">
        <v>78.33863608295295</v>
      </c>
      <c r="O66" t="n">
        <v>1.604178001308384</v>
      </c>
      <c r="P66" t="n">
        <v>106.224085802416</v>
      </c>
      <c r="Q66" t="n">
        <v>108.420565813275</v>
      </c>
    </row>
    <row r="67">
      <c r="A67" s="117" t="n">
        <v>44508</v>
      </c>
      <c r="B67" s="118" t="n">
        <v>162.6163178458219</v>
      </c>
      <c r="C67" s="118" t="n">
        <v>162.7915093116899</v>
      </c>
      <c r="D67" s="118" t="n">
        <v>157.0927986881145</v>
      </c>
      <c r="E67" s="118" t="n">
        <v>158.4667663574219</v>
      </c>
      <c r="F67" s="119" t="n">
        <v>8301100</v>
      </c>
      <c r="G67" s="120" t="n">
        <v>-0.03188531117085891</v>
      </c>
      <c r="H67" s="121" t="n">
        <v>99.61438705939678</v>
      </c>
      <c r="I67" s="118" t="n">
        <v>146.6552703857422</v>
      </c>
      <c r="J67" s="118" t="n">
        <v/>
      </c>
      <c r="K67" s="120" t="n">
        <v>0.2196730139015827</v>
      </c>
      <c r="L67" s="120" t="n">
        <v>-0.03188531117085902</v>
      </c>
      <c r="M67" s="120" t="n">
        <v>-0.03188531117085891</v>
      </c>
      <c r="N67" t="n">
        <v>64.01263189194157</v>
      </c>
      <c r="O67" t="n">
        <v>1.254957716244576</v>
      </c>
      <c r="P67" t="n">
        <v>106.3147608199212</v>
      </c>
      <c r="Q67" t="n">
        <v>108.2736974165858</v>
      </c>
    </row>
    <row r="68">
      <c r="A68" s="117" t="n">
        <v>44509</v>
      </c>
      <c r="B68" s="118" t="n">
        <v>157.9134938973625</v>
      </c>
      <c r="C68" s="118" t="n">
        <v>160.3847756903666</v>
      </c>
      <c r="D68" s="118" t="n">
        <v>157.6368543056373</v>
      </c>
      <c r="E68" s="118" t="n">
        <v>160.2833557128906</v>
      </c>
      <c r="F68" s="119" t="n">
        <v>4343000</v>
      </c>
      <c r="G68" s="120" t="n">
        <v>0.01146353520820531</v>
      </c>
      <c r="H68" s="121" t="n">
        <v>100.756320092696</v>
      </c>
      <c r="I68" s="118" t="n">
        <v>146.7620529174805</v>
      </c>
      <c r="J68" s="118" t="n">
        <v/>
      </c>
      <c r="K68" s="120" t="n">
        <v>0.2145523664443893</v>
      </c>
      <c r="L68" s="120" t="n">
        <v>-0.02078729434988535</v>
      </c>
      <c r="M68" s="120" t="n">
        <v>-0.02078729434988524</v>
      </c>
      <c r="N68" t="n">
        <v>66.32121187684736</v>
      </c>
      <c r="O68" t="n">
        <v>1.05878042906645</v>
      </c>
      <c r="P68" t="n">
        <v>105.9633508521777</v>
      </c>
      <c r="Q68" t="n">
        <v>107.5283937023105</v>
      </c>
    </row>
    <row r="69">
      <c r="A69" s="117" t="n">
        <v>44510</v>
      </c>
      <c r="B69" s="118" t="n">
        <v>157.895015707796</v>
      </c>
      <c r="C69" s="118" t="n">
        <v>158.7618130210855</v>
      </c>
      <c r="D69" s="118" t="n">
        <v>154.5016120060776</v>
      </c>
      <c r="E69" s="118" t="n">
        <v>155.1563110351562</v>
      </c>
      <c r="F69" s="119" t="n">
        <v>8185200</v>
      </c>
      <c r="G69" s="120" t="n">
        <v>-0.03198738044216054</v>
      </c>
      <c r="H69" s="121" t="n">
        <v>97.5333893499388</v>
      </c>
      <c r="I69" s="118" t="n">
        <v>146.8269696044922</v>
      </c>
      <c r="J69" s="118" t="n">
        <v/>
      </c>
      <c r="K69" s="120" t="n">
        <v>0.2482191277704407</v>
      </c>
      <c r="L69" s="120" t="n">
        <v>-0.05210974369931287</v>
      </c>
      <c r="M69" s="120" t="n">
        <v>-0.05210974369931287</v>
      </c>
      <c r="N69" t="n">
        <v>55.49985523472063</v>
      </c>
      <c r="O69" t="n">
        <v>0.5232717884179729</v>
      </c>
      <c r="P69" t="n">
        <v>105.1109038553338</v>
      </c>
      <c r="Q69" t="n">
        <v>105.9480675399826</v>
      </c>
    </row>
    <row r="70">
      <c r="A70" s="117" t="n">
        <v>44511</v>
      </c>
      <c r="B70" s="118" t="n">
        <v>156.3919525845911</v>
      </c>
      <c r="C70" s="118" t="n">
        <v>156.3919525845911</v>
      </c>
      <c r="D70" s="118" t="n">
        <v>153.6532481425589</v>
      </c>
      <c r="E70" s="118" t="n">
        <v>153.9667663574219</v>
      </c>
      <c r="F70" s="119" t="n">
        <v>4994900</v>
      </c>
      <c r="G70" s="120" t="n">
        <v>-0.007666750194033956</v>
      </c>
      <c r="H70" s="121" t="n">
        <v>96.78562521821537</v>
      </c>
      <c r="I70" s="118" t="n">
        <v>146.8714154052734</v>
      </c>
      <c r="J70" s="118" t="n">
        <v/>
      </c>
      <c r="K70" s="120" t="n">
        <v>0.2514251333862653</v>
      </c>
      <c r="L70" s="120" t="n">
        <v>-0.05937698150572901</v>
      </c>
      <c r="M70" s="120" t="n">
        <v>-0.05937698150572901</v>
      </c>
      <c r="N70" t="n">
        <v>53.32582692328413</v>
      </c>
      <c r="O70" t="n">
        <v>0.05323848621316118</v>
      </c>
      <c r="P70" t="n">
        <v>105.1448922285946</v>
      </c>
      <c r="Q70" t="n">
        <v>106.2418385086715</v>
      </c>
    </row>
    <row r="71">
      <c r="A71" s="117" t="n">
        <v>44512</v>
      </c>
      <c r="B71" s="118" t="n">
        <v>154.4554902494089</v>
      </c>
      <c r="C71" s="118" t="n">
        <v>156.4657101746502</v>
      </c>
      <c r="D71" s="118" t="n">
        <v>154.3632723882361</v>
      </c>
      <c r="E71" s="118" t="n">
        <v>155.9216613769531</v>
      </c>
      <c r="F71" s="119" t="n">
        <v>5126300</v>
      </c>
      <c r="G71" s="120" t="n">
        <v>0.0126968635230873</v>
      </c>
      <c r="H71" s="121" t="n">
        <v>98.01449909260774</v>
      </c>
      <c r="I71" s="118" t="n">
        <v>146.9713732910156</v>
      </c>
      <c r="J71" s="118" t="n">
        <v/>
      </c>
      <c r="K71" s="120" t="n">
        <v>0.2535987246070102</v>
      </c>
      <c r="L71" s="120" t="n">
        <v>-0.04743401941323278</v>
      </c>
      <c r="M71" s="120" t="n">
        <v>-0.04743401941323289</v>
      </c>
      <c r="N71" t="n">
        <v>56.35181296288581</v>
      </c>
      <c r="O71" t="n">
        <v>-0.1505667657125738</v>
      </c>
      <c r="P71" t="n">
        <v>105.9384093190423</v>
      </c>
      <c r="Q71" t="n">
        <v>107.3597470890325</v>
      </c>
    </row>
    <row r="72">
      <c r="A72" s="117" t="n">
        <v>44515</v>
      </c>
      <c r="B72" s="118" t="n">
        <v>156.48414337242</v>
      </c>
      <c r="C72" s="118" t="n">
        <v>157.0927474357386</v>
      </c>
      <c r="D72" s="118" t="n">
        <v>155.3960458687313</v>
      </c>
      <c r="E72" s="118" t="n">
        <v>155.7003479003906</v>
      </c>
      <c r="F72" s="119" t="n">
        <v>3856700</v>
      </c>
      <c r="G72" s="120" t="n">
        <v>-0.001419388907275998</v>
      </c>
      <c r="H72" s="121" t="n">
        <v>97.87537839984347</v>
      </c>
      <c r="I72" s="118" t="n">
        <v>147.0739129638672</v>
      </c>
      <c r="J72" s="118" t="n">
        <v/>
      </c>
      <c r="K72" s="120" t="n">
        <v>0.2533115405564624</v>
      </c>
      <c r="L72" s="120" t="n">
        <v>-0.04878608099952619</v>
      </c>
      <c r="M72" s="120" t="n">
        <v>-0.0487860809995263</v>
      </c>
      <c r="N72" t="n">
        <v>55.90988852542008</v>
      </c>
      <c r="O72" t="n">
        <v>-0.3153589954248721</v>
      </c>
      <c r="P72" t="n">
        <v>105.9746630919104</v>
      </c>
      <c r="Q72" t="n">
        <v>107.3352775667453</v>
      </c>
    </row>
    <row r="73">
      <c r="A73" s="117" t="n">
        <v>44516</v>
      </c>
      <c r="B73" s="118" t="n">
        <v>156.0692105692444</v>
      </c>
      <c r="C73" s="118" t="n">
        <v>160.4492918112173</v>
      </c>
      <c r="D73" s="118" t="n">
        <v>156.0692105692444</v>
      </c>
      <c r="E73" s="118" t="n">
        <v>158.4482879638672</v>
      </c>
      <c r="F73" s="119" t="n">
        <v>4401000</v>
      </c>
      <c r="G73" s="120" t="n">
        <v>0.01764890124224094</v>
      </c>
      <c r="H73" s="121" t="n">
        <v>99.60277128726928</v>
      </c>
      <c r="I73" s="118" t="n">
        <v>147.2433987426758</v>
      </c>
      <c r="J73" s="118" t="n">
        <v/>
      </c>
      <c r="K73" s="120" t="n">
        <v>0.2534360613481424</v>
      </c>
      <c r="L73" s="120" t="n">
        <v>-0.03199820048284174</v>
      </c>
      <c r="M73" s="120" t="n">
        <v>-0.03199820048284185</v>
      </c>
      <c r="N73" t="n">
        <v>60.0945158623449</v>
      </c>
      <c r="O73" t="n">
        <v>-0.256850346485157</v>
      </c>
      <c r="P73" t="n">
        <v>106.3941162185419</v>
      </c>
      <c r="Q73" t="n">
        <v>108.0996169289451</v>
      </c>
    </row>
    <row r="74">
      <c r="A74" s="117" t="n">
        <v>44517</v>
      </c>
      <c r="B74" s="118" t="n">
        <v>158.2362140919919</v>
      </c>
      <c r="C74" s="118" t="n">
        <v>159.2874330958905</v>
      </c>
      <c r="D74" s="118" t="n">
        <v>156.9913431874271</v>
      </c>
      <c r="E74" s="118" t="n">
        <v>158.3653106689453</v>
      </c>
      <c r="F74" s="119" t="n">
        <v>3940200</v>
      </c>
      <c r="G74" s="120" t="n">
        <v>-0.0005236869138074418</v>
      </c>
      <c r="H74" s="121" t="n">
        <v>99.55061061936718</v>
      </c>
      <c r="I74" s="118" t="n">
        <v>147.4468188476563</v>
      </c>
      <c r="J74" s="118" t="n">
        <v/>
      </c>
      <c r="K74" s="120" t="n">
        <v>0.2540347328052709</v>
      </c>
      <c r="L74" s="120" t="n">
        <v>-0.03250513035779101</v>
      </c>
      <c r="M74" s="120" t="n">
        <v>-0.03250513035779112</v>
      </c>
      <c r="N74" t="n">
        <v>59.90961080516755</v>
      </c>
      <c r="O74" t="n">
        <v>-0.2415252713003881</v>
      </c>
      <c r="P74" t="n">
        <v>106.1356614262144</v>
      </c>
      <c r="Q74" t="n">
        <v>108.1567324165465</v>
      </c>
    </row>
    <row r="75">
      <c r="A75" s="117" t="n">
        <v>44518</v>
      </c>
      <c r="B75" s="118" t="n">
        <v>158.9094136511692</v>
      </c>
      <c r="C75" s="118" t="n">
        <v>159.9514168510922</v>
      </c>
      <c r="D75" s="118" t="n">
        <v>157.0928307256905</v>
      </c>
      <c r="E75" s="118" t="n">
        <v>158.0057373046875</v>
      </c>
      <c r="F75" s="119" t="n">
        <v>4044200</v>
      </c>
      <c r="G75" s="120" t="n">
        <v>-0.002270531107721463</v>
      </c>
      <c r="H75" s="121" t="n">
        <v>99.32457786116323</v>
      </c>
      <c r="I75" s="118" t="n">
        <v>147.5945443725586</v>
      </c>
      <c r="J75" s="118" t="n">
        <v/>
      </c>
      <c r="K75" s="120" t="n">
        <v>0.2442474647723741</v>
      </c>
      <c r="L75" s="120" t="n">
        <v>-0.03470185755587463</v>
      </c>
      <c r="M75" s="120" t="n">
        <v>-0.03470185755587463</v>
      </c>
      <c r="N75" t="n">
        <v>59.06154091111323</v>
      </c>
      <c r="O75" t="n">
        <v>-0.2711714193223309</v>
      </c>
      <c r="P75" t="n">
        <v>106.4961477506907</v>
      </c>
      <c r="Q75" t="n">
        <v>109.2774006532269</v>
      </c>
    </row>
    <row r="76">
      <c r="A76" s="117" t="n">
        <v>44519</v>
      </c>
      <c r="B76" s="118" t="n">
        <v>158.7433683772155</v>
      </c>
      <c r="C76" s="118" t="n">
        <v>163.4000893947794</v>
      </c>
      <c r="D76" s="118" t="n">
        <v>157.24953456499</v>
      </c>
      <c r="E76" s="118" t="n">
        <v>161.2607727050781</v>
      </c>
      <c r="F76" s="119" t="n">
        <v>6145600</v>
      </c>
      <c r="G76" s="120" t="n">
        <v>0.02060074182062022</v>
      </c>
      <c r="H76" s="121" t="n">
        <v>101.3707378461231</v>
      </c>
      <c r="I76" s="118" t="n">
        <v>147.8027587890625</v>
      </c>
      <c r="J76" s="118" t="n">
        <v/>
      </c>
      <c r="K76" s="120" t="n">
        <v>0.2517364390330066</v>
      </c>
      <c r="L76" s="120" t="n">
        <v>-0.01481599974345904</v>
      </c>
      <c r="M76" s="120" t="n">
        <v>-0.01481599974345882</v>
      </c>
      <c r="N76" t="n">
        <v>64.02604849972883</v>
      </c>
      <c r="O76" t="n">
        <v>-0.09615661725396407</v>
      </c>
      <c r="P76" t="n">
        <v>106.3056992214922</v>
      </c>
      <c r="Q76" t="n">
        <v>109.8866695442279</v>
      </c>
    </row>
    <row r="77">
      <c r="A77" s="117" t="n">
        <v>44522</v>
      </c>
      <c r="B77" s="118" t="n">
        <v>161.3529854000458</v>
      </c>
      <c r="C77" s="118" t="n">
        <v>163.907268574383</v>
      </c>
      <c r="D77" s="118" t="n">
        <v>160.661393549521</v>
      </c>
      <c r="E77" s="118" t="n">
        <v>160.6706237792969</v>
      </c>
      <c r="F77" s="119" t="n">
        <v>5906400</v>
      </c>
      <c r="G77" s="120" t="n">
        <v>-0.003659593811202622</v>
      </c>
      <c r="H77" s="121" t="n">
        <v>100.9997621212644</v>
      </c>
      <c r="I77" s="118" t="n">
        <v>148.0742321777344</v>
      </c>
      <c r="J77" s="118" t="n">
        <v/>
      </c>
      <c r="K77" s="120" t="n">
        <v>0.252966167864232</v>
      </c>
      <c r="L77" s="120" t="n">
        <v>-0.01842137301369362</v>
      </c>
      <c r="M77" s="120" t="n">
        <v>-0.0184213730136934</v>
      </c>
      <c r="N77" t="n">
        <v>62.5451379403108</v>
      </c>
      <c r="O77" t="n">
        <v>-0.04721038199654437</v>
      </c>
      <c r="P77" t="n">
        <v>106.0064155821712</v>
      </c>
      <c r="Q77" t="n">
        <v>108.6109735554866</v>
      </c>
    </row>
    <row r="78">
      <c r="A78" s="117" t="n">
        <v>44523</v>
      </c>
      <c r="B78" s="118" t="n">
        <v>159.5732963513699</v>
      </c>
      <c r="C78" s="118" t="n">
        <v>159.9236933222767</v>
      </c>
      <c r="D78" s="118" t="n">
        <v>157.1388935918057</v>
      </c>
      <c r="E78" s="118" t="n">
        <v>158.7433776855469</v>
      </c>
      <c r="F78" s="119" t="n">
        <v>5302100</v>
      </c>
      <c r="G78" s="120" t="n">
        <v>-0.01199501220831345</v>
      </c>
      <c r="H78" s="121" t="n">
        <v>99.78826874158311</v>
      </c>
      <c r="I78" s="118" t="n">
        <v>148.3211770629883</v>
      </c>
      <c r="J78" s="118" t="n">
        <v/>
      </c>
      <c r="K78" s="120" t="n">
        <v>0.2579123337642473</v>
      </c>
      <c r="L78" s="120" t="n">
        <v>-0.03019542062781388</v>
      </c>
      <c r="M78" s="120" t="n">
        <v>-0.03019542062781377</v>
      </c>
      <c r="N78" t="n">
        <v>57.8401173085615</v>
      </c>
      <c r="O78" t="n">
        <v>-0.1650701401409225</v>
      </c>
      <c r="P78" t="n">
        <v>106.1469958034026</v>
      </c>
      <c r="Q78" t="n">
        <v>108.1159185520332</v>
      </c>
    </row>
    <row r="79">
      <c r="A79" s="117" t="n">
        <v>44524</v>
      </c>
      <c r="B79" s="118" t="n">
        <v>155.3684286718161</v>
      </c>
      <c r="C79" s="118" t="n">
        <v>159.0015795863679</v>
      </c>
      <c r="D79" s="118" t="n">
        <v>154.612281450559</v>
      </c>
      <c r="E79" s="118" t="n">
        <v>158.6327362060547</v>
      </c>
      <c r="F79" s="119" t="n">
        <v>4637600</v>
      </c>
      <c r="G79" s="120" t="n">
        <v>-0.0006969832764385231</v>
      </c>
      <c r="H79" s="121" t="n">
        <v>99.71871798708547</v>
      </c>
      <c r="I79" s="118" t="n">
        <v>148.581584777832</v>
      </c>
      <c r="J79" s="118" t="n">
        <v/>
      </c>
      <c r="K79" s="120" t="n">
        <v>0.2547438992800791</v>
      </c>
      <c r="L79" s="120" t="n">
        <v>-0.0308713582010498</v>
      </c>
      <c r="M79" s="120" t="n">
        <v>-0.03087135820104958</v>
      </c>
      <c r="N79" t="n">
        <v>57.5723562198795</v>
      </c>
      <c r="O79" t="n">
        <v>-0.2649945693025728</v>
      </c>
      <c r="P79" t="n">
        <v>106.4303921288654</v>
      </c>
      <c r="Q79" t="n">
        <v>108.4641051587973</v>
      </c>
    </row>
    <row r="80">
      <c r="A80" s="117" t="n">
        <v>44526</v>
      </c>
      <c r="B80" s="118" t="n">
        <v>154.9719220479864</v>
      </c>
      <c r="C80" s="118" t="n">
        <v>156.4657561588156</v>
      </c>
      <c r="D80" s="118" t="n">
        <v>154.4924143558103</v>
      </c>
      <c r="E80" s="118" t="n">
        <v>154.9350433349609</v>
      </c>
      <c r="F80" s="119" t="n">
        <v>4751100</v>
      </c>
      <c r="G80" s="120" t="n">
        <v>-0.02330977173772419</v>
      </c>
      <c r="H80" s="121" t="n">
        <v>97.39429743282801</v>
      </c>
      <c r="I80" s="118" t="n">
        <v>148.7737561035156</v>
      </c>
      <c r="J80" s="118" t="n">
        <v/>
      </c>
      <c r="K80" s="120" t="n">
        <v>0.2681377637596523</v>
      </c>
      <c r="L80" s="120" t="n">
        <v>-0.05346152562587403</v>
      </c>
      <c r="M80" s="120" t="n">
        <v>-0.05346152562587381</v>
      </c>
      <c r="N80" t="n">
        <v>49.34989104010443</v>
      </c>
      <c r="O80" t="n">
        <v>-0.5767525416085508</v>
      </c>
      <c r="P80" t="n">
        <v>104.0566444354961</v>
      </c>
      <c r="Q80" t="n">
        <v>106.407751097113</v>
      </c>
    </row>
    <row r="81">
      <c r="A81" s="117" t="n">
        <v>44529</v>
      </c>
      <c r="B81" s="118" t="n">
        <v>156.6040362149821</v>
      </c>
      <c r="C81" s="118" t="n">
        <v>157.8212303678955</v>
      </c>
      <c r="D81" s="118" t="n">
        <v>156.0507571915405</v>
      </c>
      <c r="E81" s="118" t="n">
        <v>156.6409149169922</v>
      </c>
      <c r="F81" s="119" t="n">
        <v>5448700</v>
      </c>
      <c r="G81" s="120" t="n">
        <v>0.01101023722788952</v>
      </c>
      <c r="H81" s="121" t="n">
        <v>98.46663175220708</v>
      </c>
      <c r="I81" s="118" t="n">
        <v>149.0218069458008</v>
      </c>
      <c r="J81" s="118" t="n">
        <v/>
      </c>
      <c r="K81" s="120" t="n">
        <v>0.264104743027169</v>
      </c>
      <c r="L81" s="120" t="n">
        <v>-0.04303991247769035</v>
      </c>
      <c r="M81" s="120" t="n">
        <v>-0.04303991247769012</v>
      </c>
      <c r="N81" t="n">
        <v>52.70569851043329</v>
      </c>
      <c r="O81" t="n">
        <v>-0.6587834114017781</v>
      </c>
      <c r="P81" t="n">
        <v>105.3330679790341</v>
      </c>
      <c r="Q81" t="n">
        <v>108.7170537191453</v>
      </c>
    </row>
    <row r="82">
      <c r="A82" s="117" t="n">
        <v>44530</v>
      </c>
      <c r="B82" s="118" t="n">
        <v>155.6450464470342</v>
      </c>
      <c r="C82" s="118" t="n">
        <v>158.1901134844903</v>
      </c>
      <c r="D82" s="118" t="n">
        <v>154.4831771932862</v>
      </c>
      <c r="E82" s="118" t="n">
        <v>156.0600128173828</v>
      </c>
      <c r="F82" s="119" t="n">
        <v>11033700</v>
      </c>
      <c r="G82" s="120" t="n">
        <v>-0.003708495318207272</v>
      </c>
      <c r="H82" s="121" t="n">
        <v>98.10146870935438</v>
      </c>
      <c r="I82" s="118" t="n">
        <v>149.2982598876953</v>
      </c>
      <c r="J82" s="118" t="n">
        <v/>
      </c>
      <c r="K82" s="120" t="n">
        <v>0.2635258657100068</v>
      </c>
      <c r="L82" s="120" t="n">
        <v>-0.04658879448197806</v>
      </c>
      <c r="M82" s="120" t="n">
        <v>-0.04658879448197784</v>
      </c>
      <c r="N82" t="n">
        <v>51.45546972247632</v>
      </c>
      <c r="O82" t="n">
        <v>-0.7369606435386973</v>
      </c>
      <c r="P82" t="n">
        <v>103.2835380789692</v>
      </c>
      <c r="Q82" t="n">
        <v>107.1204088460741</v>
      </c>
    </row>
    <row r="83">
      <c r="A83" s="117" t="n">
        <v>44531</v>
      </c>
      <c r="B83" s="118" t="n">
        <v>157.5814834876273</v>
      </c>
      <c r="C83" s="118" t="n">
        <v>159.8683429128972</v>
      </c>
      <c r="D83" s="118" t="n">
        <v>153.6993423100655</v>
      </c>
      <c r="E83" s="118" t="n">
        <v>153.7177886962891</v>
      </c>
      <c r="F83" s="119" t="n">
        <v>6618200</v>
      </c>
      <c r="G83" s="120" t="n">
        <v>-0.01500848345972239</v>
      </c>
      <c r="H83" s="121" t="n">
        <v>96.62911443885555</v>
      </c>
      <c r="I83" s="118" t="n">
        <v>149.5136672973633</v>
      </c>
      <c r="J83" s="118" t="n">
        <v/>
      </c>
      <c r="K83" s="120" t="n">
        <v>0.2675981603571351</v>
      </c>
      <c r="L83" s="120" t="n">
        <v>-0.0608980507903093</v>
      </c>
      <c r="M83" s="120" t="n">
        <v>-0.06089805079030908</v>
      </c>
      <c r="N83" t="n">
        <v>46.65042220901935</v>
      </c>
      <c r="O83" t="n">
        <v>-0.9193480848229596</v>
      </c>
      <c r="P83" t="n">
        <v>102.1363456211708</v>
      </c>
      <c r="Q83" t="n">
        <v>105.2979933282959</v>
      </c>
    </row>
    <row r="84">
      <c r="A84" s="117" t="n">
        <v>44532</v>
      </c>
      <c r="B84" s="118" t="n">
        <v>154.2526292454561</v>
      </c>
      <c r="C84" s="118" t="n">
        <v>157.2679733412943</v>
      </c>
      <c r="D84" s="118" t="n">
        <v>153.9944361069623</v>
      </c>
      <c r="E84" s="118" t="n">
        <v>156.7608032226562</v>
      </c>
      <c r="F84" s="119" t="n">
        <v>4398900</v>
      </c>
      <c r="G84" s="120" t="n">
        <v>0.01979611177194007</v>
      </c>
      <c r="H84" s="121" t="n">
        <v>98.54199518871073</v>
      </c>
      <c r="I84" s="118" t="n">
        <v>149.7453042602539</v>
      </c>
      <c r="J84" s="118" t="n">
        <v/>
      </c>
      <c r="K84" s="120" t="n">
        <v>0.2577811116350381</v>
      </c>
      <c r="L84" s="120" t="n">
        <v>-0.04230748363850745</v>
      </c>
      <c r="M84" s="120" t="n">
        <v>-0.04230748363850734</v>
      </c>
      <c r="N84" t="n">
        <v>52.81533923885495</v>
      </c>
      <c r="O84" t="n">
        <v>-0.8117226854285513</v>
      </c>
      <c r="P84" t="n">
        <v>103.7007110476898</v>
      </c>
      <c r="Q84" t="n">
        <v>106.056856096995</v>
      </c>
    </row>
    <row r="85">
      <c r="A85" s="117" t="n">
        <v>44533</v>
      </c>
      <c r="B85" s="118" t="n">
        <v>157.6152936815255</v>
      </c>
      <c r="C85" s="118" t="n">
        <v>158.9547855722389</v>
      </c>
      <c r="D85" s="118" t="n">
        <v>154.0495033449735</v>
      </c>
      <c r="E85" s="118" t="n">
        <v>157.2642669677734</v>
      </c>
      <c r="F85" s="119" t="n">
        <v>4878500</v>
      </c>
      <c r="G85" s="120" t="n">
        <v>0.003211668572545401</v>
      </c>
      <c r="H85" s="121" t="n">
        <v>98.85847941773423</v>
      </c>
      <c r="I85" s="118" t="n">
        <v>149.9475433349609</v>
      </c>
      <c r="J85" s="118" t="n">
        <v/>
      </c>
      <c r="K85" s="120" t="n">
        <v>0.2497741704766984</v>
      </c>
      <c r="L85" s="120" t="n">
        <v>-0.03923169268154736</v>
      </c>
      <c r="M85" s="120" t="n">
        <v>-0.03923169268154714</v>
      </c>
      <c r="N85" t="n">
        <v>53.76724699220929</v>
      </c>
      <c r="O85" t="n">
        <v>-0.6881828750689485</v>
      </c>
      <c r="P85" t="n">
        <v>102.7983662262716</v>
      </c>
      <c r="Q85" t="n">
        <v>104.2126965379385</v>
      </c>
    </row>
    <row r="86">
      <c r="A86" s="117" t="n">
        <v>44536</v>
      </c>
      <c r="B86" s="118" t="n">
        <v>157.80931543264</v>
      </c>
      <c r="C86" s="118" t="n">
        <v>158.1603562906563</v>
      </c>
      <c r="D86" s="118" t="n">
        <v>155.2504412694537</v>
      </c>
      <c r="E86" s="118" t="n">
        <v>156.0356597900391</v>
      </c>
      <c r="F86" s="119" t="n">
        <v>5636900</v>
      </c>
      <c r="G86" s="120" t="n">
        <v>-0.007812373410840623</v>
      </c>
      <c r="H86" s="121" t="n">
        <v>98.086160061695</v>
      </c>
      <c r="I86" s="118" t="n">
        <v>150.309450378418</v>
      </c>
      <c r="J86" s="118" t="n">
        <v/>
      </c>
      <c r="K86" s="120" t="n">
        <v>0.245807418403126</v>
      </c>
      <c r="L86" s="120" t="n">
        <v>-0.04673757345962026</v>
      </c>
      <c r="M86" s="120" t="n">
        <v>-0.04673757345962026</v>
      </c>
      <c r="N86" t="n">
        <v>51.06013918693689</v>
      </c>
      <c r="O86" t="n">
        <v>-0.6701125931141876</v>
      </c>
      <c r="P86" t="n">
        <v>104.0158524842616</v>
      </c>
      <c r="Q86" t="n">
        <v>105.0477189859912</v>
      </c>
    </row>
    <row r="87">
      <c r="A87" s="117" t="n">
        <v>44537</v>
      </c>
      <c r="B87" s="118" t="n">
        <v>158.0679488280796</v>
      </c>
      <c r="C87" s="118" t="n">
        <v>160.1372204802629</v>
      </c>
      <c r="D87" s="118" t="n">
        <v>157.412059023189</v>
      </c>
      <c r="E87" s="118" t="n">
        <v>158.2342224121094</v>
      </c>
      <c r="F87" s="119" t="n">
        <v>5898700</v>
      </c>
      <c r="G87" s="120" t="n">
        <v>0.01409012930139619</v>
      </c>
      <c r="H87" s="121" t="n">
        <v>99.46820673964172</v>
      </c>
      <c r="I87" s="118" t="n">
        <v>150.7439154052734</v>
      </c>
      <c r="J87" s="118" t="n">
        <v/>
      </c>
      <c r="K87" s="120" t="n">
        <v>0.2257074646809989</v>
      </c>
      <c r="L87" s="120" t="n">
        <v>-0.03330598261150375</v>
      </c>
      <c r="M87" s="120" t="n">
        <v>-0.03330598261150364</v>
      </c>
      <c r="N87" t="n">
        <v>55.38869620122241</v>
      </c>
      <c r="O87" t="n">
        <v>-0.4988545500394972</v>
      </c>
      <c r="P87" t="n">
        <v>106.1674065373235</v>
      </c>
      <c r="Q87" t="n">
        <v>108.2111138793113</v>
      </c>
    </row>
    <row r="88">
      <c r="A88" s="117" t="n">
        <v>44538</v>
      </c>
      <c r="B88" s="118" t="n">
        <v>158.169612035262</v>
      </c>
      <c r="C88" s="118" t="n">
        <v>158.6961593031596</v>
      </c>
      <c r="D88" s="118" t="n">
        <v>156.8947911301981</v>
      </c>
      <c r="E88" s="118" t="n">
        <v>157.2735443115234</v>
      </c>
      <c r="F88" s="119" t="n">
        <v>5614400</v>
      </c>
      <c r="G88" s="120" t="n">
        <v>-0.006071241011845863</v>
      </c>
      <c r="H88" s="121" t="n">
        <v>98.86431128350924</v>
      </c>
      <c r="I88" s="118" t="n">
        <v>151.2096994018555</v>
      </c>
      <c r="J88" s="118" t="n">
        <v/>
      </c>
      <c r="K88" s="120" t="n">
        <v>0.2224782786601912</v>
      </c>
      <c r="L88" s="120" t="n">
        <v>-0.0391750149757788</v>
      </c>
      <c r="M88" s="120" t="n">
        <v>-0.03917501497577869</v>
      </c>
      <c r="N88" t="n">
        <v>53.17552048770379</v>
      </c>
      <c r="O88" t="n">
        <v>-0.441037387573568</v>
      </c>
      <c r="P88" t="n">
        <v>106.4485300840272</v>
      </c>
      <c r="Q88" t="n">
        <v>108.6952925902117</v>
      </c>
    </row>
    <row r="89">
      <c r="A89" s="117" t="n">
        <v>44539</v>
      </c>
      <c r="B89" s="118" t="n">
        <v>156.386670112395</v>
      </c>
      <c r="C89" s="118" t="n">
        <v>158.1233805801021</v>
      </c>
      <c r="D89" s="118" t="n">
        <v>155.1857676952892</v>
      </c>
      <c r="E89" s="118" t="n">
        <v>155.2873840332031</v>
      </c>
      <c r="F89" s="119" t="n">
        <v>5171600</v>
      </c>
      <c r="G89" s="120" t="n">
        <v>-0.01262869916879461</v>
      </c>
      <c r="H89" s="121" t="n">
        <v>97.61578363777974</v>
      </c>
      <c r="I89" s="118" t="n">
        <v>151.6224801635742</v>
      </c>
      <c r="J89" s="118" t="n">
        <v/>
      </c>
      <c r="K89" s="120" t="n">
        <v>0.1955274216802173</v>
      </c>
      <c r="L89" s="120" t="n">
        <v>-0.05130898466551115</v>
      </c>
      <c r="M89" s="120" t="n">
        <v>-0.05130898466551115</v>
      </c>
      <c r="N89" t="n">
        <v>48.83127919373338</v>
      </c>
      <c r="O89" t="n">
        <v>-0.5217923060035634</v>
      </c>
      <c r="P89" t="n">
        <v>105.7298375929857</v>
      </c>
      <c r="Q89" t="n">
        <v>107.0958966046488</v>
      </c>
    </row>
    <row r="90">
      <c r="A90" s="117" t="n">
        <v>44540</v>
      </c>
      <c r="B90" s="118" t="n">
        <v>155.6568799575722</v>
      </c>
      <c r="C90" s="118" t="n">
        <v>157.264261715287</v>
      </c>
      <c r="D90" s="118" t="n">
        <v>154.5760593965389</v>
      </c>
      <c r="E90" s="118" t="n">
        <v>156.1741943359375</v>
      </c>
      <c r="F90" s="119" t="n">
        <v>4791100</v>
      </c>
      <c r="G90" s="120" t="n">
        <v>0.005710768509982422</v>
      </c>
      <c r="H90" s="121" t="n">
        <v>98.17324478105563</v>
      </c>
      <c r="I90" s="118" t="n">
        <v>152.0675680541992</v>
      </c>
      <c r="J90" s="118" t="n">
        <v/>
      </c>
      <c r="K90" s="120" t="n">
        <v>0.1942285529059185</v>
      </c>
      <c r="L90" s="120" t="n">
        <v>-0.04589122988943573</v>
      </c>
      <c r="M90" s="120" t="n">
        <v>-0.04589122988943561</v>
      </c>
      <c r="N90" t="n">
        <v>50.76535769856275</v>
      </c>
      <c r="O90" t="n">
        <v>-0.5006326729736672</v>
      </c>
      <c r="P90" t="n">
        <v>106.7251080732128</v>
      </c>
      <c r="Q90" t="n">
        <v>108.2600870991963</v>
      </c>
    </row>
    <row r="91">
      <c r="A91" s="117" t="n">
        <v>44543</v>
      </c>
      <c r="B91" s="118" t="n">
        <v>155.9432449173119</v>
      </c>
      <c r="C91" s="118" t="n">
        <v>156.4790388211135</v>
      </c>
      <c r="D91" s="118" t="n">
        <v>152.6638242469496</v>
      </c>
      <c r="E91" s="118" t="n">
        <v>154.1233978271484</v>
      </c>
      <c r="F91" s="119" t="n">
        <v>5972300</v>
      </c>
      <c r="G91" s="120" t="n">
        <v>-0.01313146847025004</v>
      </c>
      <c r="H91" s="121" t="n">
        <v>96.88408591259106</v>
      </c>
      <c r="I91" s="118" t="n">
        <v>152.4378894042969</v>
      </c>
      <c r="J91" s="118" t="n">
        <v/>
      </c>
      <c r="K91" s="120" t="n">
        <v>0.1948530570401336</v>
      </c>
      <c r="L91" s="120" t="n">
        <v>-0.05842007912133163</v>
      </c>
      <c r="M91" s="120" t="n">
        <v>-0.05842007912133151</v>
      </c>
      <c r="N91" t="n">
        <v>46.39775589369316</v>
      </c>
      <c r="O91" t="n">
        <v>-0.6030343572267169</v>
      </c>
      <c r="P91" t="n">
        <v>105.779698521801</v>
      </c>
      <c r="Q91" t="n">
        <v>106.6960796476116</v>
      </c>
    </row>
    <row r="92">
      <c r="A92" s="117" t="n">
        <v>44544</v>
      </c>
      <c r="B92" s="118" t="n">
        <v>153.6153151983461</v>
      </c>
      <c r="C92" s="118" t="n">
        <v>154.3451090316331</v>
      </c>
      <c r="D92" s="118" t="n">
        <v>151.6938658880613</v>
      </c>
      <c r="E92" s="118" t="n">
        <v>152.7931518554688</v>
      </c>
      <c r="F92" s="119" t="n">
        <v>4872200</v>
      </c>
      <c r="G92" s="120" t="n">
        <v>-0.008631044931747378</v>
      </c>
      <c r="H92" s="121" t="n">
        <v>96.04787501390823</v>
      </c>
      <c r="I92" s="118" t="n">
        <v>152.7801306152344</v>
      </c>
      <c r="J92" s="118" t="n">
        <v/>
      </c>
      <c r="K92" s="120" t="n">
        <v>0.1969702853635236</v>
      </c>
      <c r="L92" s="120" t="n">
        <v>-0.06654689772526645</v>
      </c>
      <c r="M92" s="120" t="n">
        <v>-0.06654689772526634</v>
      </c>
      <c r="N92" t="n">
        <v>43.76736636529676</v>
      </c>
      <c r="O92" t="n">
        <v>-0.730155526650593</v>
      </c>
      <c r="P92" t="n">
        <v>105.0519296740268</v>
      </c>
      <c r="Q92" t="n">
        <v>105.5917472093296</v>
      </c>
    </row>
    <row r="93">
      <c r="A93" s="117" t="n">
        <v>44545</v>
      </c>
      <c r="B93" s="118" t="n">
        <v>152.4236799843595</v>
      </c>
      <c r="C93" s="118" t="n">
        <v>153.0426108115924</v>
      </c>
      <c r="D93" s="118" t="n">
        <v>149.4860667360814</v>
      </c>
      <c r="E93" s="118" t="n">
        <v>151.4075164794922</v>
      </c>
      <c r="F93" s="119" t="n">
        <v>7144600</v>
      </c>
      <c r="G93" s="120" t="n">
        <v>-0.009068700783705808</v>
      </c>
      <c r="H93" s="121" t="n">
        <v>95.17684557449631</v>
      </c>
      <c r="I93" s="118" t="n">
        <v>153.0518731689453</v>
      </c>
      <c r="J93" s="118" t="n">
        <v/>
      </c>
      <c r="K93" s="120" t="n">
        <v>0.1861923670519708</v>
      </c>
      <c r="L93" s="120" t="n">
        <v>-0.07501210460541807</v>
      </c>
      <c r="M93" s="120" t="n">
        <v>-0.07501210460541785</v>
      </c>
      <c r="N93" t="n">
        <v>41.15039600593384</v>
      </c>
      <c r="O93" t="n">
        <v>-0.8679771389665474</v>
      </c>
      <c r="P93" t="n">
        <v>106.6933924787111</v>
      </c>
      <c r="Q93" t="n">
        <v>107.9989535519938</v>
      </c>
    </row>
    <row r="94">
      <c r="A94" s="117" t="n">
        <v>44546</v>
      </c>
      <c r="B94" s="118" t="n">
        <v>150.2989643056221</v>
      </c>
      <c r="C94" s="118" t="n">
        <v>153.2920158059365</v>
      </c>
      <c r="D94" s="118" t="n">
        <v>150.1419234377328</v>
      </c>
      <c r="E94" s="118" t="n">
        <v>150.3174438476562</v>
      </c>
      <c r="F94" s="119" t="n">
        <v>7138100</v>
      </c>
      <c r="G94" s="120" t="n">
        <v>-0.007199593898520762</v>
      </c>
      <c r="H94" s="121" t="n">
        <v>94.49161093781771</v>
      </c>
      <c r="I94" s="118" t="n">
        <v>153.3139859008789</v>
      </c>
      <c r="J94" s="118" t="n">
        <v/>
      </c>
      <c r="K94" s="120" t="n">
        <v>0.1868995547527115</v>
      </c>
      <c r="L94" s="120" t="n">
        <v>-0.08167164181330644</v>
      </c>
      <c r="M94" s="120" t="n">
        <v>-0.08167164181330622</v>
      </c>
      <c r="N94" t="n">
        <v>39.16634605006886</v>
      </c>
      <c r="O94" t="n">
        <v>-0.9844403256121914</v>
      </c>
      <c r="P94" t="n">
        <v>105.7524989682102</v>
      </c>
      <c r="Q94" t="n">
        <v>105.2218165612871</v>
      </c>
    </row>
    <row r="95">
      <c r="A95" s="117" t="n">
        <v>44547</v>
      </c>
      <c r="B95" s="118" t="n">
        <v>149.3105512312763</v>
      </c>
      <c r="C95" s="118" t="n">
        <v>150.4467965727532</v>
      </c>
      <c r="D95" s="118" t="n">
        <v>148.3128672378713</v>
      </c>
      <c r="E95" s="118" t="n">
        <v>149.0611267089844</v>
      </c>
      <c r="F95" s="119" t="n">
        <v>7705100</v>
      </c>
      <c r="G95" s="120" t="n">
        <v>-0.008357760127594593</v>
      </c>
      <c r="H95" s="121" t="n">
        <v>93.70187271952945</v>
      </c>
      <c r="I95" s="118" t="n">
        <v>153.4947229003906</v>
      </c>
      <c r="J95" s="118" t="n">
        <v/>
      </c>
      <c r="K95" s="120" t="n">
        <v>0.1880293599502069</v>
      </c>
      <c r="L95" s="120" t="n">
        <v>-0.08934680994939848</v>
      </c>
      <c r="M95" s="120" t="n">
        <v>-0.08934680994939836</v>
      </c>
      <c r="N95" t="n">
        <v>36.95488655552066</v>
      </c>
      <c r="O95" t="n">
        <v>-1.089776869553777</v>
      </c>
      <c r="P95" t="n">
        <v>104.6269864584448</v>
      </c>
      <c r="Q95" t="n">
        <v>104.6968410735285</v>
      </c>
    </row>
    <row r="96">
      <c r="A96" s="117" t="n">
        <v>44550</v>
      </c>
      <c r="B96" s="118" t="n">
        <v>147.1950281090485</v>
      </c>
      <c r="C96" s="118" t="n">
        <v>147.4352198100615</v>
      </c>
      <c r="D96" s="118" t="n">
        <v>143.6200058098869</v>
      </c>
      <c r="E96" s="118" t="n">
        <v>145.0149078369141</v>
      </c>
      <c r="F96" s="119" t="n">
        <v>8411900</v>
      </c>
      <c r="G96" s="120" t="n">
        <v>-0.02714469534347375</v>
      </c>
      <c r="H96" s="121" t="n">
        <v>91.15836393144487</v>
      </c>
      <c r="I96" s="118" t="n">
        <v>153.582917175293</v>
      </c>
      <c r="J96" s="118" t="n">
        <v/>
      </c>
      <c r="K96" s="120" t="n">
        <v>0.1854362933435708</v>
      </c>
      <c r="L96" s="120" t="n">
        <v>-0.1140662133568846</v>
      </c>
      <c r="M96" s="120" t="n">
        <v>-0.1140662133568844</v>
      </c>
      <c r="N96" t="n">
        <v>30.90287687258271</v>
      </c>
      <c r="O96" t="n">
        <v>-1.358178722695007</v>
      </c>
      <c r="P96" t="n">
        <v>103.514468635026</v>
      </c>
      <c r="Q96" t="n">
        <v>103.6812448288483</v>
      </c>
    </row>
    <row r="97">
      <c r="A97" s="117" t="n">
        <v>44551</v>
      </c>
      <c r="B97" s="118" t="n">
        <v>153.9848526316496</v>
      </c>
      <c r="C97" s="118" t="n">
        <v>158.1418616105534</v>
      </c>
      <c r="D97" s="118" t="n">
        <v>152.1557726277449</v>
      </c>
      <c r="E97" s="118" t="n">
        <v>153.9294281005859</v>
      </c>
      <c r="F97" s="119" t="n">
        <v>13862900</v>
      </c>
      <c r="G97" s="120" t="n">
        <v>0.06147312987777287</v>
      </c>
      <c r="H97" s="121" t="n">
        <v>96.76215387684786</v>
      </c>
      <c r="I97" s="118" t="n">
        <v>153.8899740600586</v>
      </c>
      <c r="J97" s="118" t="n">
        <v/>
      </c>
      <c r="K97" s="120" t="n">
        <v>0.3009201124562551</v>
      </c>
      <c r="L97" s="120" t="n">
        <v>-0.05960509062746522</v>
      </c>
      <c r="M97" s="120" t="n">
        <v>-0.05960509062746511</v>
      </c>
      <c r="N97" t="n">
        <v>50.23838200339578</v>
      </c>
      <c r="O97" t="n">
        <v>-0.8844970268542895</v>
      </c>
      <c r="P97" t="n">
        <v>105.3527555560771</v>
      </c>
      <c r="Q97" t="n">
        <v>106.0016715144344</v>
      </c>
    </row>
    <row r="98">
      <c r="A98" s="117" t="n">
        <v>44552</v>
      </c>
      <c r="B98" s="118" t="n">
        <v>154.492930268409</v>
      </c>
      <c r="C98" s="118" t="n">
        <v>156.1187775518719</v>
      </c>
      <c r="D98" s="118" t="n">
        <v>151.5830156021457</v>
      </c>
      <c r="E98" s="118" t="n">
        <v>152.8301239013672</v>
      </c>
      <c r="F98" s="119" t="n">
        <v>5811300</v>
      </c>
      <c r="G98" s="120" t="n">
        <v>-0.007141611664407743</v>
      </c>
      <c r="H98" s="121" t="n">
        <v>96.07111615004774</v>
      </c>
      <c r="I98" s="118" t="n">
        <v>154.1184271240234</v>
      </c>
      <c r="J98" s="118" t="n">
        <v/>
      </c>
      <c r="K98" s="120" t="n">
        <v>0.2992649830943083</v>
      </c>
      <c r="L98" s="120" t="n">
        <v>-0.06632102588138988</v>
      </c>
      <c r="M98" s="120" t="n">
        <v>-0.06632102588138955</v>
      </c>
      <c r="N98" t="n">
        <v>48.43831297634188</v>
      </c>
      <c r="O98" t="n">
        <v>-0.6075658517392174</v>
      </c>
      <c r="P98" t="n">
        <v>106.4061442360007</v>
      </c>
      <c r="Q98" t="n">
        <v>107.2926267792948</v>
      </c>
    </row>
    <row r="99">
      <c r="A99" s="117" t="n">
        <v>44553</v>
      </c>
      <c r="B99" s="118" t="n">
        <v>153.5784118434435</v>
      </c>
      <c r="C99" s="118" t="n">
        <v>154.4190549544118</v>
      </c>
      <c r="D99" s="118" t="n">
        <v>152.8301523628667</v>
      </c>
      <c r="E99" s="118" t="n">
        <v>153.0426177978516</v>
      </c>
      <c r="F99" s="119" t="n">
        <v>3876900</v>
      </c>
      <c r="G99" s="120" t="n">
        <v>0.001390392751506875</v>
      </c>
      <c r="H99" s="121" t="n">
        <v>96.20469273357195</v>
      </c>
      <c r="I99" s="118" t="n">
        <v>154.296724243164</v>
      </c>
      <c r="J99" s="118" t="n">
        <v/>
      </c>
      <c r="K99" s="120" t="n">
        <v>0.2994523014786513</v>
      </c>
      <c r="L99" s="120" t="n">
        <v>-0.06502284540354097</v>
      </c>
      <c r="M99" s="120" t="n">
        <v>-0.06502284540354064</v>
      </c>
      <c r="N99" t="n">
        <v>48.82005204703708</v>
      </c>
      <c r="O99" t="n">
        <v>-0.3833706257883196</v>
      </c>
      <c r="P99" t="n">
        <v>107.0682312534678</v>
      </c>
      <c r="Q99" t="n">
        <v>108.1015051148478</v>
      </c>
    </row>
    <row r="100">
      <c r="A100" s="117" t="n">
        <v>44557</v>
      </c>
      <c r="B100" s="118" t="n">
        <v>153.8278025901664</v>
      </c>
      <c r="C100" s="118" t="n">
        <v>154.9086231687492</v>
      </c>
      <c r="D100" s="118" t="n">
        <v>152.8670637898084</v>
      </c>
      <c r="E100" s="118" t="n">
        <v>154.8070068359375</v>
      </c>
      <c r="F100" s="119" t="n">
        <v>3769300</v>
      </c>
      <c r="G100" s="120" t="n">
        <v>0.01152874319241226</v>
      </c>
      <c r="H100" s="121" t="n">
        <v>97.31381193000223</v>
      </c>
      <c r="I100" s="118" t="n">
        <v>154.4948184204102</v>
      </c>
      <c r="J100" s="118" t="n">
        <v/>
      </c>
      <c r="K100" s="120" t="n">
        <v>0.2914212167177624</v>
      </c>
      <c r="L100" s="120" t="n">
        <v>-0.05424373389742598</v>
      </c>
      <c r="M100" s="120" t="n">
        <v>-0.05424373389742565</v>
      </c>
      <c r="N100" t="n">
        <v>51.99789444633625</v>
      </c>
      <c r="O100" t="n">
        <v>-0.1040698536867377</v>
      </c>
      <c r="P100" t="n">
        <v>108.5834589080494</v>
      </c>
      <c r="Q100" t="n">
        <v>109.8881390825774</v>
      </c>
    </row>
    <row r="101">
      <c r="A101" s="117" t="n">
        <v>44558</v>
      </c>
      <c r="B101" s="118" t="n">
        <v>155.0102792221897</v>
      </c>
      <c r="C101" s="118" t="n">
        <v>155.4259773826638</v>
      </c>
      <c r="D101" s="118" t="n">
        <v>153.6246092901006</v>
      </c>
      <c r="E101" s="118" t="n">
        <v>153.7354583740234</v>
      </c>
      <c r="F101" s="119" t="n">
        <v>2658600</v>
      </c>
      <c r="G101" s="120" t="n">
        <v>-0.006921834378269986</v>
      </c>
      <c r="H101" s="121" t="n">
        <v>96.64022184110463</v>
      </c>
      <c r="I101" s="118" t="n">
        <v>154.6554360961914</v>
      </c>
      <c r="J101" s="118" t="n">
        <v/>
      </c>
      <c r="K101" s="120" t="n">
        <v>0.2894746640766567</v>
      </c>
      <c r="L101" s="120" t="n">
        <v>-0.06079010213359914</v>
      </c>
      <c r="M101" s="120" t="n">
        <v>-0.0607901021335987</v>
      </c>
      <c r="N101" t="n">
        <v>49.96865936094242</v>
      </c>
      <c r="O101" t="n">
        <v>0.01438288943887789</v>
      </c>
      <c r="P101" t="n">
        <v>108.4947319866234</v>
      </c>
      <c r="Q101" t="n">
        <v>109.3788244308358</v>
      </c>
    </row>
    <row r="102">
      <c r="A102" s="117" t="n">
        <v>44559</v>
      </c>
      <c r="B102" s="118" t="n">
        <v>154.3358871487383</v>
      </c>
      <c r="C102" s="118" t="n">
        <v>156.8578018793958</v>
      </c>
      <c r="D102" s="118" t="n">
        <v>153.901709545469</v>
      </c>
      <c r="E102" s="118" t="n">
        <v>155.9155426025391</v>
      </c>
      <c r="F102" s="119" t="n">
        <v>3830900</v>
      </c>
      <c r="G102" s="120" t="n">
        <v>0.01418075082725356</v>
      </c>
      <c r="H102" s="121" t="n">
        <v>98.01065274692384</v>
      </c>
      <c r="I102" s="118" t="n">
        <v>154.8334680175781</v>
      </c>
      <c r="J102" s="118" t="n">
        <v/>
      </c>
      <c r="K102" s="120" t="n">
        <v>0.2940047898414981</v>
      </c>
      <c r="L102" s="120" t="n">
        <v>-0.04747140059746546</v>
      </c>
      <c r="M102" s="120" t="n">
        <v>-0.04747140059746502</v>
      </c>
      <c r="N102" t="n">
        <v>53.9096278181025</v>
      </c>
      <c r="O102" t="n">
        <v>0.233288535999964</v>
      </c>
      <c r="P102" t="n">
        <v>108.6335264531156</v>
      </c>
      <c r="Q102" t="n">
        <v>109.3624715447821</v>
      </c>
    </row>
    <row r="103">
      <c r="A103" s="117" t="n">
        <v>44560</v>
      </c>
      <c r="B103" s="118" t="n">
        <v>155.4813843594162</v>
      </c>
      <c r="C103" s="118" t="n">
        <v>157.1534236332529</v>
      </c>
      <c r="D103" s="118" t="n">
        <v>154.4559881616819</v>
      </c>
      <c r="E103" s="118" t="n">
        <v>154.7238922119141</v>
      </c>
      <c r="F103" s="119" t="n">
        <v>2666800</v>
      </c>
      <c r="G103" s="120" t="n">
        <v>-0.007642922384349826</v>
      </c>
      <c r="H103" s="121" t="n">
        <v>97.26156493513965</v>
      </c>
      <c r="I103" s="118" t="n">
        <v>155.0173580932617</v>
      </c>
      <c r="J103" s="118" t="n">
        <v/>
      </c>
      <c r="K103" s="120" t="n">
        <v>0.2901170293847436</v>
      </c>
      <c r="L103" s="120" t="n">
        <v>-0.05475150275157248</v>
      </c>
      <c r="M103" s="120" t="n">
        <v>-0.05475150275157215</v>
      </c>
      <c r="N103" t="n">
        <v>51.5207009681338</v>
      </c>
      <c r="O103" t="n">
        <v>0.287972782451416</v>
      </c>
      <c r="P103" t="n">
        <v>108.3332023533887</v>
      </c>
      <c r="Q103" t="n">
        <v>109.0356615947088</v>
      </c>
    </row>
    <row r="104">
      <c r="A104" s="117" t="n">
        <v>44561</v>
      </c>
      <c r="B104" s="118" t="n">
        <v>154.7885330446472</v>
      </c>
      <c r="C104" s="118" t="n">
        <v>154.936341188002</v>
      </c>
      <c r="D104" s="118" t="n">
        <v>153.5414388364615</v>
      </c>
      <c r="E104" s="118" t="n">
        <v>153.9663696289062</v>
      </c>
      <c r="F104" s="119" t="n">
        <v>2752000</v>
      </c>
      <c r="G104" s="120" t="n">
        <v>-0.004895963850045093</v>
      </c>
      <c r="H104" s="121" t="n">
        <v>96.7853758292184</v>
      </c>
      <c r="I104" s="118" t="n">
        <v>155.1744799804688</v>
      </c>
      <c r="J104" s="118" t="n">
        <v/>
      </c>
      <c r="K104" s="120" t="n">
        <v>0.2814235442428693</v>
      </c>
      <c r="L104" s="120" t="n">
        <v>-0.05937940522341012</v>
      </c>
      <c r="M104" s="120" t="n">
        <v>-0.0593794052234099</v>
      </c>
      <c r="N104" t="n">
        <v>50.00375353268115</v>
      </c>
      <c r="O104" t="n">
        <v>0.2639082725092496</v>
      </c>
      <c r="P104" t="n">
        <v>108.0601811153781</v>
      </c>
      <c r="Q104" t="n">
        <v>108.3547783406451</v>
      </c>
    </row>
    <row r="105">
      <c r="A105" s="117" t="n">
        <v>44564</v>
      </c>
      <c r="B105" s="118" t="n">
        <v>154.7608310207464</v>
      </c>
      <c r="C105" s="118" t="n">
        <v>155.1118718605036</v>
      </c>
      <c r="D105" s="118" t="n">
        <v>150.8624790802981</v>
      </c>
      <c r="E105" s="118" t="n">
        <v>152.1188201904297</v>
      </c>
      <c r="F105" s="119" t="n">
        <v>5670500</v>
      </c>
      <c r="G105" s="120" t="n">
        <v>-0.01199969475756024</v>
      </c>
      <c r="H105" s="121" t="n">
        <v>95.62398086227202</v>
      </c>
      <c r="I105" s="118" t="n">
        <v>155.2258599853516</v>
      </c>
      <c r="J105" s="118" t="n">
        <v/>
      </c>
      <c r="K105" s="120" t="n">
        <v>0.2837514284163711</v>
      </c>
      <c r="L105" s="120" t="n">
        <v>-0.07066656524340398</v>
      </c>
      <c r="M105" s="120" t="n">
        <v>-0.07066656524340376</v>
      </c>
      <c r="N105" t="n">
        <v>46.41431990213106</v>
      </c>
      <c r="O105" t="n">
        <v>0.1215826013016866</v>
      </c>
      <c r="P105" t="n">
        <v>108.6858372603335</v>
      </c>
      <c r="Q105" t="n">
        <v>109.3978857102433</v>
      </c>
    </row>
    <row r="106">
      <c r="A106" s="117" t="n">
        <v>44565</v>
      </c>
      <c r="B106" s="118" t="n">
        <v>153.23658006751</v>
      </c>
      <c r="C106" s="118" t="n">
        <v>154.4374823924452</v>
      </c>
      <c r="D106" s="118" t="n">
        <v>152.4236494265918</v>
      </c>
      <c r="E106" s="118" t="n">
        <v>153.7077026367188</v>
      </c>
      <c r="F106" s="119" t="n">
        <v>6064200</v>
      </c>
      <c r="G106" s="120" t="n">
        <v>0.01044500900217349</v>
      </c>
      <c r="H106" s="121" t="n">
        <v>96.62277420320211</v>
      </c>
      <c r="I106" s="118" t="n">
        <v>155.2850421142578</v>
      </c>
      <c r="J106" s="118" t="n">
        <v/>
      </c>
      <c r="K106" s="120" t="n">
        <v>0.285769827949452</v>
      </c>
      <c r="L106" s="120" t="n">
        <v>-0.06095966915135065</v>
      </c>
      <c r="M106" s="120" t="n">
        <v>-0.0609596691513502</v>
      </c>
      <c r="N106" t="n">
        <v>49.75472350941774</v>
      </c>
      <c r="O106" t="n">
        <v>0.1316220155913845</v>
      </c>
      <c r="P106" t="n">
        <v>108.6494506627328</v>
      </c>
      <c r="Q106" t="n">
        <v>107.9789439077212</v>
      </c>
    </row>
    <row r="107">
      <c r="A107" s="117" t="n">
        <v>44566</v>
      </c>
      <c r="B107" s="118" t="n">
        <v>153.8001016303983</v>
      </c>
      <c r="C107" s="118" t="n">
        <v>154.2804569701229</v>
      </c>
      <c r="D107" s="118" t="n">
        <v>149.7447089340899</v>
      </c>
      <c r="E107" s="118" t="n">
        <v>149.8832702636719</v>
      </c>
      <c r="F107" s="119" t="n">
        <v>5021000</v>
      </c>
      <c r="G107" s="120" t="n">
        <v>-0.0248812018359662</v>
      </c>
      <c r="H107" s="121" t="n">
        <v>94.21868345630125</v>
      </c>
      <c r="I107" s="118" t="n">
        <v>155.2540887451172</v>
      </c>
      <c r="J107" s="118" t="n">
        <v/>
      </c>
      <c r="K107" s="120" t="n">
        <v>0.2925984150022083</v>
      </c>
      <c r="L107" s="120" t="n">
        <v>-0.08432412115530841</v>
      </c>
      <c r="M107" s="120" t="n">
        <v>-0.08432412115530796</v>
      </c>
      <c r="N107" t="n">
        <v>42.83335199575464</v>
      </c>
      <c r="O107" t="n">
        <v>-0.1091304674954171</v>
      </c>
      <c r="P107" t="n">
        <v>106.5631578283245</v>
      </c>
      <c r="Q107" t="n">
        <v>104.6616917667234</v>
      </c>
    </row>
    <row r="108">
      <c r="A108" s="117" t="n">
        <v>44567</v>
      </c>
      <c r="B108" s="118" t="n">
        <v>149.7354592466743</v>
      </c>
      <c r="C108" s="118" t="n">
        <v>150.7516226300129</v>
      </c>
      <c r="D108" s="118" t="n">
        <v>146.9364076766495</v>
      </c>
      <c r="E108" s="118" t="n">
        <v>148.7654876708984</v>
      </c>
      <c r="F108" s="119" t="n">
        <v>4144600</v>
      </c>
      <c r="G108" s="120" t="n">
        <v>-0.007457687511134847</v>
      </c>
      <c r="H108" s="121" t="n">
        <v>93.51602995737363</v>
      </c>
      <c r="I108" s="118" t="n">
        <v>155.2087097167969</v>
      </c>
      <c r="J108" s="118" t="n">
        <v/>
      </c>
      <c r="K108" s="120" t="n">
        <v>0.2928610201774834</v>
      </c>
      <c r="L108" s="120" t="n">
        <v>-0.09115294572121579</v>
      </c>
      <c r="M108" s="120" t="n">
        <v>-0.09115294572121546</v>
      </c>
      <c r="N108" t="n">
        <v>41.03653610985028</v>
      </c>
      <c r="O108" t="n">
        <v>-0.3214730140633932</v>
      </c>
      <c r="P108" t="n">
        <v>106.4630301173441</v>
      </c>
      <c r="Q108" t="n">
        <v>104.5881635862751</v>
      </c>
    </row>
    <row r="109">
      <c r="A109" s="117" t="n">
        <v>44568</v>
      </c>
      <c r="B109" s="118" t="n">
        <v>148.5161194996971</v>
      </c>
      <c r="C109" s="118" t="n">
        <v>148.8579136004511</v>
      </c>
      <c r="D109" s="118" t="n">
        <v>144.9041361962572</v>
      </c>
      <c r="E109" s="118" t="n">
        <v>145.0057525634766</v>
      </c>
      <c r="F109" s="119" t="n">
        <v>5108000</v>
      </c>
      <c r="G109" s="120" t="n">
        <v>-0.02527289875014038</v>
      </c>
      <c r="H109" s="121" t="n">
        <v>91.15260880074582</v>
      </c>
      <c r="I109" s="118" t="n">
        <v>155.1146926879883</v>
      </c>
      <c r="J109" s="118" t="n">
        <v/>
      </c>
      <c r="K109" s="120" t="n">
        <v>0.3018930351181397</v>
      </c>
      <c r="L109" s="120" t="n">
        <v>-0.114122145303367</v>
      </c>
      <c r="M109" s="120" t="n">
        <v>-0.1141221453033665</v>
      </c>
      <c r="N109" t="n">
        <v>35.62348087282773</v>
      </c>
      <c r="O109" t="n">
        <v>-0.6727479510185219</v>
      </c>
      <c r="P109" t="n">
        <v>106.0421159186532</v>
      </c>
      <c r="Q109" t="n">
        <v>103.4552007816577</v>
      </c>
    </row>
    <row r="110">
      <c r="A110" s="117" t="n">
        <v>44571</v>
      </c>
      <c r="B110" s="118" t="n">
        <v>139.0473537901482</v>
      </c>
      <c r="C110" s="118" t="n">
        <v>139.7956132500342</v>
      </c>
      <c r="D110" s="118" t="n">
        <v>137.4399716978196</v>
      </c>
      <c r="E110" s="118" t="n">
        <v>138.9734497070312</v>
      </c>
      <c r="F110" s="119" t="n">
        <v>10439000</v>
      </c>
      <c r="G110" s="120" t="n">
        <v>-0.04160043825712822</v>
      </c>
      <c r="H110" s="121" t="n">
        <v>87.36062032635424</v>
      </c>
      <c r="I110" s="118" t="n">
        <v>154.8611172485352</v>
      </c>
      <c r="J110" s="118" t="n">
        <v/>
      </c>
      <c r="K110" s="120" t="n">
        <v>0.3287792238166838</v>
      </c>
      <c r="L110" s="120" t="n">
        <v>-0.1509750523010314</v>
      </c>
      <c r="M110" s="120" t="n">
        <v>-0.1509750523010309</v>
      </c>
      <c r="N110" t="n">
        <v>29.01124045748232</v>
      </c>
      <c r="O110" t="n">
        <v>-1.236185241997873</v>
      </c>
      <c r="P110" t="n">
        <v>105.9101766841974</v>
      </c>
      <c r="Q110" t="n">
        <v>103.5232780000882</v>
      </c>
    </row>
    <row r="111">
      <c r="A111" s="117" t="n">
        <v>44572</v>
      </c>
      <c r="B111" s="118" t="n">
        <v>139.0103439891043</v>
      </c>
      <c r="C111" s="118" t="n">
        <v>139.3429051939296</v>
      </c>
      <c r="D111" s="118" t="n">
        <v>136.3498684462592</v>
      </c>
      <c r="E111" s="118" t="n">
        <v>138.8440704345703</v>
      </c>
      <c r="F111" s="119" t="n">
        <v>8175400</v>
      </c>
      <c r="G111" s="120" t="n">
        <v>-0.0009309639555877824</v>
      </c>
      <c r="H111" s="121" t="n">
        <v>87.27929073769261</v>
      </c>
      <c r="I111" s="118" t="n">
        <v>154.5527615356445</v>
      </c>
      <c r="J111" s="118" t="n">
        <v/>
      </c>
      <c r="K111" s="120" t="n">
        <v>0.3279317098328889</v>
      </c>
      <c r="L111" s="120" t="n">
        <v>-0.151765463924734</v>
      </c>
      <c r="M111" s="120" t="n">
        <v>-0.1517654639247334</v>
      </c>
      <c r="N111" t="n">
        <v>28.88739306032335</v>
      </c>
      <c r="O111" t="n">
        <v>-1.523537163337528</v>
      </c>
      <c r="P111" t="n">
        <v>106.8748310635432</v>
      </c>
      <c r="Q111" t="n">
        <v>105.0783913271264</v>
      </c>
    </row>
    <row r="112">
      <c r="A112" s="117" t="n">
        <v>44573</v>
      </c>
      <c r="B112" s="118" t="n">
        <v>140.5346316878481</v>
      </c>
      <c r="C112" s="118" t="n">
        <v>141.7632605675712</v>
      </c>
      <c r="D112" s="118" t="n">
        <v>139.2505782730004</v>
      </c>
      <c r="E112" s="118" t="n">
        <v>140.6085357666016</v>
      </c>
      <c r="F112" s="119" t="n">
        <v>6351200</v>
      </c>
      <c r="G112" s="120" t="n">
        <v>0.01270825125270836</v>
      </c>
      <c r="H112" s="121" t="n">
        <v>88.38845789354538</v>
      </c>
      <c r="I112" s="118" t="n">
        <v>154.2973999023438</v>
      </c>
      <c r="J112" s="118" t="n">
        <v/>
      </c>
      <c r="K112" s="120" t="n">
        <v>0.3335042721019966</v>
      </c>
      <c r="L112" s="120" t="n">
        <v>-0.1409858863190651</v>
      </c>
      <c r="M112" s="120" t="n">
        <v>-0.1409858863190645</v>
      </c>
      <c r="N112" t="n">
        <v>33.08295782845742</v>
      </c>
      <c r="O112" t="n">
        <v>-1.498447473438777</v>
      </c>
      <c r="P112" t="n">
        <v>107.1637691320192</v>
      </c>
      <c r="Q112" t="n">
        <v>105.4950908875294</v>
      </c>
    </row>
    <row r="113">
      <c r="A113" s="117" t="n">
        <v>44574</v>
      </c>
      <c r="B113" s="118" t="n">
        <v>141.5230784383129</v>
      </c>
      <c r="C113" s="118" t="n">
        <v>141.8925988572782</v>
      </c>
      <c r="D113" s="118" t="n">
        <v>137.6616852065231</v>
      </c>
      <c r="E113" s="118" t="n">
        <v>138.188232421875</v>
      </c>
      <c r="F113" s="119" t="n">
        <v>4990900</v>
      </c>
      <c r="G113" s="120" t="n">
        <v>-0.01721306129482825</v>
      </c>
      <c r="H113" s="121" t="n">
        <v>86.86702195006843</v>
      </c>
      <c r="I113" s="118" t="n">
        <v>153.9659683227539</v>
      </c>
      <c r="J113" s="118" t="n">
        <v/>
      </c>
      <c r="K113" s="120" t="n">
        <v>0.3364059756168855</v>
      </c>
      <c r="L113" s="120" t="n">
        <v>-0.1557721489109776</v>
      </c>
      <c r="M113" s="120" t="n">
        <v>-0.155772148910977</v>
      </c>
      <c r="N113" t="n">
        <v>30.43080455517716</v>
      </c>
      <c r="O113" t="n">
        <v>-1.542487573290194</v>
      </c>
      <c r="P113" t="n">
        <v>105.6871934746456</v>
      </c>
      <c r="Q113" t="n">
        <v>102.8559965195864</v>
      </c>
    </row>
    <row r="114">
      <c r="A114" s="117" t="n">
        <v>44575</v>
      </c>
      <c r="B114" s="118" t="n">
        <v>137.07969638886</v>
      </c>
      <c r="C114" s="118" t="n">
        <v>137.4953945174043</v>
      </c>
      <c r="D114" s="118" t="n">
        <v>135.6570815699891</v>
      </c>
      <c r="E114" s="118" t="n">
        <v>136.8856964111328</v>
      </c>
      <c r="F114" s="119" t="n">
        <v>6030500</v>
      </c>
      <c r="G114" s="120" t="n">
        <v>-0.009425809910974747</v>
      </c>
      <c r="H114" s="121" t="n">
        <v>86.04822991363463</v>
      </c>
      <c r="I114" s="118" t="n">
        <v>153.5223590087891</v>
      </c>
      <c r="J114" s="118" t="n">
        <v/>
      </c>
      <c r="K114" s="120" t="n">
        <v>0.3367490151138184</v>
      </c>
      <c r="L114" s="120" t="n">
        <v>-0.1637296801568933</v>
      </c>
      <c r="M114" s="120" t="n">
        <v>-0.1637296801568928</v>
      </c>
      <c r="N114" t="n">
        <v>29.07970037803895</v>
      </c>
      <c r="O114" t="n">
        <v>-1.552699290144135</v>
      </c>
      <c r="P114" t="n">
        <v>105.7304353042827</v>
      </c>
      <c r="Q114" t="n">
        <v>103.4960488214815</v>
      </c>
    </row>
    <row r="115">
      <c r="A115" s="117" t="n">
        <v>44579</v>
      </c>
      <c r="B115" s="118" t="n">
        <v>136.7748161671616</v>
      </c>
      <c r="C115" s="118" t="n">
        <v>137.4861304623824</v>
      </c>
      <c r="D115" s="118" t="n">
        <v>135.148969016702</v>
      </c>
      <c r="E115" s="118" t="n">
        <v>135.7494201660156</v>
      </c>
      <c r="F115" s="119" t="n">
        <v>6931000</v>
      </c>
      <c r="G115" s="120" t="n">
        <v>-0.008300912914263936</v>
      </c>
      <c r="H115" s="121" t="n">
        <v>85.33395105069498</v>
      </c>
      <c r="I115" s="118" t="n">
        <v>153.0018051147461</v>
      </c>
      <c r="J115" s="118" t="n">
        <v/>
      </c>
      <c r="K115" s="120" t="n">
        <v>0.3367403440135975</v>
      </c>
      <c r="L115" s="120" t="n">
        <v>-0.1706714872546946</v>
      </c>
      <c r="M115" s="120" t="n">
        <v>-0.1706714872546942</v>
      </c>
      <c r="N115" t="n">
        <v>27.91531483632379</v>
      </c>
      <c r="O115" t="n">
        <v>-1.527023491238368</v>
      </c>
      <c r="P115" t="n">
        <v>103.8580050477826</v>
      </c>
      <c r="Q115" t="n">
        <v>100.9196063414339</v>
      </c>
    </row>
    <row r="116">
      <c r="A116" s="117" t="n">
        <v>44580</v>
      </c>
      <c r="B116" s="118" t="n">
        <v>136.4976933626018</v>
      </c>
      <c r="C116" s="118" t="n">
        <v>137.7355689637508</v>
      </c>
      <c r="D116" s="118" t="n">
        <v>133.9665458211004</v>
      </c>
      <c r="E116" s="118" t="n">
        <v>134.0496826171875</v>
      </c>
      <c r="F116" s="119" t="n">
        <v>4823800</v>
      </c>
      <c r="G116" s="120" t="n">
        <v>-0.01252114039787</v>
      </c>
      <c r="H116" s="121" t="n">
        <v>84.26547266888426</v>
      </c>
      <c r="I116" s="118" t="n">
        <v>152.4090798950195</v>
      </c>
      <c r="J116" s="118" t="n">
        <v/>
      </c>
      <c r="K116" s="120" t="n">
        <v>0.3275470608712992</v>
      </c>
      <c r="L116" s="120" t="n">
        <v>-0.1810556259987354</v>
      </c>
      <c r="M116" s="120" t="n">
        <v>-0.1810556259987348</v>
      </c>
      <c r="N116" t="n">
        <v>26.22376592207786</v>
      </c>
      <c r="O116" t="n">
        <v>-1.512678449149826</v>
      </c>
      <c r="P116" t="n">
        <v>102.7795715265982</v>
      </c>
      <c r="Q116" t="n">
        <v>99.81113014675907</v>
      </c>
    </row>
    <row r="117">
      <c r="A117" s="117" t="n">
        <v>44581</v>
      </c>
      <c r="B117" s="118" t="n">
        <v>134.373002979005</v>
      </c>
      <c r="C117" s="118" t="n">
        <v>136.1466583328293</v>
      </c>
      <c r="D117" s="118" t="n">
        <v>131.6386088320093</v>
      </c>
      <c r="E117" s="118" t="n">
        <v>131.85107421875</v>
      </c>
      <c r="F117" s="119" t="n">
        <v>5366500</v>
      </c>
      <c r="G117" s="120" t="n">
        <v>-0.01640144426687062</v>
      </c>
      <c r="H117" s="121" t="n">
        <v>82.88339721528403</v>
      </c>
      <c r="I117" s="118" t="n">
        <v>151.8767660522461</v>
      </c>
      <c r="J117" s="118" t="n">
        <v/>
      </c>
      <c r="K117" s="120" t="n">
        <v>0.221404099993393</v>
      </c>
      <c r="L117" s="120" t="n">
        <v>-0.1944874965065845</v>
      </c>
      <c r="M117" s="120" t="n">
        <v>-0.1944874965065838</v>
      </c>
      <c r="N117" t="n">
        <v>24.18252453630674</v>
      </c>
      <c r="O117" t="n">
        <v>-1.534576368731264</v>
      </c>
      <c r="P117" t="n">
        <v>101.6420014827668</v>
      </c>
      <c r="Q117" t="n">
        <v>98.51474955136365</v>
      </c>
    </row>
    <row r="118">
      <c r="A118" s="117" t="n">
        <v>44582</v>
      </c>
      <c r="B118" s="118" t="n">
        <v>133.3199092164555</v>
      </c>
      <c r="C118" s="118" t="n">
        <v>135.2044138305553</v>
      </c>
      <c r="D118" s="118" t="n">
        <v>131.9619517653313</v>
      </c>
      <c r="E118" s="118" t="n">
        <v>132.0543212890625</v>
      </c>
      <c r="F118" s="119" t="n">
        <v>7553400</v>
      </c>
      <c r="G118" s="120" t="n">
        <v>0.001541489680814356</v>
      </c>
      <c r="H118" s="121" t="n">
        <v>83.01116111680223</v>
      </c>
      <c r="I118" s="118" t="n">
        <v>151.3121853637695</v>
      </c>
      <c r="J118" s="118" t="n">
        <v/>
      </c>
      <c r="K118" s="120" t="n">
        <v>0.223784340475174</v>
      </c>
      <c r="L118" s="120" t="n">
        <v>-0.1932458072946824</v>
      </c>
      <c r="M118" s="120" t="n">
        <v>-0.1932458072946818</v>
      </c>
      <c r="N118" t="n">
        <v>24.76553618279648</v>
      </c>
      <c r="O118" t="n">
        <v>-1.421264334614976</v>
      </c>
      <c r="P118" t="n">
        <v>99.64670096939186</v>
      </c>
      <c r="Q118" t="n">
        <v>95.78305717973721</v>
      </c>
    </row>
    <row r="119">
      <c r="A119" s="117" t="n">
        <v>44585</v>
      </c>
      <c r="B119" s="118" t="n">
        <v>130.0774517791435</v>
      </c>
      <c r="C119" s="118" t="n">
        <v>135.1582414758239</v>
      </c>
      <c r="D119" s="118" t="n">
        <v>128.9227268480798</v>
      </c>
      <c r="E119" s="118" t="n">
        <v>134.8718719482422</v>
      </c>
      <c r="F119" s="119" t="n">
        <v>9733200</v>
      </c>
      <c r="G119" s="120" t="n">
        <v>0.02133630033213496</v>
      </c>
      <c r="H119" s="121" t="n">
        <v>84.78231218130958</v>
      </c>
      <c r="I119" s="118" t="n">
        <v>150.9064965820313</v>
      </c>
      <c r="J119" s="118" t="n">
        <v/>
      </c>
      <c r="K119" s="120" t="n">
        <v>0.2441897090573206</v>
      </c>
      <c r="L119" s="120" t="n">
        <v>-0.1760326575449126</v>
      </c>
      <c r="M119" s="120" t="n">
        <v>-0.1760326575449119</v>
      </c>
      <c r="N119" t="n">
        <v>32.51300959888805</v>
      </c>
      <c r="O119" t="n">
        <v>-1.059067228578295</v>
      </c>
      <c r="P119" t="n">
        <v>100.0698731885382</v>
      </c>
      <c r="Q119" t="n">
        <v>96.22154350055658</v>
      </c>
    </row>
    <row r="120">
      <c r="A120" s="117" t="n">
        <v>44586</v>
      </c>
      <c r="B120" s="118" t="n">
        <v>133.9203568751994</v>
      </c>
      <c r="C120" s="118" t="n">
        <v>136.6824635133427</v>
      </c>
      <c r="D120" s="118" t="n">
        <v>131.6478523966009</v>
      </c>
      <c r="E120" s="118" t="n">
        <v>134.3914794921875</v>
      </c>
      <c r="F120" s="119" t="n">
        <v>8195400</v>
      </c>
      <c r="G120" s="120" t="n">
        <v>-0.003561843170969303</v>
      </c>
      <c r="H120" s="121" t="n">
        <v>84.48033088164759</v>
      </c>
      <c r="I120" s="118" t="n">
        <v>150.5149908447266</v>
      </c>
      <c r="J120" s="118" t="n">
        <v/>
      </c>
      <c r="K120" s="120" t="n">
        <v>0.2353862360658688</v>
      </c>
      <c r="L120" s="120" t="n">
        <v>-0.178967499996738</v>
      </c>
      <c r="M120" s="120" t="n">
        <v>-0.1789674999967373</v>
      </c>
      <c r="N120" t="n">
        <v>31.90965244387837</v>
      </c>
      <c r="O120" t="n">
        <v>-0.7679139485443507</v>
      </c>
      <c r="P120" t="n">
        <v>98.84812915995077</v>
      </c>
      <c r="Q120" t="n">
        <v>93.99098933764492</v>
      </c>
    </row>
    <row r="121">
      <c r="A121" s="117" t="n">
        <v>44587</v>
      </c>
      <c r="B121" s="118" t="n">
        <v>136.5161483951141</v>
      </c>
      <c r="C121" s="118" t="n">
        <v>137.6154483763259</v>
      </c>
      <c r="D121" s="118" t="n">
        <v>131.8510585879397</v>
      </c>
      <c r="E121" s="118" t="n">
        <v>133.0150299072266</v>
      </c>
      <c r="F121" s="119" t="n">
        <v>7444600</v>
      </c>
      <c r="G121" s="120" t="n">
        <v>-0.01024208967831886</v>
      </c>
      <c r="H121" s="121" t="n">
        <v>83.6150757567037</v>
      </c>
      <c r="I121" s="118" t="n">
        <v>150.056858215332</v>
      </c>
      <c r="J121" s="118" t="n">
        <v/>
      </c>
      <c r="K121" s="120" t="n">
        <v>0.2356775620966613</v>
      </c>
      <c r="L121" s="120" t="n">
        <v>-0.1873765884905857</v>
      </c>
      <c r="M121" s="120" t="n">
        <v>-0.187376588490585</v>
      </c>
      <c r="N121" t="n">
        <v>30.18140635994118</v>
      </c>
      <c r="O121" t="n">
        <v>-0.5919863397408704</v>
      </c>
      <c r="P121" t="n">
        <v>98.60013062574549</v>
      </c>
      <c r="Q121" t="n">
        <v>93.8439415205758</v>
      </c>
    </row>
    <row r="122">
      <c r="A122" s="117" t="n">
        <v>44588</v>
      </c>
      <c r="B122" s="118" t="n">
        <v>133.9388223041613</v>
      </c>
      <c r="C122" s="118" t="n">
        <v>136.1189429360106</v>
      </c>
      <c r="D122" s="118" t="n">
        <v>132.6362895585067</v>
      </c>
      <c r="E122" s="118" t="n">
        <v>133.6154937744141</v>
      </c>
      <c r="F122" s="119" t="n">
        <v>6396400</v>
      </c>
      <c r="G122" s="120" t="n">
        <v>0.004514255777007259</v>
      </c>
      <c r="H122" s="121" t="n">
        <v>83.9925355954833</v>
      </c>
      <c r="I122" s="118" t="n">
        <v>149.6151611328125</v>
      </c>
      <c r="J122" s="118" t="n">
        <v/>
      </c>
      <c r="K122" s="120" t="n">
        <v>0.2264128722103719</v>
      </c>
      <c r="L122" s="120" t="n">
        <v>-0.183708198560648</v>
      </c>
      <c r="M122" s="120" t="n">
        <v>-0.1837081985606472</v>
      </c>
      <c r="N122" t="n">
        <v>31.91382830456594</v>
      </c>
      <c r="O122" t="n">
        <v>-0.3699911106319291</v>
      </c>
      <c r="P122" t="n">
        <v>98.11323943067487</v>
      </c>
      <c r="Q122" t="n">
        <v>92.89886602902375</v>
      </c>
    </row>
    <row r="123">
      <c r="A123" s="117" t="n">
        <v>44589</v>
      </c>
      <c r="B123" s="118" t="n">
        <v>133.1350775559367</v>
      </c>
      <c r="C123" s="118" t="n">
        <v>134.8994995258395</v>
      </c>
      <c r="D123" s="118" t="n">
        <v>129.8926170596777</v>
      </c>
      <c r="E123" s="118" t="n">
        <v>134.7886505126953</v>
      </c>
      <c r="F123" s="119" t="n">
        <v>6130200</v>
      </c>
      <c r="G123" s="120" t="n">
        <v>0.00878009507087496</v>
      </c>
      <c r="H123" s="121" t="n">
        <v>84.72999804325551</v>
      </c>
      <c r="I123" s="118" t="n">
        <v>149.141968383789</v>
      </c>
      <c r="J123" s="118" t="n">
        <v/>
      </c>
      <c r="K123" s="120" t="n">
        <v>0.2337481744945445</v>
      </c>
      <c r="L123" s="120" t="n">
        <v>-0.1765410789384346</v>
      </c>
      <c r="M123" s="120" t="n">
        <v>-0.1765410789384341</v>
      </c>
      <c r="N123" t="n">
        <v>35.29209375142847</v>
      </c>
      <c r="O123" t="n">
        <v>-0.09336774063233388</v>
      </c>
      <c r="P123" t="n">
        <v>100.5499460473315</v>
      </c>
      <c r="Q123" t="n">
        <v>95.81301183935284</v>
      </c>
    </row>
    <row r="124">
      <c r="A124" s="117" t="n">
        <v>44592</v>
      </c>
      <c r="B124" s="118" t="n">
        <v>135.1212815980213</v>
      </c>
      <c r="C124" s="118" t="n">
        <v>136.8856903855761</v>
      </c>
      <c r="D124" s="118" t="n">
        <v>134.151309943607</v>
      </c>
      <c r="E124" s="118" t="n">
        <v>136.7840881347656</v>
      </c>
      <c r="F124" s="119" t="n">
        <v>6932200</v>
      </c>
      <c r="G124" s="120" t="n">
        <v>0.01480419615806139</v>
      </c>
      <c r="H124" s="121" t="n">
        <v>85.98435755476001</v>
      </c>
      <c r="I124" s="118" t="n">
        <v>148.7103439331055</v>
      </c>
      <c r="J124" s="118" t="n">
        <v/>
      </c>
      <c r="K124" s="120" t="n">
        <v>0.2459817339982822</v>
      </c>
      <c r="L124" s="120" t="n">
        <v>-0.1643504315429337</v>
      </c>
      <c r="M124" s="120" t="n">
        <v>-0.1643504315429331</v>
      </c>
      <c r="N124" t="n">
        <v>40.68321682423691</v>
      </c>
      <c r="O124" t="n">
        <v>0.2556832845733297</v>
      </c>
      <c r="P124" t="n">
        <v>102.3609596232737</v>
      </c>
      <c r="Q124" t="n">
        <v>98.87696512307045</v>
      </c>
    </row>
    <row r="125">
      <c r="A125" s="117" t="n">
        <v>44593</v>
      </c>
      <c r="B125" s="118" t="n">
        <v>138.1050749113679</v>
      </c>
      <c r="C125" s="118" t="n">
        <v>138.2713485031556</v>
      </c>
      <c r="D125" s="118" t="n">
        <v>135.6108723642277</v>
      </c>
      <c r="E125" s="118" t="n">
        <v>136.9226379394531</v>
      </c>
      <c r="F125" s="119" t="n">
        <v>6695000</v>
      </c>
      <c r="G125" s="120" t="n">
        <v>0.001012908786225175</v>
      </c>
      <c r="H125" s="121" t="n">
        <v>86.07145186600516</v>
      </c>
      <c r="I125" s="118" t="n">
        <v>148.2886819458008</v>
      </c>
      <c r="J125" s="118" t="n">
        <v/>
      </c>
      <c r="K125" s="120" t="n">
        <v>0.2459573661544103</v>
      </c>
      <c r="L125" s="120" t="n">
        <v>-0.1635039947528382</v>
      </c>
      <c r="M125" s="120" t="n">
        <v>-0.1635039947528376</v>
      </c>
      <c r="N125" t="n">
        <v>41.05046086562992</v>
      </c>
      <c r="O125" t="n">
        <v>0.5127477329827288</v>
      </c>
      <c r="P125" t="n">
        <v>103.0525927646088</v>
      </c>
      <c r="Q125" t="n">
        <v>99.54968902176252</v>
      </c>
    </row>
    <row r="126">
      <c r="A126" s="117" t="n">
        <v>44594</v>
      </c>
      <c r="B126" s="118" t="n">
        <v>137.0427286502007</v>
      </c>
      <c r="C126" s="118" t="n">
        <v>138.0681247148279</v>
      </c>
      <c r="D126" s="118" t="n">
        <v>136.2852225052688</v>
      </c>
      <c r="E126" s="118" t="n">
        <v>137.3752899169922</v>
      </c>
      <c r="F126" s="119" t="n">
        <v>5491700</v>
      </c>
      <c r="G126" s="120" t="n">
        <v>0.00330589582811891</v>
      </c>
      <c r="H126" s="121" t="n">
        <v>86.35599511964912</v>
      </c>
      <c r="I126" s="118" t="n">
        <v>147.8109722900391</v>
      </c>
      <c r="J126" s="118" t="n">
        <v/>
      </c>
      <c r="K126" s="120" t="n">
        <v>0.2412199568334312</v>
      </c>
      <c r="L126" s="120" t="n">
        <v>-0.1481171297111974</v>
      </c>
      <c r="M126" s="120" t="n">
        <v>-0.160738626098853</v>
      </c>
      <c r="N126" t="n">
        <v>42.30719103053588</v>
      </c>
      <c r="O126" t="n">
        <v>0.7175576450376502</v>
      </c>
      <c r="P126" t="n">
        <v>104.0536484998591</v>
      </c>
      <c r="Q126" t="n">
        <v>100.3585588134879</v>
      </c>
    </row>
    <row r="127">
      <c r="A127" s="117" t="n">
        <v>44595</v>
      </c>
      <c r="B127" s="118" t="n">
        <v>136.1651323702048</v>
      </c>
      <c r="C127" s="118" t="n">
        <v>137.1443507662002</v>
      </c>
      <c r="D127" s="118" t="n">
        <v>133.9203542965452</v>
      </c>
      <c r="E127" s="118" t="n">
        <v>134.2344360351562</v>
      </c>
      <c r="F127" s="119" t="n">
        <v>5240200</v>
      </c>
      <c r="G127" s="120" t="n">
        <v>-0.02286331030663358</v>
      </c>
      <c r="H127" s="121" t="n">
        <v>84.38161120639045</v>
      </c>
      <c r="I127" s="118" t="n">
        <v>147.2822485351562</v>
      </c>
      <c r="J127" s="118" t="n">
        <v/>
      </c>
      <c r="K127" s="120" t="n">
        <v>0.2391661188040732</v>
      </c>
      <c r="L127" s="120" t="n">
        <v>-0.1675939921195161</v>
      </c>
      <c r="M127" s="120" t="n">
        <v>-0.1799269193187265</v>
      </c>
      <c r="N127" t="n">
        <v>36.49357864172786</v>
      </c>
      <c r="O127" t="n">
        <v>0.647914344141503</v>
      </c>
      <c r="P127" t="n">
        <v>101.6078581473179</v>
      </c>
      <c r="Q127" t="n">
        <v>96.28962926281467</v>
      </c>
    </row>
    <row r="128">
      <c r="A128" s="117" t="n">
        <v>44596</v>
      </c>
      <c r="B128" s="118" t="n">
        <v>134.2898548091773</v>
      </c>
      <c r="C128" s="118" t="n">
        <v>135.3152508730765</v>
      </c>
      <c r="D128" s="118" t="n">
        <v>132.6917198234505</v>
      </c>
      <c r="E128" s="118" t="n">
        <v>134.3083343505859</v>
      </c>
      <c r="F128" s="119" t="n">
        <v>4313400</v>
      </c>
      <c r="G128" s="120" t="n">
        <v>0.0005505168242396774</v>
      </c>
      <c r="H128" s="121" t="n">
        <v>84.42806470301602</v>
      </c>
      <c r="I128" s="118" t="n">
        <v>146.793547668457</v>
      </c>
      <c r="J128" s="118" t="n">
        <v/>
      </c>
      <c r="K128" s="120" t="n">
        <v>0.239935672474574</v>
      </c>
      <c r="L128" s="120" t="n">
        <v>-0.1671357386075796</v>
      </c>
      <c r="M128" s="120" t="n">
        <v>-0.1794754552907054</v>
      </c>
      <c r="N128" t="n">
        <v>36.71392785904995</v>
      </c>
      <c r="O128" t="n">
        <v>0.6135811504553015</v>
      </c>
      <c r="P128" t="n">
        <v>102.0856656065039</v>
      </c>
      <c r="Q128" t="n">
        <v>97.5043308662177</v>
      </c>
    </row>
    <row r="129">
      <c r="A129" s="117" t="n">
        <v>44599</v>
      </c>
      <c r="B129" s="118" t="n">
        <v>134.2251548945262</v>
      </c>
      <c r="C129" s="118" t="n">
        <v>134.982646702392</v>
      </c>
      <c r="D129" s="118" t="n">
        <v>133.2274714119729</v>
      </c>
      <c r="E129" s="118" t="n">
        <v>134.0773468017578</v>
      </c>
      <c r="F129" s="119" t="n">
        <v>3877500</v>
      </c>
      <c r="G129" s="120" t="n">
        <v>-0.001719830343701378</v>
      </c>
      <c r="H129" s="121" t="n">
        <v>84.28286275547978</v>
      </c>
      <c r="I129" s="118" t="n">
        <v>146.3024398803711</v>
      </c>
      <c r="J129" s="118" t="n">
        <v/>
      </c>
      <c r="K129" s="120" t="n">
        <v>0.2277850825909535</v>
      </c>
      <c r="L129" s="120" t="n">
        <v>-0.1685681238365068</v>
      </c>
      <c r="M129" s="120" t="n">
        <v>-0.1808866183004482</v>
      </c>
      <c r="N129" t="n">
        <v>36.29006985270095</v>
      </c>
      <c r="O129" t="n">
        <v>0.5823238714992374</v>
      </c>
      <c r="P129" t="n">
        <v>101.7580386450608</v>
      </c>
      <c r="Q129" t="n">
        <v>96.71993914060717</v>
      </c>
    </row>
    <row r="130">
      <c r="A130" s="117" t="n">
        <v>44600</v>
      </c>
      <c r="B130" s="118" t="n">
        <v>133.7078982091566</v>
      </c>
      <c r="C130" s="118" t="n">
        <v>134.4099658083204</v>
      </c>
      <c r="D130" s="118" t="n">
        <v>131.4538731595234</v>
      </c>
      <c r="E130" s="118" t="n">
        <v>132.5901184082031</v>
      </c>
      <c r="F130" s="119" t="n">
        <v>5829400</v>
      </c>
      <c r="G130" s="120" t="n">
        <v>-0.0110923167039817</v>
      </c>
      <c r="H130" s="121" t="n">
        <v>83.34797054907777</v>
      </c>
      <c r="I130" s="118" t="n">
        <v>145.8555413818359</v>
      </c>
      <c r="J130" s="118" t="n">
        <v/>
      </c>
      <c r="K130" s="120" t="n">
        <v>0.1817468896070634</v>
      </c>
      <c r="L130" s="120" t="n">
        <v>-0.177790629524698</v>
      </c>
      <c r="M130" s="120" t="n">
        <v>-0.189972483346729</v>
      </c>
      <c r="N130" t="n">
        <v>33.60034957035717</v>
      </c>
      <c r="O130" t="n">
        <v>0.4731354847208049</v>
      </c>
      <c r="P130" t="n">
        <v>102.5952845891654</v>
      </c>
      <c r="Q130" t="n">
        <v>97.80665420634851</v>
      </c>
    </row>
    <row r="131">
      <c r="A131" s="117" t="n">
        <v>44601</v>
      </c>
      <c r="B131" s="118" t="n">
        <v>134.9734686960058</v>
      </c>
      <c r="C131" s="118" t="n">
        <v>136.1281934593021</v>
      </c>
      <c r="D131" s="118" t="n">
        <v>134.5670033240037</v>
      </c>
      <c r="E131" s="118" t="n">
        <v>135.1120300292969</v>
      </c>
      <c r="F131" s="119" t="n">
        <v>4551000</v>
      </c>
      <c r="G131" s="120" t="n">
        <v>0.01902035876708075</v>
      </c>
      <c r="H131" s="121" t="n">
        <v>84.93327885142932</v>
      </c>
      <c r="I131" s="118" t="n">
        <v>145.424963684082</v>
      </c>
      <c r="J131" s="118" t="n">
        <v/>
      </c>
      <c r="K131" s="120" t="n">
        <v>0.1968870986234585</v>
      </c>
      <c r="L131" s="120" t="n">
        <v>-0.1621519123166021</v>
      </c>
      <c r="M131" s="120" t="n">
        <v>-0.1745654693687763</v>
      </c>
      <c r="N131" t="n">
        <v>41.51610681419177</v>
      </c>
      <c r="O131" t="n">
        <v>0.5756008031735225</v>
      </c>
      <c r="P131" t="n">
        <v>104.0968829503443</v>
      </c>
      <c r="Q131" t="n">
        <v>99.87921590901715</v>
      </c>
    </row>
    <row r="132">
      <c r="A132" s="117" t="n">
        <v>44602</v>
      </c>
      <c r="B132" s="118" t="n">
        <v>132.987332945031</v>
      </c>
      <c r="C132" s="118" t="n">
        <v>136.2944518948856</v>
      </c>
      <c r="D132" s="118" t="n">
        <v>132.8857166133365</v>
      </c>
      <c r="E132" s="118" t="n">
        <v>133.7817840576172</v>
      </c>
      <c r="F132" s="119" t="n">
        <v>5142600</v>
      </c>
      <c r="G132" s="120" t="n">
        <v>-0.009845503552801671</v>
      </c>
      <c r="H132" s="121" t="n">
        <v>84.09706795274647</v>
      </c>
      <c r="I132" s="118" t="n">
        <v>144.9793991088867</v>
      </c>
      <c r="J132" s="118" t="n">
        <v/>
      </c>
      <c r="K132" s="120" t="n">
        <v>0.1918334208781607</v>
      </c>
      <c r="L132" s="120" t="n">
        <v>-0.1704009486405971</v>
      </c>
      <c r="M132" s="120" t="n">
        <v>-0.1826922879727112</v>
      </c>
      <c r="N132" t="n">
        <v>38.88297311073681</v>
      </c>
      <c r="O132" t="n">
        <v>0.5582075534515472</v>
      </c>
      <c r="P132" t="n">
        <v>102.2267254726033</v>
      </c>
      <c r="Q132" t="n">
        <v>97.61872417414511</v>
      </c>
    </row>
    <row r="133">
      <c r="A133" s="117" t="n">
        <v>44603</v>
      </c>
      <c r="B133" s="118" t="n">
        <v>133.7263347796399</v>
      </c>
      <c r="C133" s="118" t="n">
        <v>134.0034714890668</v>
      </c>
      <c r="D133" s="118" t="n">
        <v>128.9226835006886</v>
      </c>
      <c r="E133" s="118" t="n">
        <v>129.4954223632812</v>
      </c>
      <c r="F133" s="119" t="n">
        <v>6710500</v>
      </c>
      <c r="G133" s="120" t="n">
        <v>-0.03203995016608452</v>
      </c>
      <c r="H133" s="121" t="n">
        <v>81.40260208642665</v>
      </c>
      <c r="I133" s="118" t="n">
        <v>144.4949517822266</v>
      </c>
      <c r="J133" s="118" t="n">
        <v/>
      </c>
      <c r="K133" s="120" t="n">
        <v>0.2130485934180693</v>
      </c>
      <c r="L133" s="120" t="n">
        <v>-0.1969812609039834</v>
      </c>
      <c r="M133" s="120" t="n">
        <v>-0.2088787863364221</v>
      </c>
      <c r="N133" t="n">
        <v>31.86897118321173</v>
      </c>
      <c r="O133" t="n">
        <v>0.276676390812709</v>
      </c>
      <c r="P133" t="n">
        <v>100.2109330546375</v>
      </c>
      <c r="Q133" t="n">
        <v>94.5220736621477</v>
      </c>
    </row>
    <row r="134">
      <c r="A134" s="117" t="n">
        <v>44606</v>
      </c>
      <c r="B134" s="118" t="n">
        <v>129.4031014533041</v>
      </c>
      <c r="C134" s="118" t="n">
        <v>132.2945373049999</v>
      </c>
      <c r="D134" s="118" t="n">
        <v>129.135197365138</v>
      </c>
      <c r="E134" s="118" t="n">
        <v>130.7980041503906</v>
      </c>
      <c r="F134" s="119" t="n">
        <v>6841200</v>
      </c>
      <c r="G134" s="120" t="n">
        <v>0.01005890218617278</v>
      </c>
      <c r="H134" s="121" t="n">
        <v>82.22142289851396</v>
      </c>
      <c r="I134" s="118" t="n">
        <v>143.9756958007812</v>
      </c>
      <c r="J134" s="118" t="n">
        <v/>
      </c>
      <c r="K134" s="120" t="n">
        <v>0.2166413433033303</v>
      </c>
      <c r="L134" s="120" t="n">
        <v>-0.1889037739537527</v>
      </c>
      <c r="M134" s="120" t="n">
        <v>-0.2009209754307739</v>
      </c>
      <c r="N134" t="n">
        <v>35.66685825074755</v>
      </c>
      <c r="O134" t="n">
        <v>0.2003897450472882</v>
      </c>
      <c r="P134" t="n">
        <v>99.88332085149804</v>
      </c>
      <c r="Q134" t="n">
        <v>94.63920099491166</v>
      </c>
    </row>
    <row r="135">
      <c r="A135" s="117" t="n">
        <v>44607</v>
      </c>
      <c r="B135" s="118" t="n">
        <v>133.2275303075529</v>
      </c>
      <c r="C135" s="118" t="n">
        <v>135.1674736193965</v>
      </c>
      <c r="D135" s="118" t="n">
        <v>133.1166812368516</v>
      </c>
      <c r="E135" s="118" t="n">
        <v>134.4838714599609</v>
      </c>
      <c r="F135" s="119" t="n">
        <v>7820200</v>
      </c>
      <c r="G135" s="120" t="n">
        <v>0.02817984367202064</v>
      </c>
      <c r="H135" s="121" t="n">
        <v>84.53840974228518</v>
      </c>
      <c r="I135" s="118" t="n">
        <v>143.520087890625</v>
      </c>
      <c r="J135" s="118" t="n">
        <v/>
      </c>
      <c r="K135" s="120" t="n">
        <v>0.2403788406413936</v>
      </c>
      <c r="L135" s="120" t="n">
        <v>-0.1660472091008036</v>
      </c>
      <c r="M135" s="120" t="n">
        <v>-0.1784030534368224</v>
      </c>
      <c r="N135" t="n">
        <v>45.0082947338958</v>
      </c>
      <c r="O135" t="n">
        <v>0.4083844437300508</v>
      </c>
      <c r="P135" t="n">
        <v>101.4941085220865</v>
      </c>
      <c r="Q135" t="n">
        <v>96.99229927729475</v>
      </c>
    </row>
    <row r="136">
      <c r="A136" s="117" t="n">
        <v>44608</v>
      </c>
      <c r="B136" s="118" t="n">
        <v>133.9665361207323</v>
      </c>
      <c r="C136" s="118" t="n">
        <v>135.7494241768312</v>
      </c>
      <c r="D136" s="118" t="n">
        <v>133.587783060524</v>
      </c>
      <c r="E136" s="118" t="n">
        <v>135.3244934082031</v>
      </c>
      <c r="F136" s="119" t="n">
        <v>4817500</v>
      </c>
      <c r="G136" s="120" t="n">
        <v>0.006250726864986733</v>
      </c>
      <c r="H136" s="121" t="n">
        <v>85.06683625118454</v>
      </c>
      <c r="I136" s="118" t="n">
        <v>143.1058645629883</v>
      </c>
      <c r="J136" s="118" t="n">
        <v/>
      </c>
      <c r="K136" s="120" t="n">
        <v>0.2369935861724048</v>
      </c>
      <c r="L136" s="120" t="n">
        <v>-0.157752112831218</v>
      </c>
      <c r="M136" s="120" t="n">
        <v>-0.1732674753307489</v>
      </c>
      <c r="N136" t="n">
        <v>46.90195954928919</v>
      </c>
      <c r="O136" t="n">
        <v>0.6011500531652652</v>
      </c>
      <c r="P136" t="n">
        <v>101.6078581473178</v>
      </c>
      <c r="Q136" t="n">
        <v>96.96780412352464</v>
      </c>
    </row>
    <row r="137">
      <c r="A137" s="117" t="n">
        <v>44609</v>
      </c>
      <c r="B137" s="118" t="n">
        <v>134.4469038172795</v>
      </c>
      <c r="C137" s="118" t="n">
        <v>135.7124917088873</v>
      </c>
      <c r="D137" s="118" t="n">
        <v>131.7679480768818</v>
      </c>
      <c r="E137" s="118" t="n">
        <v>131.9157562255859</v>
      </c>
      <c r="F137" s="119" t="n">
        <v>5202300</v>
      </c>
      <c r="G137" s="120" t="n">
        <v>-0.02518935853197557</v>
      </c>
      <c r="H137" s="121" t="n">
        <v>82.9240572136726</v>
      </c>
      <c r="I137" s="118" t="n">
        <v>142.5794952392578</v>
      </c>
      <c r="J137" s="118" t="n">
        <v/>
      </c>
      <c r="K137" s="120" t="n">
        <v>0.2471790059890307</v>
      </c>
      <c r="L137" s="120" t="n">
        <v>-0.1689999409808677</v>
      </c>
      <c r="M137" s="120" t="n">
        <v>-0.194092337304688</v>
      </c>
      <c r="N137" t="n">
        <v>40.77092254101919</v>
      </c>
      <c r="O137" t="n">
        <v>0.5017109576949412</v>
      </c>
      <c r="P137" t="n">
        <v>99.43739132815361</v>
      </c>
      <c r="Q137" t="n">
        <v>94.08360442898356</v>
      </c>
    </row>
    <row r="138">
      <c r="A138" s="117" t="n">
        <v>44610</v>
      </c>
      <c r="B138" s="118" t="n">
        <v>132.4423071185606</v>
      </c>
      <c r="C138" s="118" t="n">
        <v>132.9688683772976</v>
      </c>
      <c r="D138" s="118" t="n">
        <v>131.00121286735</v>
      </c>
      <c r="E138" s="118" t="n">
        <v>132.0543212890625</v>
      </c>
      <c r="F138" s="119" t="n">
        <v>5177400</v>
      </c>
      <c r="G138" s="120" t="n">
        <v>0.001050405709228652</v>
      </c>
      <c r="H138" s="121" t="n">
        <v>83.01116111680224</v>
      </c>
      <c r="I138" s="118" t="n">
        <v>142.0751107788086</v>
      </c>
      <c r="J138" s="118" t="n">
        <v/>
      </c>
      <c r="K138" s="120" t="n">
        <v>0.2471482223009825</v>
      </c>
      <c r="L138" s="120" t="n">
        <v>-0.1675468478490368</v>
      </c>
      <c r="M138" s="120" t="n">
        <v>-0.1932458072946818</v>
      </c>
      <c r="N138" t="n">
        <v>41.10793398654685</v>
      </c>
      <c r="O138" t="n">
        <v>0.449573417278113</v>
      </c>
      <c r="P138" t="n">
        <v>98.79352343651824</v>
      </c>
      <c r="Q138" t="n">
        <v>93.01053385594221</v>
      </c>
    </row>
    <row r="139">
      <c r="A139" s="117" t="n">
        <v>44614</v>
      </c>
      <c r="B139" s="118" t="n">
        <v>130.7979729282972</v>
      </c>
      <c r="C139" s="118" t="n">
        <v>130.8441647354821</v>
      </c>
      <c r="D139" s="118" t="n">
        <v>125.7818555939003</v>
      </c>
      <c r="E139" s="118" t="n">
        <v>127.6571273803711</v>
      </c>
      <c r="F139" s="119" t="n">
        <v>9604500</v>
      </c>
      <c r="G139" s="120" t="n">
        <v>-0.03329837195608387</v>
      </c>
      <c r="H139" s="121" t="n">
        <v>80.24702459742856</v>
      </c>
      <c r="I139" s="118" t="n">
        <v>141.5225056457519</v>
      </c>
      <c r="J139" s="118" t="n">
        <v/>
      </c>
      <c r="K139" s="120" t="n">
        <v>0.2606495955699182</v>
      </c>
      <c r="L139" s="120" t="n">
        <v>-0.1932394558245596</v>
      </c>
      <c r="M139" s="120" t="n">
        <v>-0.2201094084805136</v>
      </c>
      <c r="N139" t="n">
        <v>34.41567770073289</v>
      </c>
      <c r="O139" t="n">
        <v>0.1393305012061514</v>
      </c>
      <c r="P139" t="n">
        <v>97.73330166201374</v>
      </c>
      <c r="Q139" t="n">
        <v>92.07635174459836</v>
      </c>
    </row>
    <row r="140">
      <c r="A140" s="117" t="n">
        <v>44615</v>
      </c>
      <c r="B140" s="118" t="n">
        <v>129.0151325117251</v>
      </c>
      <c r="C140" s="118" t="n">
        <v>130.2252821908051</v>
      </c>
      <c r="D140" s="118" t="n">
        <v>126.1052167310841</v>
      </c>
      <c r="E140" s="118" t="n">
        <v>126.4008331298828</v>
      </c>
      <c r="F140" s="119" t="n">
        <v>7636600</v>
      </c>
      <c r="G140" s="120" t="n">
        <v>-0.009841160272586968</v>
      </c>
      <c r="H140" s="121" t="n">
        <v>79.45730076696704</v>
      </c>
      <c r="I140" s="118" t="n">
        <v>140.9270384216309</v>
      </c>
      <c r="J140" s="118" t="n">
        <v/>
      </c>
      <c r="K140" s="120" t="n">
        <v>0.2619017690398243</v>
      </c>
      <c r="L140" s="120" t="n">
        <v>-0.2011789156413896</v>
      </c>
      <c r="M140" s="120" t="n">
        <v>-0.2277844367867395</v>
      </c>
      <c r="N140" t="n">
        <v>32.77403994992886</v>
      </c>
      <c r="O140" t="n">
        <v>-0.1162971016054444</v>
      </c>
      <c r="P140" t="n">
        <v>95.999658492854</v>
      </c>
      <c r="Q140" t="n">
        <v>89.7178195878526</v>
      </c>
    </row>
    <row r="141">
      <c r="A141" s="117" t="n">
        <v>44616</v>
      </c>
      <c r="B141" s="118" t="n">
        <v>122.8627067715007</v>
      </c>
      <c r="C141" s="118" t="n">
        <v>126.945811575724</v>
      </c>
      <c r="D141" s="118" t="n">
        <v>120.9504759227011</v>
      </c>
      <c r="E141" s="118" t="n">
        <v>126.7148666381836</v>
      </c>
      <c r="F141" s="119" t="n">
        <v>8417200</v>
      </c>
      <c r="G141" s="120" t="n">
        <v>0.00248442593711462</v>
      </c>
      <c r="H141" s="121" t="n">
        <v>79.65470654588562</v>
      </c>
      <c r="I141" s="118" t="n">
        <v>140.3788677978516</v>
      </c>
      <c r="J141" s="118" t="n">
        <v/>
      </c>
      <c r="K141" s="120" t="n">
        <v>0.2610840455563063</v>
      </c>
      <c r="L141" s="120" t="n">
        <v>-0.1991943038202949</v>
      </c>
      <c r="M141" s="120" t="n">
        <v>-0.2258659244124489</v>
      </c>
      <c r="N141" t="n">
        <v>33.62632752021446</v>
      </c>
      <c r="O141" t="n">
        <v>-0.2238127491829491</v>
      </c>
      <c r="P141" t="n">
        <v>97.44437835184138</v>
      </c>
      <c r="Q141" t="n">
        <v>92.73271421340911</v>
      </c>
    </row>
    <row r="142">
      <c r="A142" s="117" t="n">
        <v>44617</v>
      </c>
      <c r="B142" s="118" t="n">
        <v>127.6017416709732</v>
      </c>
      <c r="C142" s="118" t="n">
        <v>128.608658533445</v>
      </c>
      <c r="D142" s="118" t="n">
        <v>125.8096061347485</v>
      </c>
      <c r="E142" s="118" t="n">
        <v>128.2206726074219</v>
      </c>
      <c r="F142" s="119" t="n">
        <v>5424500</v>
      </c>
      <c r="G142" s="120" t="n">
        <v>0.01188341991108199</v>
      </c>
      <c r="H142" s="121" t="n">
        <v>80.60127687166438</v>
      </c>
      <c r="I142" s="118" t="n">
        <v>139.8874182128906</v>
      </c>
      <c r="J142" s="118" t="n">
        <v/>
      </c>
      <c r="K142" s="120" t="n">
        <v>0.2649149783506611</v>
      </c>
      <c r="L142" s="120" t="n">
        <v>-0.1896779934654051</v>
      </c>
      <c r="M142" s="120" t="n">
        <v>-0.2166665641247648</v>
      </c>
      <c r="N142" t="n">
        <v>37.70465806847007</v>
      </c>
      <c r="O142" t="n">
        <v>-0.156292295930605</v>
      </c>
      <c r="P142" t="n">
        <v>99.59438278302204</v>
      </c>
      <c r="Q142" t="n">
        <v>94.17076001447668</v>
      </c>
    </row>
    <row r="143">
      <c r="A143" s="117" t="n">
        <v>44620</v>
      </c>
      <c r="B143" s="118" t="n">
        <v>126.6132812214601</v>
      </c>
      <c r="C143" s="118" t="n">
        <v>127.8326775554214</v>
      </c>
      <c r="D143" s="118" t="n">
        <v>124.7472417236241</v>
      </c>
      <c r="E143" s="118" t="n">
        <v>126.1421585083008</v>
      </c>
      <c r="F143" s="119" t="n">
        <v>6613300</v>
      </c>
      <c r="G143" s="120" t="n">
        <v>-0.01621044451611142</v>
      </c>
      <c r="H143" s="121" t="n">
        <v>79.29469434500854</v>
      </c>
      <c r="I143" s="118" t="n">
        <v>139.3821110534668</v>
      </c>
      <c r="J143" s="118" t="n">
        <v/>
      </c>
      <c r="K143" s="120" t="n">
        <v>0.2663686097766019</v>
      </c>
      <c r="L143" s="120" t="n">
        <v>-0.2028136733925182</v>
      </c>
      <c r="M143" s="120" t="n">
        <v>-0.2293647473246352</v>
      </c>
      <c r="N143" t="n">
        <v>34.54899493607518</v>
      </c>
      <c r="O143" t="n">
        <v>-0.2109888508030107</v>
      </c>
      <c r="P143" t="n">
        <v>99.3395585333877</v>
      </c>
      <c r="Q143" t="n">
        <v>94.45126241888065</v>
      </c>
    </row>
    <row r="144">
      <c r="A144" s="117" t="n">
        <v>44621</v>
      </c>
      <c r="B144" s="118" t="n">
        <v>126.2991752327275</v>
      </c>
      <c r="C144" s="118" t="n">
        <v>126.3268874990335</v>
      </c>
      <c r="D144" s="118" t="n">
        <v>121.1537149869112</v>
      </c>
      <c r="E144" s="118" t="n">
        <v>122.1421661376953</v>
      </c>
      <c r="F144" s="119" t="n">
        <v>6534000</v>
      </c>
      <c r="G144" s="120" t="n">
        <v>-0.0317101944180086</v>
      </c>
      <c r="H144" s="121" t="n">
        <v>76.78024417101174</v>
      </c>
      <c r="I144" s="118" t="n">
        <v>138.8186054992676</v>
      </c>
      <c r="J144" s="118" t="n">
        <v/>
      </c>
      <c r="K144" s="120" t="n">
        <v>0.2757350300681345</v>
      </c>
      <c r="L144" s="120" t="n">
        <v>-0.2280926067966197</v>
      </c>
      <c r="M144" s="120" t="n">
        <v>-0.2538017410123421</v>
      </c>
      <c r="N144" t="n">
        <v>29.44211642306523</v>
      </c>
      <c r="O144" t="n">
        <v>-0.4615647429358019</v>
      </c>
      <c r="P144" t="n">
        <v>97.82658889926154</v>
      </c>
      <c r="Q144" t="n">
        <v>93.0050914377519</v>
      </c>
    </row>
    <row r="145">
      <c r="A145" s="117" t="n">
        <v>44622</v>
      </c>
      <c r="B145" s="118" t="n">
        <v>122.8442521871794</v>
      </c>
      <c r="C145" s="118" t="n">
        <v>126.1975778721836</v>
      </c>
      <c r="D145" s="118" t="n">
        <v>122.6502662938603</v>
      </c>
      <c r="E145" s="118" t="n">
        <v>125.3384552001953</v>
      </c>
      <c r="F145" s="119" t="n">
        <v>7743900</v>
      </c>
      <c r="G145" s="120" t="n">
        <v>0.02616859650987946</v>
      </c>
      <c r="H145" s="121" t="n">
        <v>78.78947540065298</v>
      </c>
      <c r="I145" s="118" t="n">
        <v>138.3441520690918</v>
      </c>
      <c r="J145" s="118" t="n">
        <v/>
      </c>
      <c r="K145" s="120" t="n">
        <v>0.2972366304121747</v>
      </c>
      <c r="L145" s="120" t="n">
        <v>-0.2078928736808875</v>
      </c>
      <c r="M145" s="120" t="n">
        <v>-0.2342747798565197</v>
      </c>
      <c r="N145" t="n">
        <v>37.4043649252241</v>
      </c>
      <c r="O145" t="n">
        <v>-0.3614765378780778</v>
      </c>
      <c r="P145" t="n">
        <v>99.626209064801</v>
      </c>
      <c r="Q145" t="n">
        <v>94.56564718298044</v>
      </c>
    </row>
    <row r="146">
      <c r="A146" s="117" t="n">
        <v>44623</v>
      </c>
      <c r="B146" s="118" t="n">
        <v>126.3176710105297</v>
      </c>
      <c r="C146" s="118" t="n">
        <v>126.3730955502651</v>
      </c>
      <c r="D146" s="118" t="n">
        <v>123.2784271879159</v>
      </c>
      <c r="E146" s="118" t="n">
        <v>123.7587966918945</v>
      </c>
      <c r="F146" s="119" t="n">
        <v>4576500</v>
      </c>
      <c r="G146" s="120" t="n">
        <v>-0.01260314327137424</v>
      </c>
      <c r="H146" s="121" t="n">
        <v>77.79648035390213</v>
      </c>
      <c r="I146" s="118" t="n">
        <v>137.9190298461914</v>
      </c>
      <c r="J146" s="118" t="n">
        <v/>
      </c>
      <c r="K146" s="120" t="n">
        <v>0.2972423309659059</v>
      </c>
      <c r="L146" s="120" t="n">
        <v>-0.2178759132801639</v>
      </c>
      <c r="M146" s="120" t="n">
        <v>-0.2439253245124925</v>
      </c>
      <c r="N146" t="n">
        <v>35.28510860688654</v>
      </c>
      <c r="O146" t="n">
        <v>-0.3508115976260466</v>
      </c>
      <c r="P146" t="n">
        <v>99.13025627130132</v>
      </c>
      <c r="Q146" t="n">
        <v>93.21480823037169</v>
      </c>
    </row>
    <row r="147">
      <c r="A147" s="117" t="n">
        <v>44624</v>
      </c>
      <c r="B147" s="118" t="n">
        <v>122.6893637516319</v>
      </c>
      <c r="C147" s="118" t="n">
        <v>123.7170995775581</v>
      </c>
      <c r="D147" s="118" t="n">
        <v>121.0135094156451</v>
      </c>
      <c r="E147" s="118" t="n">
        <v>121.4579315185547</v>
      </c>
      <c r="F147" s="119" t="n">
        <v>7084500</v>
      </c>
      <c r="G147" s="120" t="n">
        <v>-0.01859152831833033</v>
      </c>
      <c r="H147" s="121" t="n">
        <v>76.35012488633613</v>
      </c>
      <c r="I147" s="118" t="n">
        <v>137.2695999145508</v>
      </c>
      <c r="J147" s="118" t="n">
        <v/>
      </c>
      <c r="K147" s="120" t="n">
        <v>0.2942160723909359</v>
      </c>
      <c r="L147" s="120" t="n">
        <v>-0.2277281468396626</v>
      </c>
      <c r="M147" s="120" t="n">
        <v>-0.2579819082525909</v>
      </c>
      <c r="N147" t="n">
        <v>32.40514004617891</v>
      </c>
      <c r="O147" t="n">
        <v>-0.441980655028281</v>
      </c>
      <c r="P147" t="n">
        <v>98.32483660897573</v>
      </c>
      <c r="Q147" t="n">
        <v>91.86393510245246</v>
      </c>
    </row>
    <row r="148">
      <c r="A148" s="117" t="n">
        <v>44627</v>
      </c>
      <c r="B148" s="118" t="n">
        <v>121.2912732824053</v>
      </c>
      <c r="C148" s="118" t="n">
        <v>121.3190487796407</v>
      </c>
      <c r="D148" s="118" t="n">
        <v>114.9674593998879</v>
      </c>
      <c r="E148" s="118" t="n">
        <v>115.2174530029297</v>
      </c>
      <c r="F148" s="119" t="n">
        <v>11383400</v>
      </c>
      <c r="G148" s="120" t="n">
        <v>-0.05137975295315866</v>
      </c>
      <c r="H148" s="121" t="n">
        <v>72.42727433173337</v>
      </c>
      <c r="I148" s="118" t="n">
        <v>136.517346496582</v>
      </c>
      <c r="J148" s="118" t="n">
        <v/>
      </c>
      <c r="K148" s="120" t="n">
        <v>0.3363594512386608</v>
      </c>
      <c r="L148" s="120" t="n">
        <v>-0.2622503769406879</v>
      </c>
      <c r="M148" s="120" t="n">
        <v>-0.296106614493347</v>
      </c>
      <c r="N148" t="n">
        <v>26.16692452141268</v>
      </c>
      <c r="O148" t="n">
        <v>-0.842607613202329</v>
      </c>
      <c r="P148" t="n">
        <v>95.42630577596468</v>
      </c>
      <c r="Q148" t="n">
        <v>88.4758888058429</v>
      </c>
    </row>
    <row r="149">
      <c r="A149" s="117" t="n">
        <v>44628</v>
      </c>
      <c r="B149" s="118" t="n">
        <v>115.958171005851</v>
      </c>
      <c r="C149" s="118" t="n">
        <v>116.1711282802853</v>
      </c>
      <c r="D149" s="118" t="n">
        <v>111.8472345122527</v>
      </c>
      <c r="E149" s="118" t="n">
        <v>112.2268447875977</v>
      </c>
      <c r="F149" s="119" t="n">
        <v>9089400</v>
      </c>
      <c r="G149" s="120" t="n">
        <v>-0.02595620834680301</v>
      </c>
      <c r="H149" s="121" t="n">
        <v>70.54733690918783</v>
      </c>
      <c r="I149" s="118" t="n">
        <v>135.7010310363769</v>
      </c>
      <c r="J149" s="118" t="n">
        <v/>
      </c>
      <c r="K149" s="120" t="n">
        <v>0.3418676598091818</v>
      </c>
      <c r="L149" s="120" t="n">
        <v>-0.2813995598645909</v>
      </c>
      <c r="M149" s="120" t="n">
        <v>-0.3143770178614942</v>
      </c>
      <c r="N149" t="n">
        <v>23.80215378561236</v>
      </c>
      <c r="O149" t="n">
        <v>-1.206875657764621</v>
      </c>
      <c r="P149" t="n">
        <v>94.70282421539508</v>
      </c>
      <c r="Q149" t="n">
        <v>88.06464020745781</v>
      </c>
    </row>
    <row r="150">
      <c r="A150" s="117" t="n">
        <v>44629</v>
      </c>
      <c r="B150" s="118" t="n">
        <v>117.939574872042</v>
      </c>
      <c r="C150" s="118" t="n">
        <v>120.0413368819091</v>
      </c>
      <c r="D150" s="118" t="n">
        <v>117.245159084153</v>
      </c>
      <c r="E150" s="118" t="n">
        <v>117.5414428710938</v>
      </c>
      <c r="F150" s="119" t="n">
        <v>8845100</v>
      </c>
      <c r="G150" s="120" t="n">
        <v>0.04735585406107234</v>
      </c>
      <c r="H150" s="121" t="n">
        <v>73.88816630025664</v>
      </c>
      <c r="I150" s="118" t="n">
        <v>134.9557197570801</v>
      </c>
      <c r="J150" s="118" t="n">
        <v/>
      </c>
      <c r="K150" s="120" t="n">
        <v>0.3951007600227536</v>
      </c>
      <c r="L150" s="120" t="n">
        <v>-0.2461210671553691</v>
      </c>
      <c r="M150" s="120" t="n">
        <v>-0.2819087559784259</v>
      </c>
      <c r="N150" t="n">
        <v>35.03768127276977</v>
      </c>
      <c r="O150" t="n">
        <v>-0.9964895295790663</v>
      </c>
      <c r="P150" t="n">
        <v>97.24187966772861</v>
      </c>
      <c r="Q150" t="n">
        <v>91.2348188999036</v>
      </c>
    </row>
    <row r="151">
      <c r="A151" s="117" t="n">
        <v>44630</v>
      </c>
      <c r="B151" s="118" t="n">
        <v>114.8285998076252</v>
      </c>
      <c r="C151" s="118" t="n">
        <v>117.2173919845333</v>
      </c>
      <c r="D151" s="118" t="n">
        <v>114.810085160098</v>
      </c>
      <c r="E151" s="118" t="n">
        <v>116.6896362304688</v>
      </c>
      <c r="F151" s="119" t="n">
        <v>7167400</v>
      </c>
      <c r="G151" s="120" t="n">
        <v>-0.007246862211476857</v>
      </c>
      <c r="H151" s="121" t="n">
        <v>73.35270894001999</v>
      </c>
      <c r="I151" s="118" t="n">
        <v>134.214803314209</v>
      </c>
      <c r="J151" s="118" t="n">
        <v/>
      </c>
      <c r="K151" s="120" t="n">
        <v>0.3841435947137034</v>
      </c>
      <c r="L151" s="120" t="n">
        <v>-0.2515843239058293</v>
      </c>
      <c r="M151" s="120" t="n">
        <v>-0.2871126642791183</v>
      </c>
      <c r="N151" t="n">
        <v>34.16806739078736</v>
      </c>
      <c r="O151" t="n">
        <v>-0.8282044297431872</v>
      </c>
      <c r="P151" t="n">
        <v>96.80276848066144</v>
      </c>
      <c r="Q151" t="n">
        <v>90.22164910226587</v>
      </c>
    </row>
    <row r="152">
      <c r="A152" s="117" t="n">
        <v>44631</v>
      </c>
      <c r="B152" s="118" t="n">
        <v>117.5970035293588</v>
      </c>
      <c r="C152" s="118" t="n">
        <v>118.3932675488042</v>
      </c>
      <c r="D152" s="118" t="n">
        <v>113.4305087101987</v>
      </c>
      <c r="E152" s="118" t="n">
        <v>113.5416107177734</v>
      </c>
      <c r="F152" s="119" t="n">
        <v>5882000</v>
      </c>
      <c r="G152" s="120" t="n">
        <v>-0.02697776438755695</v>
      </c>
      <c r="H152" s="121" t="n">
        <v>71.37381684104709</v>
      </c>
      <c r="I152" s="118" t="n">
        <v>133.3673246765137</v>
      </c>
      <c r="J152" s="118" t="n">
        <v/>
      </c>
      <c r="K152" s="120" t="n">
        <v>0.3905724311270642</v>
      </c>
      <c r="L152" s="120" t="n">
        <v>-0.2717749056794521</v>
      </c>
      <c r="M152" s="120" t="n">
        <v>-0.3063447708570695</v>
      </c>
      <c r="N152" t="n">
        <v>31.09634246344066</v>
      </c>
      <c r="O152" t="n">
        <v>-0.8397809004614079</v>
      </c>
      <c r="P152" t="n">
        <v>95.57191119958223</v>
      </c>
      <c r="Q152" t="n">
        <v>88.35059357387968</v>
      </c>
    </row>
    <row r="153">
      <c r="A153" s="117" t="n">
        <v>44634</v>
      </c>
      <c r="B153" s="118" t="n">
        <v>112.5231274873933</v>
      </c>
      <c r="C153" s="118" t="n">
        <v>113.3749424490671</v>
      </c>
      <c r="D153" s="118" t="n">
        <v>108.0973855517813</v>
      </c>
      <c r="E153" s="118" t="n">
        <v>108.8566131591797</v>
      </c>
      <c r="F153" s="119" t="n">
        <v>13884900</v>
      </c>
      <c r="G153" s="120" t="n">
        <v>-0.04126238415129668</v>
      </c>
      <c r="H153" s="121" t="n">
        <v>68.42876299220751</v>
      </c>
      <c r="I153" s="118" t="n">
        <v>132.449979095459</v>
      </c>
      <c r="J153" s="118" t="n">
        <v/>
      </c>
      <c r="K153" s="120" t="n">
        <v>0.3994105208626155</v>
      </c>
      <c r="L153" s="120" t="n">
        <v>-0.3018232092699208</v>
      </c>
      <c r="M153" s="120" t="n">
        <v>-0.3349666393905207</v>
      </c>
      <c r="N153" t="n">
        <v>27.18010635190849</v>
      </c>
      <c r="O153" t="n">
        <v>-1.059656196160939</v>
      </c>
      <c r="P153" t="n">
        <v>94.87345972196981</v>
      </c>
      <c r="Q153" t="n">
        <v>86.65387484796258</v>
      </c>
    </row>
    <row r="154">
      <c r="A154" s="117" t="n">
        <v>44635</v>
      </c>
      <c r="B154" s="118" t="n">
        <v>110.9583883227274</v>
      </c>
      <c r="C154" s="118" t="n">
        <v>111.4954049312444</v>
      </c>
      <c r="D154" s="118" t="n">
        <v>109.0232862504702</v>
      </c>
      <c r="E154" s="118" t="n">
        <v>110.5510025024414</v>
      </c>
      <c r="F154" s="119" t="n">
        <v>10431300</v>
      </c>
      <c r="G154" s="120" t="n">
        <v>0.01556533217494138</v>
      </c>
      <c r="H154" s="121" t="n">
        <v>69.49387941850156</v>
      </c>
      <c r="I154" s="118" t="n">
        <v>131.5816717529297</v>
      </c>
      <c r="J154" s="118" t="n">
        <v/>
      </c>
      <c r="K154" s="120" t="n">
        <v>0.4032350464403008</v>
      </c>
      <c r="L154" s="120" t="n">
        <v>-0.2909558556053725</v>
      </c>
      <c r="M154" s="120" t="n">
        <v>-0.3246151742252167</v>
      </c>
      <c r="N154" t="n">
        <v>30.5849840045139</v>
      </c>
      <c r="O154" t="n">
        <v>-0.9890301941298008</v>
      </c>
      <c r="P154" t="n">
        <v>96.95976731468166</v>
      </c>
      <c r="Q154" t="n">
        <v>89.37193981454426</v>
      </c>
    </row>
    <row r="155">
      <c r="A155" s="117" t="n">
        <v>44636</v>
      </c>
      <c r="B155" s="118" t="n">
        <v>113.7452996566757</v>
      </c>
      <c r="C155" s="118" t="n">
        <v>116.7636954602788</v>
      </c>
      <c r="D155" s="118" t="n">
        <v>112.8934846895609</v>
      </c>
      <c r="E155" s="118" t="n">
        <v>115.9118804931641</v>
      </c>
      <c r="F155" s="119" t="n">
        <v>11100400</v>
      </c>
      <c r="G155" s="120" t="n">
        <v>0.04849235076456471</v>
      </c>
      <c r="H155" s="121" t="n">
        <v>72.8638009952539</v>
      </c>
      <c r="I155" s="118" t="n">
        <v>130.8575329589844</v>
      </c>
      <c r="J155" s="118" t="n">
        <v/>
      </c>
      <c r="K155" s="120" t="n">
        <v>0.4328132476156225</v>
      </c>
      <c r="L155" s="120" t="n">
        <v>-0.2565726382478276</v>
      </c>
      <c r="M155" s="120" t="n">
        <v>-0.2918641763526815</v>
      </c>
      <c r="N155" t="n">
        <v>40.12415286914505</v>
      </c>
      <c r="O155" t="n">
        <v>-0.503784998589234</v>
      </c>
      <c r="P155" t="n">
        <v>99.10977174586232</v>
      </c>
      <c r="Q155" t="n">
        <v>92.68644084305025</v>
      </c>
    </row>
    <row r="156">
      <c r="A156" s="117" t="n">
        <v>44637</v>
      </c>
      <c r="B156" s="118" t="n">
        <v>115.680410099229</v>
      </c>
      <c r="C156" s="118" t="n">
        <v>117.9673538208008</v>
      </c>
      <c r="D156" s="118" t="n">
        <v>114.5323042790632</v>
      </c>
      <c r="E156" s="118" t="n">
        <v>117.9673538208008</v>
      </c>
      <c r="F156" s="119" t="n">
        <v>6845300</v>
      </c>
      <c r="G156" s="120" t="n">
        <v>0.01773306859393031</v>
      </c>
      <c r="H156" s="121" t="n">
        <v>74.15589977631723</v>
      </c>
      <c r="I156" s="118" t="n">
        <v>130.142725982666</v>
      </c>
      <c r="J156" s="118" t="n">
        <v/>
      </c>
      <c r="K156" s="120" t="n">
        <v>0.4393631527899808</v>
      </c>
      <c r="L156" s="120" t="n">
        <v>-0.2433893898472717</v>
      </c>
      <c r="M156" s="120" t="n">
        <v>-0.2793067552181243</v>
      </c>
      <c r="N156" t="n">
        <v>43.33929158220777</v>
      </c>
      <c r="O156" t="n">
        <v>0.006103144301407681</v>
      </c>
      <c r="P156" t="n">
        <v>100.3497275211297</v>
      </c>
      <c r="Q156" t="n">
        <v>93.80852735511465</v>
      </c>
    </row>
    <row r="157">
      <c r="A157" s="117" t="n">
        <v>44638</v>
      </c>
      <c r="B157" s="118" t="n">
        <v>117.4488506203271</v>
      </c>
      <c r="C157" s="118" t="n">
        <v>121.717200447851</v>
      </c>
      <c r="D157" s="118" t="n">
        <v>117.3099660557415</v>
      </c>
      <c r="E157" s="118" t="n">
        <v>121.5135040283203</v>
      </c>
      <c r="F157" s="119" t="n">
        <v>10350900</v>
      </c>
      <c r="G157" s="120" t="n">
        <v>0.03006043699942906</v>
      </c>
      <c r="H157" s="121" t="n">
        <v>76.38505852967918</v>
      </c>
      <c r="I157" s="118" t="n">
        <v>129.575330657959</v>
      </c>
      <c r="J157" s="118" t="n">
        <v/>
      </c>
      <c r="K157" s="120" t="n">
        <v>0.4517490292257313</v>
      </c>
      <c r="L157" s="120" t="n">
        <v>-0.220645344267676</v>
      </c>
      <c r="M157" s="120" t="n">
        <v>-0.2576424013374448</v>
      </c>
      <c r="N157" t="n">
        <v>48.47925624154276</v>
      </c>
      <c r="O157" t="n">
        <v>0.5998254358580217</v>
      </c>
      <c r="P157" t="n">
        <v>101.4488226673966</v>
      </c>
      <c r="Q157" t="n">
        <v>95.7286073663515</v>
      </c>
    </row>
    <row r="158">
      <c r="A158" s="117" t="n">
        <v>44641</v>
      </c>
      <c r="B158" s="118" t="n">
        <v>120.1061448537488</v>
      </c>
      <c r="C158" s="118" t="n">
        <v>122.5041904319331</v>
      </c>
      <c r="D158" s="118" t="n">
        <v>119.0876628065271</v>
      </c>
      <c r="E158" s="118" t="n">
        <v>120.5413131713867</v>
      </c>
      <c r="F158" s="119" t="n">
        <v>14388500</v>
      </c>
      <c r="G158" s="120" t="n">
        <v>-0.008000681609074634</v>
      </c>
      <c r="H158" s="121" t="n">
        <v>75.7739259966927</v>
      </c>
      <c r="I158" s="118" t="n">
        <v>129.0108471679688</v>
      </c>
      <c r="J158" s="118" t="n">
        <v/>
      </c>
      <c r="K158" s="120" t="n">
        <v>0.4516253558976699</v>
      </c>
      <c r="L158" s="120" t="n">
        <v>-0.2268807127287402</v>
      </c>
      <c r="M158" s="120" t="n">
        <v>-0.263581768124421</v>
      </c>
      <c r="N158" t="n">
        <v>47.21471047489597</v>
      </c>
      <c r="O158" t="n">
        <v>0.9252523494928138</v>
      </c>
      <c r="P158" t="n">
        <v>101.4191658562514</v>
      </c>
      <c r="Q158" t="n">
        <v>95.46244150468426</v>
      </c>
    </row>
    <row r="159">
      <c r="A159" s="117" t="n">
        <v>44642</v>
      </c>
      <c r="B159" s="118" t="n">
        <v>127.1058586347378</v>
      </c>
      <c r="C159" s="118" t="n">
        <v>128.6983865627264</v>
      </c>
      <c r="D159" s="118" t="n">
        <v>123.1338067333693</v>
      </c>
      <c r="E159" s="118" t="n">
        <v>123.2263870239258</v>
      </c>
      <c r="F159" s="119" t="n">
        <v>19731200</v>
      </c>
      <c r="G159" s="120" t="n">
        <v>0.02227513357782485</v>
      </c>
      <c r="H159" s="121" t="n">
        <v>77.46180031998524</v>
      </c>
      <c r="I159" s="118" t="n">
        <v>128.5752598571777</v>
      </c>
      <c r="J159" s="118" t="n">
        <v/>
      </c>
      <c r="K159" s="120" t="n">
        <v>0.4471406977905251</v>
      </c>
      <c r="L159" s="120" t="n">
        <v>-0.2096593773331802</v>
      </c>
      <c r="M159" s="120" t="n">
        <v>-0.2471779536402469</v>
      </c>
      <c r="N159" t="n">
        <v>51.01511708155997</v>
      </c>
      <c r="O159" t="n">
        <v>1.296746753893733</v>
      </c>
      <c r="P159" t="n">
        <v>102.6059105677793</v>
      </c>
      <c r="Q159" t="n">
        <v>97.33855497901811</v>
      </c>
    </row>
    <row r="160">
      <c r="A160" s="117" t="n">
        <v>44643</v>
      </c>
      <c r="B160" s="118" t="n">
        <v>122.8097462628905</v>
      </c>
      <c r="C160" s="118" t="n">
        <v>125.3651912766964</v>
      </c>
      <c r="D160" s="118" t="n">
        <v>121.4764656894525</v>
      </c>
      <c r="E160" s="118" t="n">
        <v>123.14306640625</v>
      </c>
      <c r="F160" s="119" t="n">
        <v>8068800</v>
      </c>
      <c r="G160" s="120" t="n">
        <v>-0.0006761588949256714</v>
      </c>
      <c r="H160" s="121" t="n">
        <v>77.40942383468192</v>
      </c>
      <c r="I160" s="118" t="n">
        <v>128.2586521911621</v>
      </c>
      <c r="J160" s="118" t="n">
        <v/>
      </c>
      <c r="K160" s="120" t="n">
        <v>0.4460247841021138</v>
      </c>
      <c r="L160" s="120" t="n">
        <v>-0.2101937731752176</v>
      </c>
      <c r="M160" s="120" t="n">
        <v>-0.2476869809631891</v>
      </c>
      <c r="N160" t="n">
        <v>50.8926686266339</v>
      </c>
      <c r="O160" t="n">
        <v>1.498013002715291</v>
      </c>
      <c r="P160" t="n">
        <v>101.2845110939275</v>
      </c>
      <c r="Q160" t="n">
        <v>95.93966553990671</v>
      </c>
    </row>
    <row r="161">
      <c r="A161" s="117" t="n">
        <v>44644</v>
      </c>
      <c r="B161" s="118" t="n">
        <v>123.8374752122662</v>
      </c>
      <c r="C161" s="118" t="n">
        <v>124.244868045395</v>
      </c>
      <c r="D161" s="118" t="n">
        <v>121.4764588405782</v>
      </c>
      <c r="E161" s="118" t="n">
        <v>122.2912445068359</v>
      </c>
      <c r="F161" s="119" t="n">
        <v>5853800</v>
      </c>
      <c r="G161" s="120" t="n">
        <v>-0.006917335456012585</v>
      </c>
      <c r="H161" s="121" t="n">
        <v>76.87395688256076</v>
      </c>
      <c r="I161" s="118" t="n">
        <v>127.9275956726074</v>
      </c>
      <c r="J161" s="118" t="n">
        <v/>
      </c>
      <c r="K161" s="120" t="n">
        <v>0.4463186835023254</v>
      </c>
      <c r="L161" s="120" t="n">
        <v>-0.2156571277914122</v>
      </c>
      <c r="M161" s="120" t="n">
        <v>-0.2528909824837923</v>
      </c>
      <c r="N161" t="n">
        <v>49.58239227597703</v>
      </c>
      <c r="O161" t="n">
        <v>1.529574601055704</v>
      </c>
      <c r="P161" t="n">
        <v>102.8113018794036</v>
      </c>
      <c r="Q161" t="n">
        <v>98.0720852988409</v>
      </c>
    </row>
    <row r="162">
      <c r="A162" s="117" t="n">
        <v>44645</v>
      </c>
      <c r="B162" s="118" t="n">
        <v>123.1893621139251</v>
      </c>
      <c r="C162" s="118" t="n">
        <v>123.9485826863551</v>
      </c>
      <c r="D162" s="118" t="n">
        <v>121.9486759785364</v>
      </c>
      <c r="E162" s="118" t="n">
        <v>123.7911834716797</v>
      </c>
      <c r="F162" s="119" t="n">
        <v>6287000</v>
      </c>
      <c r="G162" s="120" t="n">
        <v>0.0122653013377414</v>
      </c>
      <c r="H162" s="121" t="n">
        <v>77.81683912874992</v>
      </c>
      <c r="I162" s="118" t="n">
        <v>127.591248626709</v>
      </c>
      <c r="J162" s="118" t="n">
        <v/>
      </c>
      <c r="K162" s="120" t="n">
        <v>0.4464714589743228</v>
      </c>
      <c r="L162" s="120" t="n">
        <v>-0.1999219919950572</v>
      </c>
      <c r="M162" s="120" t="n">
        <v>-0.2437274652518121</v>
      </c>
      <c r="N162" t="n">
        <v>51.9293081389869</v>
      </c>
      <c r="O162" t="n">
        <v>1.599711775359666</v>
      </c>
      <c r="P162" t="n">
        <v>103.3134088855171</v>
      </c>
      <c r="Q162" t="n">
        <v>97.99029523708954</v>
      </c>
    </row>
    <row r="163">
      <c r="A163" s="117" t="n">
        <v>44648</v>
      </c>
      <c r="B163" s="118" t="n">
        <v>123.8467162878431</v>
      </c>
      <c r="C163" s="118" t="n">
        <v>124.8651982661003</v>
      </c>
      <c r="D163" s="118" t="n">
        <v>122.3745584421175</v>
      </c>
      <c r="E163" s="118" t="n">
        <v>124.8189010620117</v>
      </c>
      <c r="F163" s="119" t="n">
        <v>5804100</v>
      </c>
      <c r="G163" s="120" t="n">
        <v>0.008302025730024143</v>
      </c>
      <c r="H163" s="121" t="n">
        <v>78.46287652942596</v>
      </c>
      <c r="I163" s="118" t="n">
        <v>127.3238619995117</v>
      </c>
      <c r="J163" s="118" t="n">
        <v/>
      </c>
      <c r="K163" s="120" t="n">
        <v>0.4441452621106645</v>
      </c>
      <c r="L163" s="120" t="n">
        <v>-0.1893106178780894</v>
      </c>
      <c r="M163" s="120" t="n">
        <v>-0.237448871209422</v>
      </c>
      <c r="N163" t="n">
        <v>53.52560591271684</v>
      </c>
      <c r="O163" t="n">
        <v>1.656568535120733</v>
      </c>
      <c r="P163" t="n">
        <v>104.0482690981857</v>
      </c>
      <c r="Q163" t="n">
        <v>99.5064230787239</v>
      </c>
    </row>
    <row r="164">
      <c r="A164" s="117" t="n">
        <v>44649</v>
      </c>
      <c r="B164" s="118" t="n">
        <v>127.6336594676948</v>
      </c>
      <c r="C164" s="118" t="n">
        <v>129.3928409202693</v>
      </c>
      <c r="D164" s="118" t="n">
        <v>126.8003518365314</v>
      </c>
      <c r="E164" s="118" t="n">
        <v>128.8280487060547</v>
      </c>
      <c r="F164" s="119" t="n">
        <v>7275900</v>
      </c>
      <c r="G164" s="120" t="n">
        <v>0.03211971592388219</v>
      </c>
      <c r="H164" s="121" t="n">
        <v>80.98308183412175</v>
      </c>
      <c r="I164" s="118" t="n">
        <v>127.1627090454102</v>
      </c>
      <c r="J164" s="118" t="n">
        <v/>
      </c>
      <c r="K164" s="120" t="n">
        <v>0.4417834381215573</v>
      </c>
      <c r="L164" s="120" t="n">
        <v>-0.161863416757103</v>
      </c>
      <c r="M164" s="120" t="n">
        <v>-0.212955945575233</v>
      </c>
      <c r="N164" t="n">
        <v>59.21535557987685</v>
      </c>
      <c r="O164" t="n">
        <v>1.888613109115391</v>
      </c>
      <c r="P164" t="n">
        <v>105.3354514450704</v>
      </c>
      <c r="Q164" t="n">
        <v>101.2189051665893</v>
      </c>
    </row>
    <row r="165">
      <c r="A165" s="117" t="n">
        <v>44650</v>
      </c>
      <c r="B165" s="118" t="n">
        <v>128.6798537389499</v>
      </c>
      <c r="C165" s="118" t="n">
        <v>129.4946393418497</v>
      </c>
      <c r="D165" s="118" t="n">
        <v>127.3650950520402</v>
      </c>
      <c r="E165" s="118" t="n">
        <v>128.2724609375</v>
      </c>
      <c r="F165" s="119" t="n">
        <v>5545800</v>
      </c>
      <c r="G165" s="120" t="n">
        <v>-0.004312630472439793</v>
      </c>
      <c r="H165" s="121" t="n">
        <v>80.63383172765182</v>
      </c>
      <c r="I165" s="118" t="n">
        <v>127.0131698608398</v>
      </c>
      <c r="J165" s="118" t="n">
        <v/>
      </c>
      <c r="K165" s="120" t="n">
        <v>0.4337921225321285</v>
      </c>
      <c r="L165" s="120" t="n">
        <v>-0.1654779901260629</v>
      </c>
      <c r="M165" s="120" t="n">
        <v>-0.2163501757474978</v>
      </c>
      <c r="N165" t="n">
        <v>58.15283914905572</v>
      </c>
      <c r="O165" t="n">
        <v>1.922682569834849</v>
      </c>
      <c r="P165" t="n">
        <v>104.6850087291676</v>
      </c>
      <c r="Q165" t="n">
        <v>100.1008855164693</v>
      </c>
    </row>
    <row r="166">
      <c r="A166" s="117" t="n">
        <v>44651</v>
      </c>
      <c r="B166" s="118" t="n">
        <v>127.6150814462251</v>
      </c>
      <c r="C166" s="118" t="n">
        <v>128.4298670030798</v>
      </c>
      <c r="D166" s="118" t="n">
        <v>124.5318742399522</v>
      </c>
      <c r="E166" s="118" t="n">
        <v>124.5874252319336</v>
      </c>
      <c r="F166" s="119" t="n">
        <v>7206500</v>
      </c>
      <c r="G166" s="120" t="n">
        <v>-0.0287281905923823</v>
      </c>
      <c r="H166" s="121" t="n">
        <v>78.31736764158576</v>
      </c>
      <c r="I166" s="118" t="n">
        <v>126.8239247131348</v>
      </c>
      <c r="J166" s="118" t="n">
        <v/>
      </c>
      <c r="K166" s="120" t="n">
        <v>0.4443979165092547</v>
      </c>
      <c r="L166" s="120" t="n">
        <v>-0.1687703036318751</v>
      </c>
      <c r="M166" s="120" t="n">
        <v>-0.2388630172563105</v>
      </c>
      <c r="N166" t="n">
        <v>51.54632015903592</v>
      </c>
      <c r="O166" t="n">
        <v>1.626782848666234</v>
      </c>
      <c r="P166" t="n">
        <v>103.0737783094703</v>
      </c>
      <c r="Q166" t="n">
        <v>98.86014232649796</v>
      </c>
    </row>
    <row r="167">
      <c r="A167" s="117" t="n">
        <v>44652</v>
      </c>
      <c r="B167" s="118" t="n">
        <v>124.4856111035219</v>
      </c>
      <c r="C167" s="118" t="n">
        <v>125.2540996680524</v>
      </c>
      <c r="D167" s="118" t="n">
        <v>122.9116046789809</v>
      </c>
      <c r="E167" s="118" t="n">
        <v>123.6245422363281</v>
      </c>
      <c r="F167" s="119" t="n">
        <v>5807500</v>
      </c>
      <c r="G167" s="120" t="n">
        <v>-0.007728572878145212</v>
      </c>
      <c r="H167" s="121" t="n">
        <v>77.71208615814328</v>
      </c>
      <c r="I167" s="118" t="n">
        <v>126.6593940734863</v>
      </c>
      <c r="J167" s="118" t="n">
        <v/>
      </c>
      <c r="K167" s="120" t="n">
        <v>0.4397905143649077</v>
      </c>
      <c r="L167" s="120" t="n">
        <v>-0.1689971634428246</v>
      </c>
      <c r="M167" s="120" t="n">
        <v>-0.2447455198976968</v>
      </c>
      <c r="N167" t="n">
        <v>49.9495235017685</v>
      </c>
      <c r="O167" t="n">
        <v>1.309590048518472</v>
      </c>
      <c r="P167" t="n">
        <v>103.3658894132268</v>
      </c>
      <c r="Q167" t="n">
        <v>98.67199015477659</v>
      </c>
    </row>
    <row r="168">
      <c r="A168" s="117" t="n">
        <v>44655</v>
      </c>
      <c r="B168" s="118" t="n">
        <v>123.1893695483393</v>
      </c>
      <c r="C168" s="118" t="n">
        <v>125.1892905047774</v>
      </c>
      <c r="D168" s="118" t="n">
        <v>123.0134486131074</v>
      </c>
      <c r="E168" s="118" t="n">
        <v>124.3837585449219</v>
      </c>
      <c r="F168" s="119" t="n">
        <v>5307300</v>
      </c>
      <c r="G168" s="120" t="n">
        <v>0.006141307339625035</v>
      </c>
      <c r="H168" s="121" t="n">
        <v>78.18933996324385</v>
      </c>
      <c r="I168" s="118" t="n">
        <v>126.5059828186035</v>
      </c>
      <c r="J168" s="118" t="n">
        <v/>
      </c>
      <c r="K168" s="120" t="n">
        <v>0.3934496983714493</v>
      </c>
      <c r="L168" s="120" t="n">
        <v>-0.1422150063289895</v>
      </c>
      <c r="M168" s="120" t="n">
        <v>-0.2401072700157597</v>
      </c>
      <c r="N168" t="n">
        <v>51.23232855506476</v>
      </c>
      <c r="O168" t="n">
        <v>1.102594463534671</v>
      </c>
      <c r="P168" t="n">
        <v>104.251387631051</v>
      </c>
      <c r="Q168" t="n">
        <v>100.7035158534139</v>
      </c>
    </row>
    <row r="169">
      <c r="A169" s="117" t="n">
        <v>44656</v>
      </c>
      <c r="B169" s="118" t="n">
        <v>124.1059540280533</v>
      </c>
      <c r="C169" s="118" t="n">
        <v>124.6985214617157</v>
      </c>
      <c r="D169" s="118" t="n">
        <v>122.23567145401</v>
      </c>
      <c r="E169" s="118" t="n">
        <v>122.4949188232422</v>
      </c>
      <c r="F169" s="119" t="n">
        <v>5707800</v>
      </c>
      <c r="G169" s="120" t="n">
        <v>-0.01518558165290951</v>
      </c>
      <c r="H169" s="121" t="n">
        <v>77.00198935684492</v>
      </c>
      <c r="I169" s="118" t="n">
        <v>126.2584437561035</v>
      </c>
      <c r="J169" s="118" t="n">
        <v/>
      </c>
      <c r="K169" s="120" t="n">
        <v>0.3842784659686717</v>
      </c>
      <c r="L169" s="120" t="n">
        <v>-0.1288230251784036</v>
      </c>
      <c r="M169" s="120" t="n">
        <v>-0.2516466831143878</v>
      </c>
      <c r="N169" t="n">
        <v>47.94027261012499</v>
      </c>
      <c r="O169" t="n">
        <v>0.8040136234250322</v>
      </c>
      <c r="P169" t="n">
        <v>102.9345558521729</v>
      </c>
      <c r="Q169" t="n">
        <v>98.46747655317391</v>
      </c>
    </row>
    <row r="170">
      <c r="A170" s="117" t="n">
        <v>44657</v>
      </c>
      <c r="B170" s="118" t="n">
        <v>120.4116760131367</v>
      </c>
      <c r="C170" s="118" t="n">
        <v>120.6431478954657</v>
      </c>
      <c r="D170" s="118" t="n">
        <v>116.9673732738472</v>
      </c>
      <c r="E170" s="118" t="n">
        <v>118.846923828125</v>
      </c>
      <c r="F170" s="119" t="n">
        <v>6961000</v>
      </c>
      <c r="G170" s="120" t="n">
        <v>-0.02978078625760117</v>
      </c>
      <c r="H170" s="121" t="n">
        <v>74.70880957039864</v>
      </c>
      <c r="I170" s="118" t="n">
        <v>125.9475526428223</v>
      </c>
      <c r="J170" s="118" t="n">
        <v/>
      </c>
      <c r="K170" s="120" t="n">
        <v>0.3678126699672062</v>
      </c>
      <c r="L170" s="120" t="n">
        <v>-0.1547673604581091</v>
      </c>
      <c r="M170" s="120" t="n">
        <v>-0.2739332332897251</v>
      </c>
      <c r="N170" t="n">
        <v>42.28844809127416</v>
      </c>
      <c r="O170" t="n">
        <v>0.3495833311973999</v>
      </c>
      <c r="P170" t="n">
        <v>101.9052601029259</v>
      </c>
      <c r="Q170" t="n">
        <v>96.32959728839418</v>
      </c>
    </row>
    <row r="171">
      <c r="A171" s="117" t="n">
        <v>44658</v>
      </c>
      <c r="B171" s="118" t="n">
        <v>117.985851093876</v>
      </c>
      <c r="C171" s="118" t="n">
        <v>120.3468601142989</v>
      </c>
      <c r="D171" s="118" t="n">
        <v>117.671045652776</v>
      </c>
      <c r="E171" s="118" t="n">
        <v>119.7913360595703</v>
      </c>
      <c r="F171" s="119" t="n">
        <v>5320500</v>
      </c>
      <c r="G171" s="120" t="n">
        <v>0.007946459201679579</v>
      </c>
      <c r="H171" s="121" t="n">
        <v>75.30248007765586</v>
      </c>
      <c r="I171" s="118" t="n">
        <v>125.6830787658691</v>
      </c>
      <c r="J171" s="118" t="n">
        <v/>
      </c>
      <c r="K171" s="120" t="n">
        <v>0.3673538648440485</v>
      </c>
      <c r="L171" s="120" t="n">
        <v>-0.1480507537720616</v>
      </c>
      <c r="M171" s="120" t="n">
        <v>-0.2681635733503664</v>
      </c>
      <c r="N171" t="n">
        <v>44.12497768997371</v>
      </c>
      <c r="O171" t="n">
        <v>0.113571537890214</v>
      </c>
      <c r="P171" t="n">
        <v>102.4187678985939</v>
      </c>
      <c r="Q171" t="n">
        <v>96.55867439438789</v>
      </c>
    </row>
    <row r="172">
      <c r="A172" s="117" t="n">
        <v>44659</v>
      </c>
      <c r="B172" s="118" t="n">
        <v>119.8469147268101</v>
      </c>
      <c r="C172" s="118" t="n">
        <v>120.300590690411</v>
      </c>
      <c r="D172" s="118" t="n">
        <v>118.4025250079298</v>
      </c>
      <c r="E172" s="118" t="n">
        <v>118.6525115966797</v>
      </c>
      <c r="F172" s="119" t="n">
        <v>4877400</v>
      </c>
      <c r="G172" s="120" t="n">
        <v>-0.009506734796949856</v>
      </c>
      <c r="H172" s="121" t="n">
        <v>74.58659937000499</v>
      </c>
      <c r="I172" s="118" t="n">
        <v>125.3838191223144</v>
      </c>
      <c r="J172" s="118" t="n">
        <v/>
      </c>
      <c r="K172" s="120" t="n">
        <v>0.3543532278246957</v>
      </c>
      <c r="L172" s="120" t="n">
        <v>-0.1413703647757406</v>
      </c>
      <c r="M172" s="120" t="n">
        <v>-0.2751209481732719</v>
      </c>
      <c r="N172" t="n">
        <v>42.37386875492118</v>
      </c>
      <c r="O172" t="n">
        <v>-0.1063737950867523</v>
      </c>
      <c r="P172" t="n">
        <v>102.14492019558</v>
      </c>
      <c r="Q172" t="n">
        <v>95.20885215726523</v>
      </c>
    </row>
    <row r="173">
      <c r="A173" s="117" t="n">
        <v>44662</v>
      </c>
      <c r="B173" s="118" t="n">
        <v>115.8285397374978</v>
      </c>
      <c r="C173" s="118" t="n">
        <v>117.467364779136</v>
      </c>
      <c r="D173" s="118" t="n">
        <v>115.1063485248282</v>
      </c>
      <c r="E173" s="118" t="n">
        <v>115.7174377441406</v>
      </c>
      <c r="F173" s="119" t="n">
        <v>6365400</v>
      </c>
      <c r="G173" s="120" t="n">
        <v>-0.02473671912243947</v>
      </c>
      <c r="H173" s="121" t="n">
        <v>72.74157161109126</v>
      </c>
      <c r="I173" s="118" t="n">
        <v>125.0023948669434</v>
      </c>
      <c r="J173" s="118" t="n">
        <v/>
      </c>
      <c r="K173" s="120" t="n">
        <v>0.3314356625056853</v>
      </c>
      <c r="L173" s="120" t="n">
        <v>-0.157654642155355</v>
      </c>
      <c r="M173" s="120" t="n">
        <v>-0.29305207767605</v>
      </c>
      <c r="N173" t="n">
        <v>38.16957616741862</v>
      </c>
      <c r="O173" t="n">
        <v>-0.4191090764757396</v>
      </c>
      <c r="P173" t="n">
        <v>100.3990128761034</v>
      </c>
      <c r="Q173" t="n">
        <v>92.95646851479913</v>
      </c>
    </row>
    <row r="174">
      <c r="A174" s="117" t="n">
        <v>44663</v>
      </c>
      <c r="B174" s="118" t="n">
        <v>115.9211409880736</v>
      </c>
      <c r="C174" s="118" t="n">
        <v>118.606223882238</v>
      </c>
      <c r="D174" s="118" t="n">
        <v>115.1248769750353</v>
      </c>
      <c r="E174" s="118" t="n">
        <v>115.7730026245117</v>
      </c>
      <c r="F174" s="119" t="n">
        <v>5146800</v>
      </c>
      <c r="G174" s="120" t="n">
        <v>0.0004801772442797336</v>
      </c>
      <c r="H174" s="121" t="n">
        <v>72.77650045849205</v>
      </c>
      <c r="I174" s="118" t="n">
        <v>124.5821731567383</v>
      </c>
      <c r="J174" s="118" t="n">
        <v/>
      </c>
      <c r="K174" s="120" t="n">
        <v>0.3283221151943083</v>
      </c>
      <c r="L174" s="120" t="n">
        <v>-0.1572501670826932</v>
      </c>
      <c r="M174" s="120" t="n">
        <v>-0.2927126173708592</v>
      </c>
      <c r="N174" t="n">
        <v>38.29439653365159</v>
      </c>
      <c r="O174" t="n">
        <v>-0.5817983880491548</v>
      </c>
      <c r="P174" t="n">
        <v>100.0270224539473</v>
      </c>
      <c r="Q174" t="n">
        <v>92.56379419764747</v>
      </c>
    </row>
    <row r="175">
      <c r="A175" s="117" t="n">
        <v>44664</v>
      </c>
      <c r="B175" s="118" t="n">
        <v>115.7730054438039</v>
      </c>
      <c r="C175" s="118" t="n">
        <v>118.384008623826</v>
      </c>
      <c r="D175" s="118" t="n">
        <v>115.7730054438039</v>
      </c>
      <c r="E175" s="118" t="n">
        <v>118.0414276123047</v>
      </c>
      <c r="F175" s="119" t="n">
        <v>5119300</v>
      </c>
      <c r="G175" s="120" t="n">
        <v>0.01959373028572298</v>
      </c>
      <c r="H175" s="121" t="n">
        <v>74.20246357961454</v>
      </c>
      <c r="I175" s="118" t="n">
        <v>124.2045489501953</v>
      </c>
      <c r="J175" s="118" t="n">
        <v/>
      </c>
      <c r="K175" s="120" t="n">
        <v>0.2882200781317757</v>
      </c>
      <c r="L175" s="120" t="n">
        <v>-0.1407375541581735</v>
      </c>
      <c r="M175" s="120" t="n">
        <v>-0.278854219161129</v>
      </c>
      <c r="N175" t="n">
        <v>43.32461056492021</v>
      </c>
      <c r="O175" t="n">
        <v>-0.4993677514485542</v>
      </c>
      <c r="P175" t="n">
        <v>101.1726948064718</v>
      </c>
      <c r="Q175" t="n">
        <v>94.44533300251635</v>
      </c>
    </row>
    <row r="176">
      <c r="A176" s="117" t="n">
        <v>44665</v>
      </c>
      <c r="B176" s="118" t="n">
        <v>119.5135699937489</v>
      </c>
      <c r="C176" s="118" t="n">
        <v>124.4207769716539</v>
      </c>
      <c r="D176" s="118" t="n">
        <v>119.3376490938584</v>
      </c>
      <c r="E176" s="118" t="n">
        <v>123.568962097168</v>
      </c>
      <c r="F176" s="119" t="n">
        <v>12811300</v>
      </c>
      <c r="G176" s="120" t="n">
        <v>0.04682707246660822</v>
      </c>
      <c r="H176" s="121" t="n">
        <v>77.67714771885801</v>
      </c>
      <c r="I176" s="118" t="n">
        <v>123.9284223937988</v>
      </c>
      <c r="J176" s="118" t="n">
        <v/>
      </c>
      <c r="K176" s="120" t="n">
        <v>0.3264938291935572</v>
      </c>
      <c r="L176" s="120" t="n">
        <v>-0.1005008093389033</v>
      </c>
      <c r="M176" s="120" t="n">
        <v>-0.2450850734227984</v>
      </c>
      <c r="N176" t="n">
        <v>53.31213010091145</v>
      </c>
      <c r="O176" t="n">
        <v>-0.05849491592955025</v>
      </c>
      <c r="P176" t="n">
        <v>99.91291125027702</v>
      </c>
      <c r="Q176" t="n">
        <v>92.28563280200981</v>
      </c>
    </row>
    <row r="177">
      <c r="A177" s="117" t="n">
        <v>44669</v>
      </c>
      <c r="B177" s="118" t="n">
        <v>122.217169550956</v>
      </c>
      <c r="C177" s="118" t="n">
        <v>123.5041528167165</v>
      </c>
      <c r="D177" s="118" t="n">
        <v>120.6524171651766</v>
      </c>
      <c r="E177" s="118" t="n">
        <v>121.8745956420898</v>
      </c>
      <c r="F177" s="119" t="n">
        <v>5298200</v>
      </c>
      <c r="G177" s="120" t="n">
        <v>-0.01371190974110281</v>
      </c>
      <c r="H177" s="121" t="n">
        <v>76.61204568039072</v>
      </c>
      <c r="I177" s="118" t="n">
        <v>123.6812255859375</v>
      </c>
      <c r="J177" s="118" t="n">
        <v/>
      </c>
      <c r="K177" s="120" t="n">
        <v>0.3142682431455874</v>
      </c>
      <c r="L177" s="120" t="n">
        <v>-0.1128346610534432</v>
      </c>
      <c r="M177" s="120" t="n">
        <v>-0.2554363987582362</v>
      </c>
      <c r="N177" t="n">
        <v>50.38128455089838</v>
      </c>
      <c r="O177" t="n">
        <v>0.1231797385824793</v>
      </c>
      <c r="P177" t="n">
        <v>99.95399836758408</v>
      </c>
      <c r="Q177" t="n">
        <v>92.35655511503582</v>
      </c>
    </row>
    <row r="178">
      <c r="A178" s="117" t="n">
        <v>44670</v>
      </c>
      <c r="B178" s="118" t="n">
        <v>123.2264144875653</v>
      </c>
      <c r="C178" s="118" t="n">
        <v>127.2910617133084</v>
      </c>
      <c r="D178" s="118" t="n">
        <v>122.9393915053989</v>
      </c>
      <c r="E178" s="118" t="n">
        <v>126.892936706543</v>
      </c>
      <c r="F178" s="119" t="n">
        <v>7346100</v>
      </c>
      <c r="G178" s="120" t="n">
        <v>0.04117626842587052</v>
      </c>
      <c r="H178" s="121" t="n">
        <v>79.76664383798155</v>
      </c>
      <c r="I178" s="118" t="n">
        <v>123.5329176330566</v>
      </c>
      <c r="J178" s="118" t="n">
        <v/>
      </c>
      <c r="K178" s="120" t="n">
        <v>0.3440414304572105</v>
      </c>
      <c r="L178" s="120" t="n">
        <v>-0.07630450291885127</v>
      </c>
      <c r="M178" s="120" t="n">
        <v>-0.2247780480533725</v>
      </c>
      <c r="N178" t="n">
        <v>57.78386129118691</v>
      </c>
      <c r="O178" t="n">
        <v>0.5609788693967518</v>
      </c>
      <c r="P178" t="n">
        <v>101.5675015660405</v>
      </c>
      <c r="Q178" t="n">
        <v>94.42079512960817</v>
      </c>
    </row>
    <row r="179">
      <c r="A179" s="117" t="n">
        <v>44671</v>
      </c>
      <c r="B179" s="118" t="n">
        <v>127.7354699837648</v>
      </c>
      <c r="C179" s="118" t="n">
        <v>128.3743206126806</v>
      </c>
      <c r="D179" s="118" t="n">
        <v>125.6059255036046</v>
      </c>
      <c r="E179" s="118" t="n">
        <v>125.8003540039062</v>
      </c>
      <c r="F179" s="119" t="n">
        <v>5309700</v>
      </c>
      <c r="G179" s="120" t="n">
        <v>-0.008610272021392862</v>
      </c>
      <c r="H179" s="121" t="n">
        <v>79.07983133630296</v>
      </c>
      <c r="I179" s="118" t="n">
        <v>123.3673777770996</v>
      </c>
      <c r="J179" s="118" t="n">
        <v/>
      </c>
      <c r="K179" s="120" t="n">
        <v>0.3382629027166104</v>
      </c>
      <c r="L179" s="120" t="n">
        <v>-0.08425777241365573</v>
      </c>
      <c r="M179" s="120" t="n">
        <v>-0.2314529199365881</v>
      </c>
      <c r="N179" t="n">
        <v>55.83091205871628</v>
      </c>
      <c r="O179" t="n">
        <v>0.7450982432343064</v>
      </c>
      <c r="P179" t="n">
        <v>101.4921825634628</v>
      </c>
      <c r="Q179" t="n">
        <v>93.04370953856839</v>
      </c>
    </row>
    <row r="180">
      <c r="A180" s="117" t="n">
        <v>44672</v>
      </c>
      <c r="B180" s="118" t="n">
        <v>128.2817586749471</v>
      </c>
      <c r="C180" s="118" t="n">
        <v>128.8280290911817</v>
      </c>
      <c r="D180" s="118" t="n">
        <v>125.0689268496766</v>
      </c>
      <c r="E180" s="118" t="n">
        <v>125.420768737793</v>
      </c>
      <c r="F180" s="119" t="n">
        <v>6562400</v>
      </c>
      <c r="G180" s="120" t="n">
        <v>-0.00301736246387263</v>
      </c>
      <c r="H180" s="121" t="n">
        <v>78.84121882157943</v>
      </c>
      <c r="I180" s="118" t="n">
        <v>123.2239907836914</v>
      </c>
      <c r="J180" s="118" t="n">
        <v/>
      </c>
      <c r="K180" s="120" t="n">
        <v>0.3385414939363449</v>
      </c>
      <c r="L180" s="120" t="n">
        <v>-0.08702089863775775</v>
      </c>
      <c r="M180" s="120" t="n">
        <v>-0.2337719050476904</v>
      </c>
      <c r="N180" t="n">
        <v>55.13373748806098</v>
      </c>
      <c r="O180" t="n">
        <v>0.8043678192657555</v>
      </c>
      <c r="P180" t="n">
        <v>99.97452716793396</v>
      </c>
      <c r="Q180" t="n">
        <v>91.11854594990105</v>
      </c>
    </row>
    <row r="181">
      <c r="A181" s="117" t="n">
        <v>44673</v>
      </c>
      <c r="B181" s="118" t="n">
        <v>124.3744977640289</v>
      </c>
      <c r="C181" s="118" t="n">
        <v>124.930021913204</v>
      </c>
      <c r="D181" s="118" t="n">
        <v>119.1710133554186</v>
      </c>
      <c r="E181" s="118" t="n">
        <v>119.5043334960938</v>
      </c>
      <c r="F181" s="119" t="n">
        <v>7321700</v>
      </c>
      <c r="G181" s="120" t="n">
        <v>-0.04717269158243032</v>
      </c>
      <c r="H181" s="121" t="n">
        <v>75.12206632212616</v>
      </c>
      <c r="I181" s="118" t="n">
        <v>122.9118368530273</v>
      </c>
      <c r="J181" s="118" t="n">
        <v/>
      </c>
      <c r="K181" s="120" t="n">
        <v>0.3789756882848225</v>
      </c>
      <c r="L181" s="120" t="n">
        <v>-0.1300885802075232</v>
      </c>
      <c r="M181" s="120" t="n">
        <v>-0.2699169466526687</v>
      </c>
      <c r="N181" t="n">
        <v>45.5799402685559</v>
      </c>
      <c r="O181" t="n">
        <v>0.4270948043431693</v>
      </c>
      <c r="P181" t="n">
        <v>97.23130534317744</v>
      </c>
      <c r="Q181" t="n">
        <v>88.7325197558926</v>
      </c>
    </row>
    <row r="182">
      <c r="A182" s="117" t="n">
        <v>44676</v>
      </c>
      <c r="B182" s="118" t="n">
        <v>118.3284451410661</v>
      </c>
      <c r="C182" s="118" t="n">
        <v>119.383956502707</v>
      </c>
      <c r="D182" s="118" t="n">
        <v>115.5970723202892</v>
      </c>
      <c r="E182" s="118" t="n">
        <v>118.4580688476562</v>
      </c>
      <c r="F182" s="119" t="n">
        <v>6512500</v>
      </c>
      <c r="G182" s="120" t="n">
        <v>-0.008755035217795637</v>
      </c>
      <c r="H182" s="121" t="n">
        <v>74.46436998584235</v>
      </c>
      <c r="I182" s="118" t="n">
        <v>122.6053625488281</v>
      </c>
      <c r="J182" s="118" t="n">
        <v/>
      </c>
      <c r="K182" s="120" t="n">
        <v>0.3766419060080825</v>
      </c>
      <c r="L182" s="120" t="n">
        <v>-0.1377046853241691</v>
      </c>
      <c r="M182" s="120" t="n">
        <v>-0.2763088494966405</v>
      </c>
      <c r="N182" t="n">
        <v>44.12381817690638</v>
      </c>
      <c r="O182" t="n">
        <v>0.1058120997062809</v>
      </c>
      <c r="P182" t="n">
        <v>97.79500612949248</v>
      </c>
      <c r="Q182" t="n">
        <v>89.87237742939466</v>
      </c>
    </row>
    <row r="183">
      <c r="A183" s="117" t="n">
        <v>44677</v>
      </c>
      <c r="B183" s="118" t="n">
        <v>117.5414403543204</v>
      </c>
      <c r="C183" s="118" t="n">
        <v>118.134007915514</v>
      </c>
      <c r="D183" s="118" t="n">
        <v>111.550952886127</v>
      </c>
      <c r="E183" s="118" t="n">
        <v>111.5879821777344</v>
      </c>
      <c r="F183" s="119" t="n">
        <v>7977900</v>
      </c>
      <c r="G183" s="120" t="n">
        <v>-0.05799593676271386</v>
      </c>
      <c r="H183" s="121" t="n">
        <v>70.14573909306812</v>
      </c>
      <c r="I183" s="118" t="n">
        <v>122.2472137451172</v>
      </c>
      <c r="J183" s="118" t="n">
        <v/>
      </c>
      <c r="K183" s="120" t="n">
        <v>0.423369467780901</v>
      </c>
      <c r="L183" s="120" t="n">
        <v>-0.187714309864893</v>
      </c>
      <c r="M183" s="120" t="n">
        <v>-0.318279995696969</v>
      </c>
      <c r="N183" t="n">
        <v>35.99279865228839</v>
      </c>
      <c r="O183" t="n">
        <v>-0.5354386759643404</v>
      </c>
      <c r="P183" t="n">
        <v>94.96279173384464</v>
      </c>
      <c r="Q183" t="n">
        <v>86.48012756959888</v>
      </c>
    </row>
    <row r="184">
      <c r="A184" s="117" t="n">
        <v>44678</v>
      </c>
      <c r="B184" s="118" t="n">
        <v>112.1157388444979</v>
      </c>
      <c r="C184" s="118" t="n">
        <v>114.8100754576331</v>
      </c>
      <c r="D184" s="118" t="n">
        <v>112.1157388444979</v>
      </c>
      <c r="E184" s="118" t="n">
        <v>112.2546234130859</v>
      </c>
      <c r="F184" s="119" t="n">
        <v>6007800</v>
      </c>
      <c r="G184" s="120" t="n">
        <v>0.005974131105711322</v>
      </c>
      <c r="H184" s="121" t="n">
        <v>70.56479893491712</v>
      </c>
      <c r="I184" s="118" t="n">
        <v>121.8763461303711</v>
      </c>
      <c r="J184" s="118" t="n">
        <v/>
      </c>
      <c r="K184" s="120" t="n">
        <v>0.4024162137762961</v>
      </c>
      <c r="L184" s="120" t="n">
        <v>-0.1828616086567327</v>
      </c>
      <c r="M184" s="120" t="n">
        <v>-0.3142073110138766</v>
      </c>
      <c r="N184" t="n">
        <v>37.20209219405175</v>
      </c>
      <c r="O184" t="n">
        <v>-0.8614270736754042</v>
      </c>
      <c r="P184" t="n">
        <v>95.22981372142951</v>
      </c>
      <c r="Q184" t="n">
        <v>86.3765336597759</v>
      </c>
    </row>
    <row r="185">
      <c r="A185" s="117" t="n">
        <v>44679</v>
      </c>
      <c r="B185" s="118" t="n">
        <v>114.0415844644413</v>
      </c>
      <c r="C185" s="118" t="n">
        <v>118.4858481779616</v>
      </c>
      <c r="D185" s="118" t="n">
        <v>113.5138287665574</v>
      </c>
      <c r="E185" s="118" t="n">
        <v>117.634033203125</v>
      </c>
      <c r="F185" s="119" t="n">
        <v>6551600</v>
      </c>
      <c r="G185" s="120" t="n">
        <v>0.0479214987007115</v>
      </c>
      <c r="H185" s="121" t="n">
        <v>73.94636985539272</v>
      </c>
      <c r="I185" s="118" t="n">
        <v>121.5393493652344</v>
      </c>
      <c r="J185" s="118" t="n">
        <v/>
      </c>
      <c r="K185" s="120" t="n">
        <v>0.4465690426654458</v>
      </c>
      <c r="L185" s="120" t="n">
        <v>-0.143703112297675</v>
      </c>
      <c r="M185" s="120" t="n">
        <v>-0.2813430975596706</v>
      </c>
      <c r="N185" t="n">
        <v>46.05842024448461</v>
      </c>
      <c r="O185" t="n">
        <v>-0.670005024227103</v>
      </c>
      <c r="P185" t="n">
        <v>97.63526963014883</v>
      </c>
      <c r="Q185" t="n">
        <v>89.44423768381618</v>
      </c>
    </row>
    <row r="186">
      <c r="A186" s="117" t="n">
        <v>44680</v>
      </c>
      <c r="B186" s="118" t="n">
        <v>116.8655518703588</v>
      </c>
      <c r="C186" s="118" t="n">
        <v>118.9302775782258</v>
      </c>
      <c r="D186" s="118" t="n">
        <v>115.0415518892449</v>
      </c>
      <c r="E186" s="118" t="n">
        <v>115.4581985473633</v>
      </c>
      <c r="F186" s="119" t="n">
        <v>5867900</v>
      </c>
      <c r="G186" s="120" t="n">
        <v>-0.01849664248104621</v>
      </c>
      <c r="H186" s="121" t="n">
        <v>72.57861028940631</v>
      </c>
      <c r="I186" s="118" t="n">
        <v>121.1420234680176</v>
      </c>
      <c r="J186" s="118" t="n">
        <v/>
      </c>
      <c r="K186" s="120" t="n">
        <v>0.440472732618656</v>
      </c>
      <c r="L186" s="120" t="n">
        <v>-0.1468048714648692</v>
      </c>
      <c r="M186" s="120" t="n">
        <v>-0.2946358373506454</v>
      </c>
      <c r="N186" t="n">
        <v>43.39277767421719</v>
      </c>
      <c r="O186" t="n">
        <v>-0.644945763671553</v>
      </c>
      <c r="P186" t="n">
        <v>94.02709314622169</v>
      </c>
      <c r="Q186" t="n">
        <v>85.41938573980491</v>
      </c>
    </row>
    <row r="187">
      <c r="A187" s="117" t="n">
        <v>44683</v>
      </c>
      <c r="B187" s="118" t="n">
        <v>115.2082001085492</v>
      </c>
      <c r="C187" s="118" t="n">
        <v>116.8285034895304</v>
      </c>
      <c r="D187" s="118" t="n">
        <v>113.6990057881474</v>
      </c>
      <c r="E187" s="118" t="n">
        <v>116.7359161376953</v>
      </c>
      <c r="F187" s="119" t="n">
        <v>5428400</v>
      </c>
      <c r="G187" s="120" t="n">
        <v>0.01106649511604751</v>
      </c>
      <c r="H187" s="121" t="n">
        <v>73.38180112570353</v>
      </c>
      <c r="I187" s="118" t="n">
        <v>120.8384266662598</v>
      </c>
      <c r="J187" s="118" t="n">
        <v/>
      </c>
      <c r="K187" s="120" t="n">
        <v>0.4430858380816191</v>
      </c>
      <c r="L187" s="120" t="n">
        <v>-0.1373629917418998</v>
      </c>
      <c r="M187" s="120" t="n">
        <v>-0.2868299282896514</v>
      </c>
      <c r="N187" t="n">
        <v>45.39147482084357</v>
      </c>
      <c r="O187" t="n">
        <v>-0.5036055259854566</v>
      </c>
      <c r="P187" t="n">
        <v>94.59309622790308</v>
      </c>
      <c r="Q187" t="n">
        <v>86.84553853283342</v>
      </c>
    </row>
    <row r="188">
      <c r="A188" s="117" t="n">
        <v>44684</v>
      </c>
      <c r="B188" s="118" t="n">
        <v>115.7544761189267</v>
      </c>
      <c r="C188" s="118" t="n">
        <v>116.4396380969012</v>
      </c>
      <c r="D188" s="118" t="n">
        <v>111.310219436732</v>
      </c>
      <c r="E188" s="118" t="n">
        <v>113.7545623779297</v>
      </c>
      <c r="F188" s="119" t="n">
        <v>8201200</v>
      </c>
      <c r="G188" s="120" t="n">
        <v>-0.02553930151410289</v>
      </c>
      <c r="H188" s="121" t="n">
        <v>71.50768118110626</v>
      </c>
      <c r="I188" s="118" t="n">
        <v>120.4724314880371</v>
      </c>
      <c r="J188" s="118" t="n">
        <v/>
      </c>
      <c r="K188" s="120" t="n">
        <v>0.4491279447550885</v>
      </c>
      <c r="L188" s="120" t="n">
        <v>-0.159394138393027</v>
      </c>
      <c r="M188" s="120" t="n">
        <v>-0.3050437937818964</v>
      </c>
      <c r="N188" t="n">
        <v>41.69238240958915</v>
      </c>
      <c r="O188" t="n">
        <v>-0.5674480781173374</v>
      </c>
      <c r="P188" t="n">
        <v>95.02668780941248</v>
      </c>
      <c r="Q188" t="n">
        <v>86.93826469393106</v>
      </c>
    </row>
    <row r="189">
      <c r="A189" s="117" t="n">
        <v>44685</v>
      </c>
      <c r="B189" s="118" t="n">
        <v>113.4582706297529</v>
      </c>
      <c r="C189" s="118" t="n">
        <v>116.8470156704016</v>
      </c>
      <c r="D189" s="118" t="n">
        <v>111.1805879156207</v>
      </c>
      <c r="E189" s="118" t="n">
        <v>116.7173919677734</v>
      </c>
      <c r="F189" s="119" t="n">
        <v>6924000</v>
      </c>
      <c r="G189" s="120" t="n">
        <v>0.02604580887050734</v>
      </c>
      <c r="H189" s="121" t="n">
        <v>73.37015657792253</v>
      </c>
      <c r="I189" s="118" t="n">
        <v>120.2536367797852</v>
      </c>
      <c r="J189" s="118" t="n">
        <v/>
      </c>
      <c r="K189" s="120" t="n">
        <v>0.4593317894510254</v>
      </c>
      <c r="L189" s="120" t="n">
        <v>-0.1374998787861836</v>
      </c>
      <c r="M189" s="120" t="n">
        <v>-0.2869430972613668</v>
      </c>
      <c r="N189" t="n">
        <v>46.36981985862313</v>
      </c>
      <c r="O189" t="n">
        <v>-0.3759112721494604</v>
      </c>
      <c r="P189" t="n">
        <v>97.92053288102089</v>
      </c>
      <c r="Q189" t="n">
        <v>89.87781984758495</v>
      </c>
    </row>
    <row r="190">
      <c r="A190" s="117" t="n">
        <v>44686</v>
      </c>
      <c r="B190" s="118" t="n">
        <v>114.9119263219677</v>
      </c>
      <c r="C190" s="118" t="n">
        <v>115.5044939019186</v>
      </c>
      <c r="D190" s="118" t="n">
        <v>107.8844348032917</v>
      </c>
      <c r="E190" s="118" t="n">
        <v>109.8380584716797</v>
      </c>
      <c r="F190" s="119" t="n">
        <v>8411600</v>
      </c>
      <c r="G190" s="120" t="n">
        <v>-0.05894008921989269</v>
      </c>
      <c r="H190" s="121" t="n">
        <v>69.04571300314228</v>
      </c>
      <c r="I190" s="118" t="n">
        <v>119.9223812866211</v>
      </c>
      <c r="J190" s="118" t="n">
        <v/>
      </c>
      <c r="K190" s="120" t="n">
        <v>0.4931286617903571</v>
      </c>
      <c r="L190" s="120" t="n">
        <v>-0.1883357128826942</v>
      </c>
      <c r="M190" s="120" t="n">
        <v>-0.3289707347276422</v>
      </c>
      <c r="N190" t="n">
        <v>38.6225600213737</v>
      </c>
      <c r="O190" t="n">
        <v>-0.661595385142091</v>
      </c>
      <c r="P190" t="n">
        <v>94.44016330653304</v>
      </c>
      <c r="Q190" t="n">
        <v>85.35121453927067</v>
      </c>
    </row>
    <row r="191">
      <c r="A191" s="117" t="n">
        <v>44687</v>
      </c>
      <c r="B191" s="118" t="n">
        <v>105.3104594448684</v>
      </c>
      <c r="C191" s="118" t="n">
        <v>107.310380161693</v>
      </c>
      <c r="D191" s="118" t="n">
        <v>102.4587308484528</v>
      </c>
      <c r="E191" s="118" t="n">
        <v>106.0048751831055</v>
      </c>
      <c r="F191" s="119" t="n">
        <v>11237500</v>
      </c>
      <c r="G191" s="120" t="n">
        <v>-0.03489849822466184</v>
      </c>
      <c r="H191" s="121" t="n">
        <v>66.63612131048161</v>
      </c>
      <c r="I191" s="118" t="n">
        <v>119.5081814575195</v>
      </c>
      <c r="J191" s="118" t="n">
        <v/>
      </c>
      <c r="K191" s="120" t="n">
        <v>0.5033166531567711</v>
      </c>
      <c r="L191" s="120" t="n">
        <v>-0.2166615775656789</v>
      </c>
      <c r="M191" s="120" t="n">
        <v>-0.3523886483504457</v>
      </c>
      <c r="N191" t="n">
        <v>35.10324690609093</v>
      </c>
      <c r="O191" t="n">
        <v>-1.035510191968625</v>
      </c>
      <c r="P191" t="n">
        <v>93.87645514106619</v>
      </c>
      <c r="Q191" t="n">
        <v>84.32864653125725</v>
      </c>
    </row>
    <row r="192">
      <c r="A192" s="117" t="n">
        <v>44690</v>
      </c>
      <c r="B192" s="118" t="n">
        <v>104.5975284057827</v>
      </c>
      <c r="C192" s="118" t="n">
        <v>105.9493235200644</v>
      </c>
      <c r="D192" s="118" t="n">
        <v>102.3939112893277</v>
      </c>
      <c r="E192" s="118" t="n">
        <v>102.9679641723633</v>
      </c>
      <c r="F192" s="119" t="n">
        <v>7506000</v>
      </c>
      <c r="G192" s="120" t="n">
        <v>-0.0286487862515421</v>
      </c>
      <c r="H192" s="121" t="n">
        <v>64.7270773144258</v>
      </c>
      <c r="I192" s="118" t="n">
        <v>119.0031272888184</v>
      </c>
      <c r="J192" s="118" t="n">
        <v/>
      </c>
      <c r="K192" s="120" t="n">
        <v>0.5098242068579473</v>
      </c>
      <c r="L192" s="120" t="n">
        <v>-0.23910327259262</v>
      </c>
      <c r="M192" s="120" t="n">
        <v>-0.3709419275379261</v>
      </c>
      <c r="N192" t="n">
        <v>32.57100509620281</v>
      </c>
      <c r="O192" t="n">
        <v>-1.391948682615201</v>
      </c>
      <c r="P192" t="n">
        <v>90.87080854030567</v>
      </c>
      <c r="Q192" t="n">
        <v>81.02912283255908</v>
      </c>
    </row>
    <row r="193">
      <c r="A193" s="117" t="n">
        <v>44691</v>
      </c>
      <c r="B193" s="118" t="n">
        <v>104.6530936934073</v>
      </c>
      <c r="C193" s="118" t="n">
        <v>105.0327110704645</v>
      </c>
      <c r="D193" s="118" t="n">
        <v>100.3199386397735</v>
      </c>
      <c r="E193" s="118" t="n">
        <v>101.3754501342773</v>
      </c>
      <c r="F193" s="119" t="n">
        <v>7526900</v>
      </c>
      <c r="G193" s="120" t="n">
        <v>-0.01546611172597478</v>
      </c>
      <c r="H193" s="121" t="n">
        <v>63.72600110498507</v>
      </c>
      <c r="I193" s="118" t="n">
        <v>118.5077931213379</v>
      </c>
      <c r="J193" s="118" t="n">
        <v/>
      </c>
      <c r="K193" s="120" t="n">
        <v>0.5064944387923637</v>
      </c>
      <c r="L193" s="120" t="n">
        <v>-0.2508713863906311</v>
      </c>
      <c r="M193" s="120" t="n">
        <v>-0.3806710099687508</v>
      </c>
      <c r="N193" t="n">
        <v>31.29608269055628</v>
      </c>
      <c r="O193" t="n">
        <v>-1.623397689156144</v>
      </c>
      <c r="P193" t="n">
        <v>91.08076016775178</v>
      </c>
      <c r="Q193" t="n">
        <v>82.01351701879197</v>
      </c>
    </row>
    <row r="194">
      <c r="A194" s="117" t="n">
        <v>44692</v>
      </c>
      <c r="B194" s="118" t="n">
        <v>102.4957732030434</v>
      </c>
      <c r="C194" s="118" t="n">
        <v>102.9124269374726</v>
      </c>
      <c r="D194" s="118" t="n">
        <v>99.6162616763271</v>
      </c>
      <c r="E194" s="118" t="n">
        <v>99.92180633544922</v>
      </c>
      <c r="F194" s="119" t="n">
        <v>6611800</v>
      </c>
      <c r="G194" s="120" t="n">
        <v>-0.01433920931451049</v>
      </c>
      <c r="H194" s="121" t="n">
        <v>62.81222063636397</v>
      </c>
      <c r="I194" s="118" t="n">
        <v>118.063385925293</v>
      </c>
      <c r="J194" s="118" t="n">
        <v/>
      </c>
      <c r="K194" s="120" t="n">
        <v>0.5066692926472293</v>
      </c>
      <c r="L194" s="120" t="n">
        <v>-0.261613298384665</v>
      </c>
      <c r="M194" s="120" t="n">
        <v>-0.3895516979913533</v>
      </c>
      <c r="N194" t="n">
        <v>30.13649204025194</v>
      </c>
      <c r="O194" t="n">
        <v>-1.751810343177733</v>
      </c>
      <c r="P194" t="n">
        <v>89.63382656321986</v>
      </c>
      <c r="Q194" t="n">
        <v>79.58113201614852</v>
      </c>
    </row>
    <row r="195">
      <c r="A195" s="117" t="n">
        <v>44693</v>
      </c>
      <c r="B195" s="118" t="n">
        <v>97.38488141779546</v>
      </c>
      <c r="C195" s="118" t="n">
        <v>101.7365513563821</v>
      </c>
      <c r="D195" s="118" t="n">
        <v>97.21822132724735</v>
      </c>
      <c r="E195" s="118" t="n">
        <v>99.90329742431641</v>
      </c>
      <c r="F195" s="119" t="n">
        <v>10245400</v>
      </c>
      <c r="G195" s="120" t="n">
        <v>-0.0001852339525436619</v>
      </c>
      <c r="H195" s="121" t="n">
        <v>62.80058568046745</v>
      </c>
      <c r="I195" s="118" t="n">
        <v>117.5546827697754</v>
      </c>
      <c r="J195" s="118" t="n">
        <v/>
      </c>
      <c r="K195" s="120" t="n">
        <v>0.4977642842247214</v>
      </c>
      <c r="L195" s="120" t="n">
        <v>-0.2617500726719109</v>
      </c>
      <c r="M195" s="120" t="n">
        <v>-0.3896647737431579</v>
      </c>
      <c r="N195" t="n">
        <v>30.12118841294166</v>
      </c>
      <c r="O195" t="n">
        <v>-1.713330518147548</v>
      </c>
      <c r="P195" t="n">
        <v>89.54025891820311</v>
      </c>
      <c r="Q195" t="n">
        <v>79.39297984442715</v>
      </c>
    </row>
    <row r="196">
      <c r="A196" s="117" t="n">
        <v>44694</v>
      </c>
      <c r="B196" s="118" t="n">
        <v>102.0883761756365</v>
      </c>
      <c r="C196" s="118" t="n">
        <v>104.7271546146808</v>
      </c>
      <c r="D196" s="118" t="n">
        <v>100.6162111113514</v>
      </c>
      <c r="E196" s="118" t="n">
        <v>104.6345672607422</v>
      </c>
      <c r="F196" s="119" t="n">
        <v>9618800</v>
      </c>
      <c r="G196" s="120" t="n">
        <v>0.04735849524896851</v>
      </c>
      <c r="H196" s="121" t="n">
        <v>65.77472691904831</v>
      </c>
      <c r="I196" s="118" t="n">
        <v>117.1721981811523</v>
      </c>
      <c r="J196" s="118" t="n">
        <v/>
      </c>
      <c r="K196" s="120" t="n">
        <v>0.4985413138454797</v>
      </c>
      <c r="L196" s="120" t="n">
        <v>-0.2076399602880042</v>
      </c>
      <c r="M196" s="120" t="n">
        <v>-0.3607602158301951</v>
      </c>
      <c r="N196" t="n">
        <v>38.69162626066726</v>
      </c>
      <c r="O196" t="n">
        <v>-1.265238086363334</v>
      </c>
      <c r="P196" t="n">
        <v>91.68098037640026</v>
      </c>
      <c r="Q196" t="n">
        <v>82.33526902291761</v>
      </c>
    </row>
    <row r="197">
      <c r="A197" s="117" t="n">
        <v>44697</v>
      </c>
      <c r="B197" s="118" t="n">
        <v>104.6068009719403</v>
      </c>
      <c r="C197" s="118" t="n">
        <v>105.0327084887305</v>
      </c>
      <c r="D197" s="118" t="n">
        <v>103.2920349999775</v>
      </c>
      <c r="E197" s="118" t="n">
        <v>104.2549591064453</v>
      </c>
      <c r="F197" s="119" t="n">
        <v>5722500</v>
      </c>
      <c r="G197" s="120" t="n">
        <v>-0.003627942125004613</v>
      </c>
      <c r="H197" s="121" t="n">
        <v>65.53610001649803</v>
      </c>
      <c r="I197" s="118" t="n">
        <v>116.8281387329102</v>
      </c>
      <c r="J197" s="118" t="n">
        <v/>
      </c>
      <c r="K197" s="120" t="n">
        <v>0.4982433595146348</v>
      </c>
      <c r="L197" s="120" t="n">
        <v>-0.2105145966542455</v>
      </c>
      <c r="M197" s="120" t="n">
        <v>-0.3630793407711636</v>
      </c>
      <c r="N197" t="n">
        <v>38.28589469358356</v>
      </c>
      <c r="O197" t="n">
        <v>-0.9071787137872045</v>
      </c>
      <c r="P197" t="n">
        <v>91.3089751959405</v>
      </c>
      <c r="Q197" t="n">
        <v>81.38088075926603</v>
      </c>
    </row>
    <row r="198">
      <c r="A198" s="117" t="n">
        <v>44698</v>
      </c>
      <c r="B198" s="118" t="n">
        <v>106.9400377651733</v>
      </c>
      <c r="C198" s="118" t="n">
        <v>108.4214567889545</v>
      </c>
      <c r="D198" s="118" t="n">
        <v>104.6901301945683</v>
      </c>
      <c r="E198" s="118" t="n">
        <v>107.3103942871094</v>
      </c>
      <c r="F198" s="119" t="n">
        <v>6026100</v>
      </c>
      <c r="G198" s="120" t="n">
        <v>0.02930733661834184</v>
      </c>
      <c r="H198" s="121" t="n">
        <v>67.45678856033484</v>
      </c>
      <c r="I198" s="118" t="n">
        <v>116.6699975585937</v>
      </c>
      <c r="J198" s="118" t="n">
        <v/>
      </c>
      <c r="K198" s="120" t="n">
        <v>0.4845171177741482</v>
      </c>
      <c r="L198" s="120" t="n">
        <v>-0.1670261611121804</v>
      </c>
      <c r="M198" s="120" t="n">
        <v>-0.3444128926119678</v>
      </c>
      <c r="N198" t="n">
        <v>43.42804999116987</v>
      </c>
      <c r="O198" t="n">
        <v>-0.4030362979262581</v>
      </c>
      <c r="P198" t="n">
        <v>93.18723498237456</v>
      </c>
      <c r="Q198" t="n">
        <v>83.48875410146445</v>
      </c>
    </row>
    <row r="199">
      <c r="A199" s="117" t="n">
        <v>44699</v>
      </c>
      <c r="B199" s="118" t="n">
        <v>104.1623693046801</v>
      </c>
      <c r="C199" s="118" t="n">
        <v>104.9586333151485</v>
      </c>
      <c r="D199" s="118" t="n">
        <v>100.718065829438</v>
      </c>
      <c r="E199" s="118" t="n">
        <v>101.2643432617188</v>
      </c>
      <c r="F199" s="119" t="n">
        <v>8188300</v>
      </c>
      <c r="G199" s="120" t="n">
        <v>-0.05634170916579051</v>
      </c>
      <c r="H199" s="121" t="n">
        <v>63.65615779801024</v>
      </c>
      <c r="I199" s="118" t="n">
        <v>116.4507475280762</v>
      </c>
      <c r="J199" s="118" t="n">
        <v/>
      </c>
      <c r="K199" s="120" t="n">
        <v>0.5141608415588881</v>
      </c>
      <c r="L199" s="120" t="n">
        <v>-0.2139573308855098</v>
      </c>
      <c r="M199" s="120" t="n">
        <v>-0.3813497907492662</v>
      </c>
      <c r="N199" t="n">
        <v>36.87970429791367</v>
      </c>
      <c r="O199" t="n">
        <v>-0.4136768248187606</v>
      </c>
      <c r="P199" t="n">
        <v>89.43070803035462</v>
      </c>
      <c r="Q199" t="n">
        <v>79.39026290724581</v>
      </c>
    </row>
    <row r="200">
      <c r="A200" s="117" t="n">
        <v>44700</v>
      </c>
      <c r="B200" s="118" t="n">
        <v>100.8754638655572</v>
      </c>
      <c r="C200" s="118" t="n">
        <v>101.0236092908677</v>
      </c>
      <c r="D200" s="118" t="n">
        <v>98.40334535838095</v>
      </c>
      <c r="E200" s="118" t="n">
        <v>98.55149078369141</v>
      </c>
      <c r="F200" s="119" t="n">
        <v>7702000</v>
      </c>
      <c r="G200" s="120" t="n">
        <v>-0.02678980962742183</v>
      </c>
      <c r="H200" s="121" t="n">
        <v>61.95082144898842</v>
      </c>
      <c r="I200" s="118" t="n">
        <v>116.0709484863281</v>
      </c>
      <c r="J200" s="118" t="n">
        <v/>
      </c>
      <c r="K200" s="120" t="n">
        <v>0.5166211950319095</v>
      </c>
      <c r="L200" s="120" t="n">
        <v>-0.2350152643501175</v>
      </c>
      <c r="M200" s="120" t="n">
        <v>-0.397923312081058</v>
      </c>
      <c r="N200" t="n">
        <v>34.37507220332131</v>
      </c>
      <c r="O200" t="n">
        <v>-0.5327557357287631</v>
      </c>
      <c r="P200" t="n">
        <v>88.88297572856769</v>
      </c>
      <c r="Q200" t="n">
        <v>78.96486573033151</v>
      </c>
    </row>
    <row r="201">
      <c r="A201" s="117" t="n">
        <v>44701</v>
      </c>
      <c r="B201" s="118" t="n">
        <v>100.6162078900508</v>
      </c>
      <c r="C201" s="118" t="n">
        <v>101.5606172362912</v>
      </c>
      <c r="D201" s="118" t="n">
        <v>97.28301380723779</v>
      </c>
      <c r="E201" s="118" t="n">
        <v>99.99586486816406</v>
      </c>
      <c r="F201" s="119" t="n">
        <v>7621900</v>
      </c>
      <c r="G201" s="120" t="n">
        <v>0.01465603486042522</v>
      </c>
      <c r="H201" s="121" t="n">
        <v>62.85877484777678</v>
      </c>
      <c r="I201" s="118" t="n">
        <v>115.737073059082</v>
      </c>
      <c r="J201" s="118" t="n">
        <v>138.094843711853</v>
      </c>
      <c r="K201" s="120" t="n">
        <v>0.5064772146394156</v>
      </c>
      <c r="L201" s="120" t="n">
        <v>-0.2238036213967397</v>
      </c>
      <c r="M201" s="120" t="n">
        <v>-0.3890992551542687</v>
      </c>
      <c r="N201" t="n">
        <v>36.83472112268998</v>
      </c>
      <c r="O201" t="n">
        <v>-0.4470406663952584</v>
      </c>
      <c r="P201" t="n">
        <v>88.92178268796384</v>
      </c>
      <c r="Q201" t="n">
        <v>78.71945282593933</v>
      </c>
    </row>
    <row r="202">
      <c r="A202" s="117" t="n">
        <v>44704</v>
      </c>
      <c r="B202" s="118" t="n">
        <v>99.50516689837686</v>
      </c>
      <c r="C202" s="118" t="n">
        <v>100.6903021986184</v>
      </c>
      <c r="D202" s="118" t="n">
        <v>97.97745055567405</v>
      </c>
      <c r="E202" s="118" t="n">
        <v>100.5791931152344</v>
      </c>
      <c r="F202" s="119" t="n">
        <v>7136400</v>
      </c>
      <c r="G202" s="120" t="n">
        <v>0.005833523694598552</v>
      </c>
      <c r="H202" s="121" t="n">
        <v>63.22546300026472</v>
      </c>
      <c r="I202" s="118" t="n">
        <v>115.4778247070312</v>
      </c>
      <c r="J202" s="118" t="n">
        <v>137.8023386764526</v>
      </c>
      <c r="K202" s="120" t="n">
        <v>0.5089768898253468</v>
      </c>
      <c r="L202" s="120" t="n">
        <v>-0.219275661430496</v>
      </c>
      <c r="M202" s="120" t="n">
        <v>-0.3855355511841632</v>
      </c>
      <c r="N202" t="n">
        <v>37.847881559453</v>
      </c>
      <c r="O202" t="n">
        <v>-0.2913890610129144</v>
      </c>
      <c r="P202" t="n">
        <v>90.58550839367456</v>
      </c>
      <c r="Q202" t="n">
        <v>80.02835012878965</v>
      </c>
    </row>
    <row r="203">
      <c r="A203" s="117" t="n">
        <v>44705</v>
      </c>
      <c r="B203" s="118" t="n">
        <v>99.17184850984185</v>
      </c>
      <c r="C203" s="118" t="n">
        <v>99.98662727753621</v>
      </c>
      <c r="D203" s="118" t="n">
        <v>96.96823796250894</v>
      </c>
      <c r="E203" s="118" t="n">
        <v>99.33850860595703</v>
      </c>
      <c r="F203" s="119" t="n">
        <v>6023400</v>
      </c>
      <c r="G203" s="120" t="n">
        <v>-0.01233539930923766</v>
      </c>
      <c r="H203" s="121" t="n">
        <v>62.44555166764501</v>
      </c>
      <c r="I203" s="118" t="n">
        <v>115.2874626159668</v>
      </c>
      <c r="J203" s="118" t="n">
        <v>137.5083711242676</v>
      </c>
      <c r="K203" s="120" t="n">
        <v>0.4736603689086636</v>
      </c>
      <c r="L203" s="120" t="n">
        <v>-0.2289062078971914</v>
      </c>
      <c r="M203" s="120" t="n">
        <v>-0.3931152155216372</v>
      </c>
      <c r="N203" t="n">
        <v>36.50664684585027</v>
      </c>
      <c r="O203" t="n">
        <v>-0.2158022023589803</v>
      </c>
      <c r="P203" t="n">
        <v>89.89400069792023</v>
      </c>
      <c r="Q203" t="n">
        <v>78.32676996496006</v>
      </c>
    </row>
    <row r="204">
      <c r="A204" s="117" t="n">
        <v>44706</v>
      </c>
      <c r="B204" s="118" t="n">
        <v>95.79233984640199</v>
      </c>
      <c r="C204" s="118" t="n">
        <v>100.8199103007065</v>
      </c>
      <c r="D204" s="118" t="n">
        <v>95.79233984640199</v>
      </c>
      <c r="E204" s="118" t="n">
        <v>100.1810455322266</v>
      </c>
      <c r="F204" s="119" t="n">
        <v>7158800</v>
      </c>
      <c r="G204" s="120" t="n">
        <v>0.008481473479852619</v>
      </c>
      <c r="H204" s="121" t="n">
        <v>62.97518195804891</v>
      </c>
      <c r="I204" s="118" t="n">
        <v>115.0800634765625</v>
      </c>
      <c r="J204" s="118" t="n">
        <v>137.2163146972656</v>
      </c>
      <c r="K204" s="120" t="n">
        <v>0.4745397915814387</v>
      </c>
      <c r="L204" s="120" t="n">
        <v>-0.2223661963489925</v>
      </c>
      <c r="M204" s="120" t="n">
        <v>-0.3879679383167579</v>
      </c>
      <c r="N204" t="n">
        <v>38.11060024928742</v>
      </c>
      <c r="O204" t="n">
        <v>-0.06092258177154175</v>
      </c>
      <c r="P204" t="n">
        <v>90.68821142863854</v>
      </c>
      <c r="Q204" t="n">
        <v>79.42298576700846</v>
      </c>
    </row>
    <row r="205">
      <c r="A205" s="117" t="n">
        <v>44707</v>
      </c>
      <c r="B205" s="118" t="n">
        <v>101.847643547994</v>
      </c>
      <c r="C205" s="118" t="n">
        <v>105.0882503881574</v>
      </c>
      <c r="D205" s="118" t="n">
        <v>101.847643547994</v>
      </c>
      <c r="E205" s="118" t="n">
        <v>104.5697555541992</v>
      </c>
      <c r="F205" s="119" t="n">
        <v>6520300</v>
      </c>
      <c r="G205" s="120" t="n">
        <v>0.0438077881764658</v>
      </c>
      <c r="H205" s="121" t="n">
        <v>65.7339853896415</v>
      </c>
      <c r="I205" s="118" t="n">
        <v>114.8532209777832</v>
      </c>
      <c r="J205" s="118" t="n">
        <v>136.9508048629761</v>
      </c>
      <c r="K205" s="120" t="n">
        <v>0.4686143600704341</v>
      </c>
      <c r="L205" s="120" t="n">
        <v>-0.1882997793997897</v>
      </c>
      <c r="M205" s="120" t="n">
        <v>-0.3611561674013328</v>
      </c>
      <c r="N205" t="n">
        <v>45.79229632122217</v>
      </c>
      <c r="O205" t="n">
        <v>0.3619844975501634</v>
      </c>
      <c r="P205" t="n">
        <v>92.50028022329023</v>
      </c>
      <c r="Q205" t="n">
        <v>81.62359381413211</v>
      </c>
    </row>
    <row r="206">
      <c r="A206" s="117" t="n">
        <v>44708</v>
      </c>
      <c r="B206" s="118" t="n">
        <v>105.7548892318973</v>
      </c>
      <c r="C206" s="118" t="n">
        <v>107.4122289843353</v>
      </c>
      <c r="D206" s="118" t="n">
        <v>105.5604536717515</v>
      </c>
      <c r="E206" s="118" t="n">
        <v>107.3937072753906</v>
      </c>
      <c r="F206" s="119" t="n">
        <v>5043000</v>
      </c>
      <c r="G206" s="120" t="n">
        <v>0.02700543485279283</v>
      </c>
      <c r="H206" s="121" t="n">
        <v>67.5091602496959</v>
      </c>
      <c r="I206" s="118" t="n">
        <v>114.641748046875</v>
      </c>
      <c r="J206" s="118" t="n">
        <v>136.7023147201538</v>
      </c>
      <c r="K206" s="120" t="n">
        <v>0.4795234565660707</v>
      </c>
      <c r="L206" s="120" t="n">
        <v>-0.1663794619723733</v>
      </c>
      <c r="M206" s="120" t="n">
        <v>-0.343903911898981</v>
      </c>
      <c r="N206" t="n">
        <v>50.0854194114843</v>
      </c>
      <c r="O206" t="n">
        <v>0.8300322524458776</v>
      </c>
      <c r="P206" t="n">
        <v>94.77108136968575</v>
      </c>
      <c r="Q206" t="n">
        <v>84.28772159698494</v>
      </c>
    </row>
    <row r="207">
      <c r="A207" s="117" t="n">
        <v>44712</v>
      </c>
      <c r="B207" s="118" t="n">
        <v>108.7918011065286</v>
      </c>
      <c r="C207" s="118" t="n">
        <v>110.9120847161952</v>
      </c>
      <c r="D207" s="118" t="n">
        <v>105.9678408905189</v>
      </c>
      <c r="E207" s="118" t="n">
        <v>110.041748046875</v>
      </c>
      <c r="F207" s="119" t="n">
        <v>13774600</v>
      </c>
      <c r="G207" s="120" t="n">
        <v>0.02465731781373348</v>
      </c>
      <c r="H207" s="121" t="n">
        <v>69.17375506931091</v>
      </c>
      <c r="I207" s="118" t="n">
        <v>114.4123129272461</v>
      </c>
      <c r="J207" s="118" t="n">
        <v>136.4622316360474</v>
      </c>
      <c r="K207" s="120" t="n">
        <v>0.4872425042306879</v>
      </c>
      <c r="L207" s="120" t="n">
        <v>-0.1458246154301706</v>
      </c>
      <c r="M207" s="120" t="n">
        <v>-0.3277263421383267</v>
      </c>
      <c r="N207" t="n">
        <v>53.78180599122247</v>
      </c>
      <c r="O207" t="n">
        <v>1.288719434295469</v>
      </c>
      <c r="P207" t="n">
        <v>94.23932493157871</v>
      </c>
      <c r="Q207" t="n">
        <v>84.06410399683675</v>
      </c>
    </row>
    <row r="208">
      <c r="A208" s="117" t="n">
        <v>44713</v>
      </c>
      <c r="B208" s="118" t="n">
        <v>110.9491105096864</v>
      </c>
      <c r="C208" s="118" t="n">
        <v>111.8009253887259</v>
      </c>
      <c r="D208" s="118" t="n">
        <v>108.8936389499456</v>
      </c>
      <c r="E208" s="118" t="n">
        <v>109.8843383789062</v>
      </c>
      <c r="F208" s="119" t="n">
        <v>5543100</v>
      </c>
      <c r="G208" s="120" t="n">
        <v>-0.001430454084587085</v>
      </c>
      <c r="H208" s="121" t="n">
        <v>69.07480518882579</v>
      </c>
      <c r="I208" s="118" t="n">
        <v>114.1991734313965</v>
      </c>
      <c r="J208" s="118" t="n">
        <v>136.2182773971558</v>
      </c>
      <c r="K208" s="120" t="n">
        <v>0.4795763280406765</v>
      </c>
      <c r="L208" s="120" t="n">
        <v>-0.1470464740979822</v>
      </c>
      <c r="M208" s="120" t="n">
        <v>-0.3286879987381753</v>
      </c>
      <c r="N208" t="n">
        <v>53.52804622294251</v>
      </c>
      <c r="O208" t="n">
        <v>1.535519905012948</v>
      </c>
      <c r="P208" t="n">
        <v>93.47706592822023</v>
      </c>
      <c r="Q208" t="n">
        <v>83.44237820517422</v>
      </c>
    </row>
    <row r="209">
      <c r="A209" s="117" t="n">
        <v>44714</v>
      </c>
      <c r="B209" s="118" t="n">
        <v>110.6528382227069</v>
      </c>
      <c r="C209" s="118" t="n">
        <v>114.4212007843985</v>
      </c>
      <c r="D209" s="118" t="n">
        <v>110.4213663035269</v>
      </c>
      <c r="E209" s="118" t="n">
        <v>114.263801574707</v>
      </c>
      <c r="F209" s="119" t="n">
        <v>5838100</v>
      </c>
      <c r="G209" s="120" t="n">
        <v>0.03985520830729672</v>
      </c>
      <c r="H209" s="121" t="n">
        <v>71.82779593841239</v>
      </c>
      <c r="I209" s="118" t="n">
        <v>114.0199217224121</v>
      </c>
      <c r="J209" s="118" t="n">
        <v>136.0040455627442</v>
      </c>
      <c r="K209" s="120" t="n">
        <v>0.4923521431050284</v>
      </c>
      <c r="L209" s="120" t="n">
        <v>-0.113051833646714</v>
      </c>
      <c r="M209" s="120" t="n">
        <v>-0.3019327190886971</v>
      </c>
      <c r="N209" t="n">
        <v>59.28410865238682</v>
      </c>
      <c r="O209" t="n">
        <v>1.922609068363375</v>
      </c>
      <c r="P209" t="n">
        <v>95.25719775381575</v>
      </c>
      <c r="Q209" t="n">
        <v>85.72749325123058</v>
      </c>
    </row>
    <row r="210">
      <c r="A210" s="117" t="n">
        <v>44715</v>
      </c>
      <c r="B210" s="118" t="n">
        <v>111.5767126416309</v>
      </c>
      <c r="C210" s="118" t="n">
        <v>113.7393775342192</v>
      </c>
      <c r="D210" s="118" t="n">
        <v>111.3817953495449</v>
      </c>
      <c r="E210" s="118" t="n">
        <v>112.2635650634766</v>
      </c>
      <c r="F210" s="119" t="n">
        <v>5201500</v>
      </c>
      <c r="G210" s="120" t="n">
        <v>-0.01750542589748072</v>
      </c>
      <c r="H210" s="121" t="n">
        <v>70.57041977923313</v>
      </c>
      <c r="I210" s="118" t="n">
        <v>113.8023316955566</v>
      </c>
      <c r="J210" s="118" t="n">
        <v>135.7883280944824</v>
      </c>
      <c r="K210" s="120" t="n">
        <v>0.4471273032706847</v>
      </c>
      <c r="L210" s="120" t="n">
        <v>-0.128578239047718</v>
      </c>
      <c r="M210" s="120" t="n">
        <v>-0.3141526841461457</v>
      </c>
      <c r="N210" t="n">
        <v>55.87975839215155</v>
      </c>
      <c r="O210" t="n">
        <v>1.965817066703576</v>
      </c>
      <c r="P210" t="n">
        <v>93.69388016685447</v>
      </c>
      <c r="Q210" t="n">
        <v>83.49693908831894</v>
      </c>
    </row>
    <row r="211">
      <c r="A211" s="117" t="n">
        <v>44718</v>
      </c>
      <c r="B211" s="118" t="n">
        <v>112.7740710944313</v>
      </c>
      <c r="C211" s="118" t="n">
        <v>113.368106787177</v>
      </c>
      <c r="D211" s="118" t="n">
        <v>110.8527353516366</v>
      </c>
      <c r="E211" s="118" t="n">
        <v>111.5952835083008</v>
      </c>
      <c r="F211" s="119" t="n">
        <v>3963400</v>
      </c>
      <c r="G211" s="120" t="n">
        <v>-0.005952791137515678</v>
      </c>
      <c r="H211" s="121" t="n">
        <v>70.15032880980056</v>
      </c>
      <c r="I211" s="118" t="n">
        <v>113.5884124755859</v>
      </c>
      <c r="J211" s="118" t="n">
        <v>135.5840909957886</v>
      </c>
      <c r="K211" s="120" t="n">
        <v>0.4272650770495791</v>
      </c>
      <c r="L211" s="120" t="n">
        <v>-0.133765630783353</v>
      </c>
      <c r="M211" s="120" t="n">
        <v>-0.3182353899696495</v>
      </c>
      <c r="N211" t="n">
        <v>54.74857870246586</v>
      </c>
      <c r="O211" t="n">
        <v>1.871743737096629</v>
      </c>
      <c r="P211" t="n">
        <v>93.97916555518196</v>
      </c>
      <c r="Q211" t="n">
        <v>83.77507485247374</v>
      </c>
    </row>
    <row r="212">
      <c r="A212" s="117" t="n">
        <v>44719</v>
      </c>
      <c r="B212" s="118" t="n">
        <v>110.1380327139871</v>
      </c>
      <c r="C212" s="118" t="n">
        <v>113.2103115622982</v>
      </c>
      <c r="D212" s="118" t="n">
        <v>109.9523921439983</v>
      </c>
      <c r="E212" s="118" t="n">
        <v>112.9318542480469</v>
      </c>
      <c r="F212" s="119" t="n">
        <v>5373600</v>
      </c>
      <c r="G212" s="120" t="n">
        <v>0.01197694649565251</v>
      </c>
      <c r="H212" s="121" t="n">
        <v>70.99051554460797</v>
      </c>
      <c r="I212" s="118" t="n">
        <v>113.3712258911133</v>
      </c>
      <c r="J212" s="118" t="n">
        <v>135.3764102554321</v>
      </c>
      <c r="K212" s="120" t="n">
        <v>0.4115024063802447</v>
      </c>
      <c r="L212" s="120" t="n">
        <v>-0.1233907880905498</v>
      </c>
      <c r="M212" s="120" t="n">
        <v>-0.3100699317126865</v>
      </c>
      <c r="N212" t="n">
        <v>56.63914567865198</v>
      </c>
      <c r="O212" t="n">
        <v>1.820235517270208</v>
      </c>
      <c r="P212" t="n">
        <v>94.88062487838239</v>
      </c>
      <c r="Q212" t="n">
        <v>84.49770324826075</v>
      </c>
    </row>
    <row r="213">
      <c r="A213" s="117" t="n">
        <v>44720</v>
      </c>
      <c r="B213" s="118" t="n">
        <v>112.2171635520819</v>
      </c>
      <c r="C213" s="118" t="n">
        <v>114.9274522862486</v>
      </c>
      <c r="D213" s="118" t="n">
        <v>111.7994775582812</v>
      </c>
      <c r="E213" s="118" t="n">
        <v>113.6094360351562</v>
      </c>
      <c r="F213" s="119" t="n">
        <v>4365800</v>
      </c>
      <c r="G213" s="120" t="n">
        <v>0.005999917309611469</v>
      </c>
      <c r="H213" s="121" t="n">
        <v>71.4164527676423</v>
      </c>
      <c r="I213" s="118" t="n">
        <v>113.1470365905762</v>
      </c>
      <c r="J213" s="118" t="n">
        <v>135.1632333755493</v>
      </c>
      <c r="K213" s="120" t="n">
        <v>0.4043710413891233</v>
      </c>
      <c r="L213" s="120" t="n">
        <v>-0.1181312053062497</v>
      </c>
      <c r="M213" s="120" t="n">
        <v>-0.3059304083535481</v>
      </c>
      <c r="N213" t="n">
        <v>57.60612549881124</v>
      </c>
      <c r="O213" t="n">
        <v>1.751902609249057</v>
      </c>
      <c r="P213" t="n">
        <v>93.84907110867996</v>
      </c>
      <c r="Q213" t="n">
        <v>83.88960486164298</v>
      </c>
    </row>
    <row r="214">
      <c r="A214" s="117" t="n">
        <v>44721</v>
      </c>
      <c r="B214" s="118" t="n">
        <v>112.6348358276843</v>
      </c>
      <c r="C214" s="118" t="n">
        <v>113.2659995994134</v>
      </c>
      <c r="D214" s="118" t="n">
        <v>110.0730526269645</v>
      </c>
      <c r="E214" s="118" t="n">
        <v>110.0823364257812</v>
      </c>
      <c r="F214" s="119" t="n">
        <v>3892600</v>
      </c>
      <c r="G214" s="120" t="n">
        <v>-0.03104583327289423</v>
      </c>
      <c r="H214" s="121" t="n">
        <v>69.19926948207656</v>
      </c>
      <c r="I214" s="118" t="n">
        <v>112.7721223449707</v>
      </c>
      <c r="J214" s="118" t="n">
        <v>134.9312243270874</v>
      </c>
      <c r="K214" s="120" t="n">
        <v>0.4195901953668379</v>
      </c>
      <c r="L214" s="120" t="n">
        <v>-0.1455095568748799</v>
      </c>
      <c r="M214" s="120" t="n">
        <v>-0.3274783771755896</v>
      </c>
      <c r="N214" t="n">
        <v>51.20478653251058</v>
      </c>
      <c r="O214" t="n">
        <v>1.404280552327884</v>
      </c>
      <c r="P214" t="n">
        <v>91.61708430083242</v>
      </c>
      <c r="Q214" t="n">
        <v>81.64265509353955</v>
      </c>
    </row>
    <row r="215">
      <c r="A215" s="117" t="n">
        <v>44722</v>
      </c>
      <c r="B215" s="118" t="n">
        <v>108.6807822549495</v>
      </c>
      <c r="C215" s="118" t="n">
        <v>108.6807822549495</v>
      </c>
      <c r="D215" s="118" t="n">
        <v>106.0540336578632</v>
      </c>
      <c r="E215" s="118" t="n">
        <v>106.4902801513672</v>
      </c>
      <c r="F215" s="119" t="n">
        <v>6292600</v>
      </c>
      <c r="G215" s="120" t="n">
        <v>-0.03263063258868848</v>
      </c>
      <c r="H215" s="121" t="n">
        <v>66.94125354420127</v>
      </c>
      <c r="I215" s="118" t="n">
        <v>112.336478729248</v>
      </c>
      <c r="J215" s="118" t="n">
        <v>134.6818992996216</v>
      </c>
      <c r="K215" s="120" t="n">
        <v>0.4403896008442594</v>
      </c>
      <c r="L215" s="120" t="n">
        <v>-0.1733921205750413</v>
      </c>
      <c r="M215" s="120" t="n">
        <v>-0.3494231831579214</v>
      </c>
      <c r="N215" t="n">
        <v>45.64217672521654</v>
      </c>
      <c r="O215" t="n">
        <v>0.8924823682004736</v>
      </c>
      <c r="P215" t="n">
        <v>88.96057488905633</v>
      </c>
      <c r="Q215" t="n">
        <v>78.76306052208255</v>
      </c>
    </row>
    <row r="216">
      <c r="A216" s="117" t="n">
        <v>44725</v>
      </c>
      <c r="B216" s="118" t="n">
        <v>102.4619727890458</v>
      </c>
      <c r="C216" s="118" t="n">
        <v>103.9749063441627</v>
      </c>
      <c r="D216" s="118" t="n">
        <v>101.3945624647097</v>
      </c>
      <c r="E216" s="118" t="n">
        <v>102.5083847045898</v>
      </c>
      <c r="F216" s="119" t="n">
        <v>6423100</v>
      </c>
      <c r="G216" s="120" t="n">
        <v>-0.03739210227560119</v>
      </c>
      <c r="H216" s="121" t="n">
        <v>64.43817934521955</v>
      </c>
      <c r="I216" s="118" t="n">
        <v>111.8948979187012</v>
      </c>
      <c r="J216" s="118" t="n">
        <v>134.4261058044434</v>
      </c>
      <c r="K216" s="120" t="n">
        <v>0.4312646244060668</v>
      </c>
      <c r="L216" s="120" t="n">
        <v>-0.2043007269443171</v>
      </c>
      <c r="M216" s="120" t="n">
        <v>-0.3737496180314155</v>
      </c>
      <c r="N216" t="n">
        <v>40.4024659611138</v>
      </c>
      <c r="O216" t="n">
        <v>0.277698301586109</v>
      </c>
      <c r="P216" t="n">
        <v>85.58290097038062</v>
      </c>
      <c r="Q216" t="n">
        <v>75.10087697264164</v>
      </c>
    </row>
    <row r="217">
      <c r="A217" s="117" t="n">
        <v>44726</v>
      </c>
      <c r="B217" s="118" t="n">
        <v>102.4434178472002</v>
      </c>
      <c r="C217" s="118" t="n">
        <v>103.8542509300762</v>
      </c>
      <c r="D217" s="118" t="n">
        <v>102.1092718651966</v>
      </c>
      <c r="E217" s="118" t="n">
        <v>102.7682800292969</v>
      </c>
      <c r="F217" s="119" t="n">
        <v>4548400</v>
      </c>
      <c r="G217" s="120" t="n">
        <v>0.002535356746240724</v>
      </c>
      <c r="H217" s="121" t="n">
        <v>64.60155311793791</v>
      </c>
      <c r="I217" s="118" t="n">
        <v>111.4777726745605</v>
      </c>
      <c r="J217" s="118" t="n">
        <v>134.1673007965088</v>
      </c>
      <c r="K217" s="120" t="n">
        <v>0.4312595408712503</v>
      </c>
      <c r="L217" s="120" t="n">
        <v>-0.2022833454243967</v>
      </c>
      <c r="M217" s="120" t="n">
        <v>-0.3721618499006556</v>
      </c>
      <c r="N217" t="n">
        <v>40.87952505419469</v>
      </c>
      <c r="O217" t="n">
        <v>-0.09933907751101634</v>
      </c>
      <c r="P217" t="n">
        <v>85.32502175189479</v>
      </c>
      <c r="Q217" t="n">
        <v>75.23721082988249</v>
      </c>
    </row>
    <row r="218">
      <c r="A218" s="117" t="n">
        <v>44727</v>
      </c>
      <c r="B218" s="118" t="n">
        <v>104.1048441153184</v>
      </c>
      <c r="C218" s="118" t="n">
        <v>106.4809865731581</v>
      </c>
      <c r="D218" s="118" t="n">
        <v>103.2230674103028</v>
      </c>
      <c r="E218" s="118" t="n">
        <v>105.2929153442383</v>
      </c>
      <c r="F218" s="119" t="n">
        <v>4828700</v>
      </c>
      <c r="G218" s="120" t="n">
        <v>0.02456628946423645</v>
      </c>
      <c r="H218" s="121" t="n">
        <v>66.18857357167242</v>
      </c>
      <c r="I218" s="118" t="n">
        <v>111.0959558105469</v>
      </c>
      <c r="J218" s="118" t="n">
        <v>133.9190442276001</v>
      </c>
      <c r="K218" s="120" t="n">
        <v>0.4272426612956857</v>
      </c>
      <c r="L218" s="120" t="n">
        <v>-0.1826864071776502</v>
      </c>
      <c r="M218" s="120" t="n">
        <v>-0.3567381961686243</v>
      </c>
      <c r="N218" t="n">
        <v>45.44769121937085</v>
      </c>
      <c r="O218" t="n">
        <v>-0.1628396871710021</v>
      </c>
      <c r="P218" t="n">
        <v>86.54143803287164</v>
      </c>
      <c r="Q218" t="n">
        <v>77.11603269757003</v>
      </c>
    </row>
    <row r="219">
      <c r="A219" s="117" t="n">
        <v>44728</v>
      </c>
      <c r="B219" s="118" t="n">
        <v>101.6451801785252</v>
      </c>
      <c r="C219" s="118" t="n">
        <v>102.0071704758226</v>
      </c>
      <c r="D219" s="118" t="n">
        <v>98.12737067783395</v>
      </c>
      <c r="E219" s="118" t="n">
        <v>99.42682647705078</v>
      </c>
      <c r="F219" s="119" t="n">
        <v>7384800</v>
      </c>
      <c r="G219" s="120" t="n">
        <v>-0.05571209466476701</v>
      </c>
      <c r="H219" s="121" t="n">
        <v>62.50106949512152</v>
      </c>
      <c r="I219" s="118" t="n">
        <v>110.634593963623</v>
      </c>
      <c r="J219" s="118" t="n">
        <v>133.6566259765625</v>
      </c>
      <c r="K219" s="120" t="n">
        <v>0.4261576765625731</v>
      </c>
      <c r="L219" s="120" t="n">
        <v>-0.2282206594317696</v>
      </c>
      <c r="M219" s="120" t="n">
        <v>-0.3925756586779068</v>
      </c>
      <c r="N219" t="n">
        <v>38.08420410828661</v>
      </c>
      <c r="O219" t="n">
        <v>-0.5615979875319348</v>
      </c>
      <c r="P219" t="n">
        <v>83.67725715156035</v>
      </c>
      <c r="Q219" t="n">
        <v>74.00468680207608</v>
      </c>
    </row>
    <row r="220">
      <c r="A220" s="117" t="n">
        <v>44729</v>
      </c>
      <c r="B220" s="118" t="n">
        <v>98.52648819229287</v>
      </c>
      <c r="C220" s="118" t="n">
        <v>100.7541256732339</v>
      </c>
      <c r="D220" s="118" t="n">
        <v>98.24803085162611</v>
      </c>
      <c r="E220" s="118" t="n">
        <v>99.63101959228516</v>
      </c>
      <c r="F220" s="119" t="n">
        <v>10256800</v>
      </c>
      <c r="G220" s="120" t="n">
        <v>0.002053702430917959</v>
      </c>
      <c r="H220" s="121" t="n">
        <v>62.62942809347862</v>
      </c>
      <c r="I220" s="118" t="n">
        <v>110.2502758789063</v>
      </c>
      <c r="J220" s="118" t="n">
        <v>133.3960586929321</v>
      </c>
      <c r="K220" s="120" t="n">
        <v>0.4147680738600738</v>
      </c>
      <c r="L220" s="120" t="n">
        <v>-0.2266356543239124</v>
      </c>
      <c r="M220" s="120" t="n">
        <v>-0.3913281898315348</v>
      </c>
      <c r="N220" t="n">
        <v>38.45798796137758</v>
      </c>
      <c r="O220" t="n">
        <v>-0.7609145341358685</v>
      </c>
      <c r="P220" t="n">
        <v>83.85765527598659</v>
      </c>
      <c r="Q220" t="n">
        <v>74.90454835789342</v>
      </c>
    </row>
    <row r="221">
      <c r="A221" s="117" t="n">
        <v>44733</v>
      </c>
      <c r="B221" s="118" t="n">
        <v>100.6705624302183</v>
      </c>
      <c r="C221" s="118" t="n">
        <v>101.9328898090236</v>
      </c>
      <c r="D221" s="118" t="n">
        <v>100.2807279083273</v>
      </c>
      <c r="E221" s="118" t="n">
        <v>100.8747634887695</v>
      </c>
      <c r="F221" s="119" t="n">
        <v>6211400</v>
      </c>
      <c r="G221" s="120" t="n">
        <v>0.01248350063638903</v>
      </c>
      <c r="H221" s="121" t="n">
        <v>63.41126259894024</v>
      </c>
      <c r="I221" s="118" t="n">
        <v>109.8719444274902</v>
      </c>
      <c r="J221" s="118" t="n">
        <v>133.1458136749268</v>
      </c>
      <c r="K221" s="120" t="n">
        <v>0.4138811615240439</v>
      </c>
      <c r="L221" s="120" t="n">
        <v>-0.2169813600225045</v>
      </c>
      <c r="M221" s="120" t="n">
        <v>-0.3837298349019448</v>
      </c>
      <c r="N221" t="n">
        <v>40.8022119565796</v>
      </c>
      <c r="O221" t="n">
        <v>-0.7567003701661328</v>
      </c>
      <c r="P221" t="n">
        <v>85.96863875236846</v>
      </c>
      <c r="Q221" t="n">
        <v>76.79434050023768</v>
      </c>
    </row>
    <row r="222">
      <c r="A222" s="117" t="n">
        <v>44734</v>
      </c>
      <c r="B222" s="118" t="n">
        <v>97.8303340192149</v>
      </c>
      <c r="C222" s="118" t="n">
        <v>99.22260630483524</v>
      </c>
      <c r="D222" s="118" t="n">
        <v>97.09706976567929</v>
      </c>
      <c r="E222" s="118" t="n">
        <v>97.38480377197266</v>
      </c>
      <c r="F222" s="119" t="n">
        <v>9884000</v>
      </c>
      <c r="G222" s="120" t="n">
        <v>-0.03459695563187526</v>
      </c>
      <c r="H222" s="121" t="n">
        <v>61.21742596024352</v>
      </c>
      <c r="I222" s="118" t="n">
        <v>109.4465902709961</v>
      </c>
      <c r="J222" s="118" t="n">
        <v>132.8798708724975</v>
      </c>
      <c r="K222" s="120" t="n">
        <v>0.4318048602271453</v>
      </c>
      <c r="L222" s="120" t="n">
        <v>-0.244071421168737</v>
      </c>
      <c r="M222" s="120" t="n">
        <v>-0.4050509064610907</v>
      </c>
      <c r="N222" t="n">
        <v>36.59040230357911</v>
      </c>
      <c r="O222" t="n">
        <v>-0.9255072458892555</v>
      </c>
      <c r="P222" t="n">
        <v>85.81279844518322</v>
      </c>
      <c r="Q222" t="n">
        <v>76.68233092021465</v>
      </c>
    </row>
    <row r="223">
      <c r="A223" s="117" t="n">
        <v>44735</v>
      </c>
      <c r="B223" s="118" t="n">
        <v>97.46834573874366</v>
      </c>
      <c r="C223" s="118" t="n">
        <v>100.3364233053192</v>
      </c>
      <c r="D223" s="118" t="n">
        <v>96.91143822966195</v>
      </c>
      <c r="E223" s="118" t="n">
        <v>100.2436065673828</v>
      </c>
      <c r="F223" s="119" t="n">
        <v>8898400</v>
      </c>
      <c r="G223" s="120" t="n">
        <v>0.02935573810986014</v>
      </c>
      <c r="H223" s="121" t="n">
        <v>63.01450868449218</v>
      </c>
      <c r="I223" s="118" t="n">
        <v>109.1371136474609</v>
      </c>
      <c r="J223" s="118" t="n">
        <v>132.6312189102173</v>
      </c>
      <c r="K223" s="120" t="n">
        <v>0.4428391855140358</v>
      </c>
      <c r="L223" s="120" t="n">
        <v>-0.2218805797788077</v>
      </c>
      <c r="M223" s="120" t="n">
        <v>-0.3875857366824638</v>
      </c>
      <c r="N223" t="n">
        <v>41.88264035281973</v>
      </c>
      <c r="O223" t="n">
        <v>-0.786638612065319</v>
      </c>
      <c r="P223" t="n">
        <v>86.65397009805346</v>
      </c>
      <c r="Q223" t="n">
        <v>77.82435872593074</v>
      </c>
    </row>
    <row r="224">
      <c r="A224" s="117" t="n">
        <v>44736</v>
      </c>
      <c r="B224" s="118" t="n">
        <v>102.0350029759462</v>
      </c>
      <c r="C224" s="118" t="n">
        <v>104.8288315584557</v>
      </c>
      <c r="D224" s="118" t="n">
        <v>101.7379851489377</v>
      </c>
      <c r="E224" s="118" t="n">
        <v>104.8009872436523</v>
      </c>
      <c r="F224" s="119" t="n">
        <v>10463700</v>
      </c>
      <c r="G224" s="120" t="n">
        <v>0.04546305577309906</v>
      </c>
      <c r="H224" s="121" t="n">
        <v>65.87934080732968</v>
      </c>
      <c r="I224" s="118" t="n">
        <v>108.9176733398437</v>
      </c>
      <c r="J224" s="118" t="n">
        <v>132.4142523193359</v>
      </c>
      <c r="K224" s="120" t="n">
        <v>0.4699458000941385</v>
      </c>
      <c r="L224" s="120" t="n">
        <v>-0.1829813938416915</v>
      </c>
      <c r="M224" s="120" t="n">
        <v>-0.3597435128730171</v>
      </c>
      <c r="N224" t="n">
        <v>49.16633289908815</v>
      </c>
      <c r="O224" t="n">
        <v>-0.352012472090679</v>
      </c>
      <c r="P224" t="n">
        <v>89.40903546147338</v>
      </c>
      <c r="Q224" t="n">
        <v>80.4909044119984</v>
      </c>
    </row>
    <row r="225">
      <c r="A225" s="117" t="n">
        <v>44739</v>
      </c>
      <c r="B225" s="118" t="n">
        <v>104.1791212319805</v>
      </c>
      <c r="C225" s="118" t="n">
        <v>105.0794586935818</v>
      </c>
      <c r="D225" s="118" t="n">
        <v>101.951483538821</v>
      </c>
      <c r="E225" s="118" t="n">
        <v>102.5640869140625</v>
      </c>
      <c r="F225" s="119" t="n">
        <v>12644700</v>
      </c>
      <c r="G225" s="120" t="n">
        <v>-0.0213442677251624</v>
      </c>
      <c r="H225" s="121" t="n">
        <v>64.47319451958083</v>
      </c>
      <c r="I225" s="118" t="n">
        <v>108.6081265258789</v>
      </c>
      <c r="J225" s="118" t="n">
        <v>132.1739754486084</v>
      </c>
      <c r="K225" s="120" t="n">
        <v>0.4508274590218816</v>
      </c>
      <c r="L225" s="120" t="n">
        <v>-0.1917273760378347</v>
      </c>
      <c r="M225" s="120" t="n">
        <v>-0.3734093187470274</v>
      </c>
      <c r="N225" t="n">
        <v>46.11160864279946</v>
      </c>
      <c r="O225" t="n">
        <v>-0.1875879109649199</v>
      </c>
      <c r="P225" t="n">
        <v>89.06752093631405</v>
      </c>
      <c r="Q225" t="n">
        <v>79.90077369485343</v>
      </c>
    </row>
    <row r="226">
      <c r="A226" s="117" t="n">
        <v>44740</v>
      </c>
      <c r="B226" s="118" t="n">
        <v>100.4292568978987</v>
      </c>
      <c r="C226" s="118" t="n">
        <v>105.8591254967424</v>
      </c>
      <c r="D226" s="118" t="n">
        <v>95.12006353340485</v>
      </c>
      <c r="E226" s="118" t="n">
        <v>95.39851379394531</v>
      </c>
      <c r="F226" s="119" t="n">
        <v>31296500</v>
      </c>
      <c r="G226" s="120" t="n">
        <v>-0.06986434858159618</v>
      </c>
      <c r="H226" s="121" t="n">
        <v>59.96881678349577</v>
      </c>
      <c r="I226" s="118" t="n">
        <v>108.0447175598145</v>
      </c>
      <c r="J226" s="118" t="n">
        <v>131.8967177581787</v>
      </c>
      <c r="K226" s="120" t="n">
        <v>0.5005894082920612</v>
      </c>
      <c r="L226" s="120" t="n">
        <v>-0.248196816387289</v>
      </c>
      <c r="M226" s="120" t="n">
        <v>-0.4171856685200649</v>
      </c>
      <c r="N226" t="n">
        <v>37.97272341843654</v>
      </c>
      <c r="O226" t="n">
        <v>-0.5152487043990146</v>
      </c>
      <c r="P226" t="n">
        <v>87.24761548243461</v>
      </c>
      <c r="Q226" t="n">
        <v>77.46644069951392</v>
      </c>
    </row>
    <row r="227">
      <c r="A227" s="117" t="n">
        <v>44741</v>
      </c>
      <c r="B227" s="118" t="n">
        <v>95.59342573309198</v>
      </c>
      <c r="C227" s="118" t="n">
        <v>98.02526419479558</v>
      </c>
      <c r="D227" s="118" t="n">
        <v>94.23828137978758</v>
      </c>
      <c r="E227" s="118" t="n">
        <v>95.83475494384766</v>
      </c>
      <c r="F227" s="119" t="n">
        <v>10326600</v>
      </c>
      <c r="G227" s="120" t="n">
        <v>0.004572829623369135</v>
      </c>
      <c r="H227" s="121" t="n">
        <v>60.24304396536173</v>
      </c>
      <c r="I227" s="118" t="n">
        <v>107.5239207458496</v>
      </c>
      <c r="J227" s="118" t="n">
        <v>131.6404067611694</v>
      </c>
      <c r="K227" s="120" t="n">
        <v>0.4895352945995801</v>
      </c>
      <c r="L227" s="120" t="n">
        <v>-0.2447589485183216</v>
      </c>
      <c r="M227" s="120" t="n">
        <v>-0.4145205578801494</v>
      </c>
      <c r="N227" t="n">
        <v>38.68230260691413</v>
      </c>
      <c r="O227" t="n">
        <v>-0.6478581610582301</v>
      </c>
      <c r="P227" t="n">
        <v>87.17656900875784</v>
      </c>
      <c r="Q227" t="n">
        <v>77.53749116995418</v>
      </c>
    </row>
    <row r="228">
      <c r="A228" s="117" t="n">
        <v>44742</v>
      </c>
      <c r="B228" s="118" t="n">
        <v>94.61883108977237</v>
      </c>
      <c r="C228" s="118" t="n">
        <v>95.95540772921477</v>
      </c>
      <c r="D228" s="118" t="n">
        <v>93.54213707427309</v>
      </c>
      <c r="E228" s="118" t="n">
        <v>94.86015319824219</v>
      </c>
      <c r="F228" s="119" t="n">
        <v>9027400</v>
      </c>
      <c r="G228" s="120" t="n">
        <v>-0.01016960648750564</v>
      </c>
      <c r="H228" s="121" t="n">
        <v>59.6303959146245</v>
      </c>
      <c r="I228" s="118" t="n">
        <v>106.8832650756836</v>
      </c>
      <c r="J228" s="118" t="n">
        <v>131.3827268600464</v>
      </c>
      <c r="K228" s="120" t="n">
        <v>0.4893342172326551</v>
      </c>
      <c r="L228" s="120" t="n">
        <v>-0.2524394528151002</v>
      </c>
      <c r="M228" s="120" t="n">
        <v>-0.4204746534130326</v>
      </c>
      <c r="N228" t="n">
        <v>37.64614944394634</v>
      </c>
      <c r="O228" t="n">
        <v>-0.7398217095622774</v>
      </c>
      <c r="P228" t="n">
        <v>86.46830325923119</v>
      </c>
      <c r="Q228" t="n">
        <v>76.57577230220956</v>
      </c>
    </row>
    <row r="229">
      <c r="A229" s="117" t="n">
        <v>44743</v>
      </c>
      <c r="B229" s="118" t="n">
        <v>94.34037668509873</v>
      </c>
      <c r="C229" s="118" t="n">
        <v>95.13861342277274</v>
      </c>
      <c r="D229" s="118" t="n">
        <v>92.38191295446408</v>
      </c>
      <c r="E229" s="118" t="n">
        <v>93.91341400146484</v>
      </c>
      <c r="F229" s="119" t="n">
        <v>7934300</v>
      </c>
      <c r="G229" s="120" t="n">
        <v>-0.009980367571184701</v>
      </c>
      <c r="H229" s="121" t="n">
        <v>59.03526264498128</v>
      </c>
      <c r="I229" s="118" t="n">
        <v>106.2455262756348</v>
      </c>
      <c r="J229" s="118" t="n">
        <v>131.1242321777344</v>
      </c>
      <c r="K229" s="120" t="n">
        <v>0.4571386669329367</v>
      </c>
      <c r="L229" s="120" t="n">
        <v>-0.2599003818577215</v>
      </c>
      <c r="M229" s="120" t="n">
        <v>-0.4262585293887887</v>
      </c>
      <c r="N229" t="n">
        <v>36.6199834022527</v>
      </c>
      <c r="O229" t="n">
        <v>-0.7980239830007454</v>
      </c>
      <c r="P229" t="n">
        <v>87.38285319775179</v>
      </c>
      <c r="Q229" t="n">
        <v>77.08122514386953</v>
      </c>
    </row>
    <row r="230">
      <c r="A230" s="117" t="n">
        <v>44747</v>
      </c>
      <c r="B230" s="118" t="n">
        <v>93.23585311680971</v>
      </c>
      <c r="C230" s="118" t="n">
        <v>96.88360764477834</v>
      </c>
      <c r="D230" s="118" t="n">
        <v>92.92027472374954</v>
      </c>
      <c r="E230" s="118" t="n">
        <v>96.82791900634766</v>
      </c>
      <c r="F230" s="119" t="n">
        <v>9948800</v>
      </c>
      <c r="G230" s="120" t="n">
        <v>0.03103395862956648</v>
      </c>
      <c r="H230" s="121" t="n">
        <v>60.86736054359122</v>
      </c>
      <c r="I230" s="118" t="n">
        <v>105.6736692810059</v>
      </c>
      <c r="J230" s="118" t="n">
        <v>130.8817393875122</v>
      </c>
      <c r="K230" s="120" t="n">
        <v>0.4776752248452137</v>
      </c>
      <c r="L230" s="120" t="n">
        <v>-0.236932160926536</v>
      </c>
      <c r="M230" s="120" t="n">
        <v>-0.4084530603257738</v>
      </c>
      <c r="N230" t="n">
        <v>41.87283741822253</v>
      </c>
      <c r="O230" t="n">
        <v>-0.5837798414840099</v>
      </c>
      <c r="P230" t="n">
        <v>87.54787316979514</v>
      </c>
      <c r="Q230" t="n">
        <v>78.40085349420337</v>
      </c>
    </row>
    <row r="231">
      <c r="A231" s="117" t="n">
        <v>44748</v>
      </c>
      <c r="B231" s="118" t="n">
        <v>97.35696566922265</v>
      </c>
      <c r="C231" s="118" t="n">
        <v>98.12735808262329</v>
      </c>
      <c r="D231" s="118" t="n">
        <v>96.02038192370476</v>
      </c>
      <c r="E231" s="118" t="n">
        <v>96.74436950683594</v>
      </c>
      <c r="F231" s="119" t="n">
        <v>6432900</v>
      </c>
      <c r="G231" s="120" t="n">
        <v>-0.0008628657970666254</v>
      </c>
      <c r="H231" s="121" t="n">
        <v>60.81484018002043</v>
      </c>
      <c r="I231" s="118" t="n">
        <v>105.2184700012207</v>
      </c>
      <c r="J231" s="118" t="n">
        <v>130.6442693710327</v>
      </c>
      <c r="K231" s="120" t="n">
        <v>0.4781551157715929</v>
      </c>
      <c r="L231" s="120" t="n">
        <v>-0.237590586065714</v>
      </c>
      <c r="M231" s="120" t="n">
        <v>-0.4089634859473781</v>
      </c>
      <c r="N231" t="n">
        <v>41.76597393487074</v>
      </c>
      <c r="O231" t="n">
        <v>-0.4000008792806797</v>
      </c>
      <c r="P231" t="n">
        <v>87.84355578303024</v>
      </c>
      <c r="Q231" t="n">
        <v>78.90352959188873</v>
      </c>
    </row>
    <row r="232">
      <c r="A232" s="117" t="n">
        <v>44749</v>
      </c>
      <c r="B232" s="118" t="n">
        <v>98.06240905020344</v>
      </c>
      <c r="C232" s="118" t="n">
        <v>100.5035246464243</v>
      </c>
      <c r="D232" s="118" t="n">
        <v>97.70969543239714</v>
      </c>
      <c r="E232" s="118" t="n">
        <v>100.3642959594727</v>
      </c>
      <c r="F232" s="119" t="n">
        <v>7633900</v>
      </c>
      <c r="G232" s="120" t="n">
        <v>0.03741743804925957</v>
      </c>
      <c r="H232" s="121" t="n">
        <v>63.09037569493196</v>
      </c>
      <c r="I232" s="118" t="n">
        <v>104.856594543457</v>
      </c>
      <c r="J232" s="118" t="n">
        <v>130.4349040222168</v>
      </c>
      <c r="K232" s="120" t="n">
        <v>0.4993759558401655</v>
      </c>
      <c r="L232" s="120" t="n">
        <v>-0.2090631790516557</v>
      </c>
      <c r="M232" s="120" t="n">
        <v>-0.3868484137979638</v>
      </c>
      <c r="N232" t="n">
        <v>47.96257211617505</v>
      </c>
      <c r="O232" t="n">
        <v>-0.007692031954670941</v>
      </c>
      <c r="P232" t="n">
        <v>89.15919951846611</v>
      </c>
      <c r="Q232" t="n">
        <v>80.59199498033044</v>
      </c>
    </row>
    <row r="233">
      <c r="A233" s="117" t="n">
        <v>44750</v>
      </c>
      <c r="B233" s="118" t="n">
        <v>98.92561357338613</v>
      </c>
      <c r="C233" s="118" t="n">
        <v>100.8098214111144</v>
      </c>
      <c r="D233" s="118" t="n">
        <v>98.86064113351497</v>
      </c>
      <c r="E233" s="118" t="n">
        <v>100.1786575317383</v>
      </c>
      <c r="F233" s="119" t="n">
        <v>5938600</v>
      </c>
      <c r="G233" s="120" t="n">
        <v>-0.001849646091368395</v>
      </c>
      <c r="H233" s="121" t="n">
        <v>62.97368082812487</v>
      </c>
      <c r="I233" s="118" t="n">
        <v>104.6284080505371</v>
      </c>
      <c r="J233" s="118" t="n">
        <v>130.221060218811</v>
      </c>
      <c r="K233" s="120" t="n">
        <v>0.4977728302825291</v>
      </c>
      <c r="L233" s="120" t="n">
        <v>-0.2105261322510421</v>
      </c>
      <c r="M233" s="120" t="n">
        <v>-0.3879825272327987</v>
      </c>
      <c r="N233" t="n">
        <v>47.68235989156231</v>
      </c>
      <c r="O233" t="n">
        <v>0.2519091009594758</v>
      </c>
      <c r="P233" t="n">
        <v>89.08587288687845</v>
      </c>
      <c r="Q233" t="n">
        <v>80.69308554866242</v>
      </c>
    </row>
    <row r="234">
      <c r="A234" s="117" t="n">
        <v>44753</v>
      </c>
      <c r="B234" s="118" t="n">
        <v>98.94416114243381</v>
      </c>
      <c r="C234" s="118" t="n">
        <v>99.39896816200455</v>
      </c>
      <c r="D234" s="118" t="n">
        <v>97.3384108751587</v>
      </c>
      <c r="E234" s="118" t="n">
        <v>97.56117248535156</v>
      </c>
      <c r="F234" s="119" t="n">
        <v>4935200</v>
      </c>
      <c r="G234" s="120" t="n">
        <v>-0.02612817051932903</v>
      </c>
      <c r="H234" s="121" t="n">
        <v>61.32829375721782</v>
      </c>
      <c r="I234" s="118" t="n">
        <v>104.3345390319824</v>
      </c>
      <c r="J234" s="118" t="n">
        <v>129.9829713058472</v>
      </c>
      <c r="K234" s="120" t="n">
        <v>0.4947615891295623</v>
      </c>
      <c r="L234" s="120" t="n">
        <v>-0.2311536400881411</v>
      </c>
      <c r="M234" s="120" t="n">
        <v>-0.4039734241220688</v>
      </c>
      <c r="N234" t="n">
        <v>43.7970103986971</v>
      </c>
      <c r="O234" t="n">
        <v>0.2589539673356933</v>
      </c>
      <c r="P234" t="n">
        <v>88.0681919225886</v>
      </c>
      <c r="Q234" t="n">
        <v>78.96913764413867</v>
      </c>
    </row>
    <row r="235">
      <c r="A235" s="117" t="n">
        <v>44754</v>
      </c>
      <c r="B235" s="118" t="n">
        <v>97.46834767849234</v>
      </c>
      <c r="C235" s="118" t="n">
        <v>98.2573005888479</v>
      </c>
      <c r="D235" s="118" t="n">
        <v>95.74192940895679</v>
      </c>
      <c r="E235" s="118" t="n">
        <v>96.30812072753906</v>
      </c>
      <c r="F235" s="119" t="n">
        <v>6017400</v>
      </c>
      <c r="G235" s="120" t="n">
        <v>-0.01284375459920428</v>
      </c>
      <c r="H235" s="121" t="n">
        <v>60.54060820221221</v>
      </c>
      <c r="I235" s="118" t="n">
        <v>103.9080207824707</v>
      </c>
      <c r="J235" s="118" t="n">
        <v>129.7287503433228</v>
      </c>
      <c r="K235" s="120" t="n">
        <v>0.4852933006013327</v>
      </c>
      <c r="L235" s="120" t="n">
        <v>-0.2410285140593404</v>
      </c>
      <c r="M235" s="120" t="n">
        <v>-0.411628643197249</v>
      </c>
      <c r="N235" t="n">
        <v>42.03131880203684</v>
      </c>
      <c r="O235" t="n">
        <v>0.1938168915766658</v>
      </c>
      <c r="P235" t="n">
        <v>87.28887232023338</v>
      </c>
      <c r="Q235" t="n">
        <v>78.20411477572968</v>
      </c>
    </row>
    <row r="236">
      <c r="A236" s="117" t="n">
        <v>44755</v>
      </c>
      <c r="B236" s="118" t="n">
        <v>94.61883839399142</v>
      </c>
      <c r="C236" s="118" t="n">
        <v>98.27586923039131</v>
      </c>
      <c r="D236" s="118" t="n">
        <v>94.26612483960015</v>
      </c>
      <c r="E236" s="118" t="n">
        <v>97.56117248535156</v>
      </c>
      <c r="F236" s="119" t="n">
        <v>5299400</v>
      </c>
      <c r="G236" s="120" t="n">
        <v>0.01301086292979847</v>
      </c>
      <c r="H236" s="121" t="n">
        <v>61.32829375721782</v>
      </c>
      <c r="I236" s="118" t="n">
        <v>103.5500802612305</v>
      </c>
      <c r="J236" s="118" t="n">
        <v>129.5268546676636</v>
      </c>
      <c r="K236" s="120" t="n">
        <v>0.4728920080342179</v>
      </c>
      <c r="L236" s="120" t="n">
        <v>-0.2311536400881411</v>
      </c>
      <c r="M236" s="120" t="n">
        <v>-0.4039734241220688</v>
      </c>
      <c r="N236" t="n">
        <v>44.44339362982326</v>
      </c>
      <c r="O236" t="n">
        <v>0.2463440897804783</v>
      </c>
      <c r="P236" t="n">
        <v>86.83045727201763</v>
      </c>
      <c r="Q236" t="n">
        <v>78.04294401161417</v>
      </c>
    </row>
    <row r="237">
      <c r="A237" s="117" t="n">
        <v>44756</v>
      </c>
      <c r="B237" s="118" t="n">
        <v>95.70481473067049</v>
      </c>
      <c r="C237" s="118" t="n">
        <v>96.34526236356349</v>
      </c>
      <c r="D237" s="118" t="n">
        <v>94.53530381713763</v>
      </c>
      <c r="E237" s="118" t="n">
        <v>95.80691528320312</v>
      </c>
      <c r="F237" s="119" t="n">
        <v>6951300</v>
      </c>
      <c r="G237" s="120" t="n">
        <v>-0.0179811000366138</v>
      </c>
      <c r="H237" s="121" t="n">
        <v>60.22554357209445</v>
      </c>
      <c r="I237" s="118" t="n">
        <v>103.1315002441406</v>
      </c>
      <c r="J237" s="118" t="n">
        <v>129.3233343887329</v>
      </c>
      <c r="K237" s="120" t="n">
        <v>0.4758559269712833</v>
      </c>
      <c r="L237" s="120" t="n">
        <v>-0.2449783433985027</v>
      </c>
      <c r="M237" s="120" t="n">
        <v>-0.4146906376074103</v>
      </c>
      <c r="N237" t="n">
        <v>41.81984728540541</v>
      </c>
      <c r="O237" t="n">
        <v>0.1773865126279359</v>
      </c>
      <c r="P237" t="n">
        <v>86.61959800889825</v>
      </c>
      <c r="Q237" t="n">
        <v>78.32162658073631</v>
      </c>
    </row>
    <row r="238">
      <c r="A238" s="117" t="n">
        <v>44757</v>
      </c>
      <c r="B238" s="118" t="n">
        <v>97.23631400188302</v>
      </c>
      <c r="C238" s="118" t="n">
        <v>98.0345508068156</v>
      </c>
      <c r="D238" s="118" t="n">
        <v>96.46592151409344</v>
      </c>
      <c r="E238" s="118" t="n">
        <v>97.18061828613281</v>
      </c>
      <c r="F238" s="119" t="n">
        <v>7862000</v>
      </c>
      <c r="G238" s="120" t="n">
        <v>0.01433824477981638</v>
      </c>
      <c r="H238" s="121" t="n">
        <v>61.08907215782864</v>
      </c>
      <c r="I238" s="118" t="n">
        <v>102.8000213623047</v>
      </c>
      <c r="J238" s="118" t="n">
        <v>129.1393157577515</v>
      </c>
      <c r="K238" s="120" t="n">
        <v>0.469317853439679</v>
      </c>
      <c r="L238" s="120" t="n">
        <v>-0.2275012335568216</v>
      </c>
      <c r="M238" s="120" t="n">
        <v>-0.4062983286975071</v>
      </c>
      <c r="N238" t="n">
        <v>44.57878461322211</v>
      </c>
      <c r="O238" t="n">
        <v>0.2351143150334019</v>
      </c>
      <c r="P238" t="n">
        <v>88.27445397412711</v>
      </c>
      <c r="Q238" t="n">
        <v>79.74231986791929</v>
      </c>
    </row>
    <row r="239">
      <c r="A239" s="117" t="n">
        <v>44760</v>
      </c>
      <c r="B239" s="118" t="n">
        <v>98.56359762366171</v>
      </c>
      <c r="C239" s="118" t="n">
        <v>99.0184045844929</v>
      </c>
      <c r="D239" s="118" t="n">
        <v>96.2338600315898</v>
      </c>
      <c r="E239" s="118" t="n">
        <v>96.47518920898438</v>
      </c>
      <c r="F239" s="119" t="n">
        <v>6834800</v>
      </c>
      <c r="G239" s="120" t="n">
        <v>-0.007258948230514539</v>
      </c>
      <c r="H239" s="121" t="n">
        <v>60.64562974558479</v>
      </c>
      <c r="I239" s="118" t="n">
        <v>102.3951773071289</v>
      </c>
      <c r="J239" s="118" t="n">
        <v>128.9484499740601</v>
      </c>
      <c r="K239" s="120" t="n">
        <v>0.42759336853714</v>
      </c>
      <c r="L239" s="120" t="n">
        <v>-0.2307877700010185</v>
      </c>
      <c r="M239" s="120" t="n">
        <v>-0.410607978393862</v>
      </c>
      <c r="N239" t="n">
        <v>43.43959008743496</v>
      </c>
      <c r="O239" t="n">
        <v>0.23599864704777</v>
      </c>
      <c r="P239" t="n">
        <v>87.54559301188424</v>
      </c>
      <c r="Q239" t="n">
        <v>79.06746855615128</v>
      </c>
    </row>
    <row r="240">
      <c r="A240" s="117" t="n">
        <v>44761</v>
      </c>
      <c r="B240" s="118" t="n">
        <v>98.01598388026623</v>
      </c>
      <c r="C240" s="118" t="n">
        <v>101.7101500783103</v>
      </c>
      <c r="D240" s="118" t="n">
        <v>97.85819469439706</v>
      </c>
      <c r="E240" s="118" t="n">
        <v>101.3481597900391</v>
      </c>
      <c r="F240" s="119" t="n">
        <v>8973900</v>
      </c>
      <c r="G240" s="120" t="n">
        <v>0.05051009094679126</v>
      </c>
      <c r="H240" s="121" t="n">
        <v>63.70884601955972</v>
      </c>
      <c r="I240" s="118" t="n">
        <v>102.2253793334961</v>
      </c>
      <c r="J240" s="118" t="n">
        <v>128.7855917739868</v>
      </c>
      <c r="K240" s="120" t="n">
        <v>0.4653480282329722</v>
      </c>
      <c r="L240" s="120" t="n">
        <v>-0.1519289985132483</v>
      </c>
      <c r="M240" s="120" t="n">
        <v>-0.3808377337792228</v>
      </c>
      <c r="N240" t="n">
        <v>52.47445891357049</v>
      </c>
      <c r="O240" t="n">
        <v>0.5566707802900548</v>
      </c>
      <c r="P240" t="n">
        <v>89.91099488455062</v>
      </c>
      <c r="Q240" t="n">
        <v>81.49905898282661</v>
      </c>
    </row>
    <row r="241">
      <c r="A241" s="117" t="n">
        <v>44762</v>
      </c>
      <c r="B241" s="118" t="n">
        <v>101.3760015203062</v>
      </c>
      <c r="C241" s="118" t="n">
        <v>103.6129156271165</v>
      </c>
      <c r="D241" s="118" t="n">
        <v>101.0511393572587</v>
      </c>
      <c r="E241" s="118" t="n">
        <v>103.1302642822266</v>
      </c>
      <c r="F241" s="119" t="n">
        <v>5884600</v>
      </c>
      <c r="G241" s="120" t="n">
        <v>0.01758398471052103</v>
      </c>
      <c r="H241" s="121" t="n">
        <v>64.8291013938926</v>
      </c>
      <c r="I241" s="118" t="n">
        <v>102.1678871154785</v>
      </c>
      <c r="J241" s="118" t="n">
        <v>128.6232064437866</v>
      </c>
      <c r="K241" s="120" t="n">
        <v>0.4673268312133571</v>
      </c>
      <c r="L241" s="120" t="n">
        <v>-0.1293943478442331</v>
      </c>
      <c r="M241" s="120" t="n">
        <v>-0.3699503939566651</v>
      </c>
      <c r="N241" t="n">
        <v>55.28741614884027</v>
      </c>
      <c r="O241" t="n">
        <v>0.862448930636702</v>
      </c>
      <c r="P241" t="n">
        <v>90.48402291876006</v>
      </c>
      <c r="Q241" t="n">
        <v>82.79133854096719</v>
      </c>
    </row>
    <row r="242">
      <c r="A242" s="117" t="n">
        <v>44763</v>
      </c>
      <c r="B242" s="118" t="n">
        <v>102.4434332716997</v>
      </c>
      <c r="C242" s="118" t="n">
        <v>103.6500654270886</v>
      </c>
      <c r="D242" s="118" t="n">
        <v>102.1649758842824</v>
      </c>
      <c r="E242" s="118" t="n">
        <v>103.6036605834961</v>
      </c>
      <c r="F242" s="119" t="n">
        <v>4291400</v>
      </c>
      <c r="G242" s="120" t="n">
        <v>0.004590275265600408</v>
      </c>
      <c r="H242" s="121" t="n">
        <v>65.12668481451207</v>
      </c>
      <c r="I242" s="118" t="n">
        <v>102.1806010437012</v>
      </c>
      <c r="J242" s="118" t="n">
        <v>128.4628192901611</v>
      </c>
      <c r="K242" s="120" t="n">
        <v>0.4474369017283918</v>
      </c>
      <c r="L242" s="120" t="n">
        <v>-0.1192713727276694</v>
      </c>
      <c r="M242" s="120" t="n">
        <v>-0.3670582928339431</v>
      </c>
      <c r="N242" t="n">
        <v>56.03189132799543</v>
      </c>
      <c r="O242" t="n">
        <v>1.057378030201334</v>
      </c>
      <c r="P242" t="n">
        <v>91.40542071016517</v>
      </c>
      <c r="Q242" t="n">
        <v>83.97982768124966</v>
      </c>
    </row>
    <row r="243">
      <c r="A243" s="117" t="n">
        <v>44764</v>
      </c>
      <c r="B243" s="118" t="n">
        <v>103.8913604793966</v>
      </c>
      <c r="C243" s="118" t="n">
        <v>103.8913604793966</v>
      </c>
      <c r="D243" s="118" t="n">
        <v>100.9397428868937</v>
      </c>
      <c r="E243" s="118" t="n">
        <v>101.2831726074219</v>
      </c>
      <c r="F243" s="119" t="n">
        <v>6039300</v>
      </c>
      <c r="G243" s="120" t="n">
        <v>-0.02239774118988869</v>
      </c>
      <c r="H243" s="121" t="n">
        <v>63.66799418348119</v>
      </c>
      <c r="I243" s="118" t="n">
        <v>102.1787554931641</v>
      </c>
      <c r="J243" s="118" t="n">
        <v>128.2801332092285</v>
      </c>
      <c r="K243" s="120" t="n">
        <v>0.4454486345814772</v>
      </c>
      <c r="L243" s="120" t="n">
        <v>-0.1389977045798408</v>
      </c>
      <c r="M243" s="120" t="n">
        <v>-0.3812347573793348</v>
      </c>
      <c r="N243" t="n">
        <v>51.50491450215858</v>
      </c>
      <c r="O243" t="n">
        <v>0.9919014407611144</v>
      </c>
      <c r="P243" t="n">
        <v>90.55736430865136</v>
      </c>
      <c r="Q243" t="n">
        <v>82.5072220974824</v>
      </c>
    </row>
    <row r="244">
      <c r="A244" s="117" t="n">
        <v>44767</v>
      </c>
      <c r="B244" s="118" t="n">
        <v>101.7379956882565</v>
      </c>
      <c r="C244" s="118" t="n">
        <v>101.7379956882565</v>
      </c>
      <c r="D244" s="118" t="n">
        <v>99.94660474187455</v>
      </c>
      <c r="E244" s="118" t="n">
        <v>101.4316940307617</v>
      </c>
      <c r="F244" s="119" t="n">
        <v>5079500</v>
      </c>
      <c r="G244" s="120" t="n">
        <v>0.001466397818278509</v>
      </c>
      <c r="H244" s="121" t="n">
        <v>63.76135679124602</v>
      </c>
      <c r="I244" s="118" t="n">
        <v>102.2089532470703</v>
      </c>
      <c r="J244" s="118" t="n">
        <v>128.1012326431274</v>
      </c>
      <c r="K244" s="120" t="n">
        <v>0.4132757769177711</v>
      </c>
      <c r="L244" s="120" t="n">
        <v>-0.137735132692304</v>
      </c>
      <c r="M244" s="120" t="n">
        <v>-0.3803274013775293</v>
      </c>
      <c r="N244" t="n">
        <v>51.77348194239466</v>
      </c>
      <c r="O244" t="n">
        <v>0.9219456691525489</v>
      </c>
      <c r="P244" t="n">
        <v>90.6673800830642</v>
      </c>
      <c r="Q244" t="n">
        <v>82.03727740338729</v>
      </c>
    </row>
    <row r="245">
      <c r="A245" s="117" t="n">
        <v>44768</v>
      </c>
      <c r="B245" s="118" t="n">
        <v>99.76095124654768</v>
      </c>
      <c r="C245" s="118" t="n">
        <v>100.1786300911008</v>
      </c>
      <c r="D245" s="118" t="n">
        <v>97.05993966861828</v>
      </c>
      <c r="E245" s="118" t="n">
        <v>97.64469146728516</v>
      </c>
      <c r="F245" s="119" t="n">
        <v>8459500</v>
      </c>
      <c r="G245" s="120" t="n">
        <v>-0.03733549557328752</v>
      </c>
      <c r="H245" s="121" t="n">
        <v>61.38079493701964</v>
      </c>
      <c r="I245" s="118" t="n">
        <v>102.1637811279297</v>
      </c>
      <c r="J245" s="118" t="n">
        <v>127.8893347167969</v>
      </c>
      <c r="K245" s="120" t="n">
        <v>0.4272214327902245</v>
      </c>
      <c r="L245" s="120" t="n">
        <v>-0.163541995489128</v>
      </c>
      <c r="M245" s="120" t="n">
        <v>-0.4034631849402861</v>
      </c>
      <c r="N245" t="n">
        <v>44.93948334186909</v>
      </c>
      <c r="O245" t="n">
        <v>0.599592382673745</v>
      </c>
      <c r="P245" t="n">
        <v>89.59469492114384</v>
      </c>
      <c r="Q245" t="n">
        <v>80.42533053505896</v>
      </c>
    </row>
    <row r="246">
      <c r="A246" s="117" t="n">
        <v>44769</v>
      </c>
      <c r="B246" s="118" t="n">
        <v>98.66570928438233</v>
      </c>
      <c r="C246" s="118" t="n">
        <v>100.5963216768794</v>
      </c>
      <c r="D246" s="118" t="n">
        <v>98.15520655952506</v>
      </c>
      <c r="E246" s="118" t="n">
        <v>100.1136703491211</v>
      </c>
      <c r="F246" s="119" t="n">
        <v>7437000</v>
      </c>
      <c r="G246" s="120" t="n">
        <v>0.02528533650662568</v>
      </c>
      <c r="H246" s="121" t="n">
        <v>62.93282899204637</v>
      </c>
      <c r="I246" s="118" t="n">
        <v>102.0733631896973</v>
      </c>
      <c r="J246" s="118" t="n">
        <v>127.6868770980835</v>
      </c>
      <c r="K246" s="120" t="n">
        <v>0.3543659556005813</v>
      </c>
      <c r="L246" s="120" t="n">
        <v>-0.1423918733714098</v>
      </c>
      <c r="M246" s="120" t="n">
        <v>-0.3883795508329105</v>
      </c>
      <c r="N246" t="n">
        <v>49.6095414238186</v>
      </c>
      <c r="O246" t="n">
        <v>0.5338150439687841</v>
      </c>
      <c r="P246" t="n">
        <v>91.92114225137777</v>
      </c>
      <c r="Q246" t="n">
        <v>83.82409079149681</v>
      </c>
    </row>
    <row r="247">
      <c r="A247" s="117" t="n">
        <v>44770</v>
      </c>
      <c r="B247" s="118" t="n">
        <v>101.5709188540391</v>
      </c>
      <c r="C247" s="118" t="n">
        <v>104.3276195041639</v>
      </c>
      <c r="D247" s="118" t="n">
        <v>100.2714631199258</v>
      </c>
      <c r="E247" s="118" t="n">
        <v>104.1698303222656</v>
      </c>
      <c r="F247" s="119" t="n">
        <v>6773500</v>
      </c>
      <c r="G247" s="120" t="n">
        <v>0.04051554556934822</v>
      </c>
      <c r="H247" s="121" t="n">
        <v>65.48258689288163</v>
      </c>
      <c r="I247" s="118" t="n">
        <v>102.0716606140137</v>
      </c>
      <c r="J247" s="118" t="n">
        <v>127.5148433303833</v>
      </c>
      <c r="K247" s="120" t="n">
        <v>0.3790594951689688</v>
      </c>
      <c r="L247" s="120" t="n">
        <v>-0.1075037870017891</v>
      </c>
      <c r="M247" s="120" t="n">
        <v>-0.3635994146535361</v>
      </c>
      <c r="N247" t="n">
        <v>56.18448859805866</v>
      </c>
      <c r="O247" t="n">
        <v>0.7323762122511519</v>
      </c>
      <c r="P247" t="n">
        <v>93.07404617268119</v>
      </c>
      <c r="Q247" t="n">
        <v>84.64372580601621</v>
      </c>
    </row>
    <row r="248">
      <c r="A248" s="117" t="n">
        <v>44771</v>
      </c>
      <c r="B248" s="118" t="n">
        <v>104.6617649226735</v>
      </c>
      <c r="C248" s="118" t="n">
        <v>106.9358071344535</v>
      </c>
      <c r="D248" s="118" t="n">
        <v>103.4922540599042</v>
      </c>
      <c r="E248" s="118" t="n">
        <v>106.666633605957</v>
      </c>
      <c r="F248" s="119" t="n">
        <v>7560000</v>
      </c>
      <c r="G248" s="120" t="n">
        <v>0.0239685835713388</v>
      </c>
      <c r="H248" s="121" t="n">
        <v>67.05211174929111</v>
      </c>
      <c r="I248" s="118" t="n">
        <v>102.0587854003906</v>
      </c>
      <c r="J248" s="118" t="n">
        <v>127.3411391448975</v>
      </c>
      <c r="K248" s="120" t="n">
        <v>0.3809644623564077</v>
      </c>
      <c r="L248" s="120" t="n">
        <v>-0.08611191693343812</v>
      </c>
      <c r="M248" s="120" t="n">
        <v>-0.3483457940388104</v>
      </c>
      <c r="N248" t="n">
        <v>59.6726574274853</v>
      </c>
      <c r="O248" t="n">
        <v>0.9850269965656238</v>
      </c>
      <c r="P248" t="n">
        <v>94.43096888337129</v>
      </c>
      <c r="Q248" t="n">
        <v>86.18737331639612</v>
      </c>
    </row>
    <row r="249">
      <c r="A249" s="117" t="n">
        <v>44774</v>
      </c>
      <c r="B249" s="118" t="n">
        <v>105.8126910936333</v>
      </c>
      <c r="C249" s="118" t="n">
        <v>107.2513752524915</v>
      </c>
      <c r="D249" s="118" t="n">
        <v>105.1165549680173</v>
      </c>
      <c r="E249" s="118" t="n">
        <v>106.0911483764648</v>
      </c>
      <c r="F249" s="119" t="n">
        <v>4802900</v>
      </c>
      <c r="G249" s="120" t="n">
        <v>-0.005395175698692412</v>
      </c>
      <c r="H249" s="121" t="n">
        <v>66.69035382543534</v>
      </c>
      <c r="I249" s="118" t="n">
        <v>102.1553215026856</v>
      </c>
      <c r="J249" s="118" t="n">
        <v>127.1509560775757</v>
      </c>
      <c r="K249" s="120" t="n">
        <v>0.378730000054116</v>
      </c>
      <c r="L249" s="120" t="n">
        <v>-0.0715244293084264</v>
      </c>
      <c r="M249" s="120" t="n">
        <v>-0.351861582974763</v>
      </c>
      <c r="N249" t="n">
        <v>58.51632894711003</v>
      </c>
      <c r="O249" t="n">
        <v>1.060024381458767</v>
      </c>
      <c r="P249" t="n">
        <v>94.15131378787879</v>
      </c>
      <c r="Q249" t="n">
        <v>86.13547810746707</v>
      </c>
    </row>
    <row r="250">
      <c r="A250" s="117" t="n">
        <v>44775</v>
      </c>
      <c r="B250" s="118" t="n">
        <v>105.4135964251733</v>
      </c>
      <c r="C250" s="118" t="n">
        <v>105.6085137343195</v>
      </c>
      <c r="D250" s="118" t="n">
        <v>103.6500497614909</v>
      </c>
      <c r="E250" s="118" t="n">
        <v>103.7428665161133</v>
      </c>
      <c r="F250" s="119" t="n">
        <v>6334400</v>
      </c>
      <c r="G250" s="120" t="n">
        <v>-0.02213456915386258</v>
      </c>
      <c r="H250" s="121" t="n">
        <v>65.21419157679067</v>
      </c>
      <c r="I250" s="118" t="n">
        <v>102.259149017334</v>
      </c>
      <c r="J250" s="118" t="n">
        <v>126.9451589202881</v>
      </c>
      <c r="K250" s="120" t="n">
        <v>0.3798538598876107</v>
      </c>
      <c r="L250" s="120" t="n">
        <v>-0.09207583603557123</v>
      </c>
      <c r="M250" s="120" t="n">
        <v>-0.3662078475876831</v>
      </c>
      <c r="N250" t="n">
        <v>53.92443185198609</v>
      </c>
      <c r="O250" t="n">
        <v>0.9041888210779857</v>
      </c>
      <c r="P250" t="n">
        <v>93.53018844213786</v>
      </c>
      <c r="Q250" t="n">
        <v>85.878633561727</v>
      </c>
    </row>
    <row r="251">
      <c r="A251" s="117" t="n">
        <v>44776</v>
      </c>
      <c r="B251" s="118" t="n">
        <v>105.2743569346028</v>
      </c>
      <c r="C251" s="118" t="n">
        <v>106.8337023290003</v>
      </c>
      <c r="D251" s="118" t="n">
        <v>104.4946877781359</v>
      </c>
      <c r="E251" s="118" t="n">
        <v>106.0725936889648</v>
      </c>
      <c r="F251" s="119" t="n">
        <v>5986500</v>
      </c>
      <c r="G251" s="120" t="n">
        <v>0.02245674571262901</v>
      </c>
      <c r="H251" s="121" t="n">
        <v>66.67869009388532</v>
      </c>
      <c r="I251" s="118" t="n">
        <v>102.38068359375</v>
      </c>
      <c r="J251" s="118" t="n">
        <v>126.7469990158081</v>
      </c>
      <c r="K251" s="120" t="n">
        <v>0.3851011985744631</v>
      </c>
      <c r="L251" s="120" t="n">
        <v>-0.07168681395907084</v>
      </c>
      <c r="M251" s="120" t="n">
        <v>-0.3519749383863</v>
      </c>
      <c r="N251" t="n">
        <v>57.48861379821122</v>
      </c>
      <c r="O251" t="n">
        <v>0.9083195787531324</v>
      </c>
      <c r="P251" t="n">
        <v>94.99481725272261</v>
      </c>
      <c r="Q251" t="n">
        <v>88.21734403840765</v>
      </c>
    </row>
    <row r="252">
      <c r="A252" s="117" t="n">
        <v>44777</v>
      </c>
      <c r="B252" s="118" t="n">
        <v>106.4067451296028</v>
      </c>
      <c r="C252" s="118" t="n">
        <v>107.0657532596269</v>
      </c>
      <c r="D252" s="118" t="n">
        <v>105.6549202497026</v>
      </c>
      <c r="E252" s="118" t="n">
        <v>106.2582397460938</v>
      </c>
      <c r="F252" s="119" t="n">
        <v>4332000</v>
      </c>
      <c r="G252" s="120" t="n">
        <v>0.001750179293939613</v>
      </c>
      <c r="H252" s="121" t="n">
        <v>66.79538975663466</v>
      </c>
      <c r="I252" s="118" t="n">
        <v>102.4942645263672</v>
      </c>
      <c r="J252" s="118" t="n">
        <v>126.5432204818726</v>
      </c>
      <c r="K252" s="120" t="n">
        <v>0.3654559732962248</v>
      </c>
      <c r="L252" s="120" t="n">
        <v>-0.0700620994425708</v>
      </c>
      <c r="M252" s="120" t="n">
        <v>-0.3508407783415096</v>
      </c>
      <c r="N252" t="n">
        <v>57.76895462314551</v>
      </c>
      <c r="O252" t="n">
        <v>0.8735970924849619</v>
      </c>
      <c r="P252" t="n">
        <v>94.93062601108218</v>
      </c>
      <c r="Q252" t="n">
        <v>88.62987421093487</v>
      </c>
    </row>
    <row r="253">
      <c r="A253" s="117" t="n">
        <v>44778</v>
      </c>
      <c r="B253" s="118" t="n">
        <v>104.6895941227228</v>
      </c>
      <c r="C253" s="118" t="n">
        <v>106.0911501958077</v>
      </c>
      <c r="D253" s="118" t="n">
        <v>104.4853930560062</v>
      </c>
      <c r="E253" s="118" t="n">
        <v>105.6920318603516</v>
      </c>
      <c r="F253" s="119" t="n">
        <v>4162200</v>
      </c>
      <c r="G253" s="120" t="n">
        <v>-0.005328602159184626</v>
      </c>
      <c r="H253" s="121" t="n">
        <v>66.43946369855388</v>
      </c>
      <c r="I253" s="118" t="n">
        <v>102.6213349914551</v>
      </c>
      <c r="J253" s="118" t="n">
        <v>126.3440336990356</v>
      </c>
      <c r="K253" s="120" t="n">
        <v>0.3662895579033809</v>
      </c>
      <c r="L253" s="120" t="n">
        <v>-0.07501736854738872</v>
      </c>
      <c r="M253" s="120" t="n">
        <v>-0.3542998895716937</v>
      </c>
      <c r="N253" t="n">
        <v>56.54421401122991</v>
      </c>
      <c r="O253" t="n">
        <v>0.7663696890814475</v>
      </c>
      <c r="P253" t="n">
        <v>94.77018849231609</v>
      </c>
      <c r="Q253" t="n">
        <v>87.90588734655721</v>
      </c>
    </row>
    <row r="254">
      <c r="A254" s="117" t="n">
        <v>44781</v>
      </c>
      <c r="B254" s="118" t="n">
        <v>105.8127059936523</v>
      </c>
      <c r="C254" s="118" t="n">
        <v>107.2792346710104</v>
      </c>
      <c r="D254" s="118" t="n">
        <v>105.1722584018328</v>
      </c>
      <c r="E254" s="118" t="n">
        <v>105.8127059936523</v>
      </c>
      <c r="F254" s="119" t="n">
        <v>6071600</v>
      </c>
      <c r="G254" s="120" t="n">
        <v>0.001141752421414566</v>
      </c>
      <c r="H254" s="121" t="n">
        <v>66.5153211171092</v>
      </c>
      <c r="I254" s="118" t="n">
        <v>102.7339682006836</v>
      </c>
      <c r="J254" s="118" t="n">
        <v>126.1425458526611</v>
      </c>
      <c r="K254" s="120" t="n">
        <v>0.3500222262166182</v>
      </c>
      <c r="L254" s="120" t="n">
        <v>-0.07396126738816122</v>
      </c>
      <c r="M254" s="120" t="n">
        <v>-0.3535626599071044</v>
      </c>
      <c r="N254" t="n">
        <v>56.75464612795534</v>
      </c>
      <c r="O254" t="n">
        <v>0.6614071401740975</v>
      </c>
      <c r="P254" t="n">
        <v>94.66015795959962</v>
      </c>
      <c r="Q254" t="n">
        <v>87.62173672776194</v>
      </c>
    </row>
    <row r="255">
      <c r="A255" s="117" t="n">
        <v>44782</v>
      </c>
      <c r="B255" s="118" t="n">
        <v>103.3251709814388</v>
      </c>
      <c r="C255" s="118" t="n">
        <v>103.7242893355186</v>
      </c>
      <c r="D255" s="118" t="n">
        <v>101.0047170813154</v>
      </c>
      <c r="E255" s="118" t="n">
        <v>102.2020721435547</v>
      </c>
      <c r="F255" s="119" t="n">
        <v>7377600</v>
      </c>
      <c r="G255" s="120" t="n">
        <v>-0.03412287604018227</v>
      </c>
      <c r="H255" s="121" t="n">
        <v>64.24562705985716</v>
      </c>
      <c r="I255" s="118" t="n">
        <v>102.6866145324707</v>
      </c>
      <c r="J255" s="118" t="n">
        <v>125.9058071136475</v>
      </c>
      <c r="K255" s="120" t="n">
        <v>0.3713436938980338</v>
      </c>
      <c r="L255" s="120" t="n">
        <v>-0.1055603722694826</v>
      </c>
      <c r="M255" s="120" t="n">
        <v>-0.3756209611308395</v>
      </c>
      <c r="N255" t="n">
        <v>49.09428417078118</v>
      </c>
      <c r="O255" t="n">
        <v>0.3237356292974871</v>
      </c>
      <c r="P255" t="n">
        <v>94.28427134528509</v>
      </c>
      <c r="Q255" t="n">
        <v>86.62997776212555</v>
      </c>
    </row>
    <row r="256">
      <c r="A256" s="117" t="n">
        <v>44783</v>
      </c>
      <c r="B256" s="118" t="n">
        <v>105.1072820754509</v>
      </c>
      <c r="C256" s="118" t="n">
        <v>105.6549129001148</v>
      </c>
      <c r="D256" s="118" t="n">
        <v>103.8263940207474</v>
      </c>
      <c r="E256" s="118" t="n">
        <v>105.0144653320312</v>
      </c>
      <c r="F256" s="119" t="n">
        <v>6951800</v>
      </c>
      <c r="G256" s="120" t="n">
        <v>0.0275179664119356</v>
      </c>
      <c r="H256" s="121" t="n">
        <v>66.01353606740405</v>
      </c>
      <c r="I256" s="118" t="n">
        <v>102.6390296936035</v>
      </c>
      <c r="J256" s="118" t="n">
        <v>125.6771364593506</v>
      </c>
      <c r="K256" s="120" t="n">
        <v>0.379882265128995</v>
      </c>
      <c r="L256" s="120" t="n">
        <v>-0.08094721263608995</v>
      </c>
      <c r="M256" s="120" t="n">
        <v>-0.3584393197109214</v>
      </c>
      <c r="N256" t="n">
        <v>54.27166949248524</v>
      </c>
      <c r="O256" t="n">
        <v>0.267072669211506</v>
      </c>
      <c r="P256" t="n">
        <v>96.26460693877884</v>
      </c>
      <c r="Q256" t="n">
        <v>89.04788952079045</v>
      </c>
    </row>
    <row r="257">
      <c r="A257" s="117" t="n">
        <v>44784</v>
      </c>
      <c r="B257" s="118" t="n">
        <v>106.6294980823884</v>
      </c>
      <c r="C257" s="118" t="n">
        <v>108.3652001980567</v>
      </c>
      <c r="D257" s="118" t="n">
        <v>105.5620949233385</v>
      </c>
      <c r="E257" s="118" t="n">
        <v>105.905517578125</v>
      </c>
      <c r="F257" s="119" t="n">
        <v>5582100</v>
      </c>
      <c r="G257" s="120" t="n">
        <v>0.008485042925052699</v>
      </c>
      <c r="H257" s="121" t="n">
        <v>66.57366375457048</v>
      </c>
      <c r="I257" s="118" t="n">
        <v>102.5563050842285</v>
      </c>
      <c r="J257" s="118" t="n">
        <v>125.4495093536377</v>
      </c>
      <c r="K257" s="120" t="n">
        <v>0.3711247621606815</v>
      </c>
      <c r="L257" s="120" t="n">
        <v>-0.07314901028491794</v>
      </c>
      <c r="M257" s="120" t="n">
        <v>-0.3529956497996425</v>
      </c>
      <c r="N257" t="n">
        <v>55.80531776628258</v>
      </c>
      <c r="O257" t="n">
        <v>0.2662865877431311</v>
      </c>
      <c r="P257" t="n">
        <v>96.26460693877884</v>
      </c>
      <c r="Q257" t="n">
        <v>88.54245376678568</v>
      </c>
    </row>
    <row r="258">
      <c r="A258" s="117" t="n">
        <v>44785</v>
      </c>
      <c r="B258" s="118" t="n">
        <v>106.1747014358522</v>
      </c>
      <c r="C258" s="118" t="n">
        <v>107.7897355705711</v>
      </c>
      <c r="D258" s="118" t="n">
        <v>105.5992262469458</v>
      </c>
      <c r="E258" s="118" t="n">
        <v>107.7340469360352</v>
      </c>
      <c r="F258" s="119" t="n">
        <v>4407900</v>
      </c>
      <c r="G258" s="120" t="n">
        <v>0.01726566660288764</v>
      </c>
      <c r="H258" s="121" t="n">
        <v>67.72310243748963</v>
      </c>
      <c r="I258" s="118" t="n">
        <v>102.5132992553711</v>
      </c>
      <c r="J258" s="118" t="n">
        <v>125.2330073928833</v>
      </c>
      <c r="K258" s="120" t="n">
        <v>0.3722161096376043</v>
      </c>
      <c r="L258" s="120" t="n">
        <v>-0.05714631010594096</v>
      </c>
      <c r="M258" s="120" t="n">
        <v>-0.3418246883984651</v>
      </c>
      <c r="N258" t="n">
        <v>58.85491078052652</v>
      </c>
      <c r="O258" t="n">
        <v>0.3597849371277047</v>
      </c>
      <c r="P258" t="n">
        <v>97.89429261716603</v>
      </c>
      <c r="Q258" t="n">
        <v>90.26645293427512</v>
      </c>
    </row>
    <row r="259">
      <c r="A259" s="117" t="n">
        <v>44788</v>
      </c>
      <c r="B259" s="118" t="n">
        <v>107.1585819153807</v>
      </c>
      <c r="C259" s="118" t="n">
        <v>108.2074318417599</v>
      </c>
      <c r="D259" s="118" t="n">
        <v>106.6016742727843</v>
      </c>
      <c r="E259" s="118" t="n">
        <v>107.9661026000977</v>
      </c>
      <c r="F259" s="119" t="n">
        <v>4279000</v>
      </c>
      <c r="G259" s="120" t="n">
        <v>0.002153967762858366</v>
      </c>
      <c r="H259" s="121" t="n">
        <v>67.86897581694075</v>
      </c>
      <c r="I259" s="118" t="n">
        <v>102.3873452758789</v>
      </c>
      <c r="J259" s="118" t="n">
        <v>125.0243048858643</v>
      </c>
      <c r="K259" s="120" t="n">
        <v>0.3694500969105817</v>
      </c>
      <c r="L259" s="120" t="n">
        <v>-0.05511543365281701</v>
      </c>
      <c r="M259" s="120" t="n">
        <v>-0.3404069999949662</v>
      </c>
      <c r="N259" t="n">
        <v>59.23931510114206</v>
      </c>
      <c r="O259" t="n">
        <v>0.4047743590680666</v>
      </c>
      <c r="P259" t="n">
        <v>98.29768870944764</v>
      </c>
      <c r="Q259" t="n">
        <v>90.99589930449832</v>
      </c>
    </row>
    <row r="260">
      <c r="A260" s="117" t="n">
        <v>44789</v>
      </c>
      <c r="B260" s="118" t="n">
        <v>107.6133827858444</v>
      </c>
      <c r="C260" s="118" t="n">
        <v>109.9616812277199</v>
      </c>
      <c r="D260" s="118" t="n">
        <v>107.4927146391864</v>
      </c>
      <c r="E260" s="118" t="n">
        <v>109.5811233520508</v>
      </c>
      <c r="F260" s="119" t="n">
        <v>6189800</v>
      </c>
      <c r="G260" s="120" t="n">
        <v>0.014958590826744</v>
      </c>
      <c r="H260" s="121" t="n">
        <v>68.88420005601654</v>
      </c>
      <c r="I260" s="118" t="n">
        <v>102.3336964416504</v>
      </c>
      <c r="J260" s="118" t="n">
        <v>124.8139493942261</v>
      </c>
      <c r="K260" s="120" t="n">
        <v>0.3321866765812347</v>
      </c>
      <c r="L260" s="120" t="n">
        <v>-0.04098129204632417</v>
      </c>
      <c r="M260" s="120" t="n">
        <v>-0.3305404181957062</v>
      </c>
      <c r="N260" t="n">
        <v>61.9067216860879</v>
      </c>
      <c r="O260" t="n">
        <v>0.5043359436297088</v>
      </c>
      <c r="P260" t="n">
        <v>98.49023291776169</v>
      </c>
      <c r="Q260" t="n">
        <v>90.78277352466046</v>
      </c>
    </row>
    <row r="261">
      <c r="A261" s="117" t="n">
        <v>44790</v>
      </c>
      <c r="B261" s="118" t="n">
        <v>108.383755913669</v>
      </c>
      <c r="C261" s="118" t="n">
        <v>109.5068618150125</v>
      </c>
      <c r="D261" s="118" t="n">
        <v>108.049617072354</v>
      </c>
      <c r="E261" s="118" t="n">
        <v>108.6343688964844</v>
      </c>
      <c r="F261" s="119" t="n">
        <v>5108400</v>
      </c>
      <c r="G261" s="120" t="n">
        <v>-0.008639758624528593</v>
      </c>
      <c r="H261" s="121" t="n">
        <v>68.28905719448882</v>
      </c>
      <c r="I261" s="118" t="n">
        <v>102.2744781494141</v>
      </c>
      <c r="J261" s="118" t="n">
        <v>124.585811958313</v>
      </c>
      <c r="K261" s="120" t="n">
        <v>0.331131239037742</v>
      </c>
      <c r="L261" s="120" t="n">
        <v>-0.04926698219945114</v>
      </c>
      <c r="M261" s="120" t="n">
        <v>-0.3363243873913732</v>
      </c>
      <c r="N261" t="n">
        <v>59.4506106315711</v>
      </c>
      <c r="O261" t="n">
        <v>0.4682471271013211</v>
      </c>
      <c r="P261" t="n">
        <v>97.79112469563771</v>
      </c>
      <c r="Q261" t="n">
        <v>89.7473128807771</v>
      </c>
    </row>
    <row r="262">
      <c r="A262" s="117" t="n">
        <v>44791</v>
      </c>
      <c r="B262" s="118" t="n">
        <v>107.669076185629</v>
      </c>
      <c r="C262" s="118" t="n">
        <v>108.3002400189413</v>
      </c>
      <c r="D262" s="118" t="n">
        <v>107.0193518343359</v>
      </c>
      <c r="E262" s="118" t="n">
        <v>107.6783599853516</v>
      </c>
      <c r="F262" s="119" t="n">
        <v>4750200</v>
      </c>
      <c r="G262" s="120" t="n">
        <v>-0.008800243613913517</v>
      </c>
      <c r="H262" s="121" t="n">
        <v>67.68809685501284</v>
      </c>
      <c r="I262" s="118" t="n">
        <v>102.1694082641602</v>
      </c>
      <c r="J262" s="118" t="n">
        <v>124.3573206710815</v>
      </c>
      <c r="K262" s="120" t="n">
        <v>0.3335788209180719</v>
      </c>
      <c r="L262" s="120" t="n">
        <v>-0.05763366436788719</v>
      </c>
      <c r="M262" s="120" t="n">
        <v>-0.3421648944629424</v>
      </c>
      <c r="N262" t="n">
        <v>56.99176335819664</v>
      </c>
      <c r="O262" t="n">
        <v>0.3473692748975847</v>
      </c>
      <c r="P262" t="n">
        <v>98.07536224440744</v>
      </c>
      <c r="Q262" t="n">
        <v>89.96316414162391</v>
      </c>
    </row>
    <row r="263">
      <c r="A263" s="117" t="n">
        <v>44792</v>
      </c>
      <c r="B263" s="118" t="n">
        <v>107.2049846522153</v>
      </c>
      <c r="C263" s="118" t="n">
        <v>107.3442133213033</v>
      </c>
      <c r="D263" s="118" t="n">
        <v>104.9123747564886</v>
      </c>
      <c r="E263" s="118" t="n">
        <v>105.0330429077148</v>
      </c>
      <c r="F263" s="119" t="n">
        <v>5967600</v>
      </c>
      <c r="G263" s="120" t="n">
        <v>-0.02456684033817547</v>
      </c>
      <c r="H263" s="121" t="n">
        <v>66.02521418678079</v>
      </c>
      <c r="I263" s="118" t="n">
        <v>101.9978804016113</v>
      </c>
      <c r="J263" s="118" t="n">
        <v>124.1086868286133</v>
      </c>
      <c r="K263" s="120" t="n">
        <v>0.3357767158117486</v>
      </c>
      <c r="L263" s="120" t="n">
        <v>-0.08078462767543271</v>
      </c>
      <c r="M263" s="120" t="n">
        <v>-0.3583258244695181</v>
      </c>
      <c r="N263" t="n">
        <v>50.73841517181565</v>
      </c>
      <c r="O263" t="n">
        <v>0.07108448902535858</v>
      </c>
      <c r="P263" t="n">
        <v>96.75741621360523</v>
      </c>
      <c r="Q263" t="n">
        <v>88.20914196389793</v>
      </c>
    </row>
    <row r="264">
      <c r="A264" s="117" t="n">
        <v>44795</v>
      </c>
      <c r="B264" s="118" t="n">
        <v>103.0467216542576</v>
      </c>
      <c r="C264" s="118" t="n">
        <v>103.6593249303939</v>
      </c>
      <c r="D264" s="118" t="n">
        <v>101.9514670453936</v>
      </c>
      <c r="E264" s="118" t="n">
        <v>102.4155578613281</v>
      </c>
      <c r="F264" s="119" t="n">
        <v>5802900</v>
      </c>
      <c r="G264" s="120" t="n">
        <v>-0.02492058664516195</v>
      </c>
      <c r="H264" s="121" t="n">
        <v>64.37982711587374</v>
      </c>
      <c r="I264" s="118" t="n">
        <v>101.8445448303223</v>
      </c>
      <c r="J264" s="118" t="n">
        <v>123.825433807373</v>
      </c>
      <c r="K264" s="120" t="n">
        <v>0.3491633034645292</v>
      </c>
      <c r="L264" s="120" t="n">
        <v>-0.103692014007012</v>
      </c>
      <c r="M264" s="120" t="n">
        <v>-0.3743167213587884</v>
      </c>
      <c r="N264" t="n">
        <v>45.42704948727743</v>
      </c>
      <c r="O264" t="n">
        <v>-0.2865088878389723</v>
      </c>
      <c r="P264" t="n">
        <v>94.74267901434902</v>
      </c>
      <c r="Q264" t="n">
        <v>85.88683563623668</v>
      </c>
    </row>
    <row r="265">
      <c r="A265" s="117" t="n">
        <v>44796</v>
      </c>
      <c r="B265" s="118" t="n">
        <v>102.8796531513093</v>
      </c>
      <c r="C265" s="118" t="n">
        <v>104.7267397777091</v>
      </c>
      <c r="D265" s="118" t="n">
        <v>102.6290472156504</v>
      </c>
      <c r="E265" s="118" t="n">
        <v>102.7311477661133</v>
      </c>
      <c r="F265" s="119" t="n">
        <v>4806700</v>
      </c>
      <c r="G265" s="120" t="n">
        <v>0.003081464490116481</v>
      </c>
      <c r="H265" s="121" t="n">
        <v>64.57821126701114</v>
      </c>
      <c r="I265" s="118" t="n">
        <v>101.7693621826172</v>
      </c>
      <c r="J265" s="118" t="n">
        <v>123.5302039718628</v>
      </c>
      <c r="K265" s="120" t="n">
        <v>0.3189129443016844</v>
      </c>
      <c r="L265" s="120" t="n">
        <v>-0.1009300727759668</v>
      </c>
      <c r="M265" s="120" t="n">
        <v>-0.3723887005535957</v>
      </c>
      <c r="N265" t="n">
        <v>46.15887410593848</v>
      </c>
      <c r="O265" t="n">
        <v>-0.4884842757216652</v>
      </c>
      <c r="P265" t="n">
        <v>94.51346780066523</v>
      </c>
      <c r="Q265" t="n">
        <v>85.8158193411069</v>
      </c>
    </row>
    <row r="266">
      <c r="A266" s="117" t="n">
        <v>44797</v>
      </c>
      <c r="B266" s="118" t="n">
        <v>102.7311386181948</v>
      </c>
      <c r="C266" s="118" t="n">
        <v>104.3554563999633</v>
      </c>
      <c r="D266" s="118" t="n">
        <v>102.1185353699681</v>
      </c>
      <c r="E266" s="118" t="n">
        <v>103.4087142944336</v>
      </c>
      <c r="F266" s="119" t="n">
        <v>4769000</v>
      </c>
      <c r="G266" s="120" t="n">
        <v>0.006595531570064095</v>
      </c>
      <c r="H266" s="121" t="n">
        <v>65.00413889816097</v>
      </c>
      <c r="I266" s="118" t="n">
        <v>101.7873687744141</v>
      </c>
      <c r="J266" s="118" t="n">
        <v>123.2288178253174</v>
      </c>
      <c r="K266" s="120" t="n">
        <v>0.308101038162869</v>
      </c>
      <c r="L266" s="120" t="n">
        <v>-0.09500022868726554</v>
      </c>
      <c r="M266" s="120" t="n">
        <v>-0.3682492704143681</v>
      </c>
      <c r="N266" t="n">
        <v>47.77805781170807</v>
      </c>
      <c r="O266" t="n">
        <v>-0.5581195824055878</v>
      </c>
      <c r="P266" t="n">
        <v>94.81602778339212</v>
      </c>
      <c r="Q266" t="n">
        <v>86.06442763702681</v>
      </c>
    </row>
    <row r="267">
      <c r="A267" s="117" t="n">
        <v>44798</v>
      </c>
      <c r="B267" s="118" t="n">
        <v>103.8635378771434</v>
      </c>
      <c r="C267" s="118" t="n">
        <v>105.2001147641927</v>
      </c>
      <c r="D267" s="118" t="n">
        <v>103.3901632080506</v>
      </c>
      <c r="E267" s="118" t="n">
        <v>105.088737487793</v>
      </c>
      <c r="F267" s="119" t="n">
        <v>5433700</v>
      </c>
      <c r="G267" s="120" t="n">
        <v>0.0162464373029132</v>
      </c>
      <c r="H267" s="121" t="n">
        <v>66.0602245651998</v>
      </c>
      <c r="I267" s="118" t="n">
        <v>101.833777923584</v>
      </c>
      <c r="J267" s="118" t="n">
        <v>122.9619276809692</v>
      </c>
      <c r="K267" s="120" t="n">
        <v>0.2782499666666686</v>
      </c>
      <c r="L267" s="120" t="n">
        <v>-0.0802972066434825</v>
      </c>
      <c r="M267" s="120" t="n">
        <v>-0.3579855717950855</v>
      </c>
      <c r="N267" t="n">
        <v>51.65989733185671</v>
      </c>
      <c r="O267" t="n">
        <v>-0.4759097823387659</v>
      </c>
      <c r="P267" t="n">
        <v>96.15459854351781</v>
      </c>
      <c r="Q267" t="n">
        <v>87.58621149254181</v>
      </c>
    </row>
    <row r="268">
      <c r="A268" s="117" t="n">
        <v>44799</v>
      </c>
      <c r="B268" s="118" t="n">
        <v>105.1722541781208</v>
      </c>
      <c r="C268" s="118" t="n">
        <v>105.5620958296171</v>
      </c>
      <c r="D268" s="118" t="n">
        <v>100.4570970612556</v>
      </c>
      <c r="E268" s="118" t="n">
        <v>100.5035018920898</v>
      </c>
      <c r="F268" s="119" t="n">
        <v>6203600</v>
      </c>
      <c r="G268" s="120" t="n">
        <v>-0.04363203617548206</v>
      </c>
      <c r="H268" s="121" t="n">
        <v>63.17788245721054</v>
      </c>
      <c r="I268" s="118" t="n">
        <v>101.737989654541</v>
      </c>
      <c r="J268" s="118" t="n">
        <v>122.6630284118652</v>
      </c>
      <c r="K268" s="120" t="n">
        <v>0.305078566755448</v>
      </c>
      <c r="L268" s="120" t="n">
        <v>-0.1204257121939059</v>
      </c>
      <c r="M268" s="120" t="n">
        <v>-0.3859979685517038</v>
      </c>
      <c r="N268" t="n">
        <v>42.39693181306531</v>
      </c>
      <c r="O268" t="n">
        <v>-0.7015854691243405</v>
      </c>
      <c r="P268" t="n">
        <v>92.89985391493154</v>
      </c>
      <c r="Q268" t="n">
        <v>83.99620619878621</v>
      </c>
    </row>
    <row r="269">
      <c r="A269" s="117" t="n">
        <v>44802</v>
      </c>
      <c r="B269" s="118" t="n">
        <v>99.13907104182101</v>
      </c>
      <c r="C269" s="118" t="n">
        <v>100.7448282707877</v>
      </c>
      <c r="D269" s="118" t="n">
        <v>98.79564839369431</v>
      </c>
      <c r="E269" s="118" t="n">
        <v>100.1322250366211</v>
      </c>
      <c r="F269" s="119" t="n">
        <v>4132400</v>
      </c>
      <c r="G269" s="120" t="n">
        <v>-0.003694168347162519</v>
      </c>
      <c r="H269" s="121" t="n">
        <v>62.94449272359635</v>
      </c>
      <c r="I269" s="118" t="n">
        <v>101.7520976257324</v>
      </c>
      <c r="J269" s="118" t="n">
        <v>122.3879079818726</v>
      </c>
      <c r="K269" s="120" t="n">
        <v>0.3049459571587137</v>
      </c>
      <c r="L269" s="120" t="n">
        <v>-0.1186275671183218</v>
      </c>
      <c r="M269" s="120" t="n">
        <v>-0.3882661954213735</v>
      </c>
      <c r="N269" t="n">
        <v>41.74423140647603</v>
      </c>
      <c r="O269" t="n">
        <v>-0.8378834644971688</v>
      </c>
      <c r="P269" t="n">
        <v>92.28559118037873</v>
      </c>
      <c r="Q269" t="n">
        <v>83.16838619741236</v>
      </c>
    </row>
    <row r="270">
      <c r="A270" s="117" t="n">
        <v>44803</v>
      </c>
      <c r="B270" s="118" t="n">
        <v>101.1439525164048</v>
      </c>
      <c r="C270" s="118" t="n">
        <v>102.1742346836886</v>
      </c>
      <c r="D270" s="118" t="n">
        <v>99.43609464898906</v>
      </c>
      <c r="E270" s="118" t="n">
        <v>100.1136703491211</v>
      </c>
      <c r="F270" s="119" t="n">
        <v>5129500</v>
      </c>
      <c r="G270" s="120" t="n">
        <v>-0.000185301859548348</v>
      </c>
      <c r="H270" s="121" t="n">
        <v>62.93282899204635</v>
      </c>
      <c r="I270" s="118" t="n">
        <v>101.7617506408691</v>
      </c>
      <c r="J270" s="118" t="n">
        <v>122.1186425018311</v>
      </c>
      <c r="K270" s="120" t="n">
        <v>0.296230174434742</v>
      </c>
      <c r="L270" s="120" t="n">
        <v>-0.1187908870690892</v>
      </c>
      <c r="M270" s="120" t="n">
        <v>-0.3883795508329105</v>
      </c>
      <c r="N270" t="n">
        <v>41.70967276293608</v>
      </c>
      <c r="O270" t="n">
        <v>-0.8865966776484594</v>
      </c>
      <c r="P270" t="n">
        <v>91.27248529021431</v>
      </c>
      <c r="Q270" t="n">
        <v>82.24218402106024</v>
      </c>
    </row>
    <row r="271">
      <c r="A271" s="117" t="n">
        <v>44804</v>
      </c>
      <c r="B271" s="118" t="n">
        <v>100.2065033593996</v>
      </c>
      <c r="C271" s="118" t="n">
        <v>100.2529152806338</v>
      </c>
      <c r="D271" s="118" t="n">
        <v>98.21091113123441</v>
      </c>
      <c r="E271" s="118" t="n">
        <v>98.80494689941406</v>
      </c>
      <c r="F271" s="119" t="n">
        <v>8884800</v>
      </c>
      <c r="G271" s="120" t="n">
        <v>-0.01307237508267545</v>
      </c>
      <c r="H271" s="121" t="n">
        <v>62.11014744644845</v>
      </c>
      <c r="I271" s="118" t="n">
        <v>101.720354309082</v>
      </c>
      <c r="J271" s="118" t="n">
        <v>121.8330589294434</v>
      </c>
      <c r="K271" s="120" t="n">
        <v>0.2845591615272712</v>
      </c>
      <c r="L271" s="120" t="n">
        <v>-0.1303103831195939</v>
      </c>
      <c r="M271" s="120" t="n">
        <v>-0.3963748827526572</v>
      </c>
      <c r="N271" t="n">
        <v>39.2419855259479</v>
      </c>
      <c r="O271" t="n">
        <v>-0.9581746421404691</v>
      </c>
      <c r="P271" t="n">
        <v>90.57798903797483</v>
      </c>
      <c r="Q271" t="n">
        <v>81.76407142776591</v>
      </c>
    </row>
    <row r="272">
      <c r="A272" s="117" t="n">
        <v>44805</v>
      </c>
      <c r="B272" s="118" t="n">
        <v>98.20163094784741</v>
      </c>
      <c r="C272" s="118" t="n">
        <v>98.8977672530123</v>
      </c>
      <c r="D272" s="118" t="n">
        <v>96.34526746740768</v>
      </c>
      <c r="E272" s="118" t="n">
        <v>98.84207153320312</v>
      </c>
      <c r="F272" s="119" t="n">
        <v>5590800</v>
      </c>
      <c r="G272" s="120" t="n">
        <v>0.0003757365896552844</v>
      </c>
      <c r="H272" s="121" t="n">
        <v>62.13348450143297</v>
      </c>
      <c r="I272" s="118" t="n">
        <v>101.7494996643066</v>
      </c>
      <c r="J272" s="118" t="n">
        <v>121.5487675476074</v>
      </c>
      <c r="K272" s="120" t="n">
        <v>0.2842716576159813</v>
      </c>
      <c r="L272" s="120" t="n">
        <v>-0.1299836089088886</v>
      </c>
      <c r="M272" s="120" t="n">
        <v>-0.3961480787096724</v>
      </c>
      <c r="N272" t="n">
        <v>39.35160094565175</v>
      </c>
      <c r="O272" t="n">
        <v>-0.9522588002629098</v>
      </c>
      <c r="P272" t="n">
        <v>90.86221920759274</v>
      </c>
      <c r="Q272" t="n">
        <v>81.79958811915841</v>
      </c>
    </row>
    <row r="273">
      <c r="A273" s="117" t="n">
        <v>44806</v>
      </c>
      <c r="B273" s="118" t="n">
        <v>100.0288849798158</v>
      </c>
      <c r="C273" s="118" t="n">
        <v>100.671172113961</v>
      </c>
      <c r="D273" s="118" t="n">
        <v>97.7855458953929</v>
      </c>
      <c r="E273" s="118" t="n">
        <v>98.42782592773438</v>
      </c>
      <c r="F273" s="119" t="n">
        <v>7763800</v>
      </c>
      <c r="G273" s="120" t="n">
        <v>-0.004190984659094288</v>
      </c>
      <c r="H273" s="121" t="n">
        <v>61.87308402107139</v>
      </c>
      <c r="I273" s="118" t="n">
        <v>101.7131840515137</v>
      </c>
      <c r="J273" s="118" t="n">
        <v>121.2486652374268</v>
      </c>
      <c r="K273" s="120" t="n">
        <v>0.284200992078406</v>
      </c>
      <c r="L273" s="120" t="n">
        <v>-0.1058708497335039</v>
      </c>
      <c r="M273" s="120" t="n">
        <v>-0.3986788128481648</v>
      </c>
      <c r="N273" t="n">
        <v>38.51658218030241</v>
      </c>
      <c r="O273" t="n">
        <v>-0.9247164638224028</v>
      </c>
      <c r="P273" t="n">
        <v>89.90413965251427</v>
      </c>
      <c r="Q273" t="n">
        <v>80.64389018925951</v>
      </c>
    </row>
    <row r="274">
      <c r="A274" s="117" t="n">
        <v>44810</v>
      </c>
      <c r="B274" s="118" t="n">
        <v>98.14857061145366</v>
      </c>
      <c r="C274" s="118" t="n">
        <v>99.05149389577626</v>
      </c>
      <c r="D274" s="118" t="n">
        <v>96.51027689043333</v>
      </c>
      <c r="E274" s="118" t="n">
        <v>97.87862396240234</v>
      </c>
      <c r="F274" s="119" t="n">
        <v>9158900</v>
      </c>
      <c r="G274" s="120" t="n">
        <v>-0.00557974292488439</v>
      </c>
      <c r="H274" s="121" t="n">
        <v>61.52784811826404</v>
      </c>
      <c r="I274" s="118" t="n">
        <v>101.5747367858887</v>
      </c>
      <c r="J274" s="118" t="n">
        <v>120.946231803894</v>
      </c>
      <c r="K274" s="120" t="n">
        <v>0.2837774612673112</v>
      </c>
      <c r="L274" s="120" t="n">
        <v>-0.1067930226636925</v>
      </c>
      <c r="M274" s="120" t="n">
        <v>-0.4020340304877583</v>
      </c>
      <c r="N274" t="n">
        <v>37.38397790288323</v>
      </c>
      <c r="O274" t="n">
        <v>-0.8915678580842807</v>
      </c>
      <c r="P274" t="n">
        <v>89.56491266441766</v>
      </c>
      <c r="Q274" t="n">
        <v>80.06468702763318</v>
      </c>
    </row>
    <row r="275">
      <c r="A275" s="117" t="n">
        <v>44811</v>
      </c>
      <c r="B275" s="118" t="n">
        <v>97.81346461181296</v>
      </c>
      <c r="C275" s="118" t="n">
        <v>101.0528101867414</v>
      </c>
      <c r="D275" s="118" t="n">
        <v>97.73899510158847</v>
      </c>
      <c r="E275" s="118" t="n">
        <v>100.9783477783203</v>
      </c>
      <c r="F275" s="119" t="n">
        <v>7238300</v>
      </c>
      <c r="G275" s="120" t="n">
        <v>0.03166905796620778</v>
      </c>
      <c r="H275" s="121" t="n">
        <v>63.47637710685737</v>
      </c>
      <c r="I275" s="118" t="n">
        <v>101.5430220031738</v>
      </c>
      <c r="J275" s="118" t="n">
        <v>120.6610948562622</v>
      </c>
      <c r="K275" s="120" t="n">
        <v>0.2864234972027729</v>
      </c>
      <c r="L275" s="120" t="n">
        <v>-0.07850599912260769</v>
      </c>
      <c r="M275" s="120" t="n">
        <v>-0.3830970115374555</v>
      </c>
      <c r="N275" t="n">
        <v>46.87856075921484</v>
      </c>
      <c r="O275" t="n">
        <v>-0.621745073752545</v>
      </c>
      <c r="P275" t="n">
        <v>91.1739367177223</v>
      </c>
      <c r="Q275" t="n">
        <v>81.68211048946227</v>
      </c>
    </row>
    <row r="276">
      <c r="A276" s="117" t="n">
        <v>44812</v>
      </c>
      <c r="B276" s="118" t="n">
        <v>99.60069765488572</v>
      </c>
      <c r="C276" s="118" t="n">
        <v>101.2669157856278</v>
      </c>
      <c r="D276" s="118" t="n">
        <v>98.74431952901497</v>
      </c>
      <c r="E276" s="118" t="n">
        <v>101.211067199707</v>
      </c>
      <c r="F276" s="119" t="n">
        <v>5628300</v>
      </c>
      <c r="G276" s="120" t="n">
        <v>0.002304646753555684</v>
      </c>
      <c r="H276" s="121" t="n">
        <v>63.62266773328417</v>
      </c>
      <c r="I276" s="118" t="n">
        <v>101.6592730712891</v>
      </c>
      <c r="J276" s="118" t="n">
        <v>120.3608463287353</v>
      </c>
      <c r="K276" s="120" t="n">
        <v>0.2671052271872046</v>
      </c>
      <c r="L276" s="120" t="n">
        <v>-0.07638228096506461</v>
      </c>
      <c r="M276" s="120" t="n">
        <v>-0.3816752680678365</v>
      </c>
      <c r="N276" t="n">
        <v>47.52193334743054</v>
      </c>
      <c r="O276" t="n">
        <v>-0.3992724954595777</v>
      </c>
      <c r="P276" t="n">
        <v>91.76986963916612</v>
      </c>
      <c r="Q276" t="n">
        <v>82.10559384899098</v>
      </c>
    </row>
    <row r="277">
      <c r="A277" s="117" t="n">
        <v>44813</v>
      </c>
      <c r="B277" s="118" t="n">
        <v>101.8161064810584</v>
      </c>
      <c r="C277" s="118" t="n">
        <v>103.966369235656</v>
      </c>
      <c r="D277" s="118" t="n">
        <v>101.7416440714898</v>
      </c>
      <c r="E277" s="118" t="n">
        <v>103.2961578369141</v>
      </c>
      <c r="F277" s="119" t="n">
        <v>5171500</v>
      </c>
      <c r="G277" s="120" t="n">
        <v>0.02060140945942979</v>
      </c>
      <c r="H277" s="121" t="n">
        <v>64.9333843621588</v>
      </c>
      <c r="I277" s="118" t="n">
        <v>101.8085011291504</v>
      </c>
      <c r="J277" s="118" t="n">
        <v>120.0739739990234</v>
      </c>
      <c r="K277" s="120" t="n">
        <v>0.2765335526268066</v>
      </c>
      <c r="L277" s="120" t="n">
        <v>-0.0573544541512413</v>
      </c>
      <c r="M277" s="120" t="n">
        <v>-0.3689369070864098</v>
      </c>
      <c r="N277" t="n">
        <v>53.01289489096927</v>
      </c>
      <c r="O277" t="n">
        <v>-0.09901646285997612</v>
      </c>
      <c r="P277" t="n">
        <v>93.19552176986301</v>
      </c>
      <c r="Q277" t="n">
        <v>83.90057513629972</v>
      </c>
    </row>
    <row r="278">
      <c r="A278" s="117" t="n">
        <v>44816</v>
      </c>
      <c r="B278" s="118" t="n">
        <v>103.6778026121808</v>
      </c>
      <c r="C278" s="118" t="n">
        <v>105.5208839757451</v>
      </c>
      <c r="D278" s="118" t="n">
        <v>103.6778026121808</v>
      </c>
      <c r="E278" s="118" t="n">
        <v>104.6086502075195</v>
      </c>
      <c r="F278" s="119" t="n">
        <v>4836900</v>
      </c>
      <c r="G278" s="120" t="n">
        <v>0.01270611025705004</v>
      </c>
      <c r="H278" s="121" t="n">
        <v>65.75843510322781</v>
      </c>
      <c r="I278" s="118" t="n">
        <v>102.0034710693359</v>
      </c>
      <c r="J278" s="118" t="n">
        <v>119.8033003616333</v>
      </c>
      <c r="K278" s="120" t="n">
        <v>0.272967545031013</v>
      </c>
      <c r="L278" s="120" t="n">
        <v>-0.04537709591236971</v>
      </c>
      <c r="M278" s="120" t="n">
        <v>-0.3609185498486948</v>
      </c>
      <c r="N278" t="n">
        <v>56.12493296108103</v>
      </c>
      <c r="O278" t="n">
        <v>0.1851730767083857</v>
      </c>
      <c r="P278" t="n">
        <v>94.19717521641024</v>
      </c>
      <c r="Q278" t="n">
        <v>84.89780215160924</v>
      </c>
    </row>
    <row r="279">
      <c r="A279" s="117" t="n">
        <v>44817</v>
      </c>
      <c r="B279" s="118" t="n">
        <v>101.3134659045431</v>
      </c>
      <c r="C279" s="118" t="n">
        <v>101.3786320649065</v>
      </c>
      <c r="D279" s="118" t="n">
        <v>98.14858922963266</v>
      </c>
      <c r="E279" s="118" t="n">
        <v>98.40922546386719</v>
      </c>
      <c r="F279" s="119" t="n">
        <v>5955600</v>
      </c>
      <c r="G279" s="120" t="n">
        <v>-0.05926302204792921</v>
      </c>
      <c r="H279" s="121" t="n">
        <v>61.86139151386789</v>
      </c>
      <c r="I279" s="118" t="n">
        <v>102.093387298584</v>
      </c>
      <c r="J279" s="118" t="n">
        <v>119.5021828079224</v>
      </c>
      <c r="K279" s="120" t="n">
        <v>0.3411216702522959</v>
      </c>
      <c r="L279" s="120" t="n">
        <v>-0.1019509341247733</v>
      </c>
      <c r="M279" s="120" t="n">
        <v>-0.3987924479194341</v>
      </c>
      <c r="N279" t="n">
        <v>41.98129011314252</v>
      </c>
      <c r="O279" t="n">
        <v>-0.03542028348299087</v>
      </c>
      <c r="P279" t="n">
        <v>90.10125155580194</v>
      </c>
      <c r="Q279" t="n">
        <v>80.24228757225093</v>
      </c>
    </row>
    <row r="280">
      <c r="A280" s="117" t="n">
        <v>44818</v>
      </c>
      <c r="B280" s="118" t="n">
        <v>98.79086035140192</v>
      </c>
      <c r="C280" s="118" t="n">
        <v>99.93580610671398</v>
      </c>
      <c r="D280" s="118" t="n">
        <v>97.87863361466594</v>
      </c>
      <c r="E280" s="118" t="n">
        <v>99.60070037841797</v>
      </c>
      <c r="F280" s="119" t="n">
        <v>4888700</v>
      </c>
      <c r="G280" s="120" t="n">
        <v>0.01210734978285388</v>
      </c>
      <c r="H280" s="121" t="n">
        <v>62.61036901898036</v>
      </c>
      <c r="I280" s="118" t="n">
        <v>102.1488429260254</v>
      </c>
      <c r="J280" s="118" t="n">
        <v>119.2255110931396</v>
      </c>
      <c r="K280" s="120" t="n">
        <v>0.3391198266622852</v>
      </c>
      <c r="L280" s="120" t="n">
        <v>-0.09107793996205671</v>
      </c>
      <c r="M280" s="120" t="n">
        <v>-0.3915134177943013</v>
      </c>
      <c r="N280" t="n">
        <v>44.85743401635846</v>
      </c>
      <c r="O280" t="n">
        <v>-0.08908723783131234</v>
      </c>
      <c r="P280" t="n">
        <v>90.44505361802398</v>
      </c>
      <c r="Q280" t="n">
        <v>80.87887108013464</v>
      </c>
    </row>
    <row r="281">
      <c r="A281" s="117" t="n">
        <v>44819</v>
      </c>
      <c r="B281" s="118" t="n">
        <v>98.8094820350456</v>
      </c>
      <c r="C281" s="118" t="n">
        <v>100.6618669181676</v>
      </c>
      <c r="D281" s="118" t="n">
        <v>97.58076338919422</v>
      </c>
      <c r="E281" s="118" t="n">
        <v>98.20442962646484</v>
      </c>
      <c r="F281" s="119" t="n">
        <v>6598900</v>
      </c>
      <c r="G281" s="120" t="n">
        <v>-0.01401868407198148</v>
      </c>
      <c r="H281" s="121" t="n">
        <v>61.7326540360731</v>
      </c>
      <c r="I281" s="118" t="n">
        <v>102.178044128418</v>
      </c>
      <c r="J281" s="118" t="n">
        <v>118.933328666687</v>
      </c>
      <c r="K281" s="120" t="n">
        <v>0.3405163254114035</v>
      </c>
      <c r="L281" s="120" t="n">
        <v>-0.1038198311677831</v>
      </c>
      <c r="M281" s="120" t="n">
        <v>-0.4000435989522828</v>
      </c>
      <c r="N281" t="n">
        <v>42.21629030618831</v>
      </c>
      <c r="O281" t="n">
        <v>-0.2002554796267568</v>
      </c>
      <c r="P281" t="n">
        <v>89.41820774717965</v>
      </c>
      <c r="Q281" t="n">
        <v>79.53193665674561</v>
      </c>
    </row>
    <row r="282">
      <c r="A282" s="117" t="n">
        <v>44820</v>
      </c>
      <c r="B282" s="118" t="n">
        <v>96.87331561615864</v>
      </c>
      <c r="C282" s="118" t="n">
        <v>98.0089508967567</v>
      </c>
      <c r="D282" s="118" t="n">
        <v>96.11002081962938</v>
      </c>
      <c r="E282" s="118" t="n">
        <v>96.91986083984375</v>
      </c>
      <c r="F282" s="119" t="n">
        <v>8000800</v>
      </c>
      <c r="G282" s="120" t="n">
        <v>-0.01308055849931766</v>
      </c>
      <c r="H282" s="121" t="n">
        <v>60.92515644363611</v>
      </c>
      <c r="I282" s="118" t="n">
        <v>102.1091554260254</v>
      </c>
      <c r="J282" s="118" t="n">
        <v>118.6376279067993</v>
      </c>
      <c r="K282" s="120" t="n">
        <v>0.3415187610037481</v>
      </c>
      <c r="L282" s="120" t="n">
        <v>-0.1155423682921214</v>
      </c>
      <c r="M282" s="120" t="n">
        <v>-0.4078913637532275</v>
      </c>
      <c r="N282" t="n">
        <v>39.88934123919107</v>
      </c>
      <c r="O282" t="n">
        <v>-0.3340518102603556</v>
      </c>
      <c r="P282" t="n">
        <v>88.73603467847155</v>
      </c>
      <c r="Q282" t="n">
        <v>79.04561344511399</v>
      </c>
    </row>
    <row r="283">
      <c r="A283" s="117" t="n">
        <v>44823</v>
      </c>
      <c r="B283" s="118" t="n">
        <v>96.51960733594508</v>
      </c>
      <c r="C283" s="118" t="n">
        <v>99.94512740623767</v>
      </c>
      <c r="D283" s="118" t="n">
        <v>96.18450157132261</v>
      </c>
      <c r="E283" s="118" t="n">
        <v>99.79618835449219</v>
      </c>
      <c r="F283" s="119" t="n">
        <v>5162300</v>
      </c>
      <c r="G283" s="120" t="n">
        <v>0.02967737974161411</v>
      </c>
      <c r="H283" s="121" t="n">
        <v>62.73325544723114</v>
      </c>
      <c r="I283" s="118" t="n">
        <v>102.1015060424805</v>
      </c>
      <c r="J283" s="118" t="n">
        <v>118.3680199050903</v>
      </c>
      <c r="K283" s="120" t="n">
        <v>0.3543898994823299</v>
      </c>
      <c r="L283" s="120" t="n">
        <v>-0.08929398329055804</v>
      </c>
      <c r="M283" s="120" t="n">
        <v>-0.3903191309070427</v>
      </c>
      <c r="N283" t="n">
        <v>46.94157669854466</v>
      </c>
      <c r="O283" t="n">
        <v>-0.2087171108771089</v>
      </c>
      <c r="P283" t="n">
        <v>89.42418486014996</v>
      </c>
      <c r="Q283" t="n">
        <v>79.66117059323901</v>
      </c>
    </row>
    <row r="284">
      <c r="A284" s="117" t="n">
        <v>44824</v>
      </c>
      <c r="B284" s="118" t="n">
        <v>96.64061350750752</v>
      </c>
      <c r="C284" s="118" t="n">
        <v>97.21774167146584</v>
      </c>
      <c r="D284" s="118" t="n">
        <v>94.67652417900645</v>
      </c>
      <c r="E284" s="118" t="n">
        <v>95.33742523193359</v>
      </c>
      <c r="F284" s="119" t="n">
        <v>10006600</v>
      </c>
      <c r="G284" s="120" t="n">
        <v>-0.04467869160213156</v>
      </c>
      <c r="H284" s="121" t="n">
        <v>59.93041567390656</v>
      </c>
      <c r="I284" s="118" t="n">
        <v>102.0570310974121</v>
      </c>
      <c r="J284" s="118" t="n">
        <v>118.0609030151367</v>
      </c>
      <c r="K284" s="120" t="n">
        <v>0.3773056531576952</v>
      </c>
      <c r="L284" s="120" t="n">
        <v>-0.1299831365513249</v>
      </c>
      <c r="M284" s="120" t="n">
        <v>-0.4175588744329666</v>
      </c>
      <c r="N284" t="n">
        <v>39.25354820395958</v>
      </c>
      <c r="O284" t="n">
        <v>-0.3951669939716158</v>
      </c>
      <c r="P284" t="n">
        <v>88.39773008435185</v>
      </c>
      <c r="Q284" t="n">
        <v>79.02617623729152</v>
      </c>
    </row>
    <row r="285">
      <c r="A285" s="117" t="n">
        <v>44825</v>
      </c>
      <c r="B285" s="118" t="n">
        <v>95.57014428849087</v>
      </c>
      <c r="C285" s="118" t="n">
        <v>96.4637573464058</v>
      </c>
      <c r="D285" s="118" t="n">
        <v>92.87068418127406</v>
      </c>
      <c r="E285" s="118" t="n">
        <v>92.88930511474609</v>
      </c>
      <c r="F285" s="119" t="n">
        <v>6279300</v>
      </c>
      <c r="G285" s="120" t="n">
        <v>-0.02567847947678259</v>
      </c>
      <c r="H285" s="121" t="n">
        <v>58.3914937249891</v>
      </c>
      <c r="I285" s="118" t="n">
        <v>101.9886547851563</v>
      </c>
      <c r="J285" s="118" t="n">
        <v>117.7390282058716</v>
      </c>
      <c r="K285" s="120" t="n">
        <v>0.3845931593954739</v>
      </c>
      <c r="L285" s="120" t="n">
        <v>-0.1523238467238465</v>
      </c>
      <c r="M285" s="120" t="n">
        <v>-0.4325150769222738</v>
      </c>
      <c r="N285" t="n">
        <v>35.78781228257363</v>
      </c>
      <c r="O285" t="n">
        <v>-0.6380481972389602</v>
      </c>
      <c r="P285" t="n">
        <v>86.85573086698469</v>
      </c>
      <c r="Q285" t="n">
        <v>77.61113896398918</v>
      </c>
    </row>
    <row r="286">
      <c r="A286" s="117" t="n">
        <v>44826</v>
      </c>
      <c r="B286" s="118" t="n">
        <v>92.88929558032444</v>
      </c>
      <c r="C286" s="118" t="n">
        <v>93.28024992144508</v>
      </c>
      <c r="D286" s="118" t="n">
        <v>91.06483488662366</v>
      </c>
      <c r="E286" s="118" t="n">
        <v>91.73504638671875</v>
      </c>
      <c r="F286" s="119" t="n">
        <v>9638800</v>
      </c>
      <c r="G286" s="120" t="n">
        <v>-0.01242617464520257</v>
      </c>
      <c r="H286" s="121" t="n">
        <v>57.66591082616813</v>
      </c>
      <c r="I286" s="118" t="n">
        <v>101.8721322631836</v>
      </c>
      <c r="J286" s="118" t="n">
        <v>117.417525138855</v>
      </c>
      <c r="K286" s="120" t="n">
        <v>0.3830815904505521</v>
      </c>
      <c r="L286" s="120" t="n">
        <v>-0.1628572186470295</v>
      </c>
      <c r="M286" s="120" t="n">
        <v>-0.439566743684957</v>
      </c>
      <c r="N286" t="n">
        <v>34.2522725206001</v>
      </c>
      <c r="O286" t="n">
        <v>-0.8195417726513949</v>
      </c>
      <c r="P286" t="n">
        <v>86.12617626447118</v>
      </c>
      <c r="Q286" t="n">
        <v>76.65593049288663</v>
      </c>
    </row>
    <row r="287">
      <c r="A287" s="117" t="n">
        <v>44827</v>
      </c>
      <c r="B287" s="118" t="n">
        <v>90.21777631100389</v>
      </c>
      <c r="C287" s="118" t="n">
        <v>90.79490456275894</v>
      </c>
      <c r="D287" s="118" t="n">
        <v>88.74703493194822</v>
      </c>
      <c r="E287" s="118" t="n">
        <v>90.31085968017578</v>
      </c>
      <c r="F287" s="119" t="n">
        <v>9026500</v>
      </c>
      <c r="G287" s="120" t="n">
        <v>-0.01552500121424871</v>
      </c>
      <c r="H287" s="121" t="n">
        <v>56.77064749057111</v>
      </c>
      <c r="I287" s="118" t="n">
        <v>101.762211151123</v>
      </c>
      <c r="J287" s="118" t="n">
        <v>117.0779083251953</v>
      </c>
      <c r="K287" s="120" t="n">
        <v>0.3754759224496252</v>
      </c>
      <c r="L287" s="120" t="n">
        <v>-0.1758538613440339</v>
      </c>
      <c r="M287" s="120" t="n">
        <v>-0.4482674706697534</v>
      </c>
      <c r="N287" t="n">
        <v>32.4047769879454</v>
      </c>
      <c r="O287" t="n">
        <v>-0.968402850585099</v>
      </c>
      <c r="P287" t="n">
        <v>84.6831388520977</v>
      </c>
      <c r="Q287" t="n">
        <v>75.4078225235118</v>
      </c>
    </row>
    <row r="288">
      <c r="A288" s="117" t="n">
        <v>44830</v>
      </c>
      <c r="B288" s="118" t="n">
        <v>89.44516825728</v>
      </c>
      <c r="C288" s="118" t="n">
        <v>90.97176529497366</v>
      </c>
      <c r="D288" s="118" t="n">
        <v>89.09144862397129</v>
      </c>
      <c r="E288" s="118" t="n">
        <v>89.41724395751953</v>
      </c>
      <c r="F288" s="119" t="n">
        <v>8521600</v>
      </c>
      <c r="G288" s="120" t="n">
        <v>-0.00989488668163363</v>
      </c>
      <c r="H288" s="121" t="n">
        <v>56.20890836680894</v>
      </c>
      <c r="I288" s="118" t="n">
        <v>101.6069436645508</v>
      </c>
      <c r="J288" s="118" t="n">
        <v>116.7386268234253</v>
      </c>
      <c r="K288" s="120" t="n">
        <v>0.3504146749983345</v>
      </c>
      <c r="L288" s="120" t="n">
        <v>-0.1840086939951406</v>
      </c>
      <c r="M288" s="120" t="n">
        <v>-0.4537268015260473</v>
      </c>
      <c r="N288" t="n">
        <v>31.26525037053347</v>
      </c>
      <c r="O288" t="n">
        <v>-1.052939980943784</v>
      </c>
      <c r="P288" t="n">
        <v>83.84537636736607</v>
      </c>
      <c r="Q288" t="n">
        <v>75.09581902669403</v>
      </c>
    </row>
    <row r="289">
      <c r="A289" s="117" t="n">
        <v>44831</v>
      </c>
      <c r="B289" s="118" t="n">
        <v>90.35739251992479</v>
      </c>
      <c r="C289" s="118" t="n">
        <v>90.98105881980477</v>
      </c>
      <c r="D289" s="118" t="n">
        <v>88.43053792499963</v>
      </c>
      <c r="E289" s="118" t="n">
        <v>89.63133239746094</v>
      </c>
      <c r="F289" s="119" t="n">
        <v>9890300</v>
      </c>
      <c r="G289" s="120" t="n">
        <v>0.002394263460447466</v>
      </c>
      <c r="H289" s="121" t="n">
        <v>56.34348730226323</v>
      </c>
      <c r="I289" s="118" t="n">
        <v>101.4700665283203</v>
      </c>
      <c r="J289" s="118" t="n">
        <v>116.4103465652466</v>
      </c>
      <c r="K289" s="120" t="n">
        <v>0.3515168163390258</v>
      </c>
      <c r="L289" s="120" t="n">
        <v>-0.1820549958271305</v>
      </c>
      <c r="M289" s="120" t="n">
        <v>-0.4524188795675192</v>
      </c>
      <c r="N289" t="n">
        <v>31.88326162091043</v>
      </c>
      <c r="O289" t="n">
        <v>-1.019637575997473</v>
      </c>
      <c r="P289" t="n">
        <v>83.6313662064216</v>
      </c>
      <c r="Q289" t="n">
        <v>75.12592747520671</v>
      </c>
    </row>
    <row r="290">
      <c r="A290" s="117" t="n">
        <v>44832</v>
      </c>
      <c r="B290" s="118" t="n">
        <v>90.39462739257075</v>
      </c>
      <c r="C290" s="118" t="n">
        <v>92.55419393202517</v>
      </c>
      <c r="D290" s="118" t="n">
        <v>90.06883209386521</v>
      </c>
      <c r="E290" s="118" t="n">
        <v>91.87467193603516</v>
      </c>
      <c r="F290" s="119" t="n">
        <v>9423300</v>
      </c>
      <c r="G290" s="120" t="n">
        <v>0.02502851936448258</v>
      </c>
      <c r="H290" s="121" t="n">
        <v>57.7536813652704</v>
      </c>
      <c r="I290" s="118" t="n">
        <v>101.2805967712402</v>
      </c>
      <c r="J290" s="118" t="n">
        <v>116.0888489532471</v>
      </c>
      <c r="K290" s="120" t="n">
        <v>0.3674059383091181</v>
      </c>
      <c r="L290" s="120" t="n">
        <v>-0.161583043451108</v>
      </c>
      <c r="M290" s="120" t="n">
        <v>-0.43871373489115</v>
      </c>
      <c r="N290" t="n">
        <v>38.15792662622795</v>
      </c>
      <c r="O290" t="n">
        <v>-0.7823953756487363</v>
      </c>
      <c r="P290" t="n">
        <v>85.27690230290786</v>
      </c>
      <c r="Q290" t="n">
        <v>76.62032836321798</v>
      </c>
    </row>
    <row r="291">
      <c r="A291" s="117" t="n">
        <v>44833</v>
      </c>
      <c r="B291" s="118" t="n">
        <v>91.32547225327136</v>
      </c>
      <c r="C291" s="118" t="n">
        <v>91.32547225327136</v>
      </c>
      <c r="D291" s="118" t="n">
        <v>87.94649751691307</v>
      </c>
      <c r="E291" s="118" t="n">
        <v>88.73771667480469</v>
      </c>
      <c r="F291" s="119" t="n">
        <v>19339200</v>
      </c>
      <c r="G291" s="120" t="n">
        <v>-0.03414385265412945</v>
      </c>
      <c r="H291" s="121" t="n">
        <v>55.78174817850107</v>
      </c>
      <c r="I291" s="118" t="n">
        <v>100.9927458190918</v>
      </c>
      <c r="J291" s="118" t="n">
        <v>115.7619205474853</v>
      </c>
      <c r="K291" s="120" t="n">
        <v>0.3816246831791774</v>
      </c>
      <c r="L291" s="120" t="n">
        <v>-0.190209828478237</v>
      </c>
      <c r="M291" s="120" t="n">
        <v>-0.4578782104238132</v>
      </c>
      <c r="N291" t="n">
        <v>33.50953134782685</v>
      </c>
      <c r="O291" t="n">
        <v>-0.7713388981290135</v>
      </c>
      <c r="P291" t="n">
        <v>83.49557505471827</v>
      </c>
      <c r="Q291" t="n">
        <v>74.41156950455031</v>
      </c>
    </row>
    <row r="292">
      <c r="A292" s="117" t="n">
        <v>44834</v>
      </c>
      <c r="B292" s="118" t="n">
        <v>77.53961555166708</v>
      </c>
      <c r="C292" s="118" t="n">
        <v>80.23906817588681</v>
      </c>
      <c r="D292" s="118" t="n">
        <v>76.79493455765898</v>
      </c>
      <c r="E292" s="118" t="n">
        <v>77.37206268310547</v>
      </c>
      <c r="F292" s="119" t="n">
        <v>48176100</v>
      </c>
      <c r="G292" s="120" t="n">
        <v>-0.1280814338884863</v>
      </c>
      <c r="H292" s="121" t="n">
        <v>48.6371418869922</v>
      </c>
      <c r="I292" s="118" t="n">
        <v>100.468113861084</v>
      </c>
      <c r="J292" s="118" t="n">
        <v>115.3848151016235</v>
      </c>
      <c r="K292" s="120" t="n">
        <v>0.578757310916296</v>
      </c>
      <c r="L292" s="120" t="n">
        <v>-0.2939289147955476</v>
      </c>
      <c r="M292" s="120" t="n">
        <v>-0.5273139465749234</v>
      </c>
      <c r="N292" t="n">
        <v>22.71334841526944</v>
      </c>
      <c r="O292" t="n">
        <v>-1.426009140417679</v>
      </c>
      <c r="P292" t="n">
        <v>82.20444486161252</v>
      </c>
      <c r="Q292" t="n">
        <v>73.14978286716504</v>
      </c>
    </row>
    <row r="293">
      <c r="A293" s="117" t="n">
        <v>44837</v>
      </c>
      <c r="B293" s="118" t="n">
        <v>77.38137906145882</v>
      </c>
      <c r="C293" s="118" t="n">
        <v>80.49041456727488</v>
      </c>
      <c r="D293" s="118" t="n">
        <v>76.53431121256585</v>
      </c>
      <c r="E293" s="118" t="n">
        <v>79.49440765380859</v>
      </c>
      <c r="F293" s="119" t="n">
        <v>19108200</v>
      </c>
      <c r="G293" s="120" t="n">
        <v>0.02743037857728647</v>
      </c>
      <c r="H293" s="121" t="n">
        <v>49.97127710186959</v>
      </c>
      <c r="I293" s="118" t="n">
        <v>100.0323385620117</v>
      </c>
      <c r="J293" s="118" t="n">
        <v>115.0252495574951</v>
      </c>
      <c r="K293" s="120" t="n">
        <v>0.5947207245961599</v>
      </c>
      <c r="L293" s="120" t="n">
        <v>-0.2745611176259141</v>
      </c>
      <c r="M293" s="120" t="n">
        <v>-0.51434798918127</v>
      </c>
      <c r="N293" t="n">
        <v>27.41606309611835</v>
      </c>
      <c r="O293" t="n">
        <v>-1.599602350881812</v>
      </c>
      <c r="P293" t="n">
        <v>84.37471982282955</v>
      </c>
      <c r="Q293" t="n">
        <v>74.86590462559413</v>
      </c>
    </row>
    <row r="294">
      <c r="A294" s="117" t="n">
        <v>44838</v>
      </c>
      <c r="B294" s="118" t="n">
        <v>81.6353311888745</v>
      </c>
      <c r="C294" s="118" t="n">
        <v>82.91059494986297</v>
      </c>
      <c r="D294" s="118" t="n">
        <v>81.0861345170394</v>
      </c>
      <c r="E294" s="118" t="n">
        <v>82.51033020019531</v>
      </c>
      <c r="F294" s="119" t="n">
        <v>15114800</v>
      </c>
      <c r="G294" s="120" t="n">
        <v>0.03793880142513673</v>
      </c>
      <c r="H294" s="121" t="n">
        <v>51.8671274607979</v>
      </c>
      <c r="I294" s="118" t="n">
        <v>99.6539112854004</v>
      </c>
      <c r="J294" s="118" t="n">
        <v>114.6862139892578</v>
      </c>
      <c r="K294" s="120" t="n">
        <v>0.618521402398918</v>
      </c>
      <c r="L294" s="120" t="n">
        <v>-0.2470388359214504</v>
      </c>
      <c r="M294" s="120" t="n">
        <v>-0.4959229339810999</v>
      </c>
      <c r="N294" t="n">
        <v>33.59916715846477</v>
      </c>
      <c r="O294" t="n">
        <v>-1.401893904223563</v>
      </c>
      <c r="P294" t="n">
        <v>86.98921972332168</v>
      </c>
      <c r="Q294" t="n">
        <v>77.21974622097963</v>
      </c>
    </row>
    <row r="295">
      <c r="A295" s="117" t="n">
        <v>44839</v>
      </c>
      <c r="B295" s="118" t="n">
        <v>81.43987085603358</v>
      </c>
      <c r="C295" s="118" t="n">
        <v>85.3587391851578</v>
      </c>
      <c r="D295" s="118" t="n">
        <v>81.12338601747578</v>
      </c>
      <c r="E295" s="118" t="n">
        <v>84.80023193359375</v>
      </c>
      <c r="F295" s="119" t="n">
        <v>12732700</v>
      </c>
      <c r="G295" s="120" t="n">
        <v>0.02775290957923016</v>
      </c>
      <c r="H295" s="121" t="n">
        <v>53.30659115935183</v>
      </c>
      <c r="I295" s="118" t="n">
        <v>99.39702209472657</v>
      </c>
      <c r="J295" s="118" t="n">
        <v>114.3649095153809</v>
      </c>
      <c r="K295" s="120" t="n">
        <v>0.6153595855618951</v>
      </c>
      <c r="L295" s="120" t="n">
        <v>-0.2261419728181066</v>
      </c>
      <c r="M295" s="120" t="n">
        <v>-0.4819333287469137</v>
      </c>
      <c r="N295" t="n">
        <v>37.92308568165951</v>
      </c>
      <c r="O295" t="n">
        <v>-1.024962728047222</v>
      </c>
      <c r="P295" t="n">
        <v>86.78669152260167</v>
      </c>
      <c r="Q295" t="n">
        <v>77.17869312929308</v>
      </c>
    </row>
    <row r="296">
      <c r="A296" s="117" t="n">
        <v>44840</v>
      </c>
      <c r="B296" s="118" t="n">
        <v>84.23241079043041</v>
      </c>
      <c r="C296" s="118" t="n">
        <v>86.23373487047432</v>
      </c>
      <c r="D296" s="118" t="n">
        <v>83.59943403724918</v>
      </c>
      <c r="E296" s="118" t="n">
        <v>83.93453979492188</v>
      </c>
      <c r="F296" s="119" t="n">
        <v>9951900</v>
      </c>
      <c r="G296" s="120" t="n">
        <v>-0.01020860578954297</v>
      </c>
      <c r="H296" s="121" t="n">
        <v>52.76240518422167</v>
      </c>
      <c r="I296" s="118" t="n">
        <v>99.07343948364257</v>
      </c>
      <c r="J296" s="118" t="n">
        <v>114.0595076751709</v>
      </c>
      <c r="K296" s="120" t="n">
        <v>0.6141978689346149</v>
      </c>
      <c r="L296" s="120" t="n">
        <v>-0.2340419843546799</v>
      </c>
      <c r="M296" s="120" t="n">
        <v>-0.4872220671664372</v>
      </c>
      <c r="N296" t="n">
        <v>36.94365183246588</v>
      </c>
      <c r="O296" t="n">
        <v>-0.7545041037215876</v>
      </c>
      <c r="P296" t="n">
        <v>85.89141592862238</v>
      </c>
      <c r="Q296" t="n">
        <v>76.57109028467694</v>
      </c>
    </row>
    <row r="297">
      <c r="A297" s="117" t="n">
        <v>44841</v>
      </c>
      <c r="B297" s="118" t="n">
        <v>82.41725772261032</v>
      </c>
      <c r="C297" s="118" t="n">
        <v>82.62204535665697</v>
      </c>
      <c r="D297" s="118" t="n">
        <v>80.6951908663705</v>
      </c>
      <c r="E297" s="118" t="n">
        <v>81.1326904296875</v>
      </c>
      <c r="F297" s="119" t="n">
        <v>8554700</v>
      </c>
      <c r="G297" s="120" t="n">
        <v>-0.03338136328715402</v>
      </c>
      <c r="H297" s="121" t="n">
        <v>51.00112416886316</v>
      </c>
      <c r="I297" s="118" t="n">
        <v>98.61269668579102</v>
      </c>
      <c r="J297" s="118" t="n">
        <v>113.6955239868164</v>
      </c>
      <c r="K297" s="120" t="n">
        <v>0.6100716959101915</v>
      </c>
      <c r="L297" s="120" t="n">
        <v>-0.2596107071376439</v>
      </c>
      <c r="M297" s="120" t="n">
        <v>-0.5043392936279902</v>
      </c>
      <c r="N297" t="n">
        <v>33.89264682515388</v>
      </c>
      <c r="O297" t="n">
        <v>-0.6867996636887375</v>
      </c>
      <c r="P297" t="n">
        <v>83.49557505471829</v>
      </c>
      <c r="Q297" t="n">
        <v>73.65340732971556</v>
      </c>
    </row>
    <row r="298">
      <c r="A298" s="117" t="n">
        <v>44844</v>
      </c>
      <c r="B298" s="118" t="n">
        <v>81.69118947393977</v>
      </c>
      <c r="C298" s="118" t="n">
        <v>81.70980330162683</v>
      </c>
      <c r="D298" s="118" t="n">
        <v>79.18720709270464</v>
      </c>
      <c r="E298" s="118" t="n">
        <v>80.69518280029297</v>
      </c>
      <c r="F298" s="119" t="n">
        <v>7991200</v>
      </c>
      <c r="G298" s="120" t="n">
        <v>-0.005392495023614274</v>
      </c>
      <c r="H298" s="121" t="n">
        <v>50.72610086058382</v>
      </c>
      <c r="I298" s="118" t="n">
        <v>98.09326766967773</v>
      </c>
      <c r="J298" s="118" t="n">
        <v>113.334849281311</v>
      </c>
      <c r="K298" s="120" t="n">
        <v>0.6039911992861027</v>
      </c>
      <c r="L298" s="120" t="n">
        <v>-0.2636032527149416</v>
      </c>
      <c r="M298" s="120" t="n">
        <v>-0.5070121415205024</v>
      </c>
      <c r="N298" t="n">
        <v>33.42840497960701</v>
      </c>
      <c r="O298" t="n">
        <v>-0.5972746755853953</v>
      </c>
      <c r="P298" t="n">
        <v>82.85805323364399</v>
      </c>
      <c r="Q298" t="n">
        <v>72.91716007271141</v>
      </c>
    </row>
    <row r="299">
      <c r="A299" s="117" t="n">
        <v>44845</v>
      </c>
      <c r="B299" s="118" t="n">
        <v>80.09013102708386</v>
      </c>
      <c r="C299" s="118" t="n">
        <v>82.14730343947056</v>
      </c>
      <c r="D299" s="118" t="n">
        <v>79.82018436186517</v>
      </c>
      <c r="E299" s="118" t="n">
        <v>81.90528106689453</v>
      </c>
      <c r="F299" s="119" t="n">
        <v>11903200</v>
      </c>
      <c r="G299" s="120" t="n">
        <v>0.01499591703753067</v>
      </c>
      <c r="H299" s="121" t="n">
        <v>51.48678526072656</v>
      </c>
      <c r="I299" s="118" t="n">
        <v>97.60955032348633</v>
      </c>
      <c r="J299" s="118" t="n">
        <v>112.9791625976563</v>
      </c>
      <c r="K299" s="120" t="n">
        <v>0.5844025928499663</v>
      </c>
      <c r="L299" s="120" t="n">
        <v>-0.2525603081859472</v>
      </c>
      <c r="M299" s="120" t="n">
        <v>-0.4996193364942341</v>
      </c>
      <c r="N299" t="n">
        <v>36.03804277696919</v>
      </c>
      <c r="O299" t="n">
        <v>-0.3922583695185491</v>
      </c>
      <c r="P299" t="n">
        <v>82.3333069897614</v>
      </c>
      <c r="Q299" t="n">
        <v>71.91538774111112</v>
      </c>
    </row>
    <row r="300">
      <c r="A300" s="117" t="n">
        <v>44846</v>
      </c>
      <c r="B300" s="118" t="n">
        <v>81.91460129540236</v>
      </c>
      <c r="C300" s="118" t="n">
        <v>82.73374475170671</v>
      </c>
      <c r="D300" s="118" t="n">
        <v>81.27231408084955</v>
      </c>
      <c r="E300" s="118" t="n">
        <v>82.38933563232422</v>
      </c>
      <c r="F300" s="119" t="n">
        <v>8772900</v>
      </c>
      <c r="G300" s="120" t="n">
        <v>0.005909931070676055</v>
      </c>
      <c r="H300" s="121" t="n">
        <v>51.79106861266815</v>
      </c>
      <c r="I300" s="118" t="n">
        <v>97.18247970581055</v>
      </c>
      <c r="J300" s="118" t="n">
        <v>112.6170742416382</v>
      </c>
      <c r="K300" s="120" t="n">
        <v>0.5819186317729483</v>
      </c>
      <c r="L300" s="120" t="n">
        <v>-0.2481429911278389</v>
      </c>
      <c r="M300" s="120" t="n">
        <v>-0.4966621212638159</v>
      </c>
      <c r="N300" t="n">
        <v>37.10022427794738</v>
      </c>
      <c r="O300" t="n">
        <v>-0.1710420129966952</v>
      </c>
      <c r="P300" t="n">
        <v>82.06173206550655</v>
      </c>
      <c r="Q300" t="n">
        <v>71.89075588609919</v>
      </c>
    </row>
    <row r="301">
      <c r="A301" s="117" t="n">
        <v>44847</v>
      </c>
      <c r="B301" s="118" t="n">
        <v>80.41594380712775</v>
      </c>
      <c r="C301" s="118" t="n">
        <v>83.59944169481659</v>
      </c>
      <c r="D301" s="118" t="n">
        <v>80.09945895245002</v>
      </c>
      <c r="E301" s="118" t="n">
        <v>83.36672973632812</v>
      </c>
      <c r="F301" s="119" t="n">
        <v>9335000</v>
      </c>
      <c r="G301" s="120" t="n">
        <v>0.01186311427932485</v>
      </c>
      <c r="H301" s="121" t="n">
        <v>52.40547197826858</v>
      </c>
      <c r="I301" s="118" t="n">
        <v>96.72836242675781</v>
      </c>
      <c r="J301" s="118" t="n">
        <v>112.2652305984497</v>
      </c>
      <c r="K301" s="120" t="n">
        <v>0.586059325714018</v>
      </c>
      <c r="L301" s="120" t="n">
        <v>-0.2392236255098772</v>
      </c>
      <c r="M301" s="120" t="n">
        <v>-0.4906909664872556</v>
      </c>
      <c r="N301" t="n">
        <v>39.29242322236568</v>
      </c>
      <c r="O301" t="n">
        <v>0.08060531051819364</v>
      </c>
      <c r="P301" t="n">
        <v>84.2274171942945</v>
      </c>
      <c r="Q301" t="n">
        <v>73.57675210836038</v>
      </c>
    </row>
    <row r="302">
      <c r="A302" s="117" t="n">
        <v>44848</v>
      </c>
      <c r="B302" s="118" t="n">
        <v>84.25103616836603</v>
      </c>
      <c r="C302" s="118" t="n">
        <v>84.59544530840078</v>
      </c>
      <c r="D302" s="118" t="n">
        <v>81.43987184196638</v>
      </c>
      <c r="E302" s="118" t="n">
        <v>81.4957275390625</v>
      </c>
      <c r="F302" s="119" t="n">
        <v>7811700</v>
      </c>
      <c r="G302" s="120" t="n">
        <v>-0.02244303216862675</v>
      </c>
      <c r="H302" s="121" t="n">
        <v>51.22933428484823</v>
      </c>
      <c r="I302" s="118" t="n">
        <v>96.23311218261719</v>
      </c>
      <c r="J302" s="118" t="n">
        <v>111.8931315231323</v>
      </c>
      <c r="K302" s="120" t="n">
        <v>0.5881854681786607</v>
      </c>
      <c r="L302" s="120" t="n">
        <v>-0.2562977541556902</v>
      </c>
      <c r="M302" s="120" t="n">
        <v>-0.5021214055101544</v>
      </c>
      <c r="N302" t="n">
        <v>36.65854689255605</v>
      </c>
      <c r="O302" t="n">
        <v>0.1561726926910403</v>
      </c>
      <c r="P302" t="n">
        <v>82.30800387818707</v>
      </c>
      <c r="Q302" t="n">
        <v>71.36525495294234</v>
      </c>
    </row>
    <row r="303">
      <c r="A303" s="117" t="n">
        <v>44851</v>
      </c>
      <c r="B303" s="118" t="n">
        <v>83.33879964790137</v>
      </c>
      <c r="C303" s="118" t="n">
        <v>84.41858646913965</v>
      </c>
      <c r="D303" s="118" t="n">
        <v>82.56619429496068</v>
      </c>
      <c r="E303" s="118" t="n">
        <v>83.74837493896484</v>
      </c>
      <c r="F303" s="119" t="n">
        <v>8451900</v>
      </c>
      <c r="G303" s="120" t="n">
        <v>0.02764129443255303</v>
      </c>
      <c r="H303" s="121" t="n">
        <v>52.6453793973994</v>
      </c>
      <c r="I303" s="118" t="n">
        <v>95.79423904418945</v>
      </c>
      <c r="J303" s="118" t="n">
        <v>111.5382539367676</v>
      </c>
      <c r="K303" s="120" t="n">
        <v>0.586500214625119</v>
      </c>
      <c r="L303" s="120" t="n">
        <v>-0.2357408614081568</v>
      </c>
      <c r="M303" s="120" t="n">
        <v>-0.4883593966881948</v>
      </c>
      <c r="N303" t="n">
        <v>41.72358800886033</v>
      </c>
      <c r="O303" t="n">
        <v>0.3802209463601089</v>
      </c>
      <c r="P303" t="n">
        <v>84.42306802552277</v>
      </c>
      <c r="Q303" t="n">
        <v>73.721817757423</v>
      </c>
    </row>
    <row r="304">
      <c r="A304" s="117" t="n">
        <v>44852</v>
      </c>
      <c r="B304" s="118" t="n">
        <v>86.1964977186524</v>
      </c>
      <c r="C304" s="118" t="n">
        <v>86.48506534197337</v>
      </c>
      <c r="D304" s="118" t="n">
        <v>82.98507591542609</v>
      </c>
      <c r="E304" s="118" t="n">
        <v>83.47842407226562</v>
      </c>
      <c r="F304" s="119" t="n">
        <v>7364700</v>
      </c>
      <c r="G304" s="120" t="n">
        <v>-0.003223356475823613</v>
      </c>
      <c r="H304" s="121" t="n">
        <v>52.47568457279661</v>
      </c>
      <c r="I304" s="118" t="n">
        <v>95.34755340576172</v>
      </c>
      <c r="J304" s="118" t="n">
        <v>111.1858142089844</v>
      </c>
      <c r="K304" s="120" t="n">
        <v>0.5703960013825619</v>
      </c>
      <c r="L304" s="120" t="n">
        <v>-0.238204341051744</v>
      </c>
      <c r="M304" s="120" t="n">
        <v>-0.4900085967401743</v>
      </c>
      <c r="N304" t="n">
        <v>41.29740716034033</v>
      </c>
      <c r="O304" t="n">
        <v>0.5237362254784763</v>
      </c>
      <c r="P304" t="n">
        <v>85.41499574997758</v>
      </c>
      <c r="Q304" t="n">
        <v>74.30482292233766</v>
      </c>
    </row>
    <row r="305">
      <c r="A305" s="117" t="n">
        <v>44853</v>
      </c>
      <c r="B305" s="118" t="n">
        <v>82.15662227783652</v>
      </c>
      <c r="C305" s="118" t="n">
        <v>83.53427293518139</v>
      </c>
      <c r="D305" s="118" t="n">
        <v>81.6911984148786</v>
      </c>
      <c r="E305" s="118" t="n">
        <v>82.44518280029297</v>
      </c>
      <c r="F305" s="119" t="n">
        <v>5102000</v>
      </c>
      <c r="G305" s="120" t="n">
        <v>-0.01237734520572886</v>
      </c>
      <c r="H305" s="121" t="n">
        <v>51.82617490993216</v>
      </c>
      <c r="I305" s="118" t="n">
        <v>94.95241561889648</v>
      </c>
      <c r="J305" s="118" t="n">
        <v>110.8374460220337</v>
      </c>
      <c r="K305" s="120" t="n">
        <v>0.5662400695351092</v>
      </c>
      <c r="L305" s="120" t="n">
        <v>-0.2476333488987723</v>
      </c>
      <c r="M305" s="120" t="n">
        <v>-0.4963209363902752</v>
      </c>
      <c r="N305" t="n">
        <v>39.62890764335475</v>
      </c>
      <c r="O305" t="n">
        <v>0.5593465769744999</v>
      </c>
      <c r="P305" t="n">
        <v>84.80971344318388</v>
      </c>
      <c r="Q305" t="n">
        <v>74.03382979806837</v>
      </c>
    </row>
    <row r="306">
      <c r="A306" s="117" t="n">
        <v>44854</v>
      </c>
      <c r="B306" s="118" t="n">
        <v>83.28294549645024</v>
      </c>
      <c r="C306" s="118" t="n">
        <v>84.31618701954909</v>
      </c>
      <c r="D306" s="118" t="n">
        <v>80.62072048581051</v>
      </c>
      <c r="E306" s="118" t="n">
        <v>80.82550811767578</v>
      </c>
      <c r="F306" s="119" t="n">
        <v>13500000</v>
      </c>
      <c r="G306" s="120" t="n">
        <v>-0.01964547384824811</v>
      </c>
      <c r="H306" s="121" t="n">
        <v>50.80802514608435</v>
      </c>
      <c r="I306" s="118" t="n">
        <v>94.46863647460937</v>
      </c>
      <c r="J306" s="118" t="n">
        <v>110.4730350494385</v>
      </c>
      <c r="K306" s="120" t="n">
        <v>0.5680209639815685</v>
      </c>
      <c r="L306" s="120" t="n">
        <v>-0.2624139482672756</v>
      </c>
      <c r="M306" s="120" t="n">
        <v>-0.5062159502623301</v>
      </c>
      <c r="N306" t="n">
        <v>37.09860968175468</v>
      </c>
      <c r="O306" t="n">
        <v>0.4867577825888665</v>
      </c>
      <c r="P306" t="n">
        <v>84.09855506614568</v>
      </c>
      <c r="Q306" t="n">
        <v>73.65614135455213</v>
      </c>
    </row>
    <row r="307">
      <c r="A307" s="117" t="n">
        <v>44855</v>
      </c>
      <c r="B307" s="118" t="n">
        <v>81.00235494088163</v>
      </c>
      <c r="C307" s="118" t="n">
        <v>82.64064870364069</v>
      </c>
      <c r="D307" s="118" t="n">
        <v>80.7137944577663</v>
      </c>
      <c r="E307" s="118" t="n">
        <v>82.38001251220703</v>
      </c>
      <c r="F307" s="119" t="n">
        <v>7976300</v>
      </c>
      <c r="G307" s="120" t="n">
        <v>0.01923284407031511</v>
      </c>
      <c r="H307" s="121" t="n">
        <v>51.78520797123964</v>
      </c>
      <c r="I307" s="118" t="n">
        <v>93.99812637329102</v>
      </c>
      <c r="J307" s="118" t="n">
        <v>110.1355187606812</v>
      </c>
      <c r="K307" s="120" t="n">
        <v>0.5733950835160383</v>
      </c>
      <c r="L307" s="120" t="n">
        <v>-0.2482280707458607</v>
      </c>
      <c r="M307" s="120" t="n">
        <v>-0.4967190786293169</v>
      </c>
      <c r="N307" t="n">
        <v>40.99276839299615</v>
      </c>
      <c r="O307" t="n">
        <v>0.55161635807442</v>
      </c>
      <c r="P307" t="n">
        <v>86.14228495288381</v>
      </c>
      <c r="Q307" t="n">
        <v>75.38320775615507</v>
      </c>
    </row>
    <row r="308">
      <c r="A308" s="117" t="n">
        <v>44858</v>
      </c>
      <c r="B308" s="118" t="n">
        <v>81.71911679777203</v>
      </c>
      <c r="C308" s="118" t="n">
        <v>82.69650257818446</v>
      </c>
      <c r="D308" s="118" t="n">
        <v>80.2763000862723</v>
      </c>
      <c r="E308" s="118" t="n">
        <v>81.92390441894531</v>
      </c>
      <c r="F308" s="119" t="n">
        <v>8847100</v>
      </c>
      <c r="G308" s="120" t="n">
        <v>-0.005536635396773404</v>
      </c>
      <c r="H308" s="121" t="n">
        <v>51.4984921557568</v>
      </c>
      <c r="I308" s="118" t="n">
        <v>93.48192352294922</v>
      </c>
      <c r="J308" s="118" t="n">
        <v>109.8013108444214</v>
      </c>
      <c r="K308" s="120" t="n">
        <v>0.5730023406041381</v>
      </c>
      <c r="L308" s="120" t="n">
        <v>-0.2523903578196699</v>
      </c>
      <c r="M308" s="120" t="n">
        <v>-0.4995055615930984</v>
      </c>
      <c r="N308" t="n">
        <v>40.20625249347378</v>
      </c>
      <c r="O308" t="n">
        <v>0.5696544514223842</v>
      </c>
      <c r="P308" t="n">
        <v>87.19635251477443</v>
      </c>
      <c r="Q308" t="n">
        <v>76.21254001501666</v>
      </c>
    </row>
    <row r="309">
      <c r="A309" s="117" t="n">
        <v>44859</v>
      </c>
      <c r="B309" s="118" t="n">
        <v>81.94252698400213</v>
      </c>
      <c r="C309" s="118" t="n">
        <v>85.57283465983434</v>
      </c>
      <c r="D309" s="118" t="n">
        <v>81.81220886605267</v>
      </c>
      <c r="E309" s="118" t="n">
        <v>85.37735748291016</v>
      </c>
      <c r="F309" s="119" t="n">
        <v>8639900</v>
      </c>
      <c r="G309" s="120" t="n">
        <v>0.04215440033600526</v>
      </c>
      <c r="H309" s="121" t="n">
        <v>53.6693802107912</v>
      </c>
      <c r="I309" s="118" t="n">
        <v>93.03014862060547</v>
      </c>
      <c r="J309" s="118" t="n">
        <v>109.5031688690186</v>
      </c>
      <c r="K309" s="120" t="n">
        <v>0.595559515342439</v>
      </c>
      <c r="L309" s="120" t="n">
        <v>-0.2208753216681425</v>
      </c>
      <c r="M309" s="120" t="n">
        <v>-0.4784075186705499</v>
      </c>
      <c r="N309" t="n">
        <v>48.29535406614011</v>
      </c>
      <c r="O309" t="n">
        <v>0.8056014888525884</v>
      </c>
      <c r="P309" t="n">
        <v>88.58873942908839</v>
      </c>
      <c r="Q309" t="n">
        <v>77.78903854257341</v>
      </c>
    </row>
    <row r="310">
      <c r="A310" s="117" t="n">
        <v>44860</v>
      </c>
      <c r="B310" s="118" t="n">
        <v>84.502356905691</v>
      </c>
      <c r="C310" s="118" t="n">
        <v>87.82548306147196</v>
      </c>
      <c r="D310" s="118" t="n">
        <v>84.42788738187743</v>
      </c>
      <c r="E310" s="118" t="n">
        <v>86.00102233886719</v>
      </c>
      <c r="F310" s="119" t="n">
        <v>8648200</v>
      </c>
      <c r="G310" s="120" t="n">
        <v>0.007304803923942726</v>
      </c>
      <c r="H310" s="121" t="n">
        <v>54.06142450995057</v>
      </c>
      <c r="I310" s="118" t="n">
        <v>92.5585466003418</v>
      </c>
      <c r="J310" s="118" t="n">
        <v>109.2383067321777</v>
      </c>
      <c r="K310" s="120" t="n">
        <v>0.5882784091915799</v>
      </c>
      <c r="L310" s="120" t="n">
        <v>-0.2151839686606233</v>
      </c>
      <c r="M310" s="120" t="n">
        <v>-0.4745973878662354</v>
      </c>
      <c r="N310" t="n">
        <v>49.62084806381829</v>
      </c>
      <c r="O310" t="n">
        <v>0.9833342959663134</v>
      </c>
      <c r="P310" t="n">
        <v>87.92131728485887</v>
      </c>
      <c r="Q310" t="n">
        <v>76.07019130313537</v>
      </c>
    </row>
    <row r="311">
      <c r="A311" s="117" t="n">
        <v>44861</v>
      </c>
      <c r="B311" s="118" t="n">
        <v>86.45712598499615</v>
      </c>
      <c r="C311" s="118" t="n">
        <v>87.01564024874962</v>
      </c>
      <c r="D311" s="118" t="n">
        <v>83.98107496302485</v>
      </c>
      <c r="E311" s="118" t="n">
        <v>84.27894592285156</v>
      </c>
      <c r="F311" s="119" t="n">
        <v>8617900</v>
      </c>
      <c r="G311" s="120" t="n">
        <v>-0.0200239063348594</v>
      </c>
      <c r="H311" s="121" t="n">
        <v>52.97890360923425</v>
      </c>
      <c r="I311" s="118" t="n">
        <v>92.07143814086913</v>
      </c>
      <c r="J311" s="118" t="n">
        <v>108.9654811096191</v>
      </c>
      <c r="K311" s="120" t="n">
        <v>0.5803212454626948</v>
      </c>
      <c r="L311" s="120" t="n">
        <v>-0.230899051362259</v>
      </c>
      <c r="M311" s="120" t="n">
        <v>-0.4851180005596923</v>
      </c>
      <c r="N311" t="n">
        <v>46.10611342245698</v>
      </c>
      <c r="O311" t="n">
        <v>0.963321558209735</v>
      </c>
      <c r="P311" t="n">
        <v>87.4518113714649</v>
      </c>
      <c r="Q311" t="n">
        <v>74.68525393451809</v>
      </c>
    </row>
    <row r="312">
      <c r="A312" s="117" t="n">
        <v>44862</v>
      </c>
      <c r="B312" s="118" t="n">
        <v>84.89332663088899</v>
      </c>
      <c r="C312" s="118" t="n">
        <v>87.38799931610069</v>
      </c>
      <c r="D312" s="118" t="n">
        <v>84.2045011653487</v>
      </c>
      <c r="E312" s="118" t="n">
        <v>87.34146118164062</v>
      </c>
      <c r="F312" s="119" t="n">
        <v>6022400</v>
      </c>
      <c r="G312" s="120" t="n">
        <v>0.03633784482298186</v>
      </c>
      <c r="H312" s="121" t="n">
        <v>54.90404278747832</v>
      </c>
      <c r="I312" s="118" t="n">
        <v>91.66470016479492</v>
      </c>
      <c r="J312" s="118" t="n">
        <v>108.6991457366943</v>
      </c>
      <c r="K312" s="120" t="n">
        <v>0.3564889305071415</v>
      </c>
      <c r="L312" s="120" t="n">
        <v>-0.2029515804374525</v>
      </c>
      <c r="M312" s="120" t="n">
        <v>-0.4664082983618838</v>
      </c>
      <c r="N312" t="n">
        <v>52.5438263081281</v>
      </c>
      <c r="O312" t="n">
        <v>1.123560702995354</v>
      </c>
      <c r="P312" t="n">
        <v>89.53235584660908</v>
      </c>
      <c r="Q312" t="n">
        <v>76.97070218985139</v>
      </c>
    </row>
    <row r="313">
      <c r="A313" s="117" t="n">
        <v>44865</v>
      </c>
      <c r="B313" s="118" t="n">
        <v>86.56882890193766</v>
      </c>
      <c r="C313" s="118" t="n">
        <v>87.39728271790868</v>
      </c>
      <c r="D313" s="118" t="n">
        <v>86.27095794677734</v>
      </c>
      <c r="E313" s="118" t="n">
        <v>86.27095794677734</v>
      </c>
      <c r="F313" s="119" t="n">
        <v>6426400</v>
      </c>
      <c r="G313" s="120" t="n">
        <v>-0.01225652995015736</v>
      </c>
      <c r="H313" s="121" t="n">
        <v>54.23110974266887</v>
      </c>
      <c r="I313" s="118" t="n">
        <v>91.28945846557617</v>
      </c>
      <c r="J313" s="118" t="n">
        <v>108.4395593643189</v>
      </c>
      <c r="K313" s="120" t="n">
        <v>0.3531322919987384</v>
      </c>
      <c r="L313" s="120" t="n">
        <v>-0.2127206282635465</v>
      </c>
      <c r="M313" s="120" t="n">
        <v>-0.4729482810341668</v>
      </c>
      <c r="N313" t="n">
        <v>50.28279828779229</v>
      </c>
      <c r="O313" t="n">
        <v>1.12205782805168</v>
      </c>
      <c r="P313" t="n">
        <v>88.8856248440694</v>
      </c>
      <c r="Q313" t="n">
        <v>76.07568498429134</v>
      </c>
    </row>
    <row r="314">
      <c r="A314" s="117" t="n">
        <v>44866</v>
      </c>
      <c r="B314" s="118" t="n">
        <v>89.07281643225242</v>
      </c>
      <c r="C314" s="118" t="n">
        <v>89.7895660183265</v>
      </c>
      <c r="D314" s="118" t="n">
        <v>86.5409096160148</v>
      </c>
      <c r="E314" s="118" t="n">
        <v>87.28558349609375</v>
      </c>
      <c r="F314" s="119" t="n">
        <v>7250700</v>
      </c>
      <c r="G314" s="120" t="n">
        <v>0.01176091669159796</v>
      </c>
      <c r="H314" s="121" t="n">
        <v>54.86891730644531</v>
      </c>
      <c r="I314" s="118" t="n">
        <v>90.98685897827148</v>
      </c>
      <c r="J314" s="118" t="n">
        <v>108.1915587997436</v>
      </c>
      <c r="K314" s="120" t="n">
        <v>0.3316631037879799</v>
      </c>
      <c r="L314" s="120" t="n">
        <v>-0.2034615011595404</v>
      </c>
      <c r="M314" s="120" t="n">
        <v>-0.4667496696752461</v>
      </c>
      <c r="N314" t="n">
        <v>52.374622445002</v>
      </c>
      <c r="O314" t="n">
        <v>1.14976762279947</v>
      </c>
      <c r="P314" t="n">
        <v>88.49668451019377</v>
      </c>
      <c r="Q314" t="n">
        <v>75.29835046029019</v>
      </c>
    </row>
    <row r="315">
      <c r="A315" s="117" t="n">
        <v>44867</v>
      </c>
      <c r="B315" s="118" t="n">
        <v>86.68983533012843</v>
      </c>
      <c r="C315" s="118" t="n">
        <v>87.90925052799746</v>
      </c>
      <c r="D315" s="118" t="n">
        <v>83.95314818698162</v>
      </c>
      <c r="E315" s="118" t="n">
        <v>84.0555419921875</v>
      </c>
      <c r="F315" s="119" t="n">
        <v>7176600</v>
      </c>
      <c r="G315" s="120" t="n">
        <v>-0.03700544092771973</v>
      </c>
      <c r="H315" s="121" t="n">
        <v>52.83846882829371</v>
      </c>
      <c r="I315" s="118" t="n">
        <v>90.61334686279297</v>
      </c>
      <c r="J315" s="118" t="n">
        <v>107.9330894088745</v>
      </c>
      <c r="K315" s="120" t="n">
        <v>0.3469289953524834</v>
      </c>
      <c r="L315" s="120" t="n">
        <v>-0.2329377595250357</v>
      </c>
      <c r="M315" s="120" t="n">
        <v>-0.4864828332737658</v>
      </c>
      <c r="N315" t="n">
        <v>45.77214728349936</v>
      </c>
      <c r="O315" t="n">
        <v>0.9208294717305507</v>
      </c>
      <c r="P315" t="n">
        <v>86.27575167176539</v>
      </c>
      <c r="Q315" t="n">
        <v>72.71732848864134</v>
      </c>
    </row>
    <row r="316">
      <c r="A316" s="117" t="n">
        <v>44868</v>
      </c>
      <c r="B316" s="118" t="n">
        <v>83.74835587173294</v>
      </c>
      <c r="C316" s="118" t="n">
        <v>85.2749452976548</v>
      </c>
      <c r="D316" s="118" t="n">
        <v>82.5847964250362</v>
      </c>
      <c r="E316" s="118" t="n">
        <v>84.14862060546875</v>
      </c>
      <c r="F316" s="119" t="n">
        <v>6550300</v>
      </c>
      <c r="G316" s="120" t="n">
        <v>0.001107346536292741</v>
      </c>
      <c r="H316" s="121" t="n">
        <v>52.89697932373373</v>
      </c>
      <c r="I316" s="118" t="n">
        <v>90.22814498901367</v>
      </c>
      <c r="J316" s="118" t="n">
        <v>107.6835840988159</v>
      </c>
      <c r="K316" s="120" t="n">
        <v>0.3449250330425965</v>
      </c>
      <c r="L316" s="120" t="n">
        <v>-0.2320883558099248</v>
      </c>
      <c r="M316" s="120" t="n">
        <v>-0.4859141918178647</v>
      </c>
      <c r="N316" t="n">
        <v>45.98346653585411</v>
      </c>
      <c r="O316" t="n">
        <v>0.753005682335727</v>
      </c>
      <c r="P316" t="n">
        <v>85.38739034303694</v>
      </c>
      <c r="Q316" t="n">
        <v>71.29681889375206</v>
      </c>
    </row>
    <row r="317">
      <c r="A317" s="117" t="n">
        <v>44869</v>
      </c>
      <c r="B317" s="118" t="n">
        <v>87.91856158505027</v>
      </c>
      <c r="C317" s="118" t="n">
        <v>91.43717182297898</v>
      </c>
      <c r="D317" s="118" t="n">
        <v>87.45313773949299</v>
      </c>
      <c r="E317" s="118" t="n">
        <v>89.16590118408203</v>
      </c>
      <c r="F317" s="119" t="n">
        <v>12543300</v>
      </c>
      <c r="G317" s="120" t="n">
        <v>0.05962403830880159</v>
      </c>
      <c r="H317" s="121" t="n">
        <v>56.05091084535191</v>
      </c>
      <c r="I317" s="118" t="n">
        <v>89.90968826293945</v>
      </c>
      <c r="J317" s="118" t="n">
        <v>107.4701582336426</v>
      </c>
      <c r="K317" s="120" t="n">
        <v>0.3804499837614608</v>
      </c>
      <c r="L317" s="120" t="n">
        <v>-0.186302362518961</v>
      </c>
      <c r="M317" s="120" t="n">
        <v>-0.4552623198968019</v>
      </c>
      <c r="N317" t="n">
        <v>55.94853302501958</v>
      </c>
      <c r="O317" t="n">
        <v>0.9448196045384418</v>
      </c>
      <c r="P317" t="n">
        <v>86.61636594040326</v>
      </c>
      <c r="Q317" t="n">
        <v>72.44362697101833</v>
      </c>
    </row>
    <row r="318">
      <c r="A318" s="117" t="n">
        <v>44872</v>
      </c>
      <c r="B318" s="118" t="n">
        <v>89.64992922535778</v>
      </c>
      <c r="C318" s="118" t="n">
        <v>90.17120870559491</v>
      </c>
      <c r="D318" s="118" t="n">
        <v>86.2616445619323</v>
      </c>
      <c r="E318" s="118" t="n">
        <v>86.97840118408203</v>
      </c>
      <c r="F318" s="119" t="n">
        <v>9094500</v>
      </c>
      <c r="G318" s="120" t="n">
        <v>-0.02453292089185455</v>
      </c>
      <c r="H318" s="121" t="n">
        <v>54.6758182836665</v>
      </c>
      <c r="I318" s="118" t="n">
        <v>89.6391862487793</v>
      </c>
      <c r="J318" s="118" t="n">
        <v>107.2447786331177</v>
      </c>
      <c r="K318" s="120" t="n">
        <v>0.3932372320404744</v>
      </c>
      <c r="L318" s="120" t="n">
        <v>-0.2062647422891722</v>
      </c>
      <c r="M318" s="120" t="n">
        <v>-0.4606350960307468</v>
      </c>
      <c r="N318" t="n">
        <v>51.48859438650833</v>
      </c>
      <c r="O318" t="n">
        <v>0.8900465744287918</v>
      </c>
      <c r="P318" t="n">
        <v>87.44491924366949</v>
      </c>
      <c r="Q318" t="n">
        <v>73.24010821270306</v>
      </c>
    </row>
    <row r="319">
      <c r="A319" s="117" t="n">
        <v>44873</v>
      </c>
      <c r="B319" s="118" t="n">
        <v>87.90925492882728</v>
      </c>
      <c r="C319" s="118" t="n">
        <v>89.38929929339885</v>
      </c>
      <c r="D319" s="118" t="n">
        <v>86.51298344445229</v>
      </c>
      <c r="E319" s="118" t="n">
        <v>87.2669677734375</v>
      </c>
      <c r="F319" s="119" t="n">
        <v>7017800</v>
      </c>
      <c r="G319" s="120" t="n">
        <v>0.003317681003870643</v>
      </c>
      <c r="H319" s="121" t="n">
        <v>54.8572152073573</v>
      </c>
      <c r="I319" s="118" t="n">
        <v>89.38188110351562</v>
      </c>
      <c r="J319" s="118" t="n">
        <v>107.0067541122437</v>
      </c>
      <c r="K319" s="120" t="n">
        <v>0.3911027403885256</v>
      </c>
      <c r="L319" s="120" t="n">
        <v>-0.2036313819025628</v>
      </c>
      <c r="M319" s="120" t="n">
        <v>-0.4588456553346935</v>
      </c>
      <c r="N319" t="n">
        <v>52.03181486686981</v>
      </c>
      <c r="O319" t="n">
        <v>0.839577101547955</v>
      </c>
      <c r="P319" t="n">
        <v>87.9167126941262</v>
      </c>
      <c r="Q319" t="n">
        <v>73.77383257993864</v>
      </c>
    </row>
    <row r="320">
      <c r="A320" s="117" t="n">
        <v>44874</v>
      </c>
      <c r="B320" s="118" t="n">
        <v>86.26166205199081</v>
      </c>
      <c r="C320" s="118" t="n">
        <v>87.40660794597028</v>
      </c>
      <c r="D320" s="118" t="n">
        <v>85.60076098053133</v>
      </c>
      <c r="E320" s="118" t="n">
        <v>85.7310791015625</v>
      </c>
      <c r="F320" s="119" t="n">
        <v>6550900</v>
      </c>
      <c r="G320" s="120" t="n">
        <v>-0.01759988585672501</v>
      </c>
      <c r="H320" s="121" t="n">
        <v>53.89173448129001</v>
      </c>
      <c r="I320" s="118" t="n">
        <v>89.09422927856446</v>
      </c>
      <c r="J320" s="118" t="n">
        <v>106.7634521102905</v>
      </c>
      <c r="K320" s="120" t="n">
        <v>0.3979924235907547</v>
      </c>
      <c r="L320" s="120" t="n">
        <v>-0.2108291328754899</v>
      </c>
      <c r="M320" s="120" t="n">
        <v>-0.4683699100316737</v>
      </c>
      <c r="N320" t="n">
        <v>48.89360006330093</v>
      </c>
      <c r="O320" t="n">
        <v>0.6761046695746663</v>
      </c>
      <c r="P320" t="n">
        <v>86.10547036447778</v>
      </c>
      <c r="Q320" t="n">
        <v>72.07139803334762</v>
      </c>
    </row>
    <row r="321">
      <c r="A321" s="117" t="n">
        <v>44875</v>
      </c>
      <c r="B321" s="118" t="n">
        <v>89.66855623359332</v>
      </c>
      <c r="C321" s="118" t="n">
        <v>92.78689445480511</v>
      </c>
      <c r="D321" s="118" t="n">
        <v>89.57547288853405</v>
      </c>
      <c r="E321" s="118" t="n">
        <v>92.61003112792969</v>
      </c>
      <c r="F321" s="119" t="n">
        <v>9361000</v>
      </c>
      <c r="G321" s="120" t="n">
        <v>0.08023871970884611</v>
      </c>
      <c r="H321" s="121" t="n">
        <v>58.2159382589578</v>
      </c>
      <c r="I321" s="118" t="n">
        <v>88.97033096313477</v>
      </c>
      <c r="J321" s="118" t="n">
        <v>106.561427116394</v>
      </c>
      <c r="K321" s="120" t="n">
        <v>0.4844358975912875</v>
      </c>
      <c r="L321" s="120" t="n">
        <v>-0.1399383205638697</v>
      </c>
      <c r="M321" s="120" t="n">
        <v>-0.4257125922539166</v>
      </c>
      <c r="N321" t="n">
        <v>60.41060975006648</v>
      </c>
      <c r="O321" t="n">
        <v>0.985848162538511</v>
      </c>
      <c r="P321" t="n">
        <v>90.83729243276106</v>
      </c>
      <c r="Q321" t="n">
        <v>77.38943518122659</v>
      </c>
    </row>
    <row r="322">
      <c r="A322" s="117" t="n">
        <v>44876</v>
      </c>
      <c r="B322" s="118" t="n">
        <v>93.37334009919259</v>
      </c>
      <c r="C322" s="118" t="n">
        <v>99.79619130885891</v>
      </c>
      <c r="D322" s="118" t="n">
        <v>93.21509767838205</v>
      </c>
      <c r="E322" s="118" t="n">
        <v>98.75363922119141</v>
      </c>
      <c r="F322" s="119" t="n">
        <v>12597500</v>
      </c>
      <c r="G322" s="120" t="n">
        <v>0.06633847347243682</v>
      </c>
      <c r="H322" s="121" t="n">
        <v>62.07789473482269</v>
      </c>
      <c r="I322" s="118" t="n">
        <v>88.96856231689453</v>
      </c>
      <c r="J322" s="118" t="n">
        <v>106.3871178436279</v>
      </c>
      <c r="K322" s="120" t="n">
        <v>0.5174034060541242</v>
      </c>
      <c r="L322" s="120" t="n">
        <v>-0.06028332262853042</v>
      </c>
      <c r="M322" s="120" t="n">
        <v>-0.3876152422895984</v>
      </c>
      <c r="N322" t="n">
        <v>67.46288683151053</v>
      </c>
      <c r="O322" t="n">
        <v>1.526782084516715</v>
      </c>
      <c r="P322" t="n">
        <v>91.7164740966314</v>
      </c>
      <c r="Q322" t="n">
        <v>78.81542564153042</v>
      </c>
    </row>
    <row r="323">
      <c r="A323" s="117" t="n">
        <v>44879</v>
      </c>
      <c r="B323" s="118" t="n">
        <v>97.92518807685602</v>
      </c>
      <c r="C323" s="118" t="n">
        <v>99.07944448994476</v>
      </c>
      <c r="D323" s="118" t="n">
        <v>97.10604454978473</v>
      </c>
      <c r="E323" s="118" t="n">
        <v>97.17120361328125</v>
      </c>
      <c r="F323" s="119" t="n">
        <v>7134900</v>
      </c>
      <c r="G323" s="120" t="n">
        <v>-0.01602407385074456</v>
      </c>
      <c r="H323" s="121" t="n">
        <v>61.08315396509315</v>
      </c>
      <c r="I323" s="118" t="n">
        <v>88.94342987060547</v>
      </c>
      <c r="J323" s="118" t="n">
        <v>106.1990306091309</v>
      </c>
      <c r="K323" s="120" t="n">
        <v>0.521020274508047</v>
      </c>
      <c r="L323" s="120" t="n">
        <v>-0.07534141206550704</v>
      </c>
      <c r="M323" s="120" t="n">
        <v>-0.3974281408722202</v>
      </c>
      <c r="N323" t="n">
        <v>64.28633150271523</v>
      </c>
      <c r="O323" t="n">
        <v>1.687727133688353</v>
      </c>
      <c r="P323" t="n">
        <v>90.93626161690655</v>
      </c>
      <c r="Q323" t="n">
        <v>78.12572515736881</v>
      </c>
    </row>
    <row r="324">
      <c r="A324" s="117" t="n">
        <v>44880</v>
      </c>
      <c r="B324" s="118" t="n">
        <v>100.5222333390309</v>
      </c>
      <c r="C324" s="118" t="n">
        <v>101.750951923672</v>
      </c>
      <c r="D324" s="118" t="n">
        <v>98.23234902682715</v>
      </c>
      <c r="E324" s="118" t="n">
        <v>99.33074951171875</v>
      </c>
      <c r="F324" s="119" t="n">
        <v>7242900</v>
      </c>
      <c r="G324" s="120" t="n">
        <v>0.02222413449803495</v>
      </c>
      <c r="H324" s="121" t="n">
        <v>62.44067419437756</v>
      </c>
      <c r="I324" s="118" t="n">
        <v>88.9724723815918</v>
      </c>
      <c r="J324" s="118" t="n">
        <v>106.0117639160156</v>
      </c>
      <c r="K324" s="120" t="n">
        <v>0.5216059575819629</v>
      </c>
      <c r="L324" s="120" t="n">
        <v>-0.05479167524248785</v>
      </c>
      <c r="M324" s="120" t="n">
        <v>-0.3840365028302335</v>
      </c>
      <c r="N324" t="n">
        <v>66.59779836484496</v>
      </c>
      <c r="O324" t="n">
        <v>1.837023359820214</v>
      </c>
      <c r="P324" t="n">
        <v>91.71186212674689</v>
      </c>
      <c r="Q324" t="n">
        <v>79.20685255985042</v>
      </c>
    </row>
    <row r="325">
      <c r="A325" s="117" t="n">
        <v>44881</v>
      </c>
      <c r="B325" s="118" t="n">
        <v>97.97172357101473</v>
      </c>
      <c r="C325" s="118" t="n">
        <v>99.2283665860065</v>
      </c>
      <c r="D325" s="118" t="n">
        <v>97.5249135358731</v>
      </c>
      <c r="E325" s="118" t="n">
        <v>97.95310974121094</v>
      </c>
      <c r="F325" s="119" t="n">
        <v>5998700</v>
      </c>
      <c r="G325" s="120" t="n">
        <v>-0.01386921751099124</v>
      </c>
      <c r="H325" s="121" t="n">
        <v>61.5746709024428</v>
      </c>
      <c r="I325" s="118" t="n">
        <v>88.91196762084961</v>
      </c>
      <c r="J325" s="118" t="n">
        <v>105.8169162750244</v>
      </c>
      <c r="K325" s="120" t="n">
        <v>0.5224518945696058</v>
      </c>
      <c r="L325" s="120" t="n">
        <v>-0.06790097509174942</v>
      </c>
      <c r="M325" s="120" t="n">
        <v>-0.3925794345513118</v>
      </c>
      <c r="N325" t="n">
        <v>63.76263942239694</v>
      </c>
      <c r="O325" t="n">
        <v>1.741270100761749</v>
      </c>
      <c r="P325" t="n">
        <v>91.01222260569222</v>
      </c>
      <c r="Q325" t="n">
        <v>78.12572515736881</v>
      </c>
    </row>
    <row r="326">
      <c r="A326" s="117" t="n">
        <v>44882</v>
      </c>
      <c r="B326" s="118" t="n">
        <v>96.9105598796625</v>
      </c>
      <c r="C326" s="118" t="n">
        <v>98.11135433011034</v>
      </c>
      <c r="D326" s="118" t="n">
        <v>95.80284878391039</v>
      </c>
      <c r="E326" s="118" t="n">
        <v>98.07411956787109</v>
      </c>
      <c r="F326" s="119" t="n">
        <v>5252900</v>
      </c>
      <c r="G326" s="120" t="n">
        <v>0.001235385246878495</v>
      </c>
      <c r="H326" s="121" t="n">
        <v>61.65073934245707</v>
      </c>
      <c r="I326" s="118" t="n">
        <v>88.84922866821289</v>
      </c>
      <c r="J326" s="118" t="n">
        <v>105.6204104232788</v>
      </c>
      <c r="K326" s="120" t="n">
        <v>0.5123436806200923</v>
      </c>
      <c r="L326" s="120" t="n">
        <v>-0.06674947370774797</v>
      </c>
      <c r="M326" s="120" t="n">
        <v>-0.391829036146106</v>
      </c>
      <c r="N326" t="n">
        <v>63.90798383212083</v>
      </c>
      <c r="O326" t="n">
        <v>1.588615725238182</v>
      </c>
      <c r="P326" t="n">
        <v>90.73373341618652</v>
      </c>
      <c r="Q326" t="n">
        <v>77.95329362845769</v>
      </c>
    </row>
    <row r="327">
      <c r="A327" s="117" t="n">
        <v>44883</v>
      </c>
      <c r="B327" s="118" t="n">
        <v>100.1871393825135</v>
      </c>
      <c r="C327" s="118" t="n">
        <v>100.2709193717868</v>
      </c>
      <c r="D327" s="118" t="n">
        <v>96.96640706452187</v>
      </c>
      <c r="E327" s="118" t="n">
        <v>98.12996673583984</v>
      </c>
      <c r="F327" s="119" t="n">
        <v>5498900</v>
      </c>
      <c r="G327" s="120" t="n">
        <v>0.0005694383820606941</v>
      </c>
      <c r="H327" s="121" t="n">
        <v>61.68584563972108</v>
      </c>
      <c r="I327" s="118" t="n">
        <v>88.74590484619141</v>
      </c>
      <c r="J327" s="118" t="n">
        <v>105.4398880767822</v>
      </c>
      <c r="K327" s="120" t="n">
        <v>0.5122633142217009</v>
      </c>
      <c r="L327" s="120" t="n">
        <v>-0.06193257879561098</v>
      </c>
      <c r="M327" s="120" t="n">
        <v>-0.3914827202564327</v>
      </c>
      <c r="N327" t="n">
        <v>63.97978859159697</v>
      </c>
      <c r="O327" t="n">
        <v>1.40051992165887</v>
      </c>
      <c r="P327" t="n">
        <v>91.14571146202923</v>
      </c>
      <c r="Q327" t="n">
        <v>77.9559934779838</v>
      </c>
    </row>
    <row r="328">
      <c r="A328" s="117" t="n">
        <v>44886</v>
      </c>
      <c r="B328" s="118" t="n">
        <v>97.37597766629393</v>
      </c>
      <c r="C328" s="118" t="n">
        <v>98.18581771529975</v>
      </c>
      <c r="D328" s="118" t="n">
        <v>96.43581950850155</v>
      </c>
      <c r="E328" s="118" t="n">
        <v>96.64991760253906</v>
      </c>
      <c r="F328" s="119" t="n">
        <v>4774800</v>
      </c>
      <c r="G328" s="120" t="n">
        <v>-0.01508253984519314</v>
      </c>
      <c r="H328" s="121" t="n">
        <v>60.75546641497556</v>
      </c>
      <c r="I328" s="118" t="n">
        <v>88.5867301940918</v>
      </c>
      <c r="J328" s="118" t="n">
        <v>105.251595993042</v>
      </c>
      <c r="K328" s="120" t="n">
        <v>0.5170210077252092</v>
      </c>
      <c r="L328" s="120" t="n">
        <v>-0.07608101805340373</v>
      </c>
      <c r="M328" s="120" t="n">
        <v>-0.3984593117949118</v>
      </c>
      <c r="N328" t="n">
        <v>60.54215469136324</v>
      </c>
      <c r="O328" t="n">
        <v>1.098861028415263</v>
      </c>
      <c r="P328" t="n">
        <v>90.81428423740128</v>
      </c>
      <c r="Q328" t="n">
        <v>77.15406127428118</v>
      </c>
    </row>
    <row r="329">
      <c r="A329" s="117" t="n">
        <v>44887</v>
      </c>
      <c r="B329" s="118" t="n">
        <v>97.38529421305697</v>
      </c>
      <c r="C329" s="118" t="n">
        <v>98.81880060103025</v>
      </c>
      <c r="D329" s="118" t="n">
        <v>96.65922700215772</v>
      </c>
      <c r="E329" s="118" t="n">
        <v>98.64193725585938</v>
      </c>
      <c r="F329" s="119" t="n">
        <v>5313200</v>
      </c>
      <c r="G329" s="120" t="n">
        <v>0.02061067099417757</v>
      </c>
      <c r="H329" s="121" t="n">
        <v>62.00767734435242</v>
      </c>
      <c r="I329" s="118" t="n">
        <v>88.59138442993164</v>
      </c>
      <c r="J329" s="118" t="n">
        <v>105.0744189453125</v>
      </c>
      <c r="K329" s="120" t="n">
        <v>0.5040757643354685</v>
      </c>
      <c r="L329" s="120" t="n">
        <v>-0.05703842789122704</v>
      </c>
      <c r="M329" s="120" t="n">
        <v>-0.3786075444907178</v>
      </c>
      <c r="N329" t="n">
        <v>63.39305772726894</v>
      </c>
      <c r="O329" t="n">
        <v>0.9609112403201312</v>
      </c>
      <c r="P329" t="n">
        <v>92.03637508612402</v>
      </c>
      <c r="Q329" t="n">
        <v>78.26528003762023</v>
      </c>
    </row>
    <row r="330">
      <c r="A330" s="117" t="n">
        <v>44888</v>
      </c>
      <c r="B330" s="118" t="n">
        <v>98.66986512246484</v>
      </c>
      <c r="C330" s="118" t="n">
        <v>99.58209907574974</v>
      </c>
      <c r="D330" s="118" t="n">
        <v>97.95311545344489</v>
      </c>
      <c r="E330" s="118" t="n">
        <v>99.27491760253906</v>
      </c>
      <c r="F330" s="119" t="n">
        <v>3873100</v>
      </c>
      <c r="G330" s="120" t="n">
        <v>0.006416949669569627</v>
      </c>
      <c r="H330" s="121" t="n">
        <v>62.40557748899804</v>
      </c>
      <c r="I330" s="118" t="n">
        <v>88.58486877441406</v>
      </c>
      <c r="J330" s="118" t="n">
        <v>104.9078429412842</v>
      </c>
      <c r="K330" s="120" t="n">
        <v>0.5040951693932066</v>
      </c>
      <c r="L330" s="120" t="n">
        <v>-0.05098749094266675</v>
      </c>
      <c r="M330" s="120" t="n">
        <v>-0.3741839170347114</v>
      </c>
      <c r="N330" t="n">
        <v>64.27631380942387</v>
      </c>
      <c r="O330" t="n">
        <v>0.843881878927597</v>
      </c>
      <c r="P330" t="n">
        <v>92.61634690219158</v>
      </c>
      <c r="Q330" t="n">
        <v>79.05081663613109</v>
      </c>
    </row>
    <row r="331">
      <c r="A331" s="117" t="n">
        <v>44890</v>
      </c>
      <c r="B331" s="118" t="n">
        <v>99.0887428158117</v>
      </c>
      <c r="C331" s="118" t="n">
        <v>99.76826481640924</v>
      </c>
      <c r="D331" s="118" t="n">
        <v>98.26028886414102</v>
      </c>
      <c r="E331" s="118" t="n">
        <v>98.63262939453125</v>
      </c>
      <c r="F331" s="119" t="n">
        <v>3426100</v>
      </c>
      <c r="G331" s="120" t="n">
        <v>-0.006469793413269809</v>
      </c>
      <c r="H331" s="121" t="n">
        <v>62.00182629480842</v>
      </c>
      <c r="I331" s="118" t="n">
        <v>88.59343276977539</v>
      </c>
      <c r="J331" s="118" t="n">
        <v>104.7254459381104</v>
      </c>
      <c r="K331" s="120" t="n">
        <v>0.4964573317020767</v>
      </c>
      <c r="L331" s="120" t="n">
        <v>-0.05712740582287656</v>
      </c>
      <c r="M331" s="120" t="n">
        <v>-0.3766668936025114</v>
      </c>
      <c r="N331" t="n">
        <v>62.62512700906235</v>
      </c>
      <c r="O331" t="n">
        <v>0.6627918708001572</v>
      </c>
      <c r="P331" t="n">
        <v>92.59563362304631</v>
      </c>
      <c r="Q331" t="n">
        <v>78.53079656838878</v>
      </c>
    </row>
    <row r="332">
      <c r="A332" s="117" t="n">
        <v>44893</v>
      </c>
      <c r="B332" s="118" t="n">
        <v>97.97172128475341</v>
      </c>
      <c r="C332" s="118" t="n">
        <v>98.94911421905229</v>
      </c>
      <c r="D332" s="118" t="n">
        <v>97.41321408021309</v>
      </c>
      <c r="E332" s="118" t="n">
        <v>97.70177459716797</v>
      </c>
      <c r="F332" s="119" t="n">
        <v>6967400</v>
      </c>
      <c r="G332" s="120" t="n">
        <v>-0.009437594871772648</v>
      </c>
      <c r="H332" s="121" t="n">
        <v>61.41667817692801</v>
      </c>
      <c r="I332" s="118" t="n">
        <v>88.60907104492188</v>
      </c>
      <c r="J332" s="118" t="n">
        <v>104.5450458908081</v>
      </c>
      <c r="K332" s="120" t="n">
        <v>0.4887574972735384</v>
      </c>
      <c r="L332" s="120" t="n">
        <v>-0.06602585538241745</v>
      </c>
      <c r="M332" s="120" t="n">
        <v>-0.3825496589308545</v>
      </c>
      <c r="N332" t="n">
        <v>60.21101257551762</v>
      </c>
      <c r="O332" t="n">
        <v>0.4311166454923021</v>
      </c>
      <c r="P332" t="n">
        <v>91.11809867593675</v>
      </c>
      <c r="Q332" t="n">
        <v>77.37849908188035</v>
      </c>
    </row>
    <row r="333">
      <c r="A333" s="117" t="n">
        <v>44894</v>
      </c>
      <c r="B333" s="118" t="n">
        <v>98.08342160895302</v>
      </c>
      <c r="C333" s="118" t="n">
        <v>99.43314789061763</v>
      </c>
      <c r="D333" s="118" t="n">
        <v>97.85070969130022</v>
      </c>
      <c r="E333" s="118" t="n">
        <v>98.90256500244141</v>
      </c>
      <c r="F333" s="119" t="n">
        <v>8494400</v>
      </c>
      <c r="G333" s="120" t="n">
        <v>0.01229036432781694</v>
      </c>
      <c r="H333" s="121" t="n">
        <v>62.17151152752673</v>
      </c>
      <c r="I333" s="118" t="n">
        <v>88.59119857788086</v>
      </c>
      <c r="J333" s="118" t="n">
        <v>104.3920816040039</v>
      </c>
      <c r="K333" s="120" t="n">
        <v>0.4843041763948756</v>
      </c>
      <c r="L333" s="120" t="n">
        <v>-0.05454697287230625</v>
      </c>
      <c r="M333" s="120" t="n">
        <v>-0.3749609692847798</v>
      </c>
      <c r="N333" t="n">
        <v>62.23350040997428</v>
      </c>
      <c r="O333" t="n">
        <v>0.3149343990694371</v>
      </c>
      <c r="P333" t="n">
        <v>90.96158686593634</v>
      </c>
      <c r="Q333" t="n">
        <v>76.79277697978434</v>
      </c>
    </row>
    <row r="334">
      <c r="A334" s="117" t="n">
        <v>44895</v>
      </c>
      <c r="B334" s="118" t="n">
        <v>99.67516994200324</v>
      </c>
      <c r="C334" s="118" t="n">
        <v>102.1046829223633</v>
      </c>
      <c r="D334" s="118" t="n">
        <v>98.15788369879819</v>
      </c>
      <c r="E334" s="118" t="n">
        <v>102.1046829223633</v>
      </c>
      <c r="F334" s="119" t="n">
        <v>16251000</v>
      </c>
      <c r="G334" s="120" t="n">
        <v>0.03237649013291843</v>
      </c>
      <c r="H334" s="121" t="n">
        <v>64.18440685704633</v>
      </c>
      <c r="I334" s="118" t="n">
        <v>88.72654373168945</v>
      </c>
      <c r="J334" s="118" t="n">
        <v>104.2486149978638</v>
      </c>
      <c r="K334" s="120" t="n">
        <v>0.4922935011258225</v>
      </c>
      <c r="L334" s="120" t="n">
        <v>-0.02393652226836862</v>
      </c>
      <c r="M334" s="120" t="n">
        <v>-0.3547243992741396</v>
      </c>
      <c r="N334" t="n">
        <v>67.0442139873424</v>
      </c>
      <c r="O334" t="n">
        <v>0.4042336269991389</v>
      </c>
      <c r="P334" t="n">
        <v>93.82692627408261</v>
      </c>
      <c r="Q334" t="n">
        <v>80.29343946817755</v>
      </c>
    </row>
    <row r="335">
      <c r="A335" s="117" t="n">
        <v>44896</v>
      </c>
      <c r="B335" s="118" t="n">
        <v>102.4770145724997</v>
      </c>
      <c r="C335" s="118" t="n">
        <v>104.1246188931108</v>
      </c>
      <c r="D335" s="118" t="n">
        <v>101.9743630901412</v>
      </c>
      <c r="E335" s="118" t="n">
        <v>103.4264831542969</v>
      </c>
      <c r="F335" s="119" t="n">
        <v>7822900</v>
      </c>
      <c r="G335" s="120" t="n">
        <v>0.01294553975490675</v>
      </c>
      <c r="H335" s="121" t="n">
        <v>65.01530864765932</v>
      </c>
      <c r="I335" s="118" t="n">
        <v>88.93728729248046</v>
      </c>
      <c r="J335" s="118" t="n">
        <v>104.0933280563355</v>
      </c>
      <c r="K335" s="120" t="n">
        <v>0.4623191550416504</v>
      </c>
      <c r="L335" s="120" t="n">
        <v>-0.01130085371408129</v>
      </c>
      <c r="M335" s="120" t="n">
        <v>-0.3463709583320717</v>
      </c>
      <c r="N335" t="n">
        <v>68.81035888199457</v>
      </c>
      <c r="O335" t="n">
        <v>0.4967246368408569</v>
      </c>
      <c r="P335" t="n">
        <v>93.75790168800322</v>
      </c>
      <c r="Q335" t="n">
        <v>80.39197543205289</v>
      </c>
    </row>
    <row r="336">
      <c r="A336" s="117" t="n">
        <v>44897</v>
      </c>
      <c r="B336" s="118" t="n">
        <v>101.4470326823916</v>
      </c>
      <c r="C336" s="118" t="n">
        <v>105.2378720678746</v>
      </c>
      <c r="D336" s="118" t="n">
        <v>101.1575793368243</v>
      </c>
      <c r="E336" s="118" t="n">
        <v>104.7616806030273</v>
      </c>
      <c r="F336" s="119" t="n">
        <v>5892000</v>
      </c>
      <c r="G336" s="120" t="n">
        <v>0.01290962825003494</v>
      </c>
      <c r="H336" s="121" t="n">
        <v>65.85463211286189</v>
      </c>
      <c r="I336" s="118" t="n">
        <v>89.19781997680664</v>
      </c>
      <c r="J336" s="118" t="n">
        <v>103.9405139923096</v>
      </c>
      <c r="K336" s="120" t="n">
        <v>0.4609286754991889</v>
      </c>
      <c r="L336" s="120" t="n">
        <v>0</v>
      </c>
      <c r="M336" s="120" t="n">
        <v>-0.3379328503907122</v>
      </c>
      <c r="N336" t="n">
        <v>70.52850904149899</v>
      </c>
      <c r="O336" t="n">
        <v>0.58609050533311</v>
      </c>
      <c r="P336" t="n">
        <v>93.64971594324055</v>
      </c>
      <c r="Q336" t="n">
        <v>80.07172714158736</v>
      </c>
    </row>
    <row r="337">
      <c r="A337" s="117" t="n">
        <v>44900</v>
      </c>
      <c r="B337" s="118" t="n">
        <v>103.6599109086071</v>
      </c>
      <c r="C337" s="118" t="n">
        <v>103.7626190135766</v>
      </c>
      <c r="D337" s="118" t="n">
        <v>101.9512364207376</v>
      </c>
      <c r="E337" s="118" t="n">
        <v>102.3527297973633</v>
      </c>
      <c r="F337" s="119" t="n">
        <v>6220100</v>
      </c>
      <c r="G337" s="120" t="n">
        <v>-0.02299457961916707</v>
      </c>
      <c r="H337" s="121" t="n">
        <v>64.34033253145174</v>
      </c>
      <c r="I337" s="118" t="n">
        <v>89.43865737915038</v>
      </c>
      <c r="J337" s="118" t="n">
        <v>103.7926988601685</v>
      </c>
      <c r="K337" s="120" t="n">
        <v>0.4390711442035914</v>
      </c>
      <c r="L337" s="120" t="n">
        <v>-0.02299457961916707</v>
      </c>
      <c r="M337" s="120" t="n">
        <v>-0.3531568061756379</v>
      </c>
      <c r="N337" t="n">
        <v>63.70948879130245</v>
      </c>
      <c r="O337" t="n">
        <v>0.4285342758771025</v>
      </c>
      <c r="P337" t="n">
        <v>91.96502606722284</v>
      </c>
      <c r="Q337" t="n">
        <v>78.72785140848423</v>
      </c>
    </row>
    <row r="338">
      <c r="A338" s="117" t="n">
        <v>44901</v>
      </c>
      <c r="B338" s="118" t="n">
        <v>102.380738500715</v>
      </c>
      <c r="C338" s="118" t="n">
        <v>103.2023962064129</v>
      </c>
      <c r="D338" s="118" t="n">
        <v>99.67299300376111</v>
      </c>
      <c r="E338" s="118" t="n">
        <v>100.7747650146484</v>
      </c>
      <c r="F338" s="119" t="n">
        <v>7086100</v>
      </c>
      <c r="G338" s="120" t="n">
        <v>-0.01541692914140036</v>
      </c>
      <c r="H338" s="121" t="n">
        <v>63.34840218388022</v>
      </c>
      <c r="I338" s="118" t="n">
        <v>89.66580780029297</v>
      </c>
      <c r="J338" s="118" t="n">
        <v>103.6363010787964</v>
      </c>
      <c r="K338" s="120" t="n">
        <v>0.4314387613336028</v>
      </c>
      <c r="L338" s="120" t="n">
        <v>-0.03805700295594228</v>
      </c>
      <c r="M338" s="120" t="n">
        <v>-0.3631291418604252</v>
      </c>
      <c r="N338" t="n">
        <v>59.64167409590969</v>
      </c>
      <c r="O338" t="n">
        <v>0.1765262873519338</v>
      </c>
      <c r="P338" t="n">
        <v>90.63936882277376</v>
      </c>
      <c r="Q338" t="n">
        <v>77.09657840209242</v>
      </c>
    </row>
    <row r="339">
      <c r="A339" s="117" t="n">
        <v>44902</v>
      </c>
      <c r="B339" s="118" t="n">
        <v>100.2052028845682</v>
      </c>
      <c r="C339" s="118" t="n">
        <v>101.8858744416604</v>
      </c>
      <c r="D339" s="118" t="n">
        <v>99.96243763218763</v>
      </c>
      <c r="E339" s="118" t="n">
        <v>101.1482467651367</v>
      </c>
      <c r="F339" s="119" t="n">
        <v>5751500</v>
      </c>
      <c r="G339" s="120" t="n">
        <v>0.003706103908394098</v>
      </c>
      <c r="H339" s="121" t="n">
        <v>63.58317794480441</v>
      </c>
      <c r="I339" s="118" t="n">
        <v>89.89614608764649</v>
      </c>
      <c r="J339" s="118" t="n">
        <v>103.5037566757202</v>
      </c>
      <c r="K339" s="120" t="n">
        <v>0.4313882875657467</v>
      </c>
      <c r="L339" s="120" t="n">
        <v>-0.03449194225494501</v>
      </c>
      <c r="M339" s="120" t="n">
        <v>-0.3568641998378008</v>
      </c>
      <c r="N339" t="n">
        <v>60.28797657138143</v>
      </c>
      <c r="O339" t="n">
        <v>0.00266286095645718</v>
      </c>
      <c r="P339" t="n">
        <v>90.48517406644331</v>
      </c>
      <c r="Q339" t="n">
        <v>76.78181524895524</v>
      </c>
    </row>
    <row r="340">
      <c r="A340" s="117" t="n">
        <v>44903</v>
      </c>
      <c r="B340" s="118" t="n">
        <v>101.4003438711508</v>
      </c>
      <c r="C340" s="118" t="n">
        <v>104.0987502801306</v>
      </c>
      <c r="D340" s="118" t="n">
        <v>101.269625763862</v>
      </c>
      <c r="E340" s="118" t="n">
        <v>103.9773712158203</v>
      </c>
      <c r="F340" s="119" t="n">
        <v>6192800</v>
      </c>
      <c r="G340" s="120" t="n">
        <v>0.02797007897974479</v>
      </c>
      <c r="H340" s="121" t="n">
        <v>65.36160445370376</v>
      </c>
      <c r="I340" s="118" t="n">
        <v>90.13820007324219</v>
      </c>
      <c r="J340" s="118" t="n">
        <v>103.3916393661499</v>
      </c>
      <c r="K340" s="120" t="n">
        <v>0.4261692624296604</v>
      </c>
      <c r="L340" s="120" t="n">
        <v>-0.007486605624235754</v>
      </c>
      <c r="M340" s="120" t="n">
        <v>-0.3342218177725287</v>
      </c>
      <c r="N340" t="n">
        <v>64.87645195689788</v>
      </c>
      <c r="O340" t="n">
        <v>0.0436004513980679</v>
      </c>
      <c r="P340" t="n">
        <v>91.19403014811516</v>
      </c>
      <c r="Q340" t="n">
        <v>77.69051966635334</v>
      </c>
    </row>
    <row r="341">
      <c r="A341" s="117" t="n">
        <v>44904</v>
      </c>
      <c r="B341" s="118" t="n">
        <v>102.9129364820859</v>
      </c>
      <c r="C341" s="118" t="n">
        <v>103.996030264631</v>
      </c>
      <c r="D341" s="118" t="n">
        <v>102.0165807961033</v>
      </c>
      <c r="E341" s="118" t="n">
        <v>102.1659698486328</v>
      </c>
      <c r="F341" s="119" t="n">
        <v>5677700</v>
      </c>
      <c r="G341" s="120" t="n">
        <v>-0.01742111140151514</v>
      </c>
      <c r="H341" s="121" t="n">
        <v>64.22293266113401</v>
      </c>
      <c r="I341" s="118" t="n">
        <v>90.40676513671875</v>
      </c>
      <c r="J341" s="118" t="n">
        <v>103.2688948822021</v>
      </c>
      <c r="K341" s="120" t="n">
        <v>0.346272006920755</v>
      </c>
      <c r="L341" s="120" t="n">
        <v>-0.02477729203515211</v>
      </c>
      <c r="M341" s="120" t="n">
        <v>-0.3458204136538118</v>
      </c>
      <c r="N341" t="n">
        <v>60.0891606983529</v>
      </c>
      <c r="O341" t="n">
        <v>-0.07922174916145286</v>
      </c>
      <c r="P341" t="n">
        <v>90.51279423168759</v>
      </c>
      <c r="Q341" t="n">
        <v>77.19511436596773</v>
      </c>
    </row>
    <row r="342">
      <c r="A342" s="117" t="n">
        <v>44907</v>
      </c>
      <c r="B342" s="118" t="n">
        <v>102.8009123258147</v>
      </c>
      <c r="C342" s="118" t="n">
        <v>104.7336812639732</v>
      </c>
      <c r="D342" s="118" t="n">
        <v>102.4367679696111</v>
      </c>
      <c r="E342" s="118" t="n">
        <v>104.6403121948242</v>
      </c>
      <c r="F342" s="119" t="n">
        <v>6426000</v>
      </c>
      <c r="G342" s="120" t="n">
        <v>0.02421885046319572</v>
      </c>
      <c r="H342" s="121" t="n">
        <v>65.77833826356191</v>
      </c>
      <c r="I342" s="118" t="n">
        <v>90.95213012695312</v>
      </c>
      <c r="J342" s="118" t="n">
        <v>103.1509930801392</v>
      </c>
      <c r="K342" s="120" t="n">
        <v>0.2718199461799986</v>
      </c>
      <c r="L342" s="120" t="n">
        <v>-0.001158519102638533</v>
      </c>
      <c r="M342" s="120" t="n">
        <v>-0.3288654200333703</v>
      </c>
      <c r="N342" t="n">
        <v>63.9972803259575</v>
      </c>
      <c r="O342" t="n">
        <v>-0.0245601575583958</v>
      </c>
      <c r="P342" t="n">
        <v>91.81774557614321</v>
      </c>
      <c r="Q342" t="n">
        <v>78.16402713656358</v>
      </c>
    </row>
    <row r="343">
      <c r="A343" s="117" t="n">
        <v>44908</v>
      </c>
      <c r="B343" s="118" t="n">
        <v>107.9456421472158</v>
      </c>
      <c r="C343" s="118" t="n">
        <v>108.7299509753121</v>
      </c>
      <c r="D343" s="118" t="n">
        <v>103.8746875311624</v>
      </c>
      <c r="E343" s="118" t="n">
        <v>105.3686141967773</v>
      </c>
      <c r="F343" s="119" t="n">
        <v>8655300</v>
      </c>
      <c r="G343" s="120" t="n">
        <v>0.006960051883227791</v>
      </c>
      <c r="H343" s="121" t="n">
        <v>66.23615891066881</v>
      </c>
      <c r="I343" s="118" t="n">
        <v>91.46961425781249</v>
      </c>
      <c r="J343" s="118" t="n">
        <v>103.0471253585815</v>
      </c>
      <c r="K343" s="120" t="n">
        <v>0.26252715668356</v>
      </c>
      <c r="L343" s="120" t="n">
        <v>0</v>
      </c>
      <c r="M343" s="120" t="n">
        <v>-0.3241942885361743</v>
      </c>
      <c r="N343" t="n">
        <v>65.08114093444308</v>
      </c>
      <c r="O343" t="n">
        <v>0.02710714745029597</v>
      </c>
      <c r="P343" t="n">
        <v>92.51277312731338</v>
      </c>
      <c r="Q343" t="n">
        <v>79.00427840711617</v>
      </c>
    </row>
    <row r="344">
      <c r="A344" s="117" t="n">
        <v>44909</v>
      </c>
      <c r="B344" s="118" t="n">
        <v>106.1622372531221</v>
      </c>
      <c r="C344" s="118" t="n">
        <v>106.5543986991012</v>
      </c>
      <c r="D344" s="118" t="n">
        <v>102.922287448418</v>
      </c>
      <c r="E344" s="118" t="n">
        <v>104.0614013671875</v>
      </c>
      <c r="F344" s="119" t="n">
        <v>7528500</v>
      </c>
      <c r="G344" s="120" t="n">
        <v>-0.01240609302451867</v>
      </c>
      <c r="H344" s="121" t="n">
        <v>65.41442696163625</v>
      </c>
      <c r="I344" s="118" t="n">
        <v>91.90063568115234</v>
      </c>
      <c r="J344" s="118" t="n">
        <v>102.956721534729</v>
      </c>
      <c r="K344" s="120" t="n">
        <v>0.2597345667793536</v>
      </c>
      <c r="L344" s="120" t="n">
        <v>-0.01240609302451856</v>
      </c>
      <c r="M344" s="120" t="n">
        <v>-0.3325783970590955</v>
      </c>
      <c r="N344" t="n">
        <v>61.50224886573532</v>
      </c>
      <c r="O344" t="n">
        <v>-0.05577437776165528</v>
      </c>
      <c r="P344" t="n">
        <v>91.9212824552623</v>
      </c>
      <c r="Q344" t="n">
        <v>78.41858193650302</v>
      </c>
    </row>
    <row r="345">
      <c r="A345" s="117" t="n">
        <v>44910</v>
      </c>
      <c r="B345" s="118" t="n">
        <v>101.9512419538381</v>
      </c>
      <c r="C345" s="118" t="n">
        <v>102.3527353522537</v>
      </c>
      <c r="D345" s="118" t="n">
        <v>100.5880336326978</v>
      </c>
      <c r="E345" s="118" t="n">
        <v>101.3163223266602</v>
      </c>
      <c r="F345" s="119" t="n">
        <v>7500700</v>
      </c>
      <c r="G345" s="120" t="n">
        <v>-0.02637941642589603</v>
      </c>
      <c r="H345" s="121" t="n">
        <v>63.68883255255389</v>
      </c>
      <c r="I345" s="118" t="n">
        <v>92.23095748901368</v>
      </c>
      <c r="J345" s="118" t="n">
        <v>102.8366108703613</v>
      </c>
      <c r="K345" s="120" t="n">
        <v>0.2735898140907583</v>
      </c>
      <c r="L345" s="120" t="n">
        <v>-0.03845824395630237</v>
      </c>
      <c r="M345" s="120" t="n">
        <v>-0.3501845894547126</v>
      </c>
      <c r="N345" t="n">
        <v>54.69970065172724</v>
      </c>
      <c r="O345" t="n">
        <v>-0.3102778579805241</v>
      </c>
      <c r="P345" t="n">
        <v>89.67275158904506</v>
      </c>
      <c r="Q345" t="n">
        <v>75.78556222999374</v>
      </c>
    </row>
    <row r="346">
      <c r="A346" s="117" t="n">
        <v>44911</v>
      </c>
      <c r="B346" s="118" t="n">
        <v>99.78503926120162</v>
      </c>
      <c r="C346" s="118" t="n">
        <v>100.4759788512805</v>
      </c>
      <c r="D346" s="118" t="n">
        <v>98.15105578389991</v>
      </c>
      <c r="E346" s="118" t="n">
        <v>98.926025390625</v>
      </c>
      <c r="F346" s="119" t="n">
        <v>14083600</v>
      </c>
      <c r="G346" s="120" t="n">
        <v>-0.02359241710657889</v>
      </c>
      <c r="H346" s="121" t="n">
        <v>62.18625904994297</v>
      </c>
      <c r="I346" s="118" t="n">
        <v>92.53078720092773</v>
      </c>
      <c r="J346" s="118" t="n">
        <v>102.712447013855</v>
      </c>
      <c r="K346" s="120" t="n">
        <v>0.288114442682626</v>
      </c>
      <c r="L346" s="120" t="n">
        <v>-0.06114333813027784</v>
      </c>
      <c r="M346" s="120" t="n">
        <v>-0.3655153056625798</v>
      </c>
      <c r="N346" t="n">
        <v>49.55940176695381</v>
      </c>
      <c r="O346" t="n">
        <v>-0.6356606106737113</v>
      </c>
      <c r="P346" t="n">
        <v>88.61404991981451</v>
      </c>
      <c r="Q346" t="n">
        <v>75.06297655334481</v>
      </c>
    </row>
    <row r="347">
      <c r="A347" s="117" t="n">
        <v>44914</v>
      </c>
      <c r="B347" s="118" t="n">
        <v>98.02966711474744</v>
      </c>
      <c r="C347" s="118" t="n">
        <v>98.51519761064988</v>
      </c>
      <c r="D347" s="118" t="n">
        <v>95.65805601572271</v>
      </c>
      <c r="E347" s="118" t="n">
        <v>96.21828460693359</v>
      </c>
      <c r="F347" s="119" t="n">
        <v>10620300</v>
      </c>
      <c r="G347" s="120" t="n">
        <v>-0.02737136939444873</v>
      </c>
      <c r="H347" s="121" t="n">
        <v>60.4841359822281</v>
      </c>
      <c r="I347" s="118" t="n">
        <v>92.83249908447266</v>
      </c>
      <c r="J347" s="118" t="n">
        <v>102.5862487792969</v>
      </c>
      <c r="K347" s="120" t="n">
        <v>0.3047308235937357</v>
      </c>
      <c r="L347" s="120" t="n">
        <v>-0.08684113063075294</v>
      </c>
      <c r="M347" s="120" t="n">
        <v>-0.3828820206064133</v>
      </c>
      <c r="N347" t="n">
        <v>44.46217409580058</v>
      </c>
      <c r="O347" t="n">
        <v>-1.007221742266484</v>
      </c>
      <c r="P347" t="n">
        <v>87.86263089047257</v>
      </c>
      <c r="Q347" t="n">
        <v>74.00807015781137</v>
      </c>
    </row>
    <row r="348">
      <c r="A348" s="117" t="n">
        <v>44915</v>
      </c>
      <c r="B348" s="118" t="n">
        <v>96.1715986194795</v>
      </c>
      <c r="C348" s="118" t="n">
        <v>96.54508198058635</v>
      </c>
      <c r="D348" s="118" t="n">
        <v>94.93910851434872</v>
      </c>
      <c r="E348" s="118" t="n">
        <v>96.36767578125</v>
      </c>
      <c r="F348" s="119" t="n">
        <v>17147900</v>
      </c>
      <c r="G348" s="120" t="n">
        <v>0.001552627704044962</v>
      </c>
      <c r="H348" s="121" t="n">
        <v>60.57804532740933</v>
      </c>
      <c r="I348" s="118" t="n">
        <v>93.1459489440918</v>
      </c>
      <c r="J348" s="118" t="n">
        <v>102.4919998931885</v>
      </c>
      <c r="K348" s="120" t="n">
        <v>0.3000814767652775</v>
      </c>
      <c r="L348" s="120" t="n">
        <v>-0.08542333487197584</v>
      </c>
      <c r="M348" s="120" t="n">
        <v>-0.3819238661349426</v>
      </c>
      <c r="N348" t="n">
        <v>44.79950295933754</v>
      </c>
      <c r="O348" t="n">
        <v>-1.203617589766432</v>
      </c>
      <c r="P348" t="n">
        <v>87.98286679014944</v>
      </c>
      <c r="Q348" t="n">
        <v>73.95044204055316</v>
      </c>
    </row>
    <row r="349">
      <c r="A349" s="117" t="n">
        <v>44916</v>
      </c>
      <c r="B349" s="118" t="n">
        <v>109.0193888174359</v>
      </c>
      <c r="C349" s="118" t="n">
        <v>111.2789530217077</v>
      </c>
      <c r="D349" s="118" t="n">
        <v>107.6935224126751</v>
      </c>
      <c r="E349" s="118" t="n">
        <v>108.1043548583984</v>
      </c>
      <c r="F349" s="119" t="n">
        <v>32777300</v>
      </c>
      <c r="G349" s="120" t="n">
        <v>0.1217906209940161</v>
      </c>
      <c r="H349" s="121" t="n">
        <v>67.95588308643818</v>
      </c>
      <c r="I349" s="118" t="n">
        <v>93.66993041992187</v>
      </c>
      <c r="J349" s="118" t="n">
        <v>102.4713874435425</v>
      </c>
      <c r="K349" s="120" t="n">
        <v>0.5237315377440106</v>
      </c>
      <c r="L349" s="120" t="n">
        <v>0</v>
      </c>
      <c r="M349" s="120" t="n">
        <v>-0.3066479899699366</v>
      </c>
      <c r="N349" t="n">
        <v>63.53729697750116</v>
      </c>
      <c r="O349" t="n">
        <v>-0.5377109039624726</v>
      </c>
      <c r="P349" t="n">
        <v>89.29843673406715</v>
      </c>
      <c r="Q349" t="n">
        <v>75.02318794814516</v>
      </c>
    </row>
    <row r="350">
      <c r="A350" s="117" t="n">
        <v>44917</v>
      </c>
      <c r="B350" s="118" t="n">
        <v>106.7131303238478</v>
      </c>
      <c r="C350" s="118" t="n">
        <v>109.0754025024422</v>
      </c>
      <c r="D350" s="118" t="n">
        <v>106.4983750696106</v>
      </c>
      <c r="E350" s="118" t="n">
        <v>108.9726943969727</v>
      </c>
      <c r="F350" s="119" t="n">
        <v>17147600</v>
      </c>
      <c r="G350" s="120" t="n">
        <v>0.008032419597819418</v>
      </c>
      <c r="H350" s="121" t="n">
        <v>68.50173325352881</v>
      </c>
      <c r="I350" s="118" t="n">
        <v>94.20159759521485</v>
      </c>
      <c r="J350" s="118" t="n">
        <v>102.4285437011719</v>
      </c>
      <c r="K350" s="120" t="n">
        <v>0.5238175208320913</v>
      </c>
      <c r="L350" s="120" t="n">
        <v>0</v>
      </c>
      <c r="M350" s="120" t="n">
        <v>-0.3010786956963837</v>
      </c>
      <c r="N350" t="n">
        <v>64.49750079625665</v>
      </c>
      <c r="O350" t="n">
        <v>-0.05860411169931812</v>
      </c>
      <c r="P350" t="n">
        <v>88.02449258553899</v>
      </c>
      <c r="Q350" t="n">
        <v>73.18772600560001</v>
      </c>
    </row>
    <row r="351">
      <c r="A351" s="117" t="n">
        <v>44918</v>
      </c>
      <c r="B351" s="118" t="n">
        <v>108.4124718918966</v>
      </c>
      <c r="C351" s="118" t="n">
        <v>109.4021967641939</v>
      </c>
      <c r="D351" s="118" t="n">
        <v>108.104347578354</v>
      </c>
      <c r="E351" s="118" t="n">
        <v>108.5431900024414</v>
      </c>
      <c r="F351" s="119" t="n">
        <v>6603700</v>
      </c>
      <c r="G351" s="120" t="n">
        <v>-0.003941394648521945</v>
      </c>
      <c r="H351" s="121" t="n">
        <v>68.23174088866887</v>
      </c>
      <c r="I351" s="118" t="n">
        <v>94.70512680053712</v>
      </c>
      <c r="J351" s="118" t="n">
        <v>102.3878114700317</v>
      </c>
      <c r="K351" s="120" t="n">
        <v>0.523149244232141</v>
      </c>
      <c r="L351" s="120" t="n">
        <v>-0.003941394648522056</v>
      </c>
      <c r="M351" s="120" t="n">
        <v>-0.303833420384904</v>
      </c>
      <c r="N351" t="n">
        <v>63.60528382044747</v>
      </c>
      <c r="O351" t="n">
        <v>0.1956127592851478</v>
      </c>
      <c r="P351" t="n">
        <v>88.53082784564266</v>
      </c>
      <c r="Q351" t="n">
        <v>73.35235701989932</v>
      </c>
    </row>
    <row r="352">
      <c r="A352" s="117" t="n">
        <v>44922</v>
      </c>
      <c r="B352" s="118" t="n">
        <v>108.7485921574945</v>
      </c>
      <c r="C352" s="118" t="n">
        <v>110.3638973677335</v>
      </c>
      <c r="D352" s="118" t="n">
        <v>108.1416826520536</v>
      </c>
      <c r="E352" s="118" t="n">
        <v>109.7663269042969</v>
      </c>
      <c r="F352" s="119" t="n">
        <v>6661100</v>
      </c>
      <c r="G352" s="120" t="n">
        <v>0.01126866551303629</v>
      </c>
      <c r="H352" s="121" t="n">
        <v>69.00062155411544</v>
      </c>
      <c r="I352" s="118" t="n">
        <v>95.2705387878418</v>
      </c>
      <c r="J352" s="118" t="n">
        <v>102.3689350509644</v>
      </c>
      <c r="K352" s="120" t="n">
        <v>0.5205749750021853</v>
      </c>
      <c r="L352" s="120" t="n">
        <v>0</v>
      </c>
      <c r="M352" s="120" t="n">
        <v>-0.2959885520578668</v>
      </c>
      <c r="N352" t="n">
        <v>65.08648258401439</v>
      </c>
      <c r="O352" t="n">
        <v>0.4005683816206047</v>
      </c>
      <c r="P352" t="n">
        <v>88.18171279411368</v>
      </c>
      <c r="Q352" t="n">
        <v>72.31528159259686</v>
      </c>
    </row>
    <row r="353">
      <c r="A353" s="117" t="n">
        <v>44923</v>
      </c>
      <c r="B353" s="118" t="n">
        <v>109.7850226460418</v>
      </c>
      <c r="C353" s="118" t="n">
        <v>110.4012641690009</v>
      </c>
      <c r="D353" s="118" t="n">
        <v>107.3387132704093</v>
      </c>
      <c r="E353" s="118" t="n">
        <v>107.3573913574219</v>
      </c>
      <c r="F353" s="119" t="n">
        <v>5437800</v>
      </c>
      <c r="G353" s="120" t="n">
        <v>-0.02194603404170847</v>
      </c>
      <c r="H353" s="121" t="n">
        <v>67.48633156458978</v>
      </c>
      <c r="I353" s="118" t="n">
        <v>95.74271911621094</v>
      </c>
      <c r="J353" s="118" t="n">
        <v>102.3614389419556</v>
      </c>
      <c r="K353" s="120" t="n">
        <v>0.5294804357272844</v>
      </c>
      <c r="L353" s="120" t="n">
        <v>-0.02194603404170858</v>
      </c>
      <c r="M353" s="120" t="n">
        <v>-0.3114388112601574</v>
      </c>
      <c r="N353" t="n">
        <v>59.91466789904026</v>
      </c>
      <c r="O353" t="n">
        <v>0.3312005403930836</v>
      </c>
      <c r="P353" t="n">
        <v>87.08579068312726</v>
      </c>
      <c r="Q353" t="n">
        <v>71.36050458478883</v>
      </c>
    </row>
    <row r="354">
      <c r="A354" s="117" t="n">
        <v>44924</v>
      </c>
      <c r="B354" s="118" t="n">
        <v>108.3844571083926</v>
      </c>
      <c r="C354" s="118" t="n">
        <v>110.2425277037518</v>
      </c>
      <c r="D354" s="118" t="n">
        <v>108.1230208988268</v>
      </c>
      <c r="E354" s="118" t="n">
        <v>109.5702590942383</v>
      </c>
      <c r="F354" s="119" t="n">
        <v>4588600</v>
      </c>
      <c r="G354" s="120" t="n">
        <v>0.02061216008359557</v>
      </c>
      <c r="H354" s="121" t="n">
        <v>68.87737063425371</v>
      </c>
      <c r="I354" s="118" t="n">
        <v>96.26455581665039</v>
      </c>
      <c r="J354" s="118" t="n">
        <v>102.3565352249146</v>
      </c>
      <c r="K354" s="120" t="n">
        <v>0.5229047685835913</v>
      </c>
      <c r="L354" s="120" t="n">
        <v>-0.001786229124980721</v>
      </c>
      <c r="M354" s="120" t="n">
        <v>-0.2918336171108734</v>
      </c>
      <c r="N354" t="n">
        <v>62.83605384239139</v>
      </c>
      <c r="O354" t="n">
        <v>0.3877262587584478</v>
      </c>
      <c r="P354" t="n">
        <v>88.6533660406859</v>
      </c>
      <c r="Q354" t="n">
        <v>73.09994672069105</v>
      </c>
    </row>
    <row r="355">
      <c r="A355" s="117" t="n">
        <v>44925</v>
      </c>
      <c r="B355" s="118" t="n">
        <v>108.8326437562558</v>
      </c>
      <c r="C355" s="118" t="n">
        <v>109.4769024339274</v>
      </c>
      <c r="D355" s="118" t="n">
        <v>108.0950160108238</v>
      </c>
      <c r="E355" s="118" t="n">
        <v>109.252815246582</v>
      </c>
      <c r="F355" s="119" t="n">
        <v>4355500</v>
      </c>
      <c r="G355" s="120" t="n">
        <v>-0.002897171643842067</v>
      </c>
      <c r="H355" s="121" t="n">
        <v>68.67782106914974</v>
      </c>
      <c r="I355" s="118" t="n">
        <v>96.80070846557618</v>
      </c>
      <c r="J355" s="118" t="n">
        <v>102.3232398986816</v>
      </c>
      <c r="K355" s="120" t="n">
        <v>0.5223437465505599</v>
      </c>
      <c r="L355" s="120" t="n">
        <v>-0.004678225756452492</v>
      </c>
      <c r="M355" s="120" t="n">
        <v>-0.2904111754410654</v>
      </c>
      <c r="N355" t="n">
        <v>62.13645981017325</v>
      </c>
      <c r="O355" t="n">
        <v>0.357834169127579</v>
      </c>
      <c r="P355" t="n">
        <v>88.41985278149386</v>
      </c>
      <c r="Q355" t="n">
        <v>73.05602290292612</v>
      </c>
    </row>
    <row r="356">
      <c r="A356" s="117" t="n">
        <v>44929</v>
      </c>
      <c r="B356" s="118" t="n">
        <v>110.6907109182887</v>
      </c>
      <c r="C356" s="118" t="n">
        <v>111.5683886181843</v>
      </c>
      <c r="D356" s="118" t="n">
        <v>109.6542979826778</v>
      </c>
      <c r="E356" s="118" t="n">
        <v>110.8774490356445</v>
      </c>
      <c r="F356" s="119" t="n">
        <v>8124800</v>
      </c>
      <c r="G356" s="120" t="n">
        <v>0.01487040663799588</v>
      </c>
      <c r="H356" s="121" t="n">
        <v>69.69908819545952</v>
      </c>
      <c r="I356" s="118" t="n">
        <v>97.40174728393555</v>
      </c>
      <c r="J356" s="118" t="n">
        <v>102.2877903747559</v>
      </c>
      <c r="K356" s="120" t="n">
        <v>0.522871637176303</v>
      </c>
      <c r="L356" s="120" t="n">
        <v>0</v>
      </c>
      <c r="M356" s="120" t="n">
        <v>-0.2786474123700983</v>
      </c>
      <c r="N356" t="n">
        <v>64.32556935190362</v>
      </c>
      <c r="O356" t="n">
        <v>0.3984673456426728</v>
      </c>
      <c r="P356" t="n">
        <v>88.04761146817603</v>
      </c>
      <c r="Q356" t="n">
        <v>72.56221529830438</v>
      </c>
    </row>
    <row r="357">
      <c r="A357" s="117" t="n">
        <v>44930</v>
      </c>
      <c r="B357" s="118" t="n">
        <v>112.0072386897153</v>
      </c>
      <c r="C357" s="118" t="n">
        <v>114.1267527970233</v>
      </c>
      <c r="D357" s="118" t="n">
        <v>111.6057452987011</v>
      </c>
      <c r="E357" s="118" t="n">
        <v>113.1743698120117</v>
      </c>
      <c r="F357" s="119" t="n">
        <v>8550700</v>
      </c>
      <c r="G357" s="120" t="n">
        <v>0.02071585156715483</v>
      </c>
      <c r="H357" s="121" t="n">
        <v>71.1429641608827</v>
      </c>
      <c r="I357" s="118" t="n">
        <v>98.01763442993165</v>
      </c>
      <c r="J357" s="118" t="n">
        <v>102.2460947036743</v>
      </c>
      <c r="K357" s="120" t="n">
        <v>0.5166669120699201</v>
      </c>
      <c r="L357" s="120" t="n">
        <v>0</v>
      </c>
      <c r="M357" s="120" t="n">
        <v>-0.2637039792371743</v>
      </c>
      <c r="N357" t="n">
        <v>67.21184908518259</v>
      </c>
      <c r="O357" t="n">
        <v>0.523169931682947</v>
      </c>
      <c r="P357" t="n">
        <v>88.72735679593693</v>
      </c>
      <c r="Q357" t="n">
        <v>72.90787293209475</v>
      </c>
    </row>
    <row r="358">
      <c r="A358" s="117" t="n">
        <v>44931</v>
      </c>
      <c r="B358" s="118" t="n">
        <v>112.3060336124879</v>
      </c>
      <c r="C358" s="118" t="n">
        <v>114.2294635875877</v>
      </c>
      <c r="D358" s="118" t="n">
        <v>112.119295466332</v>
      </c>
      <c r="E358" s="118" t="n">
        <v>112.6234970092773</v>
      </c>
      <c r="F358" s="119" t="n">
        <v>6046700</v>
      </c>
      <c r="G358" s="120" t="n">
        <v>-0.004867469583876627</v>
      </c>
      <c r="H358" s="121" t="n">
        <v>70.79667794672278</v>
      </c>
      <c r="I358" s="118" t="n">
        <v>98.63162628173828</v>
      </c>
      <c r="J358" s="118" t="n">
        <v>102.2065056228638</v>
      </c>
      <c r="K358" s="120" t="n">
        <v>0.5123368502037174</v>
      </c>
      <c r="L358" s="120" t="n">
        <v>-0.004867469583876516</v>
      </c>
      <c r="M358" s="120" t="n">
        <v>-0.2485919421750528</v>
      </c>
      <c r="N358" t="n">
        <v>65.83611169407433</v>
      </c>
      <c r="O358" t="n">
        <v>0.5110965359431159</v>
      </c>
      <c r="P358" t="n">
        <v>87.7146862757296</v>
      </c>
      <c r="Q358" t="n">
        <v>71.76655426407063</v>
      </c>
    </row>
    <row r="359">
      <c r="A359" s="117" t="n">
        <v>44932</v>
      </c>
      <c r="B359" s="118" t="n">
        <v>113.9119968661464</v>
      </c>
      <c r="C359" s="118" t="n">
        <v>117.0492458743154</v>
      </c>
      <c r="D359" s="118" t="n">
        <v>113.6972416065216</v>
      </c>
      <c r="E359" s="118" t="n">
        <v>116.2742691040039</v>
      </c>
      <c r="F359" s="119" t="n">
        <v>10080700</v>
      </c>
      <c r="G359" s="120" t="n">
        <v>0.032415723109946</v>
      </c>
      <c r="H359" s="121" t="n">
        <v>73.09160345614775</v>
      </c>
      <c r="I359" s="118" t="n">
        <v>99.24956451416016</v>
      </c>
      <c r="J359" s="118" t="n">
        <v>102.1717450332642</v>
      </c>
      <c r="K359" s="120" t="n">
        <v>0.5206670987993186</v>
      </c>
      <c r="L359" s="120" t="n">
        <v>0</v>
      </c>
      <c r="M359" s="120" t="n">
        <v>-0.218405619983394</v>
      </c>
      <c r="N359" t="n">
        <v>70.19080890382104</v>
      </c>
      <c r="O359" t="n">
        <v>0.6809017811273788</v>
      </c>
      <c r="P359" t="n">
        <v>89.72616926903531</v>
      </c>
      <c r="Q359" t="n">
        <v>73.74742360878298</v>
      </c>
    </row>
    <row r="360">
      <c r="A360" s="117" t="n">
        <v>44935</v>
      </c>
      <c r="B360" s="118" t="n">
        <v>116.7131162462474</v>
      </c>
      <c r="C360" s="118" t="n">
        <v>118.2163817533873</v>
      </c>
      <c r="D360" s="118" t="n">
        <v>116.2929518772022</v>
      </c>
      <c r="E360" s="118" t="n">
        <v>116.5730590820312</v>
      </c>
      <c r="F360" s="119" t="n">
        <v>9397900</v>
      </c>
      <c r="G360" s="120" t="n">
        <v>0.002569699902908784</v>
      </c>
      <c r="H360" s="121" t="n">
        <v>73.27942694245246</v>
      </c>
      <c r="I360" s="118" t="n">
        <v>99.86100524902344</v>
      </c>
      <c r="J360" s="118" t="n">
        <v>102.1388949966431</v>
      </c>
      <c r="K360" s="120" t="n">
        <v>0.5151865741469626</v>
      </c>
      <c r="L360" s="120" t="n">
        <v>0</v>
      </c>
      <c r="M360" s="120" t="n">
        <v>-0.1960797622080465</v>
      </c>
      <c r="N360" t="n">
        <v>70.52198191595743</v>
      </c>
      <c r="O360" t="n">
        <v>0.7403359825878542</v>
      </c>
      <c r="P360" t="n">
        <v>89.67529739642131</v>
      </c>
      <c r="Q360" t="n">
        <v>74.2248099767301</v>
      </c>
    </row>
    <row r="361">
      <c r="A361" s="117" t="n">
        <v>44936</v>
      </c>
      <c r="B361" s="118" t="n">
        <v>116.9091897418052</v>
      </c>
      <c r="C361" s="118" t="n">
        <v>117.9549417949073</v>
      </c>
      <c r="D361" s="118" t="n">
        <v>116.1248810446809</v>
      </c>
      <c r="E361" s="118" t="n">
        <v>117.4974212646484</v>
      </c>
      <c r="F361" s="119" t="n">
        <v>5899900</v>
      </c>
      <c r="G361" s="120" t="n">
        <v>0.007929466635740567</v>
      </c>
      <c r="H361" s="121" t="n">
        <v>73.86049371347883</v>
      </c>
      <c r="I361" s="118" t="n">
        <v>100.5253747558594</v>
      </c>
      <c r="J361" s="118" t="n">
        <v>102.1149258804321</v>
      </c>
      <c r="K361" s="120" t="n">
        <v>0.5075669611904958</v>
      </c>
      <c r="L361" s="120" t="n">
        <v>0</v>
      </c>
      <c r="M361" s="120" t="n">
        <v>-0.1643649468074658</v>
      </c>
      <c r="N361" t="n">
        <v>71.57413577102221</v>
      </c>
      <c r="O361" t="n">
        <v>0.7657112942210711</v>
      </c>
      <c r="P361" t="n">
        <v>90.30417823072003</v>
      </c>
      <c r="Q361" t="n">
        <v>74.85308034034516</v>
      </c>
    </row>
    <row r="362">
      <c r="A362" s="117" t="n">
        <v>44937</v>
      </c>
      <c r="B362" s="118" t="n">
        <v>117.9456016870343</v>
      </c>
      <c r="C362" s="118" t="n">
        <v>119.7569843336875</v>
      </c>
      <c r="D362" s="118" t="n">
        <v>117.6561554500316</v>
      </c>
      <c r="E362" s="118" t="n">
        <v>119.4582061767578</v>
      </c>
      <c r="F362" s="119" t="n">
        <v>6989200</v>
      </c>
      <c r="G362" s="120" t="n">
        <v>0.01668789741089682</v>
      </c>
      <c r="H362" s="121" t="n">
        <v>75.09307005528754</v>
      </c>
      <c r="I362" s="118" t="n">
        <v>101.1677096557617</v>
      </c>
      <c r="J362" s="118" t="n">
        <v>102.0932609939575</v>
      </c>
      <c r="K362" s="120" t="n">
        <v>0.5049695939345002</v>
      </c>
      <c r="L362" s="120" t="n">
        <v>0</v>
      </c>
      <c r="M362" s="120" t="n">
        <v>-0.1504199547668396</v>
      </c>
      <c r="N362" t="n">
        <v>73.71715384205561</v>
      </c>
      <c r="O362" t="n">
        <v>0.8328058041710906</v>
      </c>
      <c r="P362" t="n">
        <v>91.44632334867687</v>
      </c>
      <c r="Q362" t="n">
        <v>76.14805120418424</v>
      </c>
    </row>
    <row r="363">
      <c r="A363" s="117" t="n">
        <v>44938</v>
      </c>
      <c r="B363" s="118" t="n">
        <v>119.8410324445369</v>
      </c>
      <c r="C363" s="118" t="n">
        <v>119.9437405558511</v>
      </c>
      <c r="D363" s="118" t="n">
        <v>118.0763235881395</v>
      </c>
      <c r="E363" s="118" t="n">
        <v>119.4115219116211</v>
      </c>
      <c r="F363" s="119" t="n">
        <v>8366400</v>
      </c>
      <c r="G363" s="120" t="n">
        <v>-0.0003907999846208821</v>
      </c>
      <c r="H363" s="121" t="n">
        <v>75.06372368466481</v>
      </c>
      <c r="I363" s="118" t="n">
        <v>101.8305209350586</v>
      </c>
      <c r="J363" s="118" t="n">
        <v>102.0662240982056</v>
      </c>
      <c r="K363" s="120" t="n">
        <v>0.5056703094999275</v>
      </c>
      <c r="L363" s="120" t="n">
        <v>-0.000390799984620771</v>
      </c>
      <c r="M363" s="120" t="n">
        <v>-0.1507519706354509</v>
      </c>
      <c r="N363" t="n">
        <v>73.57493167976065</v>
      </c>
      <c r="O363" t="n">
        <v>0.7925217683461048</v>
      </c>
      <c r="P363" t="n">
        <v>91.77926329942694</v>
      </c>
      <c r="Q363" t="n">
        <v>76.55959029270821</v>
      </c>
    </row>
    <row r="364">
      <c r="A364" s="117" t="n">
        <v>44939</v>
      </c>
      <c r="B364" s="118" t="n">
        <v>118.2630531697292</v>
      </c>
      <c r="C364" s="118" t="n">
        <v>120.6626670927676</v>
      </c>
      <c r="D364" s="118" t="n">
        <v>118.2630531697292</v>
      </c>
      <c r="E364" s="118" t="n">
        <v>120.3078689575195</v>
      </c>
      <c r="F364" s="119" t="n">
        <v>4856500</v>
      </c>
      <c r="G364" s="120" t="n">
        <v>0.007506369833907955</v>
      </c>
      <c r="H364" s="121" t="n">
        <v>75.62717975575217</v>
      </c>
      <c r="I364" s="118" t="n">
        <v>102.4909666442871</v>
      </c>
      <c r="J364" s="118" t="n">
        <v>102.0236231994629</v>
      </c>
      <c r="K364" s="120" t="n">
        <v>0.5005889171189446</v>
      </c>
      <c r="L364" s="120" t="n">
        <v>0</v>
      </c>
      <c r="M364" s="120" t="n">
        <v>-0.1293913609790484</v>
      </c>
      <c r="N364" t="n">
        <v>74.5886488972709</v>
      </c>
      <c r="O364" t="n">
        <v>0.7454224337780477</v>
      </c>
      <c r="P364" t="n">
        <v>92.13530737451039</v>
      </c>
      <c r="Q364" t="n">
        <v>77.0863685280934</v>
      </c>
    </row>
    <row r="365">
      <c r="A365" s="117" t="n">
        <v>44943</v>
      </c>
      <c r="B365" s="118" t="n">
        <v>119.5142175024051</v>
      </c>
      <c r="C365" s="118" t="n">
        <v>120.4946104172955</v>
      </c>
      <c r="D365" s="118" t="n">
        <v>119.3554893919493</v>
      </c>
      <c r="E365" s="118" t="n">
        <v>119.6449356079102</v>
      </c>
      <c r="F365" s="119" t="n">
        <v>6172200</v>
      </c>
      <c r="G365" s="120" t="n">
        <v>-0.005510307474928755</v>
      </c>
      <c r="H365" s="121" t="n">
        <v>75.21045074183627</v>
      </c>
      <c r="I365" s="118" t="n">
        <v>103.2027545166016</v>
      </c>
      <c r="J365" s="118" t="n">
        <v>101.9804855728149</v>
      </c>
      <c r="K365" s="120" t="n">
        <v>0.4870271527920904</v>
      </c>
      <c r="L365" s="120" t="n">
        <v>-0.005510307474928755</v>
      </c>
      <c r="M365" s="120" t="n">
        <v>-0.1290650911076908</v>
      </c>
      <c r="N365" t="n">
        <v>72.37718056676573</v>
      </c>
      <c r="O365" t="n">
        <v>0.5953118263501</v>
      </c>
      <c r="P365" t="n">
        <v>91.96653879334492</v>
      </c>
      <c r="Q365" t="n">
        <v>77.24273766108969</v>
      </c>
    </row>
    <row r="366">
      <c r="A366" s="117" t="n">
        <v>44944</v>
      </c>
      <c r="B366" s="118" t="n">
        <v>119.3274798757187</v>
      </c>
      <c r="C366" s="118" t="n">
        <v>120.0651004211172</v>
      </c>
      <c r="D366" s="118" t="n">
        <v>117.6468083357667</v>
      </c>
      <c r="E366" s="118" t="n">
        <v>118.0483016967773</v>
      </c>
      <c r="F366" s="119" t="n">
        <v>6828800</v>
      </c>
      <c r="G366" s="120" t="n">
        <v>-0.01334476802566187</v>
      </c>
      <c r="H366" s="121" t="n">
        <v>74.20678472358098</v>
      </c>
      <c r="I366" s="118" t="n">
        <v>103.8807481384277</v>
      </c>
      <c r="J366" s="118" t="n">
        <v>101.9477899551392</v>
      </c>
      <c r="K366" s="120" t="n">
        <v>0.4792921866674552</v>
      </c>
      <c r="L366" s="120" t="n">
        <v>-0.01878154172558777</v>
      </c>
      <c r="M366" s="120" t="n">
        <v>-0.1406875154323096</v>
      </c>
      <c r="N366" t="n">
        <v>67.20880214838024</v>
      </c>
      <c r="O366" t="n">
        <v>0.327561370227853</v>
      </c>
      <c r="P366" t="n">
        <v>90.51455784897141</v>
      </c>
      <c r="Q366" t="n">
        <v>76.23859868924023</v>
      </c>
    </row>
    <row r="367">
      <c r="A367" s="117" t="n">
        <v>44945</v>
      </c>
      <c r="B367" s="118" t="n">
        <v>116.5170343706226</v>
      </c>
      <c r="C367" s="118" t="n">
        <v>117.1239439753677</v>
      </c>
      <c r="D367" s="118" t="n">
        <v>115.4152623127108</v>
      </c>
      <c r="E367" s="118" t="n">
        <v>116.2742691040039</v>
      </c>
      <c r="F367" s="119" t="n">
        <v>5273500</v>
      </c>
      <c r="G367" s="120" t="n">
        <v>-0.01502802299799511</v>
      </c>
      <c r="H367" s="121" t="n">
        <v>73.09160345614774</v>
      </c>
      <c r="I367" s="118" t="n">
        <v>104.4229154968262</v>
      </c>
      <c r="J367" s="118" t="n">
        <v>101.9110385894775</v>
      </c>
      <c r="K367" s="120" t="n">
        <v>0.4686564216472126</v>
      </c>
      <c r="L367" s="120" t="n">
        <v>-0.0335273152825929</v>
      </c>
      <c r="M367" s="120" t="n">
        <v>-0.1536012832128572</v>
      </c>
      <c r="N367" t="n">
        <v>61.91812378862621</v>
      </c>
      <c r="O367" t="n">
        <v>-0.01195529069503998</v>
      </c>
      <c r="P367" t="n">
        <v>89.8556291084812</v>
      </c>
      <c r="Q367" t="n">
        <v>75.48958695378037</v>
      </c>
    </row>
    <row r="368">
      <c r="A368" s="117" t="n">
        <v>44946</v>
      </c>
      <c r="B368" s="118" t="n">
        <v>116.4143333850734</v>
      </c>
      <c r="C368" s="118" t="n">
        <v>118.2443942312055</v>
      </c>
      <c r="D368" s="118" t="n">
        <v>115.8167627872998</v>
      </c>
      <c r="E368" s="118" t="n">
        <v>118.2257232666016</v>
      </c>
      <c r="F368" s="119" t="n">
        <v>5673200</v>
      </c>
      <c r="G368" s="120" t="n">
        <v>0.01678319870453993</v>
      </c>
      <c r="H368" s="121" t="n">
        <v>74.3183143605857</v>
      </c>
      <c r="I368" s="118" t="n">
        <v>105.0478619384766</v>
      </c>
      <c r="J368" s="118" t="n">
        <v>101.8802484130859</v>
      </c>
      <c r="K368" s="120" t="n">
        <v>0.4681759429256748</v>
      </c>
      <c r="L368" s="120" t="n">
        <v>-0.01730681217247043</v>
      </c>
      <c r="M368" s="120" t="n">
        <v>-0.1393960053657509</v>
      </c>
      <c r="N368" t="n">
        <v>65.16648249002392</v>
      </c>
      <c r="O368" t="n">
        <v>-0.1408764842170616</v>
      </c>
      <c r="P368" t="n">
        <v>91.52956018115233</v>
      </c>
      <c r="Q368" t="n">
        <v>77.55551010239273</v>
      </c>
    </row>
    <row r="369">
      <c r="A369" s="117" t="n">
        <v>44949</v>
      </c>
      <c r="B369" s="118" t="n">
        <v>118.4871539078332</v>
      </c>
      <c r="C369" s="118" t="n">
        <v>120.2145065579255</v>
      </c>
      <c r="D369" s="118" t="n">
        <v>118.1510195720355</v>
      </c>
      <c r="E369" s="118" t="n">
        <v>119.7849960327148</v>
      </c>
      <c r="F369" s="119" t="n">
        <v>5581600</v>
      </c>
      <c r="G369" s="120" t="n">
        <v>0.01318894672859883</v>
      </c>
      <c r="H369" s="121" t="n">
        <v>75.29849464964673</v>
      </c>
      <c r="I369" s="118" t="n">
        <v>105.6982225036621</v>
      </c>
      <c r="J369" s="118" t="n">
        <v>101.8666987991333</v>
      </c>
      <c r="K369" s="120" t="n">
        <v>0.2183116629552882</v>
      </c>
      <c r="L369" s="120" t="n">
        <v>-0.004346124067656221</v>
      </c>
      <c r="M369" s="120" t="n">
        <v>-0.1280455451261003</v>
      </c>
      <c r="N369" t="n">
        <v>67.54841769412394</v>
      </c>
      <c r="O369" t="n">
        <v>-0.155749271200297</v>
      </c>
      <c r="P369" t="n">
        <v>92.62778458750512</v>
      </c>
      <c r="Q369" t="n">
        <v>79.27846692291324</v>
      </c>
    </row>
    <row r="370">
      <c r="A370" s="117" t="n">
        <v>44950</v>
      </c>
      <c r="B370" s="118" t="n">
        <v>118.4031206181226</v>
      </c>
      <c r="C370" s="118" t="n">
        <v>119.523563691536</v>
      </c>
      <c r="D370" s="118" t="n">
        <v>112.4647566571041</v>
      </c>
      <c r="E370" s="118" t="n">
        <v>118.4217987060547</v>
      </c>
      <c r="F370" s="119" t="n">
        <v>5486200</v>
      </c>
      <c r="G370" s="120" t="n">
        <v>-0.01138036792427533</v>
      </c>
      <c r="H370" s="121" t="n">
        <v>74.44157007638967</v>
      </c>
      <c r="I370" s="118" t="n">
        <v>106.352036895752</v>
      </c>
      <c r="J370" s="118" t="n">
        <v>101.864573173523</v>
      </c>
      <c r="K370" s="120" t="n">
        <v>0.2257580087360039</v>
      </c>
      <c r="L370" s="120" t="n">
        <v>-0.01567703150099709</v>
      </c>
      <c r="M370" s="120" t="n">
        <v>-0.1379687076357763</v>
      </c>
      <c r="N370" t="n">
        <v>63.46266361741734</v>
      </c>
      <c r="O370" t="n">
        <v>-0.2845093001839167</v>
      </c>
      <c r="P370" t="n">
        <v>92.52837265425072</v>
      </c>
      <c r="Q370" t="n">
        <v>79.11661265258859</v>
      </c>
    </row>
    <row r="371">
      <c r="A371" s="117" t="n">
        <v>44951</v>
      </c>
      <c r="B371" s="118" t="n">
        <v>117.5160892953792</v>
      </c>
      <c r="C371" s="118" t="n">
        <v>118.5898512638334</v>
      </c>
      <c r="D371" s="118" t="n">
        <v>116.5543744698986</v>
      </c>
      <c r="E371" s="118" t="n">
        <v>118.4124450683594</v>
      </c>
      <c r="F371" s="119" t="n">
        <v>5933700</v>
      </c>
      <c r="G371" s="120" t="n">
        <v>-7.89857762465429e-05</v>
      </c>
      <c r="H371" s="121" t="n">
        <v>74.43569025119217</v>
      </c>
      <c r="I371" s="118" t="n">
        <v>106.8680851745605</v>
      </c>
      <c r="J371" s="118" t="n">
        <v>101.8576787185669</v>
      </c>
      <c r="K371" s="120" t="n">
        <v>0.2243081689133239</v>
      </c>
      <c r="L371" s="120" t="n">
        <v>-0.01575477901474132</v>
      </c>
      <c r="M371" s="120" t="n">
        <v>-0.1380367958465525</v>
      </c>
      <c r="N371" t="n">
        <v>63.4343113514998</v>
      </c>
      <c r="O371" t="n">
        <v>-0.3908542369562298</v>
      </c>
      <c r="P371" t="n">
        <v>92.56305466778217</v>
      </c>
      <c r="Q371" t="n">
        <v>78.94101990746019</v>
      </c>
    </row>
    <row r="372">
      <c r="A372" s="117" t="n">
        <v>44952</v>
      </c>
      <c r="B372" s="118" t="n">
        <v>119.9437390223188</v>
      </c>
      <c r="C372" s="118" t="n">
        <v>120.4386014849039</v>
      </c>
      <c r="D372" s="118" t="n">
        <v>117.6561577183718</v>
      </c>
      <c r="E372" s="118" t="n">
        <v>119.0753860473633</v>
      </c>
      <c r="F372" s="119" t="n">
        <v>5838800</v>
      </c>
      <c r="G372" s="120" t="n">
        <v>0.005598575205681966</v>
      </c>
      <c r="H372" s="121" t="n">
        <v>74.85242406105033</v>
      </c>
      <c r="I372" s="118" t="n">
        <v>107.274520111084</v>
      </c>
      <c r="J372" s="118" t="n">
        <v>101.8597930908203</v>
      </c>
      <c r="K372" s="120" t="n">
        <v>0.2229225356732173</v>
      </c>
      <c r="L372" s="120" t="n">
        <v>-0.01024440812422223</v>
      </c>
      <c r="M372" s="120" t="n">
        <v>-0.1332110300235687</v>
      </c>
      <c r="N372" t="n">
        <v>64.64006863913885</v>
      </c>
      <c r="O372" t="n">
        <v>-0.4337799431680658</v>
      </c>
      <c r="P372" t="n">
        <v>93.58036667448125</v>
      </c>
      <c r="Q372" t="n">
        <v>80.48017336451497</v>
      </c>
    </row>
    <row r="373">
      <c r="A373" s="117" t="n">
        <v>44953</v>
      </c>
      <c r="B373" s="118" t="n">
        <v>118.6458826435421</v>
      </c>
      <c r="C373" s="118" t="n">
        <v>120.0557790524267</v>
      </c>
      <c r="D373" s="118" t="n">
        <v>118.3004092623019</v>
      </c>
      <c r="E373" s="118" t="n">
        <v>119.0753860473633</v>
      </c>
      <c r="F373" s="119" t="n">
        <v>5730000</v>
      </c>
      <c r="G373" s="120" t="n">
        <v>0</v>
      </c>
      <c r="H373" s="121" t="n">
        <v>74.85242406105033</v>
      </c>
      <c r="I373" s="118" t="n">
        <v>107.7126037597656</v>
      </c>
      <c r="J373" s="118" t="n">
        <v>101.8765828323364</v>
      </c>
      <c r="K373" s="120" t="n">
        <v>0.2013916394113938</v>
      </c>
      <c r="L373" s="120" t="n">
        <v>-0.01024440812422223</v>
      </c>
      <c r="M373" s="120" t="n">
        <v>-0.1332110300235687</v>
      </c>
      <c r="N373" t="n">
        <v>64.64006863913885</v>
      </c>
      <c r="O373" t="n">
        <v>-0.4760241401421501</v>
      </c>
      <c r="P373" t="n">
        <v>93.79536564176895</v>
      </c>
      <c r="Q373" t="n">
        <v>81.28130244842185</v>
      </c>
    </row>
    <row r="374">
      <c r="A374" s="117" t="n">
        <v>44956</v>
      </c>
      <c r="B374" s="118" t="n">
        <v>118.1136733876618</v>
      </c>
      <c r="C374" s="118" t="n">
        <v>119.1033983317524</v>
      </c>
      <c r="D374" s="118" t="n">
        <v>117.8428981037193</v>
      </c>
      <c r="E374" s="118" t="n">
        <v>117.9922943115234</v>
      </c>
      <c r="F374" s="119" t="n">
        <v>6494600</v>
      </c>
      <c r="G374" s="120" t="n">
        <v>-0.009095849039775783</v>
      </c>
      <c r="H374" s="121" t="n">
        <v>74.17157771152974</v>
      </c>
      <c r="I374" s="118" t="n">
        <v>108.0858346557617</v>
      </c>
      <c r="J374" s="118" t="n">
        <v>101.8876792907715</v>
      </c>
      <c r="K374" s="120" t="n">
        <v>0.1989669613508706</v>
      </c>
      <c r="L374" s="120" t="n">
        <v>-0.01924707557419814</v>
      </c>
      <c r="M374" s="120" t="n">
        <v>-0.1410952116438171</v>
      </c>
      <c r="N374" t="n">
        <v>60.83881681618663</v>
      </c>
      <c r="O374" t="n">
        <v>-0.5836620986947816</v>
      </c>
      <c r="P374" t="n">
        <v>92.61853113112883</v>
      </c>
      <c r="Q374" t="n">
        <v>79.63789720681778</v>
      </c>
    </row>
    <row r="375">
      <c r="A375" s="117" t="n">
        <v>44957</v>
      </c>
      <c r="B375" s="118" t="n">
        <v>118.0389665167507</v>
      </c>
      <c r="C375" s="118" t="n">
        <v>119.3741647495177</v>
      </c>
      <c r="D375" s="118" t="n">
        <v>117.656151228991</v>
      </c>
      <c r="E375" s="118" t="n">
        <v>118.8886413574219</v>
      </c>
      <c r="F375" s="119" t="n">
        <v>7686900</v>
      </c>
      <c r="G375" s="120" t="n">
        <v>0.007596657486224512</v>
      </c>
      <c r="H375" s="121" t="n">
        <v>74.73503378261711</v>
      </c>
      <c r="I375" s="118" t="n">
        <v>108.5045452880859</v>
      </c>
      <c r="J375" s="118" t="n">
        <v>101.8919153594971</v>
      </c>
      <c r="K375" s="120" t="n">
        <v>0.1977768610553313</v>
      </c>
      <c r="L375" s="120" t="n">
        <v>-0.01179663152872235</v>
      </c>
      <c r="M375" s="120" t="n">
        <v>-0.1345704061533971</v>
      </c>
      <c r="N375" t="n">
        <v>62.78906997453307</v>
      </c>
      <c r="O375" t="n">
        <v>-0.5989915977602727</v>
      </c>
      <c r="P375" t="n">
        <v>93.9803388403206</v>
      </c>
      <c r="Q375" t="n">
        <v>80.83135885477178</v>
      </c>
    </row>
    <row r="376">
      <c r="A376" s="117" t="n">
        <v>44958</v>
      </c>
      <c r="B376" s="118" t="n">
        <v>119.4208533081854</v>
      </c>
      <c r="C376" s="118" t="n">
        <v>121.5870483036919</v>
      </c>
      <c r="D376" s="118" t="n">
        <v>117.8522288546391</v>
      </c>
      <c r="E376" s="118" t="n">
        <v>120.9147796630859</v>
      </c>
      <c r="F376" s="119" t="n">
        <v>6387900</v>
      </c>
      <c r="G376" s="120" t="n">
        <v>0.01704232029679575</v>
      </c>
      <c r="H376" s="121" t="n">
        <v>76.00869216573233</v>
      </c>
      <c r="I376" s="118" t="n">
        <v>108.9613584899902</v>
      </c>
      <c r="J376" s="118" t="n">
        <v>101.8786444473267</v>
      </c>
      <c r="K376" s="120" t="n">
        <v>0.199458357087306</v>
      </c>
      <c r="L376" s="120" t="n">
        <v>0</v>
      </c>
      <c r="M376" s="120" t="n">
        <v>-0.1198214778207374</v>
      </c>
      <c r="N376" t="n">
        <v>66.81242439910545</v>
      </c>
      <c r="O376" t="n">
        <v>-0.4821944832447782</v>
      </c>
      <c r="P376" t="n">
        <v>94.97913655511536</v>
      </c>
      <c r="Q376" t="n">
        <v>82.55980935644826</v>
      </c>
    </row>
    <row r="377">
      <c r="A377" s="117" t="n">
        <v>44959</v>
      </c>
      <c r="B377" s="118" t="n">
        <v>121.8017781318369</v>
      </c>
      <c r="C377" s="118" t="n">
        <v>122.6047647626211</v>
      </c>
      <c r="D377" s="118" t="n">
        <v>119.3834863212576</v>
      </c>
      <c r="E377" s="118" t="n">
        <v>120.5039291381836</v>
      </c>
      <c r="F377" s="119" t="n">
        <v>5214500</v>
      </c>
      <c r="G377" s="120" t="n">
        <v>-0.003397851991684742</v>
      </c>
      <c r="H377" s="121" t="n">
        <v>75.75042587967164</v>
      </c>
      <c r="I377" s="118" t="n">
        <v>109.4088377380371</v>
      </c>
      <c r="J377" s="118" t="n">
        <v>101.8717911148071</v>
      </c>
      <c r="K377" s="120" t="n">
        <v>0.1915322015776909</v>
      </c>
      <c r="L377" s="120" t="n">
        <v>-0.003397851991684742</v>
      </c>
      <c r="M377" s="120" t="n">
        <v>-0.1228121941653624</v>
      </c>
      <c r="N377" t="n">
        <v>65.27129384318806</v>
      </c>
      <c r="O377" t="n">
        <v>-0.4431295799468296</v>
      </c>
      <c r="P377" t="n">
        <v>96.3617608515778</v>
      </c>
      <c r="Q377" t="n">
        <v>85.52286003604139</v>
      </c>
    </row>
    <row r="378">
      <c r="A378" s="117" t="n">
        <v>44960</v>
      </c>
      <c r="B378" s="118" t="n">
        <v>118.3844476995179</v>
      </c>
      <c r="C378" s="118" t="n">
        <v>120.8400890754066</v>
      </c>
      <c r="D378" s="118" t="n">
        <v>118.0576524021339</v>
      </c>
      <c r="E378" s="118" t="n">
        <v>119.1500854492188</v>
      </c>
      <c r="F378" s="119" t="n">
        <v>4930200</v>
      </c>
      <c r="G378" s="120" t="n">
        <v>-0.01123485100151689</v>
      </c>
      <c r="H378" s="121" t="n">
        <v>74.89938113161209</v>
      </c>
      <c r="I378" s="118" t="n">
        <v>109.8588410949707</v>
      </c>
      <c r="J378" s="118" t="n">
        <v>101.8330768585205</v>
      </c>
      <c r="K378" s="120" t="n">
        <v>0.1963668746987556</v>
      </c>
      <c r="L378" s="120" t="n">
        <v>-0.01459452863234978</v>
      </c>
      <c r="M378" s="120" t="n">
        <v>-0.119523136954924</v>
      </c>
      <c r="N378" t="n">
        <v>60.33268935503619</v>
      </c>
      <c r="O378" t="n">
        <v>-0.5140032062773252</v>
      </c>
      <c r="P378" t="n">
        <v>95.33750506302061</v>
      </c>
      <c r="Q378" t="n">
        <v>84.00293019111869</v>
      </c>
    </row>
    <row r="379">
      <c r="A379" s="117" t="n">
        <v>44963</v>
      </c>
      <c r="B379" s="118" t="n">
        <v>117.1986453007815</v>
      </c>
      <c r="C379" s="118" t="n">
        <v>117.7401958958224</v>
      </c>
      <c r="D379" s="118" t="n">
        <v>116.0782021804795</v>
      </c>
      <c r="E379" s="118" t="n">
        <v>117.3947296142578</v>
      </c>
      <c r="F379" s="119" t="n">
        <v>4666400</v>
      </c>
      <c r="G379" s="120" t="n">
        <v>-0.01473230865376984</v>
      </c>
      <c r="H379" s="121" t="n">
        <v>73.79594033080483</v>
      </c>
      <c r="I379" s="118" t="n">
        <v>110.2338969421387</v>
      </c>
      <c r="J379" s="118" t="n">
        <v>101.7910487365723</v>
      </c>
      <c r="K379" s="120" t="n">
        <v>0.1721794861352282</v>
      </c>
      <c r="L379" s="120" t="n">
        <v>-0.02911182618565167</v>
      </c>
      <c r="M379" s="120" t="n">
        <v>-0.1324945938638071</v>
      </c>
      <c r="N379" t="n">
        <v>54.56769411559603</v>
      </c>
      <c r="O379" t="n">
        <v>-0.6745209103829346</v>
      </c>
      <c r="P379" t="n">
        <v>94.75486937314777</v>
      </c>
      <c r="Q379" t="n">
        <v>83.29233150461258</v>
      </c>
    </row>
    <row r="380">
      <c r="A380" s="117" t="n">
        <v>44964</v>
      </c>
      <c r="B380" s="118" t="n">
        <v>115.7420468276349</v>
      </c>
      <c r="C380" s="118" t="n">
        <v>117.5814464341301</v>
      </c>
      <c r="D380" s="118" t="n">
        <v>115.0791172706041</v>
      </c>
      <c r="E380" s="118" t="n">
        <v>117.0212249755859</v>
      </c>
      <c r="F380" s="119" t="n">
        <v>5288900</v>
      </c>
      <c r="G380" s="120" t="n">
        <v>-0.003181613347542633</v>
      </c>
      <c r="H380" s="121" t="n">
        <v>73.56115018205388</v>
      </c>
      <c r="I380" s="118" t="n">
        <v>110.5888230895996</v>
      </c>
      <c r="J380" s="118" t="n">
        <v>101.7490510177612</v>
      </c>
      <c r="K380" s="120" t="n">
        <v>0.1724882775651775</v>
      </c>
      <c r="L380" s="120" t="n">
        <v>-0.03220081695843069</v>
      </c>
      <c r="M380" s="120" t="n">
        <v>-0.1352546606430354</v>
      </c>
      <c r="N380" t="n">
        <v>53.39848887982276</v>
      </c>
      <c r="O380" t="n">
        <v>-0.7930872977643251</v>
      </c>
      <c r="P380" t="n">
        <v>95.99412412899268</v>
      </c>
      <c r="Q380" t="n">
        <v>85.01804798145248</v>
      </c>
    </row>
    <row r="381">
      <c r="A381" s="117" t="n">
        <v>44965</v>
      </c>
      <c r="B381" s="118" t="n">
        <v>115.2005082939355</v>
      </c>
      <c r="C381" s="118" t="n">
        <v>115.8727769634418</v>
      </c>
      <c r="D381" s="118" t="n">
        <v>113.7252599620777</v>
      </c>
      <c r="E381" s="118" t="n">
        <v>114.7616729736328</v>
      </c>
      <c r="F381" s="119" t="n">
        <v>5877800</v>
      </c>
      <c r="G381" s="120" t="n">
        <v>-0.01930890744328251</v>
      </c>
      <c r="H381" s="121" t="n">
        <v>72.1407647417672</v>
      </c>
      <c r="I381" s="118" t="n">
        <v>110.9114039611816</v>
      </c>
      <c r="J381" s="118" t="n">
        <v>101.7253377151489</v>
      </c>
      <c r="K381" s="120" t="n">
        <v>0.1831674373458593</v>
      </c>
      <c r="L381" s="120" t="n">
        <v>-0.05088796180746469</v>
      </c>
      <c r="M381" s="120" t="n">
        <v>-0.1519519483626889</v>
      </c>
      <c r="N381" t="n">
        <v>46.857475195708</v>
      </c>
      <c r="O381" t="n">
        <v>-0.9976994968042576</v>
      </c>
      <c r="P381" t="n">
        <v>94.9444397832803</v>
      </c>
      <c r="Q381" t="n">
        <v>83.50631166721186</v>
      </c>
    </row>
    <row r="382">
      <c r="A382" s="117" t="n">
        <v>44966</v>
      </c>
      <c r="B382" s="118" t="n">
        <v>116.4423350799343</v>
      </c>
      <c r="C382" s="118" t="n">
        <v>116.7317813140513</v>
      </c>
      <c r="D382" s="118" t="n">
        <v>113.4451432609586</v>
      </c>
      <c r="E382" s="118" t="n">
        <v>114.0800628662109</v>
      </c>
      <c r="F382" s="119" t="n">
        <v>5929000</v>
      </c>
      <c r="G382" s="120" t="n">
        <v>-0.00593935318090455</v>
      </c>
      <c r="H382" s="121" t="n">
        <v>71.71229526122529</v>
      </c>
      <c r="I382" s="118" t="n">
        <v>111.2389697265625</v>
      </c>
      <c r="J382" s="118" t="n">
        <v>101.7034476852417</v>
      </c>
      <c r="K382" s="120" t="n">
        <v>0.1712202766216111</v>
      </c>
      <c r="L382" s="120" t="n">
        <v>-0.05652507341053836</v>
      </c>
      <c r="M382" s="120" t="n">
        <v>-0.1569888052557409</v>
      </c>
      <c r="N382" t="n">
        <v>45.06420325921383</v>
      </c>
      <c r="O382" t="n">
        <v>-1.142542909711994</v>
      </c>
      <c r="P382" t="n">
        <v>94.12136181066094</v>
      </c>
      <c r="Q382" t="n">
        <v>82.76830438171918</v>
      </c>
    </row>
    <row r="383">
      <c r="A383" s="117" t="n">
        <v>44967</v>
      </c>
      <c r="B383" s="118" t="n">
        <v>113.4544936674088</v>
      </c>
      <c r="C383" s="118" t="n">
        <v>114.5095777261545</v>
      </c>
      <c r="D383" s="118" t="n">
        <v>112.5487987006006</v>
      </c>
      <c r="E383" s="118" t="n">
        <v>114.1267623901367</v>
      </c>
      <c r="F383" s="119" t="n">
        <v>5195500</v>
      </c>
      <c r="G383" s="120" t="n">
        <v>0.0004093574525860788</v>
      </c>
      <c r="H383" s="121" t="n">
        <v>71.74165122373253</v>
      </c>
      <c r="I383" s="118" t="n">
        <v>111.5434536743164</v>
      </c>
      <c r="J383" s="118" t="n">
        <v>101.7161415863037</v>
      </c>
      <c r="K383" s="120" t="n">
        <v>0.1713587305158326</v>
      </c>
      <c r="L383" s="120" t="n">
        <v>-0.05613885491801085</v>
      </c>
      <c r="M383" s="120" t="n">
        <v>-0.1566437123405587</v>
      </c>
      <c r="N383" t="n">
        <v>45.21889217430082</v>
      </c>
      <c r="O383" t="n">
        <v>-1.193248368726429</v>
      </c>
      <c r="P383" t="n">
        <v>94.34101702274404</v>
      </c>
      <c r="Q383" t="n">
        <v>82.22509636583176</v>
      </c>
    </row>
    <row r="384">
      <c r="A384" s="117" t="n">
        <v>44970</v>
      </c>
      <c r="B384" s="118" t="n">
        <v>114.6776306390307</v>
      </c>
      <c r="C384" s="118" t="n">
        <v>117.3853761581946</v>
      </c>
      <c r="D384" s="118" t="n">
        <v>114.3414963194875</v>
      </c>
      <c r="E384" s="118" t="n">
        <v>116.8531646728516</v>
      </c>
      <c r="F384" s="119" t="n">
        <v>5689800</v>
      </c>
      <c r="G384" s="120" t="n">
        <v>0.02388924583170748</v>
      </c>
      <c r="H384" s="121" t="n">
        <v>73.4555051661889</v>
      </c>
      <c r="I384" s="118" t="n">
        <v>111.8384233093262</v>
      </c>
      <c r="J384" s="118" t="n">
        <v>101.7391342926025</v>
      </c>
      <c r="K384" s="120" t="n">
        <v>0.1922658241710261</v>
      </c>
      <c r="L384" s="120" t="n">
        <v>-0.03359072399215024</v>
      </c>
      <c r="M384" s="120" t="n">
        <v>-0.1364965666609461</v>
      </c>
      <c r="N384" t="n">
        <v>53.45849625487061</v>
      </c>
      <c r="O384" t="n">
        <v>-1.008559893854146</v>
      </c>
      <c r="P384" t="n">
        <v>95.44846536886583</v>
      </c>
      <c r="Q384" t="n">
        <v>83.54201632281189</v>
      </c>
    </row>
    <row r="385">
      <c r="A385" s="117" t="n">
        <v>44971</v>
      </c>
      <c r="B385" s="118" t="n">
        <v>115.7327135820383</v>
      </c>
      <c r="C385" s="118" t="n">
        <v>117.9829456951947</v>
      </c>
      <c r="D385" s="118" t="n">
        <v>115.5366364179065</v>
      </c>
      <c r="E385" s="118" t="n">
        <v>117.8335494995117</v>
      </c>
      <c r="F385" s="119" t="n">
        <v>4845900</v>
      </c>
      <c r="G385" s="120" t="n">
        <v>0.008389886824245574</v>
      </c>
      <c r="H385" s="121" t="n">
        <v>74.07178854115101</v>
      </c>
      <c r="I385" s="118" t="n">
        <v>112.1265646362305</v>
      </c>
      <c r="J385" s="118" t="n">
        <v>101.7401318740845</v>
      </c>
      <c r="K385" s="120" t="n">
        <v>0.1946279340771399</v>
      </c>
      <c r="L385" s="120" t="n">
        <v>-0.0254826595405433</v>
      </c>
      <c r="M385" s="120" t="n">
        <v>-0.129251870582884</v>
      </c>
      <c r="N385" t="n">
        <v>56.020150994776</v>
      </c>
      <c r="O385" t="n">
        <v>-0.7951407796174905</v>
      </c>
      <c r="P385" t="n">
        <v>95.40454465726174</v>
      </c>
      <c r="Q385" t="n">
        <v>84.1593078679426</v>
      </c>
    </row>
    <row r="386">
      <c r="A386" s="117" t="n">
        <v>44972</v>
      </c>
      <c r="B386" s="118" t="n">
        <v>116.6197339961358</v>
      </c>
      <c r="C386" s="118" t="n">
        <v>119.0473651149356</v>
      </c>
      <c r="D386" s="118" t="n">
        <v>116.6197339961358</v>
      </c>
      <c r="E386" s="118" t="n">
        <v>119.028694152832</v>
      </c>
      <c r="F386" s="119" t="n">
        <v>5687900</v>
      </c>
      <c r="G386" s="120" t="n">
        <v>0.01014265171843332</v>
      </c>
      <c r="H386" s="121" t="n">
        <v>74.82307289448535</v>
      </c>
      <c r="I386" s="118" t="n">
        <v>112.4119049072266</v>
      </c>
      <c r="J386" s="118" t="n">
        <v>101.7579843521118</v>
      </c>
      <c r="K386" s="120" t="n">
        <v>0.1922169193514812</v>
      </c>
      <c r="L386" s="120" t="n">
        <v>-0.01559846956268907</v>
      </c>
      <c r="M386" s="120" t="n">
        <v>-0.1204201755717289</v>
      </c>
      <c r="N386" t="n">
        <v>58.98391082735936</v>
      </c>
      <c r="O386" t="n">
        <v>-0.5593838827623645</v>
      </c>
      <c r="P386" t="n">
        <v>95.71438786283024</v>
      </c>
      <c r="Q386" t="n">
        <v>84.80404218737034</v>
      </c>
    </row>
    <row r="387">
      <c r="A387" s="117" t="n">
        <v>44973</v>
      </c>
      <c r="B387" s="118" t="n">
        <v>117.114609331831</v>
      </c>
      <c r="C387" s="118" t="n">
        <v>118.7766029628706</v>
      </c>
      <c r="D387" s="118" t="n">
        <v>115.8821191125745</v>
      </c>
      <c r="E387" s="118" t="n">
        <v>116.1342163085938</v>
      </c>
      <c r="F387" s="119" t="n">
        <v>4722200</v>
      </c>
      <c r="G387" s="120" t="n">
        <v>-0.02431747961984521</v>
      </c>
      <c r="H387" s="121" t="n">
        <v>73.00356434427951</v>
      </c>
      <c r="I387" s="118" t="n">
        <v>112.6875346374512</v>
      </c>
      <c r="J387" s="118" t="n">
        <v>101.7549758529663</v>
      </c>
      <c r="K387" s="120" t="n">
        <v>0.2045894225567983</v>
      </c>
      <c r="L387" s="120" t="n">
        <v>-0.0395366337168428</v>
      </c>
      <c r="M387" s="120" t="n">
        <v>-0.1418093400262904</v>
      </c>
      <c r="N387" t="n">
        <v>50.16656147290872</v>
      </c>
      <c r="O387" t="n">
        <v>-0.5817000672894919</v>
      </c>
      <c r="P387" t="n">
        <v>94.39651562354618</v>
      </c>
      <c r="Q387" t="n">
        <v>83.21279701335136</v>
      </c>
    </row>
    <row r="388">
      <c r="A388" s="117" t="n">
        <v>44974</v>
      </c>
      <c r="B388" s="118" t="n">
        <v>115.5086291304002</v>
      </c>
      <c r="C388" s="118" t="n">
        <v>116.6104011668808</v>
      </c>
      <c r="D388" s="118" t="n">
        <v>115.2565319487559</v>
      </c>
      <c r="E388" s="118" t="n">
        <v>116.5637130737305</v>
      </c>
      <c r="F388" s="119" t="n">
        <v>5161500</v>
      </c>
      <c r="G388" s="120" t="n">
        <v>0.003698279273659066</v>
      </c>
      <c r="H388" s="121" t="n">
        <v>73.27355191319718</v>
      </c>
      <c r="I388" s="118" t="n">
        <v>113.0033135986328</v>
      </c>
      <c r="J388" s="118" t="n">
        <v>101.7690216064453</v>
      </c>
      <c r="K388" s="120" t="n">
        <v>0.1954360788849293</v>
      </c>
      <c r="L388" s="120" t="n">
        <v>-0.03598457195620919</v>
      </c>
      <c r="M388" s="120" t="n">
        <v>-0.1173048186846049</v>
      </c>
      <c r="N388" t="n">
        <v>51.32920682279858</v>
      </c>
      <c r="O388" t="n">
        <v>-0.5511475019732097</v>
      </c>
      <c r="P388" t="n">
        <v>94.16068531068417</v>
      </c>
      <c r="Q388" t="n">
        <v>82.62563100438855</v>
      </c>
    </row>
    <row r="389">
      <c r="A389" s="117" t="n">
        <v>44978</v>
      </c>
      <c r="B389" s="118" t="n">
        <v>115.1071321199174</v>
      </c>
      <c r="C389" s="118" t="n">
        <v>115.7794007479075</v>
      </c>
      <c r="D389" s="118" t="n">
        <v>112.9596152511742</v>
      </c>
      <c r="E389" s="118" t="n">
        <v>113.0716552734375</v>
      </c>
      <c r="F389" s="119" t="n">
        <v>5110300</v>
      </c>
      <c r="G389" s="120" t="n">
        <v>-0.02995836103886051</v>
      </c>
      <c r="H389" s="121" t="n">
        <v>71.07839639038194</v>
      </c>
      <c r="I389" s="118" t="n">
        <v>113.2417817687988</v>
      </c>
      <c r="J389" s="118" t="n">
        <v>101.7507929229736</v>
      </c>
      <c r="K389" s="120" t="n">
        <v>0.2140790573745623</v>
      </c>
      <c r="L389" s="120" t="n">
        <v>-0.06486489419657659</v>
      </c>
      <c r="M389" s="120" t="n">
        <v>-0.1437489196137139</v>
      </c>
      <c r="N389" t="n">
        <v>42.62220679561359</v>
      </c>
      <c r="O389" t="n">
        <v>-0.7380677187091278</v>
      </c>
      <c r="P389" t="n">
        <v>92.27173313326989</v>
      </c>
      <c r="Q389" t="n">
        <v>80.66947040913666</v>
      </c>
    </row>
    <row r="390">
      <c r="A390" s="117" t="n">
        <v>44979</v>
      </c>
      <c r="B390" s="118" t="n">
        <v>113.0716606690818</v>
      </c>
      <c r="C390" s="118" t="n">
        <v>113.3517749853119</v>
      </c>
      <c r="D390" s="118" t="n">
        <v>111.7084523855413</v>
      </c>
      <c r="E390" s="118" t="n">
        <v>111.9512176513672</v>
      </c>
      <c r="F390" s="119" t="n">
        <v>5022000</v>
      </c>
      <c r="G390" s="120" t="n">
        <v>-0.009909093657122114</v>
      </c>
      <c r="H390" s="121" t="n">
        <v>70.37407390355159</v>
      </c>
      <c r="I390" s="118" t="n">
        <v>113.4012586975098</v>
      </c>
      <c r="J390" s="118" t="n">
        <v>101.7613587188721</v>
      </c>
      <c r="K390" s="120" t="n">
        <v>0.2133587869096132</v>
      </c>
      <c r="L390" s="120" t="n">
        <v>-0.07413123554204559</v>
      </c>
      <c r="M390" s="120" t="n">
        <v>-0.1310027686066654</v>
      </c>
      <c r="N390" t="n">
        <v>40.26230685160336</v>
      </c>
      <c r="O390" t="n">
        <v>-0.8984635305914446</v>
      </c>
      <c r="P390" t="n">
        <v>92.14456083088672</v>
      </c>
      <c r="Q390" t="n">
        <v>80.72984109505907</v>
      </c>
    </row>
    <row r="391">
      <c r="A391" s="117" t="n">
        <v>44980</v>
      </c>
      <c r="B391" s="118" t="n">
        <v>112.754199393555</v>
      </c>
      <c r="C391" s="118" t="n">
        <v>112.754199393555</v>
      </c>
      <c r="D391" s="118" t="n">
        <v>110.6907125351407</v>
      </c>
      <c r="E391" s="118" t="n">
        <v>112.0072326660156</v>
      </c>
      <c r="F391" s="119" t="n">
        <v>4101900</v>
      </c>
      <c r="G391" s="120" t="n">
        <v>0.0005003519910151688</v>
      </c>
      <c r="H391" s="121" t="n">
        <v>70.4092857115451</v>
      </c>
      <c r="I391" s="118" t="n">
        <v>113.5980839538574</v>
      </c>
      <c r="J391" s="118" t="n">
        <v>101.7913705062866</v>
      </c>
      <c r="K391" s="120" t="n">
        <v>0.2134637621637228</v>
      </c>
      <c r="L391" s="120" t="n">
        <v>-0.07366797526233004</v>
      </c>
      <c r="M391" s="120" t="n">
        <v>-0.130567964111751</v>
      </c>
      <c r="N391" t="n">
        <v>40.43985447462503</v>
      </c>
      <c r="O391" t="n">
        <v>-0.9566999068800233</v>
      </c>
      <c r="P391" t="n">
        <v>92.63472836936327</v>
      </c>
      <c r="Q391" t="n">
        <v>81.43492046892638</v>
      </c>
    </row>
    <row r="392">
      <c r="A392" s="117" t="n">
        <v>44981</v>
      </c>
      <c r="B392" s="118" t="n">
        <v>110.1491566348374</v>
      </c>
      <c r="C392" s="118" t="n">
        <v>110.8681061980128</v>
      </c>
      <c r="D392" s="118" t="n">
        <v>109.5609180504553</v>
      </c>
      <c r="E392" s="118" t="n">
        <v>110.2145156860352</v>
      </c>
      <c r="F392" s="119" t="n">
        <v>4693000</v>
      </c>
      <c r="G392" s="120" t="n">
        <v>-0.01600536802231345</v>
      </c>
      <c r="H392" s="121" t="n">
        <v>69.2823591815436</v>
      </c>
      <c r="I392" s="118" t="n">
        <v>113.7095680236816</v>
      </c>
      <c r="J392" s="118" t="n">
        <v>101.827603263855</v>
      </c>
      <c r="K392" s="120" t="n">
        <v>0.2160957714738245</v>
      </c>
      <c r="L392" s="120" t="n">
        <v>-0.08849426022911133</v>
      </c>
      <c r="M392" s="120" t="n">
        <v>-0.1444835438165317</v>
      </c>
      <c r="N392" t="n">
        <v>36.68222427171762</v>
      </c>
      <c r="O392" t="n">
        <v>-1.063653125333421</v>
      </c>
      <c r="P392" t="n">
        <v>91.64516197348934</v>
      </c>
      <c r="Q392" t="n">
        <v>80.07139393231043</v>
      </c>
    </row>
    <row r="393">
      <c r="A393" s="117" t="n">
        <v>44984</v>
      </c>
      <c r="B393" s="118" t="n">
        <v>111.3536505715495</v>
      </c>
      <c r="C393" s="118" t="n">
        <v>111.8765230463406</v>
      </c>
      <c r="D393" s="118" t="n">
        <v>110.475965668633</v>
      </c>
      <c r="E393" s="118" t="n">
        <v>110.6720428466797</v>
      </c>
      <c r="F393" s="119" t="n">
        <v>4239800</v>
      </c>
      <c r="G393" s="120" t="n">
        <v>0.004151242309569092</v>
      </c>
      <c r="H393" s="121" t="n">
        <v>69.56996704228479</v>
      </c>
      <c r="I393" s="118" t="n">
        <v>113.8156365966797</v>
      </c>
      <c r="J393" s="118" t="n">
        <v>101.874086227417</v>
      </c>
      <c r="K393" s="120" t="n">
        <v>0.2175539593860925</v>
      </c>
      <c r="L393" s="120" t="n">
        <v>-0.08471037903675926</v>
      </c>
      <c r="M393" s="120" t="n">
        <v>-0.1409320877070903</v>
      </c>
      <c r="N393" t="n">
        <v>38.25899298710692</v>
      </c>
      <c r="O393" t="n">
        <v>-1.049504847508891</v>
      </c>
      <c r="P393" t="n">
        <v>91.95729271612055</v>
      </c>
      <c r="Q393" t="n">
        <v>80.64478729115906</v>
      </c>
    </row>
    <row r="394">
      <c r="A394" s="117" t="n">
        <v>44985</v>
      </c>
      <c r="B394" s="118" t="n">
        <v>110.8681068320657</v>
      </c>
      <c r="C394" s="118" t="n">
        <v>112.4180602316229</v>
      </c>
      <c r="D394" s="118" t="n">
        <v>110.0371101233979</v>
      </c>
      <c r="E394" s="118" t="n">
        <v>110.914794921875</v>
      </c>
      <c r="F394" s="119" t="n">
        <v>8414100</v>
      </c>
      <c r="G394" s="120" t="n">
        <v>0.002193436291147322</v>
      </c>
      <c r="H394" s="121" t="n">
        <v>69.72256433276925</v>
      </c>
      <c r="I394" s="118" t="n">
        <v>113.9527044677734</v>
      </c>
      <c r="J394" s="118" t="n">
        <v>101.9290511703491</v>
      </c>
      <c r="K394" s="120" t="n">
        <v>0.2174366593326822</v>
      </c>
      <c r="L394" s="120" t="n">
        <v>-0.08270274956522805</v>
      </c>
      <c r="M394" s="120" t="n">
        <v>-0.1390477769717069</v>
      </c>
      <c r="N394" t="n">
        <v>39.12517827032341</v>
      </c>
      <c r="O394" t="n">
        <v>-0.9715085844048463</v>
      </c>
      <c r="P394" t="n">
        <v>91.61742374181601</v>
      </c>
      <c r="Q394" t="n">
        <v>80.54052696278218</v>
      </c>
    </row>
    <row r="395">
      <c r="A395" s="117" t="n">
        <v>44986</v>
      </c>
      <c r="B395" s="118" t="n">
        <v>110.1304732967023</v>
      </c>
      <c r="C395" s="118" t="n">
        <v>111.84849375476</v>
      </c>
      <c r="D395" s="118" t="n">
        <v>110.0184332849086</v>
      </c>
      <c r="E395" s="118" t="n">
        <v>110.7187118530273</v>
      </c>
      <c r="F395" s="119" t="n">
        <v>4120500</v>
      </c>
      <c r="G395" s="120" t="n">
        <v>-0.001767871175218483</v>
      </c>
      <c r="H395" s="121" t="n">
        <v>69.59930382102304</v>
      </c>
      <c r="I395" s="118" t="n">
        <v>114.1407522583008</v>
      </c>
      <c r="J395" s="118" t="n">
        <v>101.9831282424927</v>
      </c>
      <c r="K395" s="120" t="n">
        <v>0.2138965240103178</v>
      </c>
      <c r="L395" s="120" t="n">
        <v>-0.08432441293337878</v>
      </c>
      <c r="M395" s="120" t="n">
        <v>-0.1405698295900389</v>
      </c>
      <c r="N395" t="n">
        <v>38.65345506684039</v>
      </c>
      <c r="O395" t="n">
        <v>-0.8833735031773144</v>
      </c>
      <c r="P395" t="n">
        <v>91.26597687831341</v>
      </c>
      <c r="Q395" t="n">
        <v>79.89304153086265</v>
      </c>
    </row>
    <row r="396">
      <c r="A396" s="117" t="n">
        <v>44987</v>
      </c>
      <c r="B396" s="118" t="n">
        <v>109.7570079676048</v>
      </c>
      <c r="C396" s="118" t="n">
        <v>112.007232951845</v>
      </c>
      <c r="D396" s="118" t="n">
        <v>109.7570079676048</v>
      </c>
      <c r="E396" s="118" t="n">
        <v>111.6524276733398</v>
      </c>
      <c r="F396" s="119" t="n">
        <v>4443200</v>
      </c>
      <c r="G396" s="120" t="n">
        <v>0.008433225104280018</v>
      </c>
      <c r="H396" s="121" t="n">
        <v>70.1862504172469</v>
      </c>
      <c r="I396" s="118" t="n">
        <v>114.3952803039551</v>
      </c>
      <c r="J396" s="118" t="n">
        <v>102.0182175445557</v>
      </c>
      <c r="K396" s="120" t="n">
        <v>0.2049438209209854</v>
      </c>
      <c r="L396" s="120" t="n">
        <v>-0.07660231458515232</v>
      </c>
      <c r="M396" s="120" t="n">
        <v>-0.133322061501562</v>
      </c>
      <c r="N396" t="n">
        <v>42.22557356834817</v>
      </c>
      <c r="O396" t="n">
        <v>-0.7193892811739636</v>
      </c>
      <c r="P396" t="n">
        <v>91.97578487056943</v>
      </c>
      <c r="Q396" t="n">
        <v>80.55424834993069</v>
      </c>
    </row>
    <row r="397">
      <c r="A397" s="117" t="n">
        <v>44988</v>
      </c>
      <c r="B397" s="118" t="n">
        <v>112.4857927518652</v>
      </c>
      <c r="C397" s="118" t="n">
        <v>113.3378903601215</v>
      </c>
      <c r="D397" s="118" t="n">
        <v>111.4464245552019</v>
      </c>
      <c r="E397" s="118" t="n">
        <v>113.244255065918</v>
      </c>
      <c r="F397" s="119" t="n">
        <v>3871800</v>
      </c>
      <c r="G397" s="120" t="n">
        <v>0.01425698863651514</v>
      </c>
      <c r="H397" s="121" t="n">
        <v>71.1868949918852</v>
      </c>
      <c r="I397" s="118" t="n">
        <v>114.7357997131348</v>
      </c>
      <c r="J397" s="118" t="n">
        <v>102.063164024353</v>
      </c>
      <c r="K397" s="120" t="n">
        <v>0.2148562135747032</v>
      </c>
      <c r="L397" s="120" t="n">
        <v>-0.06343744427720843</v>
      </c>
      <c r="M397" s="120" t="n">
        <v>-0.1209658439808714</v>
      </c>
      <c r="N397" t="n">
        <v>47.8054763000437</v>
      </c>
      <c r="O397" t="n">
        <v>-0.4728218343002168</v>
      </c>
      <c r="P397" t="n">
        <v>93.45087731842816</v>
      </c>
      <c r="Q397" t="n">
        <v>82.21960268467581</v>
      </c>
    </row>
    <row r="398">
      <c r="A398" s="117" t="n">
        <v>44991</v>
      </c>
      <c r="B398" s="118" t="n">
        <v>113.4221353652592</v>
      </c>
      <c r="C398" s="118" t="n">
        <v>114.2274115796839</v>
      </c>
      <c r="D398" s="118" t="n">
        <v>112.3265876586281</v>
      </c>
      <c r="E398" s="118" t="n">
        <v>112.5232238769531</v>
      </c>
      <c r="F398" s="119" t="n">
        <v>5183800</v>
      </c>
      <c r="G398" s="120" t="n">
        <v>-0.006367044302116209</v>
      </c>
      <c r="H398" s="121" t="n">
        <v>70.73364487774177</v>
      </c>
      <c r="I398" s="118" t="n">
        <v>115.0589106750488</v>
      </c>
      <c r="J398" s="118" t="n">
        <v>102.0892281723022</v>
      </c>
      <c r="K398" s="120" t="n">
        <v>0.2130734784040539</v>
      </c>
      <c r="L398" s="120" t="n">
        <v>-0.06940057956119861</v>
      </c>
      <c r="M398" s="120" t="n">
        <v>-0.1265626933953186</v>
      </c>
      <c r="N398" t="n">
        <v>45.65458650047832</v>
      </c>
      <c r="O398" t="n">
        <v>-0.3339418697914742</v>
      </c>
      <c r="P398" t="n">
        <v>93.51561461730292</v>
      </c>
      <c r="Q398" t="n">
        <v>82.31287565074075</v>
      </c>
    </row>
    <row r="399">
      <c r="A399" s="117" t="n">
        <v>44992</v>
      </c>
      <c r="B399" s="118" t="n">
        <v>112.551340538564</v>
      </c>
      <c r="C399" s="118" t="n">
        <v>113.3191613974399</v>
      </c>
      <c r="D399" s="118" t="n">
        <v>111.6430703073875</v>
      </c>
      <c r="E399" s="118" t="n">
        <v>111.9801559448242</v>
      </c>
      <c r="F399" s="119" t="n">
        <v>5345700</v>
      </c>
      <c r="G399" s="120" t="n">
        <v>-0.004826274198495795</v>
      </c>
      <c r="H399" s="121" t="n">
        <v>70.39226491250275</v>
      </c>
      <c r="I399" s="118" t="n">
        <v>115.1364266967773</v>
      </c>
      <c r="J399" s="118" t="n">
        <v>102.1428072357178</v>
      </c>
      <c r="K399" s="120" t="n">
        <v>0.2085514201292344</v>
      </c>
      <c r="L399" s="120" t="n">
        <v>-0.07389190753319763</v>
      </c>
      <c r="M399" s="120" t="n">
        <v>-0.1307781413321883</v>
      </c>
      <c r="N399" t="n">
        <v>44.04711682893639</v>
      </c>
      <c r="O399" t="n">
        <v>-0.2577203298362978</v>
      </c>
      <c r="P399" t="n">
        <v>92.08214058568191</v>
      </c>
      <c r="Q399" t="n">
        <v>81.30325154156294</v>
      </c>
    </row>
    <row r="400">
      <c r="A400" s="117" t="n">
        <v>44993</v>
      </c>
      <c r="B400" s="118" t="n">
        <v>111.6805108382781</v>
      </c>
      <c r="C400" s="118" t="n">
        <v>112.4015175702012</v>
      </c>
      <c r="D400" s="118" t="n">
        <v>111.1748788458079</v>
      </c>
      <c r="E400" s="118" t="n">
        <v>112.2329711914062</v>
      </c>
      <c r="F400" s="119" t="n">
        <v>4175200</v>
      </c>
      <c r="G400" s="120" t="n">
        <v>0.00225767900079199</v>
      </c>
      <c r="H400" s="121" t="n">
        <v>70.55118805081389</v>
      </c>
      <c r="I400" s="118" t="n">
        <v>115.201632232666</v>
      </c>
      <c r="J400" s="118" t="n">
        <v>102.2112146377563</v>
      </c>
      <c r="K400" s="120" t="n">
        <v>0.209131029559178</v>
      </c>
      <c r="L400" s="120" t="n">
        <v>-0.07180105274037185</v>
      </c>
      <c r="M400" s="120" t="n">
        <v>-0.1288157173948448</v>
      </c>
      <c r="N400" t="n">
        <v>45.01766114451134</v>
      </c>
      <c r="O400" t="n">
        <v>-0.1733887336702153</v>
      </c>
      <c r="P400" t="n">
        <v>92.23241701239849</v>
      </c>
      <c r="Q400" t="n">
        <v>81.70928840510332</v>
      </c>
    </row>
    <row r="401">
      <c r="A401" s="117" t="n">
        <v>44994</v>
      </c>
      <c r="B401" s="118" t="n">
        <v>112.4389767024631</v>
      </c>
      <c r="C401" s="118" t="n">
        <v>114.105709199331</v>
      </c>
      <c r="D401" s="118" t="n">
        <v>110.0699687955274</v>
      </c>
      <c r="E401" s="118" t="n">
        <v>110.3696060180664</v>
      </c>
      <c r="F401" s="119" t="n">
        <v>5635900</v>
      </c>
      <c r="G401" s="120" t="n">
        <v>-0.01660265386863891</v>
      </c>
      <c r="H401" s="121" t="n">
        <v>69.37985109558498</v>
      </c>
      <c r="I401" s="118" t="n">
        <v>115.2381605529785</v>
      </c>
      <c r="J401" s="118" t="n">
        <v>102.2630833435059</v>
      </c>
      <c r="K401" s="120" t="n">
        <v>0.2063632523208334</v>
      </c>
      <c r="L401" s="120" t="n">
        <v>-0.08721161858295834</v>
      </c>
      <c r="M401" s="120" t="n">
        <v>-0.1432796884947367</v>
      </c>
      <c r="N401" t="n">
        <v>39.56968839454522</v>
      </c>
      <c r="O401" t="n">
        <v>-0.2230492156305161</v>
      </c>
      <c r="P401" t="n">
        <v>90.53074770805399</v>
      </c>
      <c r="Q401" t="n">
        <v>80.2936103447299</v>
      </c>
    </row>
    <row r="402">
      <c r="A402" s="117" t="n">
        <v>44995</v>
      </c>
      <c r="B402" s="118" t="n">
        <v>111.2685221470508</v>
      </c>
      <c r="C402" s="118" t="n">
        <v>111.4183371923698</v>
      </c>
      <c r="D402" s="118" t="n">
        <v>109.2178755813783</v>
      </c>
      <c r="E402" s="118" t="n">
        <v>110.013786315918</v>
      </c>
      <c r="F402" s="119" t="n">
        <v>5979600</v>
      </c>
      <c r="G402" s="120" t="n">
        <v>-0.00322389211111429</v>
      </c>
      <c r="H402" s="121" t="n">
        <v>69.15617794096764</v>
      </c>
      <c r="I402" s="118" t="n">
        <v>115.2431097412109</v>
      </c>
      <c r="J402" s="118" t="n">
        <v>102.3102563095093</v>
      </c>
      <c r="K402" s="120" t="n">
        <v>0.2058773341107991</v>
      </c>
      <c r="L402" s="120" t="n">
        <v>-0.09015434984492565</v>
      </c>
      <c r="M402" s="120" t="n">
        <v>-0.1460416623484299</v>
      </c>
      <c r="N402" t="n">
        <v>38.60883873839247</v>
      </c>
      <c r="O402" t="n">
        <v>-0.2573736474271344</v>
      </c>
      <c r="P402" t="n">
        <v>89.22445335796799</v>
      </c>
      <c r="Q402" t="n">
        <v>79.16600452002669</v>
      </c>
    </row>
    <row r="403">
      <c r="A403" s="117" t="n">
        <v>44998</v>
      </c>
      <c r="B403" s="118" t="n">
        <v>108.4500511352916</v>
      </c>
      <c r="C403" s="118" t="n">
        <v>110.7628793117318</v>
      </c>
      <c r="D403" s="118" t="n">
        <v>108.4219612617178</v>
      </c>
      <c r="E403" s="118" t="n">
        <v>109.4238739013672</v>
      </c>
      <c r="F403" s="119" t="n">
        <v>6038200</v>
      </c>
      <c r="G403" s="120" t="n">
        <v>-0.005362168090977004</v>
      </c>
      <c r="H403" s="121" t="n">
        <v>68.78535089031865</v>
      </c>
      <c r="I403" s="118" t="n">
        <v>115.2844393920898</v>
      </c>
      <c r="J403" s="118" t="n">
        <v>102.3606831359863</v>
      </c>
      <c r="K403" s="120" t="n">
        <v>0.2061000555410159</v>
      </c>
      <c r="L403" s="120" t="n">
        <v>-0.09503309515790137</v>
      </c>
      <c r="M403" s="120" t="n">
        <v>-0.1506207304976089</v>
      </c>
      <c r="N403" t="n">
        <v>37.004522990589</v>
      </c>
      <c r="O403" t="n">
        <v>-0.2946390400750523</v>
      </c>
      <c r="P403" t="n">
        <v>89.09725891812937</v>
      </c>
      <c r="Q403" t="n">
        <v>79.75313635367905</v>
      </c>
    </row>
    <row r="404">
      <c r="A404" s="117" t="n">
        <v>44999</v>
      </c>
      <c r="B404" s="118" t="n">
        <v>111.4277038574219</v>
      </c>
      <c r="C404" s="118" t="n">
        <v>111.8865218141856</v>
      </c>
      <c r="D404" s="118" t="n">
        <v>109.7703369517728</v>
      </c>
      <c r="E404" s="118" t="n">
        <v>111.4277038574219</v>
      </c>
      <c r="F404" s="119" t="n">
        <v>6050800</v>
      </c>
      <c r="G404" s="120" t="n">
        <v>0.01831254811779837</v>
      </c>
      <c r="H404" s="121" t="n">
        <v>70.04498593829726</v>
      </c>
      <c r="I404" s="118" t="n">
        <v>115.3215882873535</v>
      </c>
      <c r="J404" s="118" t="n">
        <v>102.4169164276123</v>
      </c>
      <c r="K404" s="120" t="n">
        <v>0.1975756837960677</v>
      </c>
      <c r="L404" s="120" t="n">
        <v>-0.07846084516796537</v>
      </c>
      <c r="M404" s="120" t="n">
        <v>-0.135066431754586</v>
      </c>
      <c r="N404" t="n">
        <v>45.31671747340585</v>
      </c>
      <c r="O404" t="n">
        <v>-0.1655961359393112</v>
      </c>
      <c r="P404" t="n">
        <v>90.57004907062176</v>
      </c>
      <c r="Q404" t="n">
        <v>81.58583009607719</v>
      </c>
    </row>
    <row r="405">
      <c r="A405" s="117" t="n">
        <v>45000</v>
      </c>
      <c r="B405" s="118" t="n">
        <v>108.9182197468374</v>
      </c>
      <c r="C405" s="118" t="n">
        <v>111.0812254411433</v>
      </c>
      <c r="D405" s="118" t="n">
        <v>108.4406705300987</v>
      </c>
      <c r="E405" s="118" t="n">
        <v>110.6504974365234</v>
      </c>
      <c r="F405" s="119" t="n">
        <v>6599200</v>
      </c>
      <c r="G405" s="120" t="n">
        <v>-0.006974983724809758</v>
      </c>
      <c r="H405" s="121" t="n">
        <v>69.5564233013731</v>
      </c>
      <c r="I405" s="118" t="n">
        <v>115.3495419311523</v>
      </c>
      <c r="J405" s="118" t="n">
        <v>102.4473201370239</v>
      </c>
      <c r="K405" s="120" t="n">
        <v>0.1940457572668633</v>
      </c>
      <c r="L405" s="120" t="n">
        <v>-0.08488856577469384</v>
      </c>
      <c r="M405" s="120" t="n">
        <v>-0.1410993293161393</v>
      </c>
      <c r="N405" t="n">
        <v>42.94956984266924</v>
      </c>
      <c r="O405" t="n">
        <v>-0.1161808730534182</v>
      </c>
      <c r="P405" t="n">
        <v>90.00361061898329</v>
      </c>
      <c r="Q405" t="n">
        <v>82.01383314041384</v>
      </c>
    </row>
    <row r="406">
      <c r="A406" s="117" t="n">
        <v>45001</v>
      </c>
      <c r="B406" s="118" t="n">
        <v>109.4238621567818</v>
      </c>
      <c r="C406" s="118" t="n">
        <v>113.122509421258</v>
      </c>
      <c r="D406" s="118" t="n">
        <v>109.1897703769057</v>
      </c>
      <c r="E406" s="118" t="n">
        <v>112.9726943969727</v>
      </c>
      <c r="F406" s="119" t="n">
        <v>5658700</v>
      </c>
      <c r="G406" s="120" t="n">
        <v>0.02098677379901881</v>
      </c>
      <c r="H406" s="121" t="n">
        <v>71.01618822346782</v>
      </c>
      <c r="I406" s="118" t="n">
        <v>115.3914468383789</v>
      </c>
      <c r="J406" s="118" t="n">
        <v>102.4752150726318</v>
      </c>
      <c r="K406" s="120" t="n">
        <v>0.2072092756597161</v>
      </c>
      <c r="L406" s="120" t="n">
        <v>-0.06568332910371166</v>
      </c>
      <c r="M406" s="120" t="n">
        <v>-0.1230737752246717</v>
      </c>
      <c r="N406" t="n">
        <v>51.15877005818562</v>
      </c>
      <c r="O406" t="n">
        <v>0.07879637994234789</v>
      </c>
      <c r="P406" t="n">
        <v>91.5827195908291</v>
      </c>
      <c r="Q406" t="n">
        <v>84.17578036758295</v>
      </c>
    </row>
    <row r="407">
      <c r="A407" s="117" t="n">
        <v>45002</v>
      </c>
      <c r="B407" s="118" t="n">
        <v>113.4596133289864</v>
      </c>
      <c r="C407" s="118" t="n">
        <v>113.9839838254091</v>
      </c>
      <c r="D407" s="118" t="n">
        <v>111.1186952996985</v>
      </c>
      <c r="E407" s="118" t="n">
        <v>112.729248046875</v>
      </c>
      <c r="F407" s="119" t="n">
        <v>12868900</v>
      </c>
      <c r="G407" s="120" t="n">
        <v>-0.002154913197362718</v>
      </c>
      <c r="H407" s="121" t="n">
        <v>70.86315450223867</v>
      </c>
      <c r="I407" s="118" t="n">
        <v>115.3825444030762</v>
      </c>
      <c r="J407" s="118" t="n">
        <v>102.4886525726318</v>
      </c>
      <c r="K407" s="120" t="n">
        <v>0.1905614362587854</v>
      </c>
      <c r="L407" s="120" t="n">
        <v>-0.06769670042834208</v>
      </c>
      <c r="M407" s="120" t="n">
        <v>-0.1249634751195535</v>
      </c>
      <c r="N407" t="n">
        <v>50.34096024269675</v>
      </c>
      <c r="O407" t="n">
        <v>0.1908750833906776</v>
      </c>
      <c r="P407" t="n">
        <v>90.51189397516617</v>
      </c>
      <c r="Q407" t="n">
        <v>83.77795412237987</v>
      </c>
    </row>
    <row r="408">
      <c r="A408" s="117" t="n">
        <v>45005</v>
      </c>
      <c r="B408" s="118" t="n">
        <v>113.2910651619203</v>
      </c>
      <c r="C408" s="118" t="n">
        <v>114.8735280108637</v>
      </c>
      <c r="D408" s="118" t="n">
        <v>112.1861515837311</v>
      </c>
      <c r="E408" s="118" t="n">
        <v>113.4877014160156</v>
      </c>
      <c r="F408" s="119" t="n">
        <v>7594100</v>
      </c>
      <c r="G408" s="120" t="n">
        <v>0.006728097474980377</v>
      </c>
      <c r="H408" s="121" t="n">
        <v>71.33992871311433</v>
      </c>
      <c r="I408" s="118" t="n">
        <v>115.3998284912109</v>
      </c>
      <c r="J408" s="118" t="n">
        <v>102.5066693878174</v>
      </c>
      <c r="K408" s="120" t="n">
        <v>0.1919388699808222</v>
      </c>
      <c r="L408" s="120" t="n">
        <v>-0.06142407295257812</v>
      </c>
      <c r="M408" s="120" t="n">
        <v>-0.1190761440859897</v>
      </c>
      <c r="N408" t="n">
        <v>52.86880818603002</v>
      </c>
      <c r="O408" t="n">
        <v>0.3086230876946602</v>
      </c>
      <c r="P408" t="n">
        <v>91.38220589855463</v>
      </c>
      <c r="Q408" t="n">
        <v>84.07527077952872</v>
      </c>
    </row>
    <row r="409">
      <c r="A409" s="117" t="n">
        <v>45006</v>
      </c>
      <c r="B409" s="118" t="n">
        <v>115.6413453900564</v>
      </c>
      <c r="C409" s="118" t="n">
        <v>118.0384430570284</v>
      </c>
      <c r="D409" s="118" t="n">
        <v>115.1450719334331</v>
      </c>
      <c r="E409" s="118" t="n">
        <v>117.6170806884766</v>
      </c>
      <c r="F409" s="119" t="n">
        <v>15078800</v>
      </c>
      <c r="G409" s="120" t="n">
        <v>0.03638613894666642</v>
      </c>
      <c r="H409" s="121" t="n">
        <v>73.93571327171499</v>
      </c>
      <c r="I409" s="118" t="n">
        <v>115.4266847229004</v>
      </c>
      <c r="J409" s="118" t="n">
        <v>102.5234357833862</v>
      </c>
      <c r="K409" s="120" t="n">
        <v>0.2044668794094454</v>
      </c>
      <c r="L409" s="120" t="n">
        <v>-0.02727291885903438</v>
      </c>
      <c r="M409" s="120" t="n">
        <v>-0.08702272626326935</v>
      </c>
      <c r="N409" t="n">
        <v>63.70237393192868</v>
      </c>
      <c r="O409" t="n">
        <v>0.638173156594852</v>
      </c>
      <c r="P409" t="n">
        <v>92.58208550031361</v>
      </c>
      <c r="Q409" t="n">
        <v>85.27607157540335</v>
      </c>
    </row>
    <row r="410">
      <c r="A410" s="117" t="n">
        <v>45007</v>
      </c>
      <c r="B410" s="118" t="n">
        <v>115.7911884674986</v>
      </c>
      <c r="C410" s="118" t="n">
        <v>117.2893747797915</v>
      </c>
      <c r="D410" s="118" t="n">
        <v>111.7367161786716</v>
      </c>
      <c r="E410" s="118" t="n">
        <v>111.8958969116211</v>
      </c>
      <c r="F410" s="119" t="n">
        <v>17625500</v>
      </c>
      <c r="G410" s="120" t="n">
        <v>-0.04864245688947788</v>
      </c>
      <c r="H410" s="121" t="n">
        <v>70.3392985263028</v>
      </c>
      <c r="I410" s="118" t="n">
        <v>115.3331414794922</v>
      </c>
      <c r="J410" s="118" t="n">
        <v>102.521597442627</v>
      </c>
      <c r="K410" s="120" t="n">
        <v>0.2701817710963813</v>
      </c>
      <c r="L410" s="120" t="n">
        <v>-0.07458875396866138</v>
      </c>
      <c r="M410" s="120" t="n">
        <v>-0.1314321839420813</v>
      </c>
      <c r="N410" t="n">
        <v>47.43415584527678</v>
      </c>
      <c r="O410" t="n">
        <v>0.4531066503196763</v>
      </c>
      <c r="P410" t="n">
        <v>91.00389892244469</v>
      </c>
      <c r="Q410" t="n">
        <v>84.11650329159515</v>
      </c>
    </row>
    <row r="411">
      <c r="A411" s="117" t="n">
        <v>45008</v>
      </c>
      <c r="B411" s="118" t="n">
        <v>112.8041628752149</v>
      </c>
      <c r="C411" s="118" t="n">
        <v>115.4259868685216</v>
      </c>
      <c r="D411" s="118" t="n">
        <v>111.8677956324807</v>
      </c>
      <c r="E411" s="118" t="n">
        <v>113.272346496582</v>
      </c>
      <c r="F411" s="119" t="n">
        <v>7628100</v>
      </c>
      <c r="G411" s="120" t="n">
        <v>0.01230116226735367</v>
      </c>
      <c r="H411" s="121" t="n">
        <v>71.20455365124668</v>
      </c>
      <c r="I411" s="118" t="n">
        <v>115.2486399841309</v>
      </c>
      <c r="J411" s="118" t="n">
        <v>102.5299827575684</v>
      </c>
      <c r="K411" s="120" t="n">
        <v>0.2736307965726607</v>
      </c>
      <c r="L411" s="120" t="n">
        <v>-0.06320512006719592</v>
      </c>
      <c r="M411" s="120" t="n">
        <v>-0.1207477902965518</v>
      </c>
      <c r="N411" t="n">
        <v>50.6964396834566</v>
      </c>
      <c r="O411" t="n">
        <v>0.4071115946465234</v>
      </c>
      <c r="P411" t="n">
        <v>91.24992722311532</v>
      </c>
      <c r="Q411" t="n">
        <v>85.11394390259504</v>
      </c>
    </row>
    <row r="412">
      <c r="A412" s="117" t="n">
        <v>45009</v>
      </c>
      <c r="B412" s="118" t="n">
        <v>112.5794250291234</v>
      </c>
      <c r="C412" s="118" t="n">
        <v>113.3004245877229</v>
      </c>
      <c r="D412" s="118" t="n">
        <v>111.7273274977731</v>
      </c>
      <c r="E412" s="118" t="n">
        <v>113.0288772583008</v>
      </c>
      <c r="F412" s="119" t="n">
        <v>6158800</v>
      </c>
      <c r="G412" s="120" t="n">
        <v>-0.002149414626001378</v>
      </c>
      <c r="H412" s="121" t="n">
        <v>71.0515055421908</v>
      </c>
      <c r="I412" s="118" t="n">
        <v>115.1200534057617</v>
      </c>
      <c r="J412" s="118" t="n">
        <v>102.5304678726196</v>
      </c>
      <c r="K412" s="120" t="n">
        <v>0.2667421527816899</v>
      </c>
      <c r="L412" s="120" t="n">
        <v>-0.06521868068368664</v>
      </c>
      <c r="M412" s="120" t="n">
        <v>-0.1226376678560325</v>
      </c>
      <c r="N412" t="n">
        <v>50.10411481517269</v>
      </c>
      <c r="O412" t="n">
        <v>0.3463876422226241</v>
      </c>
      <c r="P412" t="n">
        <v>91.84872325546345</v>
      </c>
      <c r="Q412" t="n">
        <v>85.4272033420721</v>
      </c>
    </row>
    <row r="413">
      <c r="A413" s="117" t="n">
        <v>45012</v>
      </c>
      <c r="B413" s="118" t="n">
        <v>113.3191533270726</v>
      </c>
      <c r="C413" s="118" t="n">
        <v>113.3659745437817</v>
      </c>
      <c r="D413" s="118" t="n">
        <v>110.1261449483365</v>
      </c>
      <c r="E413" s="118" t="n">
        <v>110.3134155273438</v>
      </c>
      <c r="F413" s="119" t="n">
        <v>6564200</v>
      </c>
      <c r="G413" s="120" t="n">
        <v>-0.02402449530442996</v>
      </c>
      <c r="H413" s="121" t="n">
        <v>69.34452898091975</v>
      </c>
      <c r="I413" s="118" t="n">
        <v>114.9380912780762</v>
      </c>
      <c r="J413" s="118" t="n">
        <v>102.5139877700806</v>
      </c>
      <c r="K413" s="120" t="n">
        <v>0.2812391960032506</v>
      </c>
      <c r="L413" s="120" t="n">
        <v>-0.08767633010027032</v>
      </c>
      <c r="M413" s="120" t="n">
        <v>-0.1437158550849089</v>
      </c>
      <c r="N413" t="n">
        <v>43.93805657369436</v>
      </c>
      <c r="O413" t="n">
        <v>0.1210688792281081</v>
      </c>
      <c r="P413" t="n">
        <v>92.020443497355</v>
      </c>
      <c r="Q413" t="n">
        <v>84.84189134370158</v>
      </c>
    </row>
    <row r="414">
      <c r="A414" s="117" t="n">
        <v>45013</v>
      </c>
      <c r="B414" s="118" t="n">
        <v>110.444509965765</v>
      </c>
      <c r="C414" s="118" t="n">
        <v>110.9033350439613</v>
      </c>
      <c r="D414" s="118" t="n">
        <v>109.4145074597818</v>
      </c>
      <c r="E414" s="118" t="n">
        <v>110.3696060180664</v>
      </c>
      <c r="F414" s="119" t="n">
        <v>4461400</v>
      </c>
      <c r="G414" s="120" t="n">
        <v>0.0005093713258177424</v>
      </c>
      <c r="H414" s="121" t="n">
        <v>69.37985109558497</v>
      </c>
      <c r="I414" s="118" t="n">
        <v>114.7393260192871</v>
      </c>
      <c r="J414" s="118" t="n">
        <v>102.515424118042</v>
      </c>
      <c r="K414" s="120" t="n">
        <v>0.2811275481195523</v>
      </c>
      <c r="L414" s="120" t="n">
        <v>-0.08721161858295856</v>
      </c>
      <c r="M414" s="120" t="n">
        <v>-0.1432796884947367</v>
      </c>
      <c r="N414" t="n">
        <v>44.09138292473385</v>
      </c>
      <c r="O414" t="n">
        <v>-0.0189987111857336</v>
      </c>
      <c r="P414" t="n">
        <v>91.81390103804753</v>
      </c>
      <c r="Q414" t="n">
        <v>84.39126424384234</v>
      </c>
    </row>
    <row r="415">
      <c r="A415" s="117" t="n">
        <v>45014</v>
      </c>
      <c r="B415" s="118" t="n">
        <v>111.0906207134784</v>
      </c>
      <c r="C415" s="118" t="n">
        <v>112.8978099665313</v>
      </c>
      <c r="D415" s="118" t="n">
        <v>110.95016418361</v>
      </c>
      <c r="E415" s="118" t="n">
        <v>112.8228988647461</v>
      </c>
      <c r="F415" s="119" t="n">
        <v>5644000</v>
      </c>
      <c r="G415" s="120" t="n">
        <v>0.0222279750303549</v>
      </c>
      <c r="H415" s="121" t="n">
        <v>70.92202469334737</v>
      </c>
      <c r="I415" s="118" t="n">
        <v>114.6028852844238</v>
      </c>
      <c r="J415" s="118" t="n">
        <v>102.5470872116089</v>
      </c>
      <c r="K415" s="120" t="n">
        <v>0.2919310495059364</v>
      </c>
      <c r="L415" s="120" t="n">
        <v>-0.06692218123282256</v>
      </c>
      <c r="M415" s="120" t="n">
        <v>-0.1242365308025998</v>
      </c>
      <c r="N415" t="n">
        <v>50.46169937430702</v>
      </c>
      <c r="O415" t="n">
        <v>0.05473083051937</v>
      </c>
      <c r="P415" t="n">
        <v>93.14840588552305</v>
      </c>
      <c r="Q415" t="n">
        <v>85.93005031630973</v>
      </c>
    </row>
    <row r="416">
      <c r="A416" s="117" t="n">
        <v>45015</v>
      </c>
      <c r="B416" s="118" t="n">
        <v>113.3285090674351</v>
      </c>
      <c r="C416" s="118" t="n">
        <v>113.7124230078441</v>
      </c>
      <c r="D416" s="118" t="n">
        <v>111.7460463810218</v>
      </c>
      <c r="E416" s="118" t="n">
        <v>112.4576873779297</v>
      </c>
      <c r="F416" s="119" t="n">
        <v>4578900</v>
      </c>
      <c r="G416" s="120" t="n">
        <v>-0.003237033354853147</v>
      </c>
      <c r="H416" s="121" t="n">
        <v>70.6924477338213</v>
      </c>
      <c r="I416" s="118" t="n">
        <v>114.4910729980469</v>
      </c>
      <c r="J416" s="118" t="n">
        <v>102.5968337249756</v>
      </c>
      <c r="K416" s="120" t="n">
        <v>0.2909824121407114</v>
      </c>
      <c r="L416" s="120" t="n">
        <v>-0.06994258525484542</v>
      </c>
      <c r="M416" s="120" t="n">
        <v>-0.123290482181331</v>
      </c>
      <c r="N416" t="n">
        <v>49.55646242329284</v>
      </c>
      <c r="O416" t="n">
        <v>0.07860414363205603</v>
      </c>
      <c r="P416" t="n">
        <v>93.69382113364001</v>
      </c>
      <c r="Q416" t="n">
        <v>86.74340561753263</v>
      </c>
    </row>
    <row r="417">
      <c r="A417" s="117" t="n">
        <v>45016</v>
      </c>
      <c r="B417" s="118" t="n">
        <v>113.2255220741292</v>
      </c>
      <c r="C417" s="118" t="n">
        <v>114.9016202484823</v>
      </c>
      <c r="D417" s="118" t="n">
        <v>112.9258848506865</v>
      </c>
      <c r="E417" s="118" t="n">
        <v>114.8360748291016</v>
      </c>
      <c r="F417" s="119" t="n">
        <v>5659400</v>
      </c>
      <c r="G417" s="120" t="n">
        <v>0.02114917625132184</v>
      </c>
      <c r="H417" s="121" t="n">
        <v>72.18753477058124</v>
      </c>
      <c r="I417" s="118" t="n">
        <v>114.4623091125488</v>
      </c>
      <c r="J417" s="118" t="n">
        <v>102.6571726989746</v>
      </c>
      <c r="K417" s="120" t="n">
        <v>0.2962781389771156</v>
      </c>
      <c r="L417" s="120" t="n">
        <v>-0.05027263706655138</v>
      </c>
      <c r="M417" s="120" t="n">
        <v>-0.09501602051597657</v>
      </c>
      <c r="N417" t="n">
        <v>55.19365393735058</v>
      </c>
      <c r="O417" t="n">
        <v>0.2448879799482314</v>
      </c>
      <c r="P417" t="n">
        <v>95.01439414248844</v>
      </c>
      <c r="Q417" t="n">
        <v>88.18602236637383</v>
      </c>
    </row>
    <row r="418">
      <c r="A418" s="117" t="n">
        <v>45019</v>
      </c>
      <c r="B418" s="118" t="n">
        <v>114.7049895814587</v>
      </c>
      <c r="C418" s="118" t="n">
        <v>115.032716694337</v>
      </c>
      <c r="D418" s="118" t="n">
        <v>113.1318922957278</v>
      </c>
      <c r="E418" s="118" t="n">
        <v>113.9278030395508</v>
      </c>
      <c r="F418" s="119" t="n">
        <v>4838400</v>
      </c>
      <c r="G418" s="120" t="n">
        <v>-0.007909289749780002</v>
      </c>
      <c r="H418" s="121" t="n">
        <v>71.6165826417584</v>
      </c>
      <c r="I418" s="118" t="n">
        <v>114.3763507080078</v>
      </c>
      <c r="J418" s="118" t="n">
        <v>102.7003471374512</v>
      </c>
      <c r="K418" s="120" t="n">
        <v>0.296827484367177</v>
      </c>
      <c r="L418" s="120" t="n">
        <v>-0.05778430596328643</v>
      </c>
      <c r="M418" s="120" t="n">
        <v>-0.1021738010286247</v>
      </c>
      <c r="N418" t="n">
        <v>52.76844342974565</v>
      </c>
      <c r="O418" t="n">
        <v>0.2814100360376302</v>
      </c>
      <c r="P418" t="n">
        <v>95.37645960545311</v>
      </c>
      <c r="Q418" t="n">
        <v>87.97168336301475</v>
      </c>
    </row>
    <row r="419">
      <c r="A419" s="117" t="n">
        <v>45020</v>
      </c>
      <c r="B419" s="118" t="n">
        <v>113.6562615575894</v>
      </c>
      <c r="C419" s="118" t="n">
        <v>116.0627252594136</v>
      </c>
      <c r="D419" s="118" t="n">
        <v>113.6375373547055</v>
      </c>
      <c r="E419" s="118" t="n">
        <v>115.8192749023438</v>
      </c>
      <c r="F419" s="119" t="n">
        <v>5895300</v>
      </c>
      <c r="G419" s="120" t="n">
        <v>0.01660237283901922</v>
      </c>
      <c r="H419" s="121" t="n">
        <v>72.8055878482333</v>
      </c>
      <c r="I419" s="118" t="n">
        <v>114.2970362854004</v>
      </c>
      <c r="J419" s="118" t="n">
        <v>102.7823093795776</v>
      </c>
      <c r="K419" s="120" t="n">
        <v>0.3011665213897441</v>
      </c>
      <c r="L419" s="120" t="n">
        <v>-0.04214128971611364</v>
      </c>
      <c r="M419" s="120" t="n">
        <v>-0.08726775572866241</v>
      </c>
      <c r="N419" t="n">
        <v>57.0053017665831</v>
      </c>
      <c r="O419" t="n">
        <v>0.4127170844396825</v>
      </c>
      <c r="P419" t="n">
        <v>94.84728587048139</v>
      </c>
      <c r="Q419" t="n">
        <v>87.67491351083321</v>
      </c>
    </row>
    <row r="420">
      <c r="A420" s="117" t="n">
        <v>45021</v>
      </c>
      <c r="B420" s="118" t="n">
        <v>115.1731644096638</v>
      </c>
      <c r="C420" s="118" t="n">
        <v>115.4821672970097</v>
      </c>
      <c r="D420" s="118" t="n">
        <v>112.8884261792242</v>
      </c>
      <c r="E420" s="118" t="n">
        <v>113.2067947387695</v>
      </c>
      <c r="F420" s="119" t="n">
        <v>4331400</v>
      </c>
      <c r="G420" s="120" t="n">
        <v>-0.02255652321927415</v>
      </c>
      <c r="H420" s="121" t="n">
        <v>71.16334691544172</v>
      </c>
      <c r="I420" s="118" t="n">
        <v>114.1927362060547</v>
      </c>
      <c r="J420" s="118" t="n">
        <v>102.8501882553101</v>
      </c>
      <c r="K420" s="120" t="n">
        <v>0.3133643782383604</v>
      </c>
      <c r="L420" s="120" t="n">
        <v>-0.0637472519554162</v>
      </c>
      <c r="M420" s="120" t="n">
        <v>-0.1078558217895491</v>
      </c>
      <c r="N420" t="n">
        <v>50.29456040433305</v>
      </c>
      <c r="O420" t="n">
        <v>0.3081778352918987</v>
      </c>
      <c r="P420" t="n">
        <v>94.59897003274806</v>
      </c>
      <c r="Q420" t="n">
        <v>86.80936396671477</v>
      </c>
    </row>
    <row r="421">
      <c r="A421" s="117" t="n">
        <v>45022</v>
      </c>
      <c r="B421" s="118" t="n">
        <v>111.9052560746163</v>
      </c>
      <c r="C421" s="118" t="n">
        <v>112.8228920120442</v>
      </c>
      <c r="D421" s="118" t="n">
        <v>110.3508829546042</v>
      </c>
      <c r="E421" s="118" t="n">
        <v>112.5700759887695</v>
      </c>
      <c r="F421" s="119" t="n">
        <v>4256900</v>
      </c>
      <c r="G421" s="120" t="n">
        <v>-0.005624386340672083</v>
      </c>
      <c r="H421" s="121" t="n">
        <v>70.763096759094</v>
      </c>
      <c r="I421" s="118" t="n">
        <v>114.0758888244629</v>
      </c>
      <c r="J421" s="118" t="n">
        <v>102.9086648178101</v>
      </c>
      <c r="K421" s="120" t="n">
        <v>0.3077350366788241</v>
      </c>
      <c r="L421" s="120" t="n">
        <v>-0.06901309912293485</v>
      </c>
      <c r="M421" s="120" t="n">
        <v>-0.1128735853193861</v>
      </c>
      <c r="N421" t="n">
        <v>48.78712133687271</v>
      </c>
      <c r="O421" t="n">
        <v>0.1866808941759802</v>
      </c>
      <c r="P421" t="n">
        <v>94.9679645192672</v>
      </c>
      <c r="Q421" t="n">
        <v>87.39463324594723</v>
      </c>
    </row>
    <row r="422">
      <c r="A422" s="117" t="n">
        <v>45026</v>
      </c>
      <c r="B422" s="118" t="n">
        <v>111.7086004671264</v>
      </c>
      <c r="C422" s="118" t="n">
        <v>114.1525192260742</v>
      </c>
      <c r="D422" s="118" t="n">
        <v>111.5494126270758</v>
      </c>
      <c r="E422" s="118" t="n">
        <v>114.1525192260742</v>
      </c>
      <c r="F422" s="119" t="n">
        <v>3731200</v>
      </c>
      <c r="G422" s="120" t="n">
        <v>0.0140574057839542</v>
      </c>
      <c r="H422" s="121" t="n">
        <v>71.7578423247658</v>
      </c>
      <c r="I422" s="118" t="n">
        <v>113.9774314880371</v>
      </c>
      <c r="J422" s="118" t="n">
        <v>102.9925033950806</v>
      </c>
      <c r="K422" s="120" t="n">
        <v>0.310565354805745</v>
      </c>
      <c r="L422" s="120" t="n">
        <v>-0.05592583847775989</v>
      </c>
      <c r="M422" s="120" t="n">
        <v>-0.1004028893265563</v>
      </c>
      <c r="N422" t="n">
        <v>52.59033578491977</v>
      </c>
      <c r="O422" t="n">
        <v>0.2021205208202459</v>
      </c>
      <c r="P422" t="n">
        <v>95.06544311474602</v>
      </c>
      <c r="Q422" t="n">
        <v>87.3452072031987</v>
      </c>
    </row>
    <row r="423">
      <c r="A423" s="117" t="n">
        <v>45027</v>
      </c>
      <c r="B423" s="118" t="n">
        <v>114.2742615528701</v>
      </c>
      <c r="C423" s="118" t="n">
        <v>116.1844516253073</v>
      </c>
      <c r="D423" s="118" t="n">
        <v>114.2742615528701</v>
      </c>
      <c r="E423" s="118" t="n">
        <v>115.4540863037109</v>
      </c>
      <c r="F423" s="119" t="n">
        <v>4471000</v>
      </c>
      <c r="G423" s="120" t="n">
        <v>0.01140200046797935</v>
      </c>
      <c r="H423" s="121" t="n">
        <v>72.57602527653397</v>
      </c>
      <c r="I423" s="118" t="n">
        <v>113.9050054931641</v>
      </c>
      <c r="J423" s="118" t="n">
        <v>103.0685557937622</v>
      </c>
      <c r="K423" s="120" t="n">
        <v>0.3109728462465707</v>
      </c>
      <c r="L423" s="120" t="n">
        <v>-0.0451615044462762</v>
      </c>
      <c r="M423" s="120" t="n">
        <v>-0.09014568264966483</v>
      </c>
      <c r="N423" t="n">
        <v>55.51646826008646</v>
      </c>
      <c r="O423" t="n">
        <v>0.2841944306091488</v>
      </c>
      <c r="P423" t="n">
        <v>95.09097498002662</v>
      </c>
      <c r="Q423" t="n">
        <v>86.78460395428863</v>
      </c>
    </row>
    <row r="424">
      <c r="A424" s="117" t="n">
        <v>45028</v>
      </c>
      <c r="B424" s="118" t="n">
        <v>116.8211706759255</v>
      </c>
      <c r="C424" s="118" t="n">
        <v>116.9148059645806</v>
      </c>
      <c r="D424" s="118" t="n">
        <v>115.3791643701108</v>
      </c>
      <c r="E424" s="118" t="n">
        <v>115.7911682128906</v>
      </c>
      <c r="F424" s="119" t="n">
        <v>4524900</v>
      </c>
      <c r="G424" s="120" t="n">
        <v>0.002919618698405957</v>
      </c>
      <c r="H424" s="121" t="n">
        <v>72.78791959698732</v>
      </c>
      <c r="I424" s="118" t="n">
        <v>113.8609829711914</v>
      </c>
      <c r="J424" s="118" t="n">
        <v>103.1235066986084</v>
      </c>
      <c r="K424" s="120" t="n">
        <v>0.3055878009844095</v>
      </c>
      <c r="L424" s="120" t="n">
        <v>-0.04237374012069972</v>
      </c>
      <c r="M424" s="120" t="n">
        <v>-0.08748925497190341</v>
      </c>
      <c r="N424" t="n">
        <v>56.26924749180741</v>
      </c>
      <c r="O424" t="n">
        <v>0.3415320413489903</v>
      </c>
      <c r="P424" t="n">
        <v>94.70339241008497</v>
      </c>
      <c r="Q424" t="n">
        <v>86.01798339011577</v>
      </c>
    </row>
    <row r="425">
      <c r="A425" s="117" t="n">
        <v>45029</v>
      </c>
      <c r="B425" s="118" t="n">
        <v>116.7088123645799</v>
      </c>
      <c r="C425" s="118" t="n">
        <v>118.6096367210743</v>
      </c>
      <c r="D425" s="118" t="n">
        <v>116.5402659754175</v>
      </c>
      <c r="E425" s="118" t="n">
        <v>118.3849105834961</v>
      </c>
      <c r="F425" s="119" t="n">
        <v>5355300</v>
      </c>
      <c r="G425" s="120" t="n">
        <v>0.02240017447476372</v>
      </c>
      <c r="H425" s="121" t="n">
        <v>74.41838169561491</v>
      </c>
      <c r="I425" s="118" t="n">
        <v>113.8509083557129</v>
      </c>
      <c r="J425" s="118" t="n">
        <v>103.2026108169556</v>
      </c>
      <c r="K425" s="120" t="n">
        <v>0.3117454326361536</v>
      </c>
      <c r="L425" s="120" t="n">
        <v>-0.020922744817788</v>
      </c>
      <c r="M425" s="120" t="n">
        <v>-0.06704885507317737</v>
      </c>
      <c r="N425" t="n">
        <v>61.64746669608237</v>
      </c>
      <c r="O425" t="n">
        <v>0.5235960648365614</v>
      </c>
      <c r="P425" t="n">
        <v>95.96130904087052</v>
      </c>
      <c r="Q425" t="n">
        <v>87.70242463575116</v>
      </c>
    </row>
    <row r="426">
      <c r="A426" s="117" t="n">
        <v>45030</v>
      </c>
      <c r="B426" s="118" t="n">
        <v>118.9186361246964</v>
      </c>
      <c r="C426" s="118" t="n">
        <v>119.3774540590545</v>
      </c>
      <c r="D426" s="118" t="n">
        <v>117.504719631894</v>
      </c>
      <c r="E426" s="118" t="n">
        <v>117.9354476928711</v>
      </c>
      <c r="F426" s="119" t="n">
        <v>4828700</v>
      </c>
      <c r="G426" s="120" t="n">
        <v>-0.003796623137270472</v>
      </c>
      <c r="H426" s="121" t="n">
        <v>74.13584314583112</v>
      </c>
      <c r="I426" s="118" t="n">
        <v>113.7913217163086</v>
      </c>
      <c r="J426" s="118" t="n">
        <v>103.3152954864502</v>
      </c>
      <c r="K426" s="120" t="n">
        <v>0.3057342272897677</v>
      </c>
      <c r="L426" s="120" t="n">
        <v>-0.02463993217798799</v>
      </c>
      <c r="M426" s="120" t="n">
        <v>-0.0705909189759496</v>
      </c>
      <c r="N426" t="n">
        <v>60.26433478020929</v>
      </c>
      <c r="O426" t="n">
        <v>0.5788884588907828</v>
      </c>
      <c r="P426" t="n">
        <v>95.72690290430884</v>
      </c>
      <c r="Q426" t="n">
        <v>87.53752021896823</v>
      </c>
    </row>
    <row r="427">
      <c r="A427" s="117" t="n">
        <v>45033</v>
      </c>
      <c r="B427" s="118" t="n">
        <v>118.0103569572514</v>
      </c>
      <c r="C427" s="118" t="n">
        <v>118.4317264831871</v>
      </c>
      <c r="D427" s="118" t="n">
        <v>117.1676250492948</v>
      </c>
      <c r="E427" s="118" t="n">
        <v>118.1601791381836</v>
      </c>
      <c r="F427" s="119" t="n">
        <v>3917900</v>
      </c>
      <c r="G427" s="120" t="n">
        <v>0.00190554620946326</v>
      </c>
      <c r="H427" s="121" t="n">
        <v>74.27711242072301</v>
      </c>
      <c r="I427" s="118" t="n">
        <v>113.7444467163086</v>
      </c>
      <c r="J427" s="118" t="n">
        <v>103.4269226074219</v>
      </c>
      <c r="K427" s="120" t="n">
        <v>0.3052837289432459</v>
      </c>
      <c r="L427" s="120" t="n">
        <v>-0.02278133849788799</v>
      </c>
      <c r="M427" s="120" t="n">
        <v>-0.06881988702456354</v>
      </c>
      <c r="N427" t="n">
        <v>60.73865132094289</v>
      </c>
      <c r="O427" t="n">
        <v>0.5935304365118401</v>
      </c>
      <c r="P427" t="n">
        <v>96.07040242130647</v>
      </c>
      <c r="Q427" t="n">
        <v>87.61172336179813</v>
      </c>
    </row>
    <row r="428">
      <c r="A428" s="117" t="n">
        <v>45034</v>
      </c>
      <c r="B428" s="118" t="n">
        <v>119.1340002025508</v>
      </c>
      <c r="C428" s="118" t="n">
        <v>119.1808142754959</v>
      </c>
      <c r="D428" s="118" t="n">
        <v>117.064622435116</v>
      </c>
      <c r="E428" s="118" t="n">
        <v>118.1789016723633</v>
      </c>
      <c r="F428" s="119" t="n">
        <v>3857700</v>
      </c>
      <c r="G428" s="120" t="n">
        <v>0.0001584504552738508</v>
      </c>
      <c r="H428" s="121" t="n">
        <v>74.2888816630025</v>
      </c>
      <c r="I428" s="118" t="n">
        <v>113.7250230407715</v>
      </c>
      <c r="J428" s="118" t="n">
        <v>103.5435163497925</v>
      </c>
      <c r="K428" s="120" t="n">
        <v>0.3049767262283108</v>
      </c>
      <c r="L428" s="120" t="n">
        <v>-0.02262649775607095</v>
      </c>
      <c r="M428" s="120" t="n">
        <v>-0.0686723411117206</v>
      </c>
      <c r="N428" t="n">
        <v>60.78065367229867</v>
      </c>
      <c r="O428" t="n">
        <v>0.5674261806226004</v>
      </c>
      <c r="P428" t="n">
        <v>96.13305879936934</v>
      </c>
      <c r="Q428" t="n">
        <v>87.61720849912648</v>
      </c>
    </row>
    <row r="429">
      <c r="A429" s="117" t="n">
        <v>45035</v>
      </c>
      <c r="B429" s="118" t="n">
        <v>117.9822587889206</v>
      </c>
      <c r="C429" s="118" t="n">
        <v>118.0571698741196</v>
      </c>
      <c r="D429" s="118" t="n">
        <v>116.9709805704761</v>
      </c>
      <c r="E429" s="118" t="n">
        <v>117.6732559204102</v>
      </c>
      <c r="F429" s="119" t="n">
        <v>3547400</v>
      </c>
      <c r="G429" s="120" t="n">
        <v>-0.004278646567176358</v>
      </c>
      <c r="H429" s="121" t="n">
        <v>73.97102579449573</v>
      </c>
      <c r="I429" s="118" t="n">
        <v>113.7305935668945</v>
      </c>
      <c r="J429" s="118" t="n">
        <v>103.6623155593872</v>
      </c>
      <c r="K429" s="120" t="n">
        <v>0.2774429744801351</v>
      </c>
      <c r="L429" s="120" t="n">
        <v>-0.02680833353629597</v>
      </c>
      <c r="M429" s="120" t="n">
        <v>-0.07265716300233926</v>
      </c>
      <c r="N429" t="n">
        <v>58.94651184685009</v>
      </c>
      <c r="O429" t="n">
        <v>0.4823941651385636</v>
      </c>
      <c r="P429" t="n">
        <v>96.11680990707225</v>
      </c>
      <c r="Q429" t="n">
        <v>87.57599307471526</v>
      </c>
    </row>
    <row r="430">
      <c r="A430" s="117" t="n">
        <v>45036</v>
      </c>
      <c r="B430" s="118" t="n">
        <v>116.8586409447062</v>
      </c>
      <c r="C430" s="118" t="n">
        <v>117.3736386691576</v>
      </c>
      <c r="D430" s="118" t="n">
        <v>115.8379968811924</v>
      </c>
      <c r="E430" s="118" t="n">
        <v>116.5309066772461</v>
      </c>
      <c r="F430" s="119" t="n">
        <v>3891600</v>
      </c>
      <c r="G430" s="120" t="n">
        <v>-0.009707806877857661</v>
      </c>
      <c r="H430" s="121" t="n">
        <v>73.25292936152573</v>
      </c>
      <c r="I430" s="118" t="n">
        <v>113.7207872009277</v>
      </c>
      <c r="J430" s="118" t="n">
        <v>103.7608304977417</v>
      </c>
      <c r="K430" s="120" t="n">
        <v>0.2136846602937282</v>
      </c>
      <c r="L430" s="120" t="n">
        <v>-0.03625589028946619</v>
      </c>
      <c r="M430" s="120" t="n">
        <v>-0.07368379365905697</v>
      </c>
      <c r="N430" t="n">
        <v>54.91475945394104</v>
      </c>
      <c r="O430" t="n">
        <v>0.3231524870870474</v>
      </c>
      <c r="P430" t="n">
        <v>95.59229241689593</v>
      </c>
      <c r="Q430" t="n">
        <v>86.90828440283275</v>
      </c>
    </row>
    <row r="431">
      <c r="A431" s="117" t="n">
        <v>45037</v>
      </c>
      <c r="B431" s="118" t="n">
        <v>116.4840829123948</v>
      </c>
      <c r="C431" s="118" t="n">
        <v>117.6826318039265</v>
      </c>
      <c r="D431" s="118" t="n">
        <v>115.7537176281124</v>
      </c>
      <c r="E431" s="118" t="n">
        <v>117.5421752929688</v>
      </c>
      <c r="F431" s="119" t="n">
        <v>3651400</v>
      </c>
      <c r="G431" s="120" t="n">
        <v>0.008678115055978708</v>
      </c>
      <c r="H431" s="121" t="n">
        <v>73.88862671071253</v>
      </c>
      <c r="I431" s="118" t="n">
        <v>113.7763972473144</v>
      </c>
      <c r="J431" s="118" t="n">
        <v>103.8648195266724</v>
      </c>
      <c r="K431" s="120" t="n">
        <v>0.2117730174834257</v>
      </c>
      <c r="L431" s="120" t="n">
        <v>-0.02789240802087645</v>
      </c>
      <c r="M431" s="120" t="n">
        <v>-0.06281729512673739</v>
      </c>
      <c r="N431" t="n">
        <v>57.67463064194559</v>
      </c>
      <c r="O431" t="n">
        <v>0.2624476727412149</v>
      </c>
      <c r="P431" t="n">
        <v>95.66655620076412</v>
      </c>
      <c r="Q431" t="n">
        <v>86.99897713295817</v>
      </c>
    </row>
    <row r="432">
      <c r="A432" s="117" t="n">
        <v>45040</v>
      </c>
      <c r="B432" s="118" t="n">
        <v>117.5234444835803</v>
      </c>
      <c r="C432" s="118" t="n">
        <v>119.0403547136655</v>
      </c>
      <c r="D432" s="118" t="n">
        <v>117.1863517338026</v>
      </c>
      <c r="E432" s="118" t="n">
        <v>119.0028991699219</v>
      </c>
      <c r="F432" s="119" t="n">
        <v>3790900</v>
      </c>
      <c r="G432" s="120" t="n">
        <v>0.01242723195578388</v>
      </c>
      <c r="H432" s="121" t="n">
        <v>74.80685781374089</v>
      </c>
      <c r="I432" s="118" t="n">
        <v>113.8748539733887</v>
      </c>
      <c r="J432" s="118" t="n">
        <v>103.9580125427246</v>
      </c>
      <c r="K432" s="120" t="n">
        <v>0.2143484082405484</v>
      </c>
      <c r="L432" s="120" t="n">
        <v>-0.01581180148937322</v>
      </c>
      <c r="M432" s="120" t="n">
        <v>-0.01581180148937356</v>
      </c>
      <c r="N432" t="n">
        <v>61.35455596451627</v>
      </c>
      <c r="O432" t="n">
        <v>0.2947711156961854</v>
      </c>
      <c r="P432" t="n">
        <v>95.76634447076108</v>
      </c>
      <c r="Q432" t="n">
        <v>86.81760876036255</v>
      </c>
    </row>
    <row r="433">
      <c r="A433" s="117" t="n">
        <v>45041</v>
      </c>
      <c r="B433" s="118" t="n">
        <v>118.4785489054575</v>
      </c>
      <c r="C433" s="118" t="n">
        <v>118.7032750487764</v>
      </c>
      <c r="D433" s="118" t="n">
        <v>116.1563620886926</v>
      </c>
      <c r="E433" s="118" t="n">
        <v>116.7275466918945</v>
      </c>
      <c r="F433" s="119" t="n">
        <v>4383300</v>
      </c>
      <c r="G433" s="120" t="n">
        <v>-0.01912014323935429</v>
      </c>
      <c r="H433" s="121" t="n">
        <v>73.37653997705615</v>
      </c>
      <c r="I433" s="118" t="n">
        <v>113.9268696594238</v>
      </c>
      <c r="J433" s="118" t="n">
        <v>104.0407569885254</v>
      </c>
      <c r="K433" s="120" t="n">
        <v>0.2068239177638591</v>
      </c>
      <c r="L433" s="120" t="n">
        <v>-0.03462962081937848</v>
      </c>
      <c r="M433" s="120" t="n">
        <v>-0.03462962081937881</v>
      </c>
      <c r="N433" t="n">
        <v>53.5450616949829</v>
      </c>
      <c r="O433" t="n">
        <v>0.1446089119608072</v>
      </c>
      <c r="P433" t="n">
        <v>94.24618016361511</v>
      </c>
      <c r="Q433" t="n">
        <v>85.17989370794957</v>
      </c>
    </row>
    <row r="434">
      <c r="A434" s="117" t="n">
        <v>45042</v>
      </c>
      <c r="B434" s="118" t="n">
        <v>116.3061675989533</v>
      </c>
      <c r="C434" s="118" t="n">
        <v>117.0271743345209</v>
      </c>
      <c r="D434" s="118" t="n">
        <v>115.4447115002755</v>
      </c>
      <c r="E434" s="118" t="n">
        <v>115.9597091674805</v>
      </c>
      <c r="F434" s="119" t="n">
        <v>4003200</v>
      </c>
      <c r="G434" s="120" t="n">
        <v>-0.006578031888571978</v>
      </c>
      <c r="H434" s="121" t="n">
        <v>72.893866757214</v>
      </c>
      <c r="I434" s="118" t="n">
        <v>113.9090005493164</v>
      </c>
      <c r="J434" s="118" t="n">
        <v>104.132749671936</v>
      </c>
      <c r="K434" s="120" t="n">
        <v>0.2094288362999025</v>
      </c>
      <c r="L434" s="120" t="n">
        <v>-0.04097985795791148</v>
      </c>
      <c r="M434" s="120" t="n">
        <v>-0.04097985795791181</v>
      </c>
      <c r="N434" t="n">
        <v>51.17771264218246</v>
      </c>
      <c r="O434" t="n">
        <v>-0.01618351938646612</v>
      </c>
      <c r="P434" t="n">
        <v>93.84699018786817</v>
      </c>
      <c r="Q434" t="n">
        <v>85.69647915699095</v>
      </c>
    </row>
    <row r="435">
      <c r="A435" s="117" t="n">
        <v>45043</v>
      </c>
      <c r="B435" s="118" t="n">
        <v>116.5215298911692</v>
      </c>
      <c r="C435" s="118" t="n">
        <v>117.9916260240886</v>
      </c>
      <c r="D435" s="118" t="n">
        <v>115.304249744254</v>
      </c>
      <c r="E435" s="118" t="n">
        <v>117.7013473510742</v>
      </c>
      <c r="F435" s="119" t="n">
        <v>4252100</v>
      </c>
      <c r="G435" s="120" t="n">
        <v>0.01501933901091723</v>
      </c>
      <c r="H435" s="121" t="n">
        <v>73.98868445385722</v>
      </c>
      <c r="I435" s="118" t="n">
        <v>113.9063565063477</v>
      </c>
      <c r="J435" s="118" t="n">
        <v>104.2397158050537</v>
      </c>
      <c r="K435" s="120" t="n">
        <v>0.2018750571423903</v>
      </c>
      <c r="L435" s="120" t="n">
        <v>-0.02657600932628346</v>
      </c>
      <c r="M435" s="120" t="n">
        <v>-0.02657600932628379</v>
      </c>
      <c r="N435" t="n">
        <v>55.93648866354216</v>
      </c>
      <c r="O435" t="n">
        <v>-0.0150240039045173</v>
      </c>
      <c r="P435" t="n">
        <v>95.71530287765535</v>
      </c>
      <c r="Q435" t="n">
        <v>88.02666289371255</v>
      </c>
    </row>
    <row r="436">
      <c r="A436" s="117" t="n">
        <v>45044</v>
      </c>
      <c r="B436" s="118" t="n">
        <v>117.186367269807</v>
      </c>
      <c r="C436" s="118" t="n">
        <v>118.9841907443585</v>
      </c>
      <c r="D436" s="118" t="n">
        <v>117.0084551994169</v>
      </c>
      <c r="E436" s="118" t="n">
        <v>118.6564636230469</v>
      </c>
      <c r="F436" s="119" t="n">
        <v>4421400</v>
      </c>
      <c r="G436" s="120" t="n">
        <v>0.008114743743109276</v>
      </c>
      <c r="H436" s="121" t="n">
        <v>74.58908366809005</v>
      </c>
      <c r="I436" s="118" t="n">
        <v>113.898911895752</v>
      </c>
      <c r="J436" s="118" t="n">
        <v>104.3451922607422</v>
      </c>
      <c r="K436" s="120" t="n">
        <v>0.2018448595964205</v>
      </c>
      <c r="L436" s="120" t="n">
        <v>-0.01533116412343816</v>
      </c>
      <c r="M436" s="120" t="n">
        <v>-0.01867692308857183</v>
      </c>
      <c r="N436" t="n">
        <v>58.33494643452851</v>
      </c>
      <c r="O436" t="n">
        <v>0.03742332240469515</v>
      </c>
      <c r="P436" t="n">
        <v>96.53224877511629</v>
      </c>
      <c r="Q436" t="n">
        <v>88.63391544139651</v>
      </c>
    </row>
    <row r="437">
      <c r="A437" s="117" t="n">
        <v>45047</v>
      </c>
      <c r="B437" s="118" t="n">
        <v>118.8437231334183</v>
      </c>
      <c r="C437" s="118" t="n">
        <v>120.4917242593585</v>
      </c>
      <c r="D437" s="118" t="n">
        <v>118.7875433875542</v>
      </c>
      <c r="E437" s="118" t="n">
        <v>119.7800903320312</v>
      </c>
      <c r="F437" s="119" t="n">
        <v>4112600</v>
      </c>
      <c r="G437" s="120" t="n">
        <v>0.009469578602594897</v>
      </c>
      <c r="H437" s="121" t="n">
        <v>75.29541085878056</v>
      </c>
      <c r="I437" s="118" t="n">
        <v>113.9718293762207</v>
      </c>
      <c r="J437" s="118" t="n">
        <v>104.4650581359863</v>
      </c>
      <c r="K437" s="120" t="n">
        <v>0.191739012690306</v>
      </c>
      <c r="L437" s="120" t="n">
        <v>0</v>
      </c>
      <c r="M437" s="120" t="n">
        <v>-0.009384207077218876</v>
      </c>
      <c r="N437" t="n">
        <v>61.0228492150753</v>
      </c>
      <c r="O437" t="n">
        <v>0.1299361265174666</v>
      </c>
      <c r="P437" t="n">
        <v>96.43477017963747</v>
      </c>
      <c r="Q437" t="n">
        <v>88.53223534895912</v>
      </c>
    </row>
    <row r="438">
      <c r="A438" s="117" t="n">
        <v>45048</v>
      </c>
      <c r="B438" s="118" t="n">
        <v>119.0591083963579</v>
      </c>
      <c r="C438" s="118" t="n">
        <v>119.4617466372546</v>
      </c>
      <c r="D438" s="118" t="n">
        <v>117.2050979247156</v>
      </c>
      <c r="E438" s="118" t="n">
        <v>119.162109375</v>
      </c>
      <c r="F438" s="119" t="n">
        <v>3831600</v>
      </c>
      <c r="G438" s="120" t="n">
        <v>-0.005159296134426006</v>
      </c>
      <c r="H438" s="121" t="n">
        <v>74.90693953659682</v>
      </c>
      <c r="I438" s="118" t="n">
        <v>114.0237973022461</v>
      </c>
      <c r="J438" s="118" t="n">
        <v>104.5749655914307</v>
      </c>
      <c r="K438" s="120" t="n">
        <v>0.190061074820143</v>
      </c>
      <c r="L438" s="120" t="n">
        <v>-0.005159296134426117</v>
      </c>
      <c r="M438" s="120" t="n">
        <v>-0.0144950873083467</v>
      </c>
      <c r="N438" t="n">
        <v>58.77696934138049</v>
      </c>
      <c r="O438" t="n">
        <v>0.1312700386106962</v>
      </c>
      <c r="P438" t="n">
        <v>95.3509129818689</v>
      </c>
      <c r="Q438" t="n">
        <v>87.76011255980268</v>
      </c>
    </row>
    <row r="439">
      <c r="A439" s="117" t="n">
        <v>45049</v>
      </c>
      <c r="B439" s="118" t="n">
        <v>117.5047044037544</v>
      </c>
      <c r="C439" s="118" t="n">
        <v>120.2108118727024</v>
      </c>
      <c r="D439" s="118" t="n">
        <v>115.8005165816508</v>
      </c>
      <c r="E439" s="118" t="n">
        <v>118.675163269043</v>
      </c>
      <c r="F439" s="119" t="n">
        <v>4560100</v>
      </c>
      <c r="G439" s="120" t="n">
        <v>-0.004086417305895651</v>
      </c>
      <c r="H439" s="121" t="n">
        <v>74.6008385225428</v>
      </c>
      <c r="I439" s="118" t="n">
        <v>114.1358674621582</v>
      </c>
      <c r="J439" s="118" t="n">
        <v>104.685965461731</v>
      </c>
      <c r="K439" s="120" t="n">
        <v>0.1835112428460017</v>
      </c>
      <c r="L439" s="120" t="n">
        <v>-0.009224630403311673</v>
      </c>
      <c r="M439" s="120" t="n">
        <v>-0.01852227163861508</v>
      </c>
      <c r="N439" t="n">
        <v>56.99690459050406</v>
      </c>
      <c r="O439" t="n">
        <v>0.08344800884170978</v>
      </c>
      <c r="P439" t="n">
        <v>94.69641911161962</v>
      </c>
      <c r="Q439" t="n">
        <v>87.18581355522694</v>
      </c>
    </row>
    <row r="440">
      <c r="A440" s="117" t="n">
        <v>45050</v>
      </c>
      <c r="B440" s="118" t="n">
        <v>116.9897275279054</v>
      </c>
      <c r="C440" s="118" t="n">
        <v>117.22381934246</v>
      </c>
      <c r="D440" s="118" t="n">
        <v>115.0046263686721</v>
      </c>
      <c r="E440" s="118" t="n">
        <v>115.800537109375</v>
      </c>
      <c r="F440" s="119" t="n">
        <v>6177100</v>
      </c>
      <c r="G440" s="120" t="n">
        <v>-0.02422264339465063</v>
      </c>
      <c r="H440" s="121" t="n">
        <v>72.79380901406934</v>
      </c>
      <c r="I440" s="118" t="n">
        <v>114.2128538513184</v>
      </c>
      <c r="J440" s="118" t="n">
        <v>104.7582273483276</v>
      </c>
      <c r="K440" s="120" t="n">
        <v>0.1864535624632323</v>
      </c>
      <c r="L440" s="120" t="n">
        <v>-0.03322382886525543</v>
      </c>
      <c r="M440" s="120" t="n">
        <v>-0.04229625665250469</v>
      </c>
      <c r="N440" t="n">
        <v>47.79467110858774</v>
      </c>
      <c r="O440" t="n">
        <v>-0.1452434610188367</v>
      </c>
      <c r="P440" t="n">
        <v>94.02569848652873</v>
      </c>
      <c r="Q440" t="n">
        <v>86.87805634073347</v>
      </c>
    </row>
    <row r="441">
      <c r="A441" s="117" t="n">
        <v>45051</v>
      </c>
      <c r="B441" s="118" t="n">
        <v>117.9167303219828</v>
      </c>
      <c r="C441" s="118" t="n">
        <v>118.9467328877987</v>
      </c>
      <c r="D441" s="118" t="n">
        <v>117.2519104191024</v>
      </c>
      <c r="E441" s="118" t="n">
        <v>118.5347290039062</v>
      </c>
      <c r="F441" s="119" t="n">
        <v>4887800</v>
      </c>
      <c r="G441" s="120" t="n">
        <v>0.02361121945357447</v>
      </c>
      <c r="H441" s="121" t="n">
        <v>74.51255961356212</v>
      </c>
      <c r="I441" s="118" t="n">
        <v>114.3434037780762</v>
      </c>
      <c r="J441" s="118" t="n">
        <v>104.835249671936</v>
      </c>
      <c r="K441" s="120" t="n">
        <v>0.2006062220216536</v>
      </c>
      <c r="L441" s="120" t="n">
        <v>-0.01039706452610645</v>
      </c>
      <c r="M441" s="120" t="n">
        <v>-0.01968370339681724</v>
      </c>
      <c r="N441" t="n">
        <v>55.2030432596729</v>
      </c>
      <c r="O441" t="n">
        <v>-0.1170393029358938</v>
      </c>
      <c r="P441" t="n">
        <v>95.76634447076111</v>
      </c>
      <c r="Q441" t="n">
        <v>88.72461671534955</v>
      </c>
    </row>
    <row r="442">
      <c r="A442" s="117" t="n">
        <v>45054</v>
      </c>
      <c r="B442" s="118" t="n">
        <v>119.1620908898398</v>
      </c>
      <c r="C442" s="118" t="n">
        <v>119.5647290682767</v>
      </c>
      <c r="D442" s="118" t="n">
        <v>117.9635420267478</v>
      </c>
      <c r="E442" s="118" t="n">
        <v>118.806266784668</v>
      </c>
      <c r="F442" s="119" t="n">
        <v>3892600</v>
      </c>
      <c r="G442" s="120" t="n">
        <v>0.002290786700603009</v>
      </c>
      <c r="H442" s="121" t="n">
        <v>74.68325199415276</v>
      </c>
      <c r="I442" s="118" t="n">
        <v>114.5152388000488</v>
      </c>
      <c r="J442" s="118" t="n">
        <v>104.9112627029419</v>
      </c>
      <c r="K442" s="120" t="n">
        <v>0.1960361393201356</v>
      </c>
      <c r="L442" s="120" t="n">
        <v>-0.008130095282645189</v>
      </c>
      <c r="M442" s="120" t="n">
        <v>-0.01743800786217431</v>
      </c>
      <c r="N442" t="n">
        <v>55.87277446198888</v>
      </c>
      <c r="O442" t="n">
        <v>-0.08619052681089023</v>
      </c>
      <c r="P442" t="n">
        <v>95.79186895688989</v>
      </c>
      <c r="Q442" t="n">
        <v>88.94442376838178</v>
      </c>
    </row>
    <row r="443">
      <c r="A443" s="117" t="n">
        <v>45055</v>
      </c>
      <c r="B443" s="118" t="n">
        <v>117.2987147042832</v>
      </c>
      <c r="C443" s="118" t="n">
        <v>117.6639044806487</v>
      </c>
      <c r="D443" s="118" t="n">
        <v>116.2687122244498</v>
      </c>
      <c r="E443" s="118" t="n">
        <v>117.139533996582</v>
      </c>
      <c r="F443" s="119" t="n">
        <v>4082100</v>
      </c>
      <c r="G443" s="120" t="n">
        <v>-0.01402899723384821</v>
      </c>
      <c r="H443" s="121" t="n">
        <v>73.635520858512</v>
      </c>
      <c r="I443" s="118" t="n">
        <v>114.6445886230469</v>
      </c>
      <c r="J443" s="118" t="n">
        <v>104.9905445098877</v>
      </c>
      <c r="K443" s="120" t="n">
        <v>0.2007121033743546</v>
      </c>
      <c r="L443" s="120" t="n">
        <v>-0.02204503543226222</v>
      </c>
      <c r="M443" s="120" t="n">
        <v>-0.03122236733196027</v>
      </c>
      <c r="N443" t="n">
        <v>50.8476870351929</v>
      </c>
      <c r="O443" t="n">
        <v>-0.1788007530568123</v>
      </c>
      <c r="P443" t="n">
        <v>95.37179598150593</v>
      </c>
      <c r="Q443" t="n">
        <v>88.381112126118</v>
      </c>
    </row>
    <row r="444">
      <c r="A444" s="117" t="n">
        <v>45056</v>
      </c>
      <c r="B444" s="118" t="n">
        <v>118.2538184478451</v>
      </c>
      <c r="C444" s="118" t="n">
        <v>118.4129991625588</v>
      </c>
      <c r="D444" s="118" t="n">
        <v>114.3959828847208</v>
      </c>
      <c r="E444" s="118" t="n">
        <v>115.6507186889648</v>
      </c>
      <c r="F444" s="119" t="n">
        <v>5052600</v>
      </c>
      <c r="G444" s="120" t="n">
        <v>-0.0127097595220127</v>
      </c>
      <c r="H444" s="121" t="n">
        <v>72.69963109612215</v>
      </c>
      <c r="I444" s="118" t="n">
        <v>114.7393070983887</v>
      </c>
      <c r="J444" s="118" t="n">
        <v>105.0616396331787</v>
      </c>
      <c r="K444" s="120" t="n">
        <v>0.2061184318072406</v>
      </c>
      <c r="L444" s="120" t="n">
        <v>-0.03447460785527678</v>
      </c>
      <c r="M444" s="120" t="n">
        <v>-0.04353529807347578</v>
      </c>
      <c r="N444" t="n">
        <v>46.79878308364864</v>
      </c>
      <c r="O444" t="n">
        <v>-0.3321761080598151</v>
      </c>
      <c r="P444" t="n">
        <v>95.81741558047412</v>
      </c>
      <c r="Q444" t="n">
        <v>89.34283099386262</v>
      </c>
    </row>
    <row r="445">
      <c r="A445" s="117" t="n">
        <v>45057</v>
      </c>
      <c r="B445" s="118" t="n">
        <v>115.5945223995876</v>
      </c>
      <c r="C445" s="118" t="n">
        <v>115.9784363621249</v>
      </c>
      <c r="D445" s="118" t="n">
        <v>114.1431575960328</v>
      </c>
      <c r="E445" s="118" t="n">
        <v>114.4427947998047</v>
      </c>
      <c r="F445" s="119" t="n">
        <v>5923100</v>
      </c>
      <c r="G445" s="120" t="n">
        <v>-0.01044458610247623</v>
      </c>
      <c r="H445" s="121" t="n">
        <v>71.94031353952045</v>
      </c>
      <c r="I445" s="118" t="n">
        <v>114.8137887573242</v>
      </c>
      <c r="J445" s="118" t="n">
        <v>105.1456301498413</v>
      </c>
      <c r="K445" s="120" t="n">
        <v>0.1912540256757831</v>
      </c>
      <c r="L445" s="120" t="n">
        <v>-0.04455912094765946</v>
      </c>
      <c r="M445" s="120" t="n">
        <v>-0.05352517600672668</v>
      </c>
      <c r="N445" t="n">
        <v>43.75458263296976</v>
      </c>
      <c r="O445" t="n">
        <v>-0.4969147483466054</v>
      </c>
      <c r="P445" t="n">
        <v>95.65030730846708</v>
      </c>
      <c r="Q445" t="n">
        <v>89.63411570871578</v>
      </c>
    </row>
    <row r="446">
      <c r="A446" s="117" t="n">
        <v>45058</v>
      </c>
      <c r="B446" s="118" t="n">
        <v>113.2910493729285</v>
      </c>
      <c r="C446" s="118" t="n">
        <v>113.4876855996194</v>
      </c>
      <c r="D446" s="118" t="n">
        <v>111.4557707799005</v>
      </c>
      <c r="E446" s="118" t="n">
        <v>112.5606842041016</v>
      </c>
      <c r="F446" s="119" t="n">
        <v>6574200</v>
      </c>
      <c r="G446" s="120" t="n">
        <v>-0.01644586362116995</v>
      </c>
      <c r="H446" s="121" t="n">
        <v>70.75719295418529</v>
      </c>
      <c r="I446" s="118" t="n">
        <v>114.8319538879394</v>
      </c>
      <c r="J446" s="118" t="n">
        <v>105.2078652191162</v>
      </c>
      <c r="K446" s="120" t="n">
        <v>0.1983015655365114</v>
      </c>
      <c r="L446" s="120" t="n">
        <v>-0.06027217134264495</v>
      </c>
      <c r="M446" s="120" t="n">
        <v>-0.06909077188299084</v>
      </c>
      <c r="N446" t="n">
        <v>39.44870494888011</v>
      </c>
      <c r="O446" t="n">
        <v>-0.7020322553258276</v>
      </c>
      <c r="P446" t="n">
        <v>95.52497241488589</v>
      </c>
      <c r="Q446" t="n">
        <v>89.3126371070738</v>
      </c>
    </row>
    <row r="447">
      <c r="A447" s="117" t="n">
        <v>45061</v>
      </c>
      <c r="B447" s="118" t="n">
        <v>112.1955217174984</v>
      </c>
      <c r="C447" s="118" t="n">
        <v>112.3547024327748</v>
      </c>
      <c r="D447" s="118" t="n">
        <v>110.5006993096279</v>
      </c>
      <c r="E447" s="118" t="n">
        <v>112.2048873901367</v>
      </c>
      <c r="F447" s="119" t="n">
        <v>5518200</v>
      </c>
      <c r="G447" s="120" t="n">
        <v>-0.003160933291056489</v>
      </c>
      <c r="H447" s="121" t="n">
        <v>70.53353418739469</v>
      </c>
      <c r="I447" s="118" t="n">
        <v>114.8111665344238</v>
      </c>
      <c r="J447" s="118" t="n">
        <v>105.2480405044556</v>
      </c>
      <c r="K447" s="120" t="n">
        <v>0.1977061910781311</v>
      </c>
      <c r="L447" s="120" t="n">
        <v>-0.06324258832078022</v>
      </c>
      <c r="M447" s="120" t="n">
        <v>-0.07203331385309764</v>
      </c>
      <c r="N447" t="n">
        <v>38.67389068524102</v>
      </c>
      <c r="O447" t="n">
        <v>-0.8227000017031021</v>
      </c>
      <c r="P447" t="n">
        <v>95.85452533495278</v>
      </c>
      <c r="Q447" t="n">
        <v>89.79623483769649</v>
      </c>
    </row>
    <row r="448">
      <c r="A448" s="117" t="n">
        <v>45062</v>
      </c>
      <c r="B448" s="118" t="n">
        <v>110.0231379001887</v>
      </c>
      <c r="C448" s="118" t="n">
        <v>110.3414992956721</v>
      </c>
      <c r="D448" s="118" t="n">
        <v>108.7309538311275</v>
      </c>
      <c r="E448" s="118" t="n">
        <v>109.0680465698242</v>
      </c>
      <c r="F448" s="119" t="n">
        <v>8306400</v>
      </c>
      <c r="G448" s="120" t="n">
        <v>-0.02795636529989731</v>
      </c>
      <c r="H448" s="121" t="n">
        <v>68.56167293975911</v>
      </c>
      <c r="I448" s="118" t="n">
        <v>114.7420629882812</v>
      </c>
      <c r="J448" s="118" t="n">
        <v>105.2600475692749</v>
      </c>
      <c r="K448" s="120" t="n">
        <v>0.2169290590857234</v>
      </c>
      <c r="L448" s="120" t="n">
        <v>-0.08943092071907055</v>
      </c>
      <c r="M448" s="120" t="n">
        <v>-0.09797588951715563</v>
      </c>
      <c r="N448" t="n">
        <v>32.59539380083262</v>
      </c>
      <c r="O448" t="n">
        <v>-1.059715303279976</v>
      </c>
      <c r="P448" t="n">
        <v>95.21399281993787</v>
      </c>
      <c r="Q448" t="n">
        <v>89.89791493013387</v>
      </c>
    </row>
    <row r="449">
      <c r="A449" s="117" t="n">
        <v>45063</v>
      </c>
      <c r="B449" s="118" t="n">
        <v>108.9744211718465</v>
      </c>
      <c r="C449" s="118" t="n">
        <v>109.6766966298955</v>
      </c>
      <c r="D449" s="118" t="n">
        <v>107.9163287201955</v>
      </c>
      <c r="E449" s="118" t="n">
        <v>109.536247253418</v>
      </c>
      <c r="F449" s="119" t="n">
        <v>7765400</v>
      </c>
      <c r="G449" s="120" t="n">
        <v>0.004292739242322652</v>
      </c>
      <c r="H449" s="121" t="n">
        <v>68.85599032370689</v>
      </c>
      <c r="I449" s="118" t="n">
        <v>114.6931848144531</v>
      </c>
      <c r="J449" s="118" t="n">
        <v>105.2772730636597</v>
      </c>
      <c r="K449" s="120" t="n">
        <v>0.2188632207158966</v>
      </c>
      <c r="L449" s="120" t="n">
        <v>-0.08552208509959591</v>
      </c>
      <c r="M449" s="120" t="n">
        <v>-0.09410373522056481</v>
      </c>
      <c r="N449" t="n">
        <v>34.25634332666961</v>
      </c>
      <c r="O449" t="n">
        <v>-1.124749632391823</v>
      </c>
      <c r="P449" t="n">
        <v>96.36978936875283</v>
      </c>
      <c r="Q449" t="n">
        <v>90.98605681508678</v>
      </c>
    </row>
    <row r="450">
      <c r="A450" s="117" t="n">
        <v>45064</v>
      </c>
      <c r="B450" s="118" t="n">
        <v>109.9576057502437</v>
      </c>
      <c r="C450" s="118" t="n">
        <v>111.5681585529731</v>
      </c>
      <c r="D450" s="118" t="n">
        <v>109.4145110341764</v>
      </c>
      <c r="E450" s="118" t="n">
        <v>111.3059768676758</v>
      </c>
      <c r="F450" s="119" t="n">
        <v>5970500</v>
      </c>
      <c r="G450" s="120" t="n">
        <v>0.01615656605583227</v>
      </c>
      <c r="H450" s="121" t="n">
        <v>69.96846667971161</v>
      </c>
      <c r="I450" s="118" t="n">
        <v>114.6746449279785</v>
      </c>
      <c r="J450" s="118" t="n">
        <v>105.3150886154175</v>
      </c>
      <c r="K450" s="120" t="n">
        <v>0.228169412118014</v>
      </c>
      <c r="L450" s="120" t="n">
        <v>-0.07074726226090766</v>
      </c>
      <c r="M450" s="120" t="n">
        <v>-0.07946756237892416</v>
      </c>
      <c r="N450" t="n">
        <v>40.24965464420956</v>
      </c>
      <c r="O450" t="n">
        <v>-0.9929563451197487</v>
      </c>
      <c r="P450" t="n">
        <v>97.29813832116785</v>
      </c>
      <c r="Q450" t="n">
        <v>92.6759746542229</v>
      </c>
    </row>
    <row r="451">
      <c r="A451" s="117" t="n">
        <v>45065</v>
      </c>
      <c r="B451" s="118" t="n">
        <v>107.270226541929</v>
      </c>
      <c r="C451" s="118" t="n">
        <v>108.1410483431362</v>
      </c>
      <c r="D451" s="118" t="n">
        <v>105.9031312566634</v>
      </c>
      <c r="E451" s="118" t="n">
        <v>107.4575042724609</v>
      </c>
      <c r="F451" s="119" t="n">
        <v>11674300</v>
      </c>
      <c r="G451" s="120" t="n">
        <v>-0.03457561492668115</v>
      </c>
      <c r="H451" s="121" t="n">
        <v>67.54926391878358</v>
      </c>
      <c r="I451" s="118" t="n">
        <v>114.6164028930664</v>
      </c>
      <c r="J451" s="118" t="n">
        <v>105.322013168335</v>
      </c>
      <c r="K451" s="120" t="n">
        <v>0.2513200071681119</v>
      </c>
      <c r="L451" s="120" t="n">
        <v>-0.1028767470905388</v>
      </c>
      <c r="M451" s="120" t="n">
        <v>-0.1112955374696297</v>
      </c>
      <c r="N451" t="n">
        <v>33.16848794269281</v>
      </c>
      <c r="O451" t="n">
        <v>-1.100981534478533</v>
      </c>
      <c r="P451" t="n">
        <v>97.15654715613778</v>
      </c>
      <c r="Q451" t="n">
        <v>92.4671378758474</v>
      </c>
    </row>
    <row r="452">
      <c r="A452" s="117" t="n">
        <v>45068</v>
      </c>
      <c r="B452" s="118" t="n">
        <v>105.6690207470793</v>
      </c>
      <c r="C452" s="118" t="n">
        <v>105.6690207470793</v>
      </c>
      <c r="D452" s="118" t="n">
        <v>103.0191002664107</v>
      </c>
      <c r="E452" s="118" t="n">
        <v>103.1689224243164</v>
      </c>
      <c r="F452" s="119" t="n">
        <v>12710300</v>
      </c>
      <c r="G452" s="120" t="n">
        <v>-0.03990956124637635</v>
      </c>
      <c r="H452" s="121" t="n">
        <v>64.85340243326925</v>
      </c>
      <c r="I452" s="118" t="n">
        <v>114.4795056152344</v>
      </c>
      <c r="J452" s="118" t="n">
        <v>105.3065665817261</v>
      </c>
      <c r="K452" s="120" t="n">
        <v>0.2727189949515846</v>
      </c>
      <c r="L452" s="120" t="n">
        <v>-0.1386805424980773</v>
      </c>
      <c r="M452" s="120" t="n">
        <v>-0.1467633426469135</v>
      </c>
      <c r="N452" t="n">
        <v>27.38636809272117</v>
      </c>
      <c r="O452" t="n">
        <v>-1.379234824728017</v>
      </c>
      <c r="P452" t="n">
        <v>97.19601823919729</v>
      </c>
      <c r="Q452" t="n">
        <v>92.77763765900507</v>
      </c>
    </row>
    <row r="453">
      <c r="A453" s="117" t="n">
        <v>45069</v>
      </c>
      <c r="B453" s="118" t="n">
        <v>102.7850261405636</v>
      </c>
      <c r="C453" s="118" t="n">
        <v>103.9929407062802</v>
      </c>
      <c r="D453" s="118" t="n">
        <v>101.3055713688955</v>
      </c>
      <c r="E453" s="118" t="n">
        <v>101.858024597168</v>
      </c>
      <c r="F453" s="119" t="n">
        <v>11790400</v>
      </c>
      <c r="G453" s="120" t="n">
        <v>-0.01270632469879773</v>
      </c>
      <c r="H453" s="121" t="n">
        <v>64.02935404413034</v>
      </c>
      <c r="I453" s="118" t="n">
        <v>114.3281886291504</v>
      </c>
      <c r="J453" s="118" t="n">
        <v>105.2873965454102</v>
      </c>
      <c r="K453" s="120" t="n">
        <v>0.2698651158896104</v>
      </c>
      <c r="L453" s="120" t="n">
        <v>-0.1496247471944888</v>
      </c>
      <c r="M453" s="120" t="n">
        <v>-0.1576048446601587</v>
      </c>
      <c r="N453" t="n">
        <v>25.90008211480696</v>
      </c>
      <c r="O453" t="n">
        <v>-1.556424900519574</v>
      </c>
      <c r="P453" t="n">
        <v>96.10520988041878</v>
      </c>
      <c r="Q453" t="n">
        <v>91.60156270024611</v>
      </c>
    </row>
    <row r="454">
      <c r="A454" s="117" t="n">
        <v>45070</v>
      </c>
      <c r="B454" s="118" t="n">
        <v>102.0640279440575</v>
      </c>
      <c r="C454" s="118" t="n">
        <v>102.1576632381589</v>
      </c>
      <c r="D454" s="118" t="n">
        <v>100.3785640745713</v>
      </c>
      <c r="E454" s="118" t="n">
        <v>101.3992080688477</v>
      </c>
      <c r="F454" s="119" t="n">
        <v>8503200</v>
      </c>
      <c r="G454" s="120" t="n">
        <v>-0.004504471102152796</v>
      </c>
      <c r="H454" s="121" t="n">
        <v>63.74093566914905</v>
      </c>
      <c r="I454" s="118" t="n">
        <v>114.1276187133789</v>
      </c>
      <c r="J454" s="118" t="n">
        <v>105.2653290557861</v>
      </c>
      <c r="K454" s="120" t="n">
        <v>0.2699729539480846</v>
      </c>
      <c r="L454" s="120" t="n">
        <v>-0.1534552379467372</v>
      </c>
      <c r="M454" s="120" t="n">
        <v>-0.1613993892939805</v>
      </c>
      <c r="N454" t="n">
        <v>25.38088813432027</v>
      </c>
      <c r="O454" t="n">
        <v>-1.603056669788396</v>
      </c>
      <c r="P454" t="n">
        <v>95.40893525259185</v>
      </c>
      <c r="Q454" t="n">
        <v>91.13169490059954</v>
      </c>
    </row>
    <row r="455">
      <c r="A455" s="117" t="n">
        <v>45071</v>
      </c>
      <c r="B455" s="118" t="n">
        <v>101.4553819401171</v>
      </c>
      <c r="C455" s="118" t="n">
        <v>102.035932160184</v>
      </c>
      <c r="D455" s="118" t="n">
        <v>100.584560181974</v>
      </c>
      <c r="E455" s="118" t="n">
        <v>100.6407470703125</v>
      </c>
      <c r="F455" s="119" t="n">
        <v>6729800</v>
      </c>
      <c r="G455" s="120" t="n">
        <v>-0.007479949922490348</v>
      </c>
      <c r="H455" s="121" t="n">
        <v>63.26415666233112</v>
      </c>
      <c r="I455" s="118" t="n">
        <v>113.9274237060547</v>
      </c>
      <c r="J455" s="118" t="n">
        <v>105.2575224304199</v>
      </c>
      <c r="K455" s="120" t="n">
        <v>0.2576664064017389</v>
      </c>
      <c r="L455" s="120" t="n">
        <v>-0.1597873503740422</v>
      </c>
      <c r="M455" s="120" t="n">
        <v>-0.1676720798670313</v>
      </c>
      <c r="N455" t="n">
        <v>24.5063358644055</v>
      </c>
      <c r="O455" t="n">
        <v>-1.580881427112611</v>
      </c>
      <c r="P455" t="n">
        <v>96.23517150218811</v>
      </c>
      <c r="Q455" t="n">
        <v>93.34918555108899</v>
      </c>
    </row>
    <row r="456">
      <c r="A456" s="117" t="n">
        <v>45072</v>
      </c>
      <c r="B456" s="118" t="n">
        <v>100.1912892342369</v>
      </c>
      <c r="C456" s="118" t="n">
        <v>101.5490188008733</v>
      </c>
      <c r="D456" s="118" t="n">
        <v>100.1912892342369</v>
      </c>
      <c r="E456" s="118" t="n">
        <v>100.6688385009766</v>
      </c>
      <c r="F456" s="119" t="n">
        <v>7911200</v>
      </c>
      <c r="G456" s="120" t="n">
        <v>0.0002791258161511934</v>
      </c>
      <c r="H456" s="121" t="n">
        <v>63.28181532169261</v>
      </c>
      <c r="I456" s="118" t="n">
        <v>113.6813465881348</v>
      </c>
      <c r="J456" s="118" t="n">
        <v>105.2357942962646</v>
      </c>
      <c r="K456" s="120" t="n">
        <v>0.2527531299639706</v>
      </c>
      <c r="L456" s="120" t="n">
        <v>-0.1595528253324748</v>
      </c>
      <c r="M456" s="120" t="n">
        <v>-0.1674397556570189</v>
      </c>
      <c r="N456" t="n">
        <v>24.60994982542577</v>
      </c>
      <c r="O456" t="n">
        <v>-1.462942658173764</v>
      </c>
      <c r="P456" t="n">
        <v>97.48147334801654</v>
      </c>
      <c r="Q456" t="n">
        <v>95.73430609937034</v>
      </c>
    </row>
    <row r="457">
      <c r="A457" s="117" t="n">
        <v>45076</v>
      </c>
      <c r="B457" s="118" t="n">
        <v>101.5021960257646</v>
      </c>
      <c r="C457" s="118" t="n">
        <v>101.9516482374103</v>
      </c>
      <c r="D457" s="118" t="n">
        <v>99.50772951185544</v>
      </c>
      <c r="E457" s="118" t="n">
        <v>99.7418212890625</v>
      </c>
      <c r="F457" s="119" t="n">
        <v>9335200</v>
      </c>
      <c r="G457" s="120" t="n">
        <v>-0.009208581580138819</v>
      </c>
      <c r="H457" s="121" t="n">
        <v>62.69907956276353</v>
      </c>
      <c r="I457" s="118" t="n">
        <v>113.4215980529785</v>
      </c>
      <c r="J457" s="118" t="n">
        <v>105.2049758148193</v>
      </c>
      <c r="K457" s="120" t="n">
        <v>0.2441156501515127</v>
      </c>
      <c r="L457" s="120" t="n">
        <v>-0.1672921517041979</v>
      </c>
      <c r="M457" s="120" t="n">
        <v>-0.1751064545874315</v>
      </c>
      <c r="N457" t="n">
        <v>23.46540087097694</v>
      </c>
      <c r="O457" t="n">
        <v>-1.348782171393934</v>
      </c>
      <c r="P457" t="n">
        <v>97.51861261910244</v>
      </c>
      <c r="Q457" t="n">
        <v>96.16846069958926</v>
      </c>
    </row>
    <row r="458">
      <c r="A458" s="117" t="n">
        <v>45077</v>
      </c>
      <c r="B458" s="118" t="n">
        <v>98.97401608284396</v>
      </c>
      <c r="C458" s="118" t="n">
        <v>99.41410983610685</v>
      </c>
      <c r="D458" s="118" t="n">
        <v>98.15938114238436</v>
      </c>
      <c r="E458" s="118" t="n">
        <v>98.56201934814453</v>
      </c>
      <c r="F458" s="119" t="n">
        <v>21465200</v>
      </c>
      <c r="G458" s="120" t="n">
        <v>-0.01182855822833606</v>
      </c>
      <c r="H458" s="121" t="n">
        <v>61.95743984929231</v>
      </c>
      <c r="I458" s="118" t="n">
        <v>113.1230844116211</v>
      </c>
      <c r="J458" s="118" t="n">
        <v>105.1591156768799</v>
      </c>
      <c r="K458" s="120" t="n">
        <v>0.243872300671293</v>
      </c>
      <c r="L458" s="120" t="n">
        <v>-0.1771418849749572</v>
      </c>
      <c r="M458" s="120" t="n">
        <v>-0.1848637559215226</v>
      </c>
      <c r="N458" t="n">
        <v>22.05928512746104</v>
      </c>
      <c r="O458" t="n">
        <v>-1.256032303486744</v>
      </c>
      <c r="P458" t="n">
        <v>96.97784623662903</v>
      </c>
      <c r="Q458" t="n">
        <v>95.62164718844863</v>
      </c>
    </row>
    <row r="459">
      <c r="A459" s="117" t="n">
        <v>45078</v>
      </c>
      <c r="B459" s="118" t="n">
        <v>97.5507332620208</v>
      </c>
      <c r="C459" s="118" t="n">
        <v>97.9440057637419</v>
      </c>
      <c r="D459" s="118" t="n">
        <v>96.35218441263383</v>
      </c>
      <c r="E459" s="118" t="n">
        <v>97.03572845458984</v>
      </c>
      <c r="F459" s="119" t="n">
        <v>12025200</v>
      </c>
      <c r="G459" s="120" t="n">
        <v>-0.01548558870494998</v>
      </c>
      <c r="H459" s="121" t="n">
        <v>60.99799241857448</v>
      </c>
      <c r="I459" s="118" t="n">
        <v>112.7114573669434</v>
      </c>
      <c r="J459" s="118" t="n">
        <v>105.1044638061523</v>
      </c>
      <c r="K459" s="120" t="n">
        <v>0.2439771207608419</v>
      </c>
      <c r="L459" s="120" t="n">
        <v>-0.1898843273067655</v>
      </c>
      <c r="M459" s="120" t="n">
        <v>-0.1974866205358197</v>
      </c>
      <c r="N459" t="n">
        <v>20.35957561777279</v>
      </c>
      <c r="O459" t="n">
        <v>-1.200813661840944</v>
      </c>
      <c r="P459" t="n">
        <v>97.89925140718594</v>
      </c>
      <c r="Q459" t="n">
        <v>96.72627866069709</v>
      </c>
    </row>
    <row r="460">
      <c r="A460" s="117" t="n">
        <v>45079</v>
      </c>
      <c r="B460" s="118" t="n">
        <v>101.1129492415631</v>
      </c>
      <c r="C460" s="118" t="n">
        <v>101.8551152223391</v>
      </c>
      <c r="D460" s="118" t="n">
        <v>99.70377496178277</v>
      </c>
      <c r="E460" s="118" t="n">
        <v>101.2538681030273</v>
      </c>
      <c r="F460" s="119" t="n">
        <v>11838200</v>
      </c>
      <c r="G460" s="120" t="n">
        <v>0.04346996426590932</v>
      </c>
      <c r="H460" s="121" t="n">
        <v>63.64957296930213</v>
      </c>
      <c r="I460" s="118" t="n">
        <v>112.4986167907715</v>
      </c>
      <c r="J460" s="118" t="n">
        <v>105.0628275299072</v>
      </c>
      <c r="K460" s="120" t="n">
        <v>0.3025669944901411</v>
      </c>
      <c r="L460" s="120" t="n">
        <v>-0.1546686279635374</v>
      </c>
      <c r="M460" s="120" t="n">
        <v>-0.1626013926075977</v>
      </c>
      <c r="N460" t="n">
        <v>35.21614071193007</v>
      </c>
      <c r="O460" t="n">
        <v>-0.8026804837669301</v>
      </c>
      <c r="P460" t="n">
        <v>99.31497857869138</v>
      </c>
      <c r="Q460" t="n">
        <v>97.45167525663112</v>
      </c>
    </row>
    <row r="461">
      <c r="A461" s="117" t="n">
        <v>45082</v>
      </c>
      <c r="B461" s="118" t="n">
        <v>101.3478029084509</v>
      </c>
      <c r="C461" s="118" t="n">
        <v>101.3478029084509</v>
      </c>
      <c r="D461" s="118" t="n">
        <v>98.81129228988765</v>
      </c>
      <c r="E461" s="118" t="n">
        <v>98.830078125</v>
      </c>
      <c r="F461" s="119" t="n">
        <v>7434000</v>
      </c>
      <c r="G461" s="120" t="n">
        <v>-0.023937751944065</v>
      </c>
      <c r="H461" s="121" t="n">
        <v>62.12594528021731</v>
      </c>
      <c r="I461" s="118" t="n">
        <v>112.2097714233398</v>
      </c>
      <c r="J461" s="118" t="n">
        <v>105.0138060760498</v>
      </c>
      <c r="K461" s="120" t="n">
        <v>0.286414369982407</v>
      </c>
      <c r="L461" s="120" t="n">
        <v>-0.1749039606578824</v>
      </c>
      <c r="M461" s="120" t="n">
        <v>-0.1826468327496624</v>
      </c>
      <c r="N461" t="n">
        <v>31.57161997048252</v>
      </c>
      <c r="O461" t="n">
        <v>-0.6325288775110001</v>
      </c>
      <c r="P461" t="n">
        <v>99.12467763252916</v>
      </c>
      <c r="Q461" t="n">
        <v>97.52037617447743</v>
      </c>
    </row>
    <row r="462">
      <c r="A462" s="117" t="n">
        <v>45083</v>
      </c>
      <c r="B462" s="118" t="n">
        <v>99.10252812847261</v>
      </c>
      <c r="C462" s="118" t="n">
        <v>100.2862365337849</v>
      </c>
      <c r="D462" s="118" t="n">
        <v>98.83008690683712</v>
      </c>
      <c r="E462" s="118" t="n">
        <v>99.76014709472656</v>
      </c>
      <c r="F462" s="119" t="n">
        <v>7896300</v>
      </c>
      <c r="G462" s="120" t="n">
        <v>0.00941078857137212</v>
      </c>
      <c r="H462" s="121" t="n">
        <v>62.71059941604607</v>
      </c>
      <c r="I462" s="118" t="n">
        <v>111.9443968200684</v>
      </c>
      <c r="J462" s="118" t="n">
        <v>104.9742150115967</v>
      </c>
      <c r="K462" s="120" t="n">
        <v>0.2911778022224996</v>
      </c>
      <c r="L462" s="120" t="n">
        <v>-0.1671391562805572</v>
      </c>
      <c r="M462" s="120" t="n">
        <v>-0.1749548949045281</v>
      </c>
      <c r="N462" t="n">
        <v>34.3780402802834</v>
      </c>
      <c r="O462" t="n">
        <v>-0.3987142280168827</v>
      </c>
      <c r="P462" t="n">
        <v>99.34049568566834</v>
      </c>
      <c r="Q462" t="n">
        <v>97.50389513100953</v>
      </c>
    </row>
    <row r="463">
      <c r="A463" s="117" t="n">
        <v>45084</v>
      </c>
      <c r="B463" s="118" t="n">
        <v>99.61921143537744</v>
      </c>
      <c r="C463" s="118" t="n">
        <v>101.6859971695525</v>
      </c>
      <c r="D463" s="118" t="n">
        <v>99.03675024932491</v>
      </c>
      <c r="E463" s="118" t="n">
        <v>100.6056289672852</v>
      </c>
      <c r="F463" s="119" t="n">
        <v>11123900</v>
      </c>
      <c r="G463" s="120" t="n">
        <v>0.008475146610958495</v>
      </c>
      <c r="H463" s="121" t="n">
        <v>63.24208094015814</v>
      </c>
      <c r="I463" s="118" t="n">
        <v>111.7502410888672</v>
      </c>
      <c r="J463" s="118" t="n">
        <v>104.9520779418945</v>
      </c>
      <c r="K463" s="120" t="n">
        <v>0.2964593732227707</v>
      </c>
      <c r="L463" s="120" t="n">
        <v>-0.1600805385235085</v>
      </c>
      <c r="M463" s="120" t="n">
        <v>-0.1679625166781903</v>
      </c>
      <c r="N463" t="n">
        <v>36.91108772671205</v>
      </c>
      <c r="O463" t="n">
        <v>-0.1417431672191674</v>
      </c>
      <c r="P463" t="n">
        <v>98.99701092697435</v>
      </c>
      <c r="Q463" t="n">
        <v>95.84968194747341</v>
      </c>
    </row>
    <row r="464">
      <c r="A464" s="117" t="n">
        <v>45085</v>
      </c>
      <c r="B464" s="118" t="n">
        <v>100.6714013538204</v>
      </c>
      <c r="C464" s="118" t="n">
        <v>101.0095965444883</v>
      </c>
      <c r="D464" s="118" t="n">
        <v>99.27161658435836</v>
      </c>
      <c r="E464" s="118" t="n">
        <v>99.76952362060547</v>
      </c>
      <c r="F464" s="119" t="n">
        <v>9137600</v>
      </c>
      <c r="G464" s="120" t="n">
        <v>-0.008310721331025839</v>
      </c>
      <c r="H464" s="121" t="n">
        <v>62.7164936290703</v>
      </c>
      <c r="I464" s="118" t="n">
        <v>111.538239440918</v>
      </c>
      <c r="J464" s="118" t="n">
        <v>104.9388477706909</v>
      </c>
      <c r="K464" s="120" t="n">
        <v>0.2958275932002739</v>
      </c>
      <c r="L464" s="120" t="n">
        <v>-0.1670608751083449</v>
      </c>
      <c r="M464" s="120" t="n">
        <v>-0.174877348339046</v>
      </c>
      <c r="N464" t="n">
        <v>35.45362918398584</v>
      </c>
      <c r="O464" t="n">
        <v>0.009279129450209922</v>
      </c>
      <c r="P464" t="n">
        <v>99.59582171762612</v>
      </c>
      <c r="Q464" t="n">
        <v>97.03952101251893</v>
      </c>
    </row>
    <row r="465">
      <c r="A465" s="117" t="n">
        <v>45086</v>
      </c>
      <c r="B465" s="118" t="n">
        <v>99.49710199086843</v>
      </c>
      <c r="C465" s="118" t="n">
        <v>99.84469372571886</v>
      </c>
      <c r="D465" s="118" t="n">
        <v>98.97100538641122</v>
      </c>
      <c r="E465" s="118" t="n">
        <v>99.45012664794922</v>
      </c>
      <c r="F465" s="119" t="n">
        <v>5795200</v>
      </c>
      <c r="G465" s="120" t="n">
        <v>-0.003201348077703781</v>
      </c>
      <c r="H465" s="121" t="n">
        <v>62.51571630275055</v>
      </c>
      <c r="I465" s="118" t="n">
        <v>111.270783996582</v>
      </c>
      <c r="J465" s="118" t="n">
        <v>104.9224426651001</v>
      </c>
      <c r="K465" s="120" t="n">
        <v>0.2958891189638799</v>
      </c>
      <c r="L465" s="120" t="n">
        <v>-0.1697274031746611</v>
      </c>
      <c r="M465" s="120" t="n">
        <v>-0.1775188531538107</v>
      </c>
      <c r="N465" t="n">
        <v>34.88692484936864</v>
      </c>
      <c r="O465" t="n">
        <v>0.1189319272808604</v>
      </c>
      <c r="P465" t="n">
        <v>99.77451525798304</v>
      </c>
      <c r="Q465" t="n">
        <v>97.41046837604753</v>
      </c>
    </row>
    <row r="466">
      <c r="A466" s="117" t="n">
        <v>45089</v>
      </c>
      <c r="B466" s="118" t="n">
        <v>99.85408558343455</v>
      </c>
      <c r="C466" s="118" t="n">
        <v>100.3801749959916</v>
      </c>
      <c r="D466" s="118" t="n">
        <v>98.2664136766998</v>
      </c>
      <c r="E466" s="118" t="n">
        <v>100.3613891601562</v>
      </c>
      <c r="F466" s="119" t="n">
        <v>7964600</v>
      </c>
      <c r="G466" s="120" t="n">
        <v>0.009163010072705813</v>
      </c>
      <c r="H466" s="121" t="n">
        <v>63.08854844093508</v>
      </c>
      <c r="I466" s="118" t="n">
        <v>111.0288580322266</v>
      </c>
      <c r="J466" s="118" t="n">
        <v>104.9072060394287</v>
      </c>
      <c r="K466" s="120" t="n">
        <v>0.2988016337034968</v>
      </c>
      <c r="L466" s="120" t="n">
        <v>-0.1621196070068589</v>
      </c>
      <c r="M466" s="120" t="n">
        <v>-0.1699824501206483</v>
      </c>
      <c r="N466" t="n">
        <v>37.93509578915416</v>
      </c>
      <c r="O466" t="n">
        <v>0.275173687204147</v>
      </c>
      <c r="P466" t="n">
        <v>100.6796567779392</v>
      </c>
      <c r="Q466" t="n">
        <v>99.05642822210827</v>
      </c>
    </row>
    <row r="467">
      <c r="A467" s="117" t="n">
        <v>45090</v>
      </c>
      <c r="B467" s="118" t="n">
        <v>100.6526173664146</v>
      </c>
      <c r="C467" s="118" t="n">
        <v>100.9720339187496</v>
      </c>
      <c r="D467" s="118" t="n">
        <v>99.85408673672327</v>
      </c>
      <c r="E467" s="118" t="n">
        <v>100.3144149780273</v>
      </c>
      <c r="F467" s="119" t="n">
        <v>8460500</v>
      </c>
      <c r="G467" s="120" t="n">
        <v>-0.0004680503381030432</v>
      </c>
      <c r="H467" s="121" t="n">
        <v>63.05901982450687</v>
      </c>
      <c r="I467" s="118" t="n">
        <v>110.7384248352051</v>
      </c>
      <c r="J467" s="118" t="n">
        <v>104.8833344268799</v>
      </c>
      <c r="K467" s="120" t="n">
        <v>0.2992398853176824</v>
      </c>
      <c r="L467" s="120" t="n">
        <v>-0.1625117772080892</v>
      </c>
      <c r="M467" s="120" t="n">
        <v>-0.1703709401155008</v>
      </c>
      <c r="N467" t="n">
        <v>37.8367659053576</v>
      </c>
      <c r="O467" t="n">
        <v>0.3906464510445309</v>
      </c>
      <c r="P467" t="n">
        <v>101.3434188628684</v>
      </c>
      <c r="Q467" t="n">
        <v>99.81758073660799</v>
      </c>
    </row>
    <row r="468">
      <c r="A468" s="117" t="n">
        <v>45091</v>
      </c>
      <c r="B468" s="118" t="n">
        <v>100.9720396909386</v>
      </c>
      <c r="C468" s="118" t="n">
        <v>106.5335792463472</v>
      </c>
      <c r="D468" s="118" t="n">
        <v>100.9720396909386</v>
      </c>
      <c r="E468" s="118" t="n">
        <v>106.0262756347656</v>
      </c>
      <c r="F468" s="119" t="n">
        <v>17415500</v>
      </c>
      <c r="G468" s="120" t="n">
        <v>0.05693957999943877</v>
      </c>
      <c r="H468" s="121" t="n">
        <v>66.64957392849057</v>
      </c>
      <c r="I468" s="118" t="n">
        <v>110.5803942871094</v>
      </c>
      <c r="J468" s="118" t="n">
        <v>104.9109482955933</v>
      </c>
      <c r="K468" s="120" t="n">
        <v>0.3599958449019366</v>
      </c>
      <c r="L468" s="120" t="n">
        <v>-0.1148255495478415</v>
      </c>
      <c r="M468" s="120" t="n">
        <v>-0.1231322098903482</v>
      </c>
      <c r="N468" t="n">
        <v>53.58970868604912</v>
      </c>
      <c r="O468" t="n">
        <v>0.8411377483233418</v>
      </c>
      <c r="P468" t="n">
        <v>101.4641196491097</v>
      </c>
      <c r="Q468" t="n">
        <v>100.5429858763696</v>
      </c>
    </row>
    <row r="469">
      <c r="A469" s="117" t="n">
        <v>45092</v>
      </c>
      <c r="B469" s="118" t="n">
        <v>105.0586332263442</v>
      </c>
      <c r="C469" s="118" t="n">
        <v>105.9886861706494</v>
      </c>
      <c r="D469" s="118" t="n">
        <v>103.4897543723052</v>
      </c>
      <c r="E469" s="118" t="n">
        <v>105.603515625</v>
      </c>
      <c r="F469" s="119" t="n">
        <v>10374200</v>
      </c>
      <c r="G469" s="120" t="n">
        <v>-0.003987313590283259</v>
      </c>
      <c r="H469" s="121" t="n">
        <v>66.38382117657891</v>
      </c>
      <c r="I469" s="118" t="n">
        <v>110.3760791015625</v>
      </c>
      <c r="J469" s="118" t="n">
        <v>104.9383047485352</v>
      </c>
      <c r="K469" s="120" t="n">
        <v>0.3595284382713214</v>
      </c>
      <c r="L469" s="120" t="n">
        <v>-0.1183550176639009</v>
      </c>
      <c r="M469" s="120" t="n">
        <v>-0.1266285567467342</v>
      </c>
      <c r="N469" t="n">
        <v>52.52868374785081</v>
      </c>
      <c r="O469" t="n">
        <v>1.084582391351962</v>
      </c>
      <c r="P469" t="n">
        <v>102.7220141424398</v>
      </c>
      <c r="Q469" t="n">
        <v>101.7410697350629</v>
      </c>
    </row>
    <row r="470">
      <c r="A470" s="117" t="n">
        <v>45093</v>
      </c>
      <c r="B470" s="118" t="n">
        <v>107.0972443907593</v>
      </c>
      <c r="C470" s="118" t="n">
        <v>107.8112280269117</v>
      </c>
      <c r="D470" s="118" t="n">
        <v>106.2141595557138</v>
      </c>
      <c r="E470" s="118" t="n">
        <v>106.7120666503906</v>
      </c>
      <c r="F470" s="119" t="n">
        <v>14445500</v>
      </c>
      <c r="G470" s="120" t="n">
        <v>0.01049729281103784</v>
      </c>
      <c r="H470" s="121" t="n">
        <v>67.08067158538503</v>
      </c>
      <c r="I470" s="118" t="n">
        <v>110.2461845397949</v>
      </c>
      <c r="J470" s="118" t="n">
        <v>104.9712967300415</v>
      </c>
      <c r="K470" s="120" t="n">
        <v>0.3563717333641733</v>
      </c>
      <c r="L470" s="120" t="n">
        <v>-0.1091001321289365</v>
      </c>
      <c r="M470" s="120" t="n">
        <v>-0.117460520974106</v>
      </c>
      <c r="N470" t="n">
        <v>55.04227685123803</v>
      </c>
      <c r="O470" t="n">
        <v>1.28074514237957</v>
      </c>
      <c r="P470" t="n">
        <v>102.3721242799702</v>
      </c>
      <c r="Q470" t="n">
        <v>101.100812381305</v>
      </c>
    </row>
    <row r="471">
      <c r="A471" s="117" t="n">
        <v>45097</v>
      </c>
      <c r="B471" s="118" t="n">
        <v>104.6640605467392</v>
      </c>
      <c r="C471" s="118" t="n">
        <v>105.9886804667449</v>
      </c>
      <c r="D471" s="118" t="n">
        <v>102.362405228324</v>
      </c>
      <c r="E471" s="118" t="n">
        <v>102.9072875976562</v>
      </c>
      <c r="F471" s="119" t="n">
        <v>10602400</v>
      </c>
      <c r="G471" s="120" t="n">
        <v>-0.0356546281237301</v>
      </c>
      <c r="H471" s="121" t="n">
        <v>64.68893518571805</v>
      </c>
      <c r="I471" s="118" t="n">
        <v>110.0529287719727</v>
      </c>
      <c r="J471" s="118" t="n">
        <v>104.9918084335327</v>
      </c>
      <c r="K471" s="120" t="n">
        <v>0.3577032774822712</v>
      </c>
      <c r="L471" s="120" t="n">
        <v>-0.1408648356133597</v>
      </c>
      <c r="M471" s="120" t="n">
        <v>-0.1489271379032847</v>
      </c>
      <c r="N471" t="n">
        <v>46.03297421988771</v>
      </c>
      <c r="O471" t="n">
        <v>1.120513019552378</v>
      </c>
      <c r="P471" t="n">
        <v>101.8410172072229</v>
      </c>
      <c r="Q471" t="n">
        <v>100.9560713976918</v>
      </c>
    </row>
    <row r="472">
      <c r="A472" s="117" t="n">
        <v>45098</v>
      </c>
      <c r="B472" s="118" t="n">
        <v>102.5221028987723</v>
      </c>
      <c r="C472" s="118" t="n">
        <v>103.677628729425</v>
      </c>
      <c r="D472" s="118" t="n">
        <v>102.1275358999854</v>
      </c>
      <c r="E472" s="118" t="n">
        <v>103.3206405639648</v>
      </c>
      <c r="F472" s="119" t="n">
        <v>8377800</v>
      </c>
      <c r="G472" s="120" t="n">
        <v>0.004016751154930054</v>
      </c>
      <c r="H472" s="121" t="n">
        <v>64.94877454083648</v>
      </c>
      <c r="I472" s="118" t="n">
        <v>109.8362911987305</v>
      </c>
      <c r="J472" s="118" t="n">
        <v>105.0142012786865</v>
      </c>
      <c r="K472" s="120" t="n">
        <v>0.3286347999416014</v>
      </c>
      <c r="L472" s="120" t="n">
        <v>-0.1374139034495686</v>
      </c>
      <c r="M472" s="120" t="n">
        <v>-0.1455085900015283</v>
      </c>
      <c r="N472" t="n">
        <v>47.04702900084939</v>
      </c>
      <c r="O472" t="n">
        <v>1.011936582260468</v>
      </c>
      <c r="P472" t="n">
        <v>101.3192004866109</v>
      </c>
      <c r="Q472" t="n">
        <v>99.58026738079411</v>
      </c>
    </row>
    <row r="473">
      <c r="A473" s="117" t="n">
        <v>45099</v>
      </c>
      <c r="B473" s="118" t="n">
        <v>104.1097935808194</v>
      </c>
      <c r="C473" s="118" t="n">
        <v>104.5137571535935</v>
      </c>
      <c r="D473" s="118" t="n">
        <v>103.1327652381233</v>
      </c>
      <c r="E473" s="118" t="n">
        <v>103.7715911865234</v>
      </c>
      <c r="F473" s="119" t="n">
        <v>6002900</v>
      </c>
      <c r="G473" s="120" t="n">
        <v>0.004364574397691667</v>
      </c>
      <c r="H473" s="121" t="n">
        <v>65.23224829935886</v>
      </c>
      <c r="I473" s="118" t="n">
        <v>109.6026412963867</v>
      </c>
      <c r="J473" s="118" t="n">
        <v>105.0409201049805</v>
      </c>
      <c r="K473" s="120" t="n">
        <v>0.3252612025049709</v>
      </c>
      <c r="L473" s="120" t="n">
        <v>-0.13364908225676</v>
      </c>
      <c r="M473" s="120" t="n">
        <v>-0.1417790986704014</v>
      </c>
      <c r="N473" t="n">
        <v>48.19078287581574</v>
      </c>
      <c r="O473" t="n">
        <v>0.9415216706042489</v>
      </c>
      <c r="P473" t="n">
        <v>101.6849333880278</v>
      </c>
      <c r="Q473" t="n">
        <v>100.7552230981356</v>
      </c>
    </row>
    <row r="474">
      <c r="A474" s="117" t="n">
        <v>45100</v>
      </c>
      <c r="B474" s="118" t="n">
        <v>101.2256665880646</v>
      </c>
      <c r="C474" s="118" t="n">
        <v>103.611868776543</v>
      </c>
      <c r="D474" s="118" t="n">
        <v>100.8029172511884</v>
      </c>
      <c r="E474" s="118" t="n">
        <v>102.8884887695312</v>
      </c>
      <c r="F474" s="119" t="n">
        <v>14329200</v>
      </c>
      <c r="G474" s="120" t="n">
        <v>-0.008510059515275836</v>
      </c>
      <c r="H474" s="121" t="n">
        <v>64.67711798401606</v>
      </c>
      <c r="I474" s="118" t="n">
        <v>109.3445877075195</v>
      </c>
      <c r="J474" s="118" t="n">
        <v>105.0659694290161</v>
      </c>
      <c r="K474" s="120" t="n">
        <v>0.3264895501323836</v>
      </c>
      <c r="L474" s="120" t="n">
        <v>-0.1410217801278687</v>
      </c>
      <c r="M474" s="120" t="n">
        <v>-0.1490826096179699</v>
      </c>
      <c r="N474" t="n">
        <v>46.09122771586058</v>
      </c>
      <c r="O474" t="n">
        <v>0.8114348631984765</v>
      </c>
      <c r="P474" t="n">
        <v>100.9162028685274</v>
      </c>
      <c r="Q474" t="n">
        <v>99.75638129940697</v>
      </c>
    </row>
    <row r="475">
      <c r="A475" s="117" t="n">
        <v>45103</v>
      </c>
      <c r="B475" s="118" t="n">
        <v>103.0294153207327</v>
      </c>
      <c r="C475" s="118" t="n">
        <v>105.4156176879268</v>
      </c>
      <c r="D475" s="118" t="n">
        <v>103.0294153207327</v>
      </c>
      <c r="E475" s="118" t="n">
        <v>104.9740753173828</v>
      </c>
      <c r="F475" s="119" t="n">
        <v>6887100</v>
      </c>
      <c r="G475" s="120" t="n">
        <v>0.02027035845111147</v>
      </c>
      <c r="H475" s="121" t="n">
        <v>65.9881463491369</v>
      </c>
      <c r="I475" s="118" t="n">
        <v>109.0763710021973</v>
      </c>
      <c r="J475" s="118" t="n">
        <v>105.0859480667114</v>
      </c>
      <c r="K475" s="120" t="n">
        <v>0.3318280053089607</v>
      </c>
      <c r="L475" s="120" t="n">
        <v>-0.123609983709363</v>
      </c>
      <c r="M475" s="120" t="n">
        <v>-0.1318342091026418</v>
      </c>
      <c r="N475" t="n">
        <v>51.46879896860591</v>
      </c>
      <c r="O475" t="n">
        <v>0.838371603124044</v>
      </c>
      <c r="P475" t="n">
        <v>100.5038706233975</v>
      </c>
      <c r="Q475" t="n">
        <v>98.41908431356681</v>
      </c>
    </row>
    <row r="476">
      <c r="A476" s="117" t="n">
        <v>45104</v>
      </c>
      <c r="B476" s="118" t="n">
        <v>105.7162431160556</v>
      </c>
      <c r="C476" s="118" t="n">
        <v>107.2663361076479</v>
      </c>
      <c r="D476" s="118" t="n">
        <v>105.6222996066261</v>
      </c>
      <c r="E476" s="118" t="n">
        <v>106.7308502197266</v>
      </c>
      <c r="F476" s="119" t="n">
        <v>7138600</v>
      </c>
      <c r="G476" s="120" t="n">
        <v>0.01673532152612212</v>
      </c>
      <c r="H476" s="121" t="n">
        <v>67.0924791952025</v>
      </c>
      <c r="I476" s="118" t="n">
        <v>108.8522790527344</v>
      </c>
      <c r="J476" s="118" t="n">
        <v>105.1135469818115</v>
      </c>
      <c r="K476" s="120" t="n">
        <v>0.3356090169415117</v>
      </c>
      <c r="L476" s="120" t="n">
        <v>-0.1089433150044559</v>
      </c>
      <c r="M476" s="120" t="n">
        <v>-0.1173051754539944</v>
      </c>
      <c r="N476" t="n">
        <v>55.49595794599277</v>
      </c>
      <c r="O476" t="n">
        <v>0.9394207825265075</v>
      </c>
      <c r="P476" t="n">
        <v>101.6057329515952</v>
      </c>
      <c r="Q476" t="n">
        <v>100.111326073814</v>
      </c>
    </row>
    <row r="477">
      <c r="A477" s="117" t="n">
        <v>45105</v>
      </c>
      <c r="B477" s="118" t="n">
        <v>106.4771935174875</v>
      </c>
      <c r="C477" s="118" t="n">
        <v>106.8623712189509</v>
      </c>
      <c r="D477" s="118" t="n">
        <v>105.3310712490113</v>
      </c>
      <c r="E477" s="118" t="n">
        <v>106.1859664916992</v>
      </c>
      <c r="F477" s="119" t="n">
        <v>6766000</v>
      </c>
      <c r="G477" s="120" t="n">
        <v>-0.005105213037332579</v>
      </c>
      <c r="H477" s="121" t="n">
        <v>66.7499577957082</v>
      </c>
      <c r="I477" s="118" t="n">
        <v>108.6127947998047</v>
      </c>
      <c r="J477" s="118" t="n">
        <v>105.1279960250855</v>
      </c>
      <c r="K477" s="120" t="n">
        <v>0.3339187451959816</v>
      </c>
      <c r="L477" s="120" t="n">
        <v>-0.1134923492096973</v>
      </c>
      <c r="M477" s="120" t="n">
        <v>-0.1218115205802528</v>
      </c>
      <c r="N477" t="n">
        <v>53.99924730949767</v>
      </c>
      <c r="O477" t="n">
        <v>0.9325974315517185</v>
      </c>
      <c r="P477" t="n">
        <v>101.6569737818</v>
      </c>
      <c r="Q477" t="n">
        <v>100.3067063236971</v>
      </c>
    </row>
    <row r="478">
      <c r="A478" s="117" t="n">
        <v>45106</v>
      </c>
      <c r="B478" s="118" t="n">
        <v>106.7214480666463</v>
      </c>
      <c r="C478" s="118" t="n">
        <v>107.3508774306629</v>
      </c>
      <c r="D478" s="118" t="n">
        <v>105.7913951879182</v>
      </c>
      <c r="E478" s="118" t="n">
        <v>106.5053787231445</v>
      </c>
      <c r="F478" s="119" t="n">
        <v>12465500</v>
      </c>
      <c r="G478" s="120" t="n">
        <v>0.003008045620324751</v>
      </c>
      <c r="H478" s="121" t="n">
        <v>66.95074471391244</v>
      </c>
      <c r="I478" s="118" t="n">
        <v>108.3793243408203</v>
      </c>
      <c r="J478" s="118" t="n">
        <v>105.1374796676636</v>
      </c>
      <c r="K478" s="120" t="n">
        <v>0.329096494597639</v>
      </c>
      <c r="L478" s="120" t="n">
        <v>-0.1108256937533532</v>
      </c>
      <c r="M478" s="120" t="n">
        <v>-0.1191698895709145</v>
      </c>
      <c r="N478" t="n">
        <v>54.76933791457399</v>
      </c>
      <c r="O478" t="n">
        <v>0.9115511304968253</v>
      </c>
      <c r="P478" t="n">
        <v>102.0576395879099</v>
      </c>
      <c r="Q478" t="n">
        <v>100.1058323926581</v>
      </c>
    </row>
    <row r="479">
      <c r="A479" s="117" t="n">
        <v>45107</v>
      </c>
      <c r="B479" s="118" t="n">
        <v>104.833149159894</v>
      </c>
      <c r="C479" s="118" t="n">
        <v>105.4531891690942</v>
      </c>
      <c r="D479" s="118" t="n">
        <v>103.151541136607</v>
      </c>
      <c r="E479" s="118" t="n">
        <v>103.6870269775391</v>
      </c>
      <c r="F479" s="119" t="n">
        <v>19629600</v>
      </c>
      <c r="G479" s="120" t="n">
        <v>-0.02646206022074837</v>
      </c>
      <c r="H479" s="121" t="n">
        <v>65.17909007546893</v>
      </c>
      <c r="I479" s="118" t="n">
        <v>108.0995997619629</v>
      </c>
      <c r="J479" s="118" t="n">
        <v>105.1638686752319</v>
      </c>
      <c r="K479" s="120" t="n">
        <v>0.3398833942237869</v>
      </c>
      <c r="L479" s="120" t="n">
        <v>-0.1343550777919942</v>
      </c>
      <c r="M479" s="120" t="n">
        <v>-0.1424784689973374</v>
      </c>
      <c r="N479" t="n">
        <v>47.25257724121381</v>
      </c>
      <c r="O479" t="n">
        <v>0.6803710657138767</v>
      </c>
      <c r="P479" t="n">
        <v>103.2620057139726</v>
      </c>
      <c r="Q479" t="n">
        <v>101.649479903038</v>
      </c>
    </row>
    <row r="480">
      <c r="A480" s="117" t="n">
        <v>45110</v>
      </c>
      <c r="B480" s="118" t="n">
        <v>104.335249911367</v>
      </c>
      <c r="C480" s="118" t="n">
        <v>104.560722931895</v>
      </c>
      <c r="D480" s="118" t="n">
        <v>102.5033264160156</v>
      </c>
      <c r="E480" s="118" t="n">
        <v>102.5033264160156</v>
      </c>
      <c r="F480" s="119" t="n">
        <v>5734200</v>
      </c>
      <c r="G480" s="120" t="n">
        <v>-0.01141609125102849</v>
      </c>
      <c r="H480" s="121" t="n">
        <v>64.43499963550838</v>
      </c>
      <c r="I480" s="118" t="n">
        <v>107.8190481567383</v>
      </c>
      <c r="J480" s="118" t="n">
        <v>105.1783818054199</v>
      </c>
      <c r="K480" s="120" t="n">
        <v>0.3087663325033024</v>
      </c>
      <c r="L480" s="120" t="n">
        <v>-0.1442373592149102</v>
      </c>
      <c r="M480" s="120" t="n">
        <v>-0.1522680130449855</v>
      </c>
      <c r="N480" t="n">
        <v>44.49076321781963</v>
      </c>
      <c r="O480" t="n">
        <v>0.4323709862377474</v>
      </c>
      <c r="P480" t="n">
        <v>103.3808026790455</v>
      </c>
      <c r="Q480" t="n">
        <v>101.8888608651345</v>
      </c>
    </row>
    <row r="481">
      <c r="A481" s="117" t="n">
        <v>45112</v>
      </c>
      <c r="B481" s="118" t="n">
        <v>102.043003207652</v>
      </c>
      <c r="C481" s="118" t="n">
        <v>102.3154444118971</v>
      </c>
      <c r="D481" s="118" t="n">
        <v>100.0889466052652</v>
      </c>
      <c r="E481" s="118" t="n">
        <v>100.6150360107422</v>
      </c>
      <c r="F481" s="119" t="n">
        <v>10405300</v>
      </c>
      <c r="G481" s="120" t="n">
        <v>-0.01842174757929027</v>
      </c>
      <c r="H481" s="121" t="n">
        <v>63.24799433695139</v>
      </c>
      <c r="I481" s="118" t="n">
        <v>107.4805053710938</v>
      </c>
      <c r="J481" s="118" t="n">
        <v>105.1904348373413</v>
      </c>
      <c r="K481" s="120" t="n">
        <v>0.3034825706076263</v>
      </c>
      <c r="L481" s="120" t="n">
        <v>-0.1600020025712399</v>
      </c>
      <c r="M481" s="120" t="n">
        <v>-0.167884717723561</v>
      </c>
      <c r="N481" t="n">
        <v>40.43104821253423</v>
      </c>
      <c r="O481" t="n">
        <v>0.1408782826615644</v>
      </c>
      <c r="P481" t="n">
        <v>103.2270728092794</v>
      </c>
      <c r="Q481" t="n">
        <v>101.8861268402979</v>
      </c>
    </row>
    <row r="482">
      <c r="A482" s="117" t="n">
        <v>45113</v>
      </c>
      <c r="B482" s="118" t="n">
        <v>98.91462743897161</v>
      </c>
      <c r="C482" s="118" t="n">
        <v>99.66618265283691</v>
      </c>
      <c r="D482" s="118" t="n">
        <v>97.39271684219203</v>
      </c>
      <c r="E482" s="118" t="n">
        <v>98.73612976074219</v>
      </c>
      <c r="F482" s="119" t="n">
        <v>9923500</v>
      </c>
      <c r="G482" s="120" t="n">
        <v>-0.01867420938754516</v>
      </c>
      <c r="H482" s="121" t="n">
        <v>62.06688804736088</v>
      </c>
      <c r="I482" s="118" t="n">
        <v>107.0751699829102</v>
      </c>
      <c r="J482" s="118" t="n">
        <v>105.1995161819458</v>
      </c>
      <c r="K482" s="120" t="n">
        <v>0.3095548738555194</v>
      </c>
      <c r="L482" s="120" t="n">
        <v>-0.1756883010603433</v>
      </c>
      <c r="M482" s="120" t="n">
        <v>-0.1834238127393675</v>
      </c>
      <c r="N482" t="n">
        <v>36.82985284665055</v>
      </c>
      <c r="O482" t="n">
        <v>-0.1623164411545615</v>
      </c>
      <c r="P482" t="n">
        <v>102.4187162445314</v>
      </c>
      <c r="Q482" t="n">
        <v>101.110159328715</v>
      </c>
    </row>
    <row r="483">
      <c r="A483" s="117" t="n">
        <v>45114</v>
      </c>
      <c r="B483" s="118" t="n">
        <v>98.45431188637608</v>
      </c>
      <c r="C483" s="118" t="n">
        <v>99.08374134026707</v>
      </c>
      <c r="D483" s="118" t="n">
        <v>97.73093174718589</v>
      </c>
      <c r="E483" s="118" t="n">
        <v>98.13489532470703</v>
      </c>
      <c r="F483" s="119" t="n">
        <v>7463100</v>
      </c>
      <c r="G483" s="120" t="n">
        <v>-0.00608930527753182</v>
      </c>
      <c r="H483" s="121" t="n">
        <v>61.68894381841411</v>
      </c>
      <c r="I483" s="118" t="n">
        <v>106.7033169555664</v>
      </c>
      <c r="J483" s="118" t="n">
        <v>105.1912097167969</v>
      </c>
      <c r="K483" s="120" t="n">
        <v>0.3083706389151192</v>
      </c>
      <c r="L483" s="120" t="n">
        <v>-0.1807077866390278</v>
      </c>
      <c r="M483" s="120" t="n">
        <v>-0.1883961944259605</v>
      </c>
      <c r="N483" t="n">
        <v>35.73305828399923</v>
      </c>
      <c r="O483" t="n">
        <v>-0.3750438138277579</v>
      </c>
      <c r="P483" t="n">
        <v>102.1601507649267</v>
      </c>
      <c r="Q483" t="n">
        <v>100.7744637979229</v>
      </c>
    </row>
    <row r="484">
      <c r="A484" s="117" t="n">
        <v>45117</v>
      </c>
      <c r="B484" s="118" t="n">
        <v>98.15368186628805</v>
      </c>
      <c r="C484" s="118" t="n">
        <v>99.8728689156344</v>
      </c>
      <c r="D484" s="118" t="n">
        <v>97.93760533872984</v>
      </c>
      <c r="E484" s="118" t="n">
        <v>99.37496185302734</v>
      </c>
      <c r="F484" s="119" t="n">
        <v>5374600</v>
      </c>
      <c r="G484" s="120" t="n">
        <v>0.01263634637013888</v>
      </c>
      <c r="H484" s="121" t="n">
        <v>62.46846667971163</v>
      </c>
      <c r="I484" s="118" t="n">
        <v>106.3716220092773</v>
      </c>
      <c r="J484" s="118" t="n">
        <v>105.2113973999023</v>
      </c>
      <c r="K484" s="120" t="n">
        <v>0.3107976215610886</v>
      </c>
      <c r="L484" s="120" t="n">
        <v>-0.1703549264526407</v>
      </c>
      <c r="M484" s="120" t="n">
        <v>-0.1781404876234041</v>
      </c>
      <c r="N484" t="n">
        <v>39.72038305313036</v>
      </c>
      <c r="O484" t="n">
        <v>-0.4015541564119068</v>
      </c>
      <c r="P484" t="n">
        <v>102.4187162445313</v>
      </c>
      <c r="Q484" t="n">
        <v>100.8075027793073</v>
      </c>
    </row>
    <row r="485">
      <c r="A485" s="117" t="n">
        <v>45118</v>
      </c>
      <c r="B485" s="118" t="n">
        <v>99.25284155891545</v>
      </c>
      <c r="C485" s="118" t="n">
        <v>101.1035582291033</v>
      </c>
      <c r="D485" s="118" t="n">
        <v>99.2246592205765</v>
      </c>
      <c r="E485" s="118" t="n">
        <v>100.8874816894531</v>
      </c>
      <c r="F485" s="119" t="n">
        <v>5454900</v>
      </c>
      <c r="G485" s="120" t="n">
        <v>0.01522033124060718</v>
      </c>
      <c r="H485" s="121" t="n">
        <v>63.41925743466967</v>
      </c>
      <c r="I485" s="118" t="n">
        <v>106.0353446960449</v>
      </c>
      <c r="J485" s="118" t="n">
        <v>105.2513882827759</v>
      </c>
      <c r="K485" s="120" t="n">
        <v>0.3151435744674195</v>
      </c>
      <c r="L485" s="120" t="n">
        <v>-0.157727453621112</v>
      </c>
      <c r="M485" s="120" t="n">
        <v>-0.1656315136117884</v>
      </c>
      <c r="N485" t="n">
        <v>44.26273139882839</v>
      </c>
      <c r="O485" t="n">
        <v>-0.2916549994238966</v>
      </c>
      <c r="P485" t="n">
        <v>103.0709816109324</v>
      </c>
      <c r="Q485" t="n">
        <v>101.3055310347704</v>
      </c>
    </row>
    <row r="486">
      <c r="A486" s="117" t="n">
        <v>45119</v>
      </c>
      <c r="B486" s="118" t="n">
        <v>101.9584498426004</v>
      </c>
      <c r="C486" s="118" t="n">
        <v>102.4845392522757</v>
      </c>
      <c r="D486" s="118" t="n">
        <v>100.727773330354</v>
      </c>
      <c r="E486" s="118" t="n">
        <v>101.2350769042969</v>
      </c>
      <c r="F486" s="119" t="n">
        <v>8305000</v>
      </c>
      <c r="G486" s="120" t="n">
        <v>0.00344537507550946</v>
      </c>
      <c r="H486" s="121" t="n">
        <v>63.6377605635424</v>
      </c>
      <c r="I486" s="118" t="n">
        <v>105.6869169616699</v>
      </c>
      <c r="J486" s="118" t="n">
        <v>105.2988884353638</v>
      </c>
      <c r="K486" s="120" t="n">
        <v>0.3138066734418067</v>
      </c>
      <c r="L486" s="120" t="n">
        <v>-0.1548255087830324</v>
      </c>
      <c r="M486" s="120" t="n">
        <v>-0.1627568012249959</v>
      </c>
      <c r="N486" t="n">
        <v>45.28317322025649</v>
      </c>
      <c r="O486" t="n">
        <v>-0.1756961333378959</v>
      </c>
      <c r="P486" t="n">
        <v>103.9002654502284</v>
      </c>
      <c r="Q486" t="n">
        <v>102.5850119391449</v>
      </c>
    </row>
    <row r="487">
      <c r="A487" s="117" t="n">
        <v>45120</v>
      </c>
      <c r="B487" s="118" t="n">
        <v>102.4657524312039</v>
      </c>
      <c r="C487" s="118" t="n">
        <v>102.5221171052898</v>
      </c>
      <c r="D487" s="118" t="n">
        <v>101.1599182537239</v>
      </c>
      <c r="E487" s="118" t="n">
        <v>101.3102264404297</v>
      </c>
      <c r="F487" s="119" t="n">
        <v>6692300</v>
      </c>
      <c r="G487" s="120" t="n">
        <v>0.0007423270513624569</v>
      </c>
      <c r="H487" s="121" t="n">
        <v>63.68500059469685</v>
      </c>
      <c r="I487" s="118" t="n">
        <v>105.3175196838379</v>
      </c>
      <c r="J487" s="118" t="n">
        <v>105.353885269165</v>
      </c>
      <c r="K487" s="120" t="n">
        <v>0.3137805625091997</v>
      </c>
      <c r="L487" s="120" t="n">
        <v>-0.1541981128950803</v>
      </c>
      <c r="M487" s="120" t="n">
        <v>-0.1621352929499761</v>
      </c>
      <c r="N487" t="n">
        <v>45.51542195529311</v>
      </c>
      <c r="O487" t="n">
        <v>-0.07900431406349218</v>
      </c>
      <c r="P487" t="n">
        <v>104.7249373196398</v>
      </c>
      <c r="Q487" t="n">
        <v>104.3267737242444</v>
      </c>
    </row>
    <row r="488">
      <c r="A488" s="117" t="n">
        <v>45121</v>
      </c>
      <c r="B488" s="118" t="n">
        <v>101.4041696265942</v>
      </c>
      <c r="C488" s="118" t="n">
        <v>102.0617813337663</v>
      </c>
      <c r="D488" s="118" t="n">
        <v>100.6995825828684</v>
      </c>
      <c r="E488" s="118" t="n">
        <v>101.4135589599609</v>
      </c>
      <c r="F488" s="119" t="n">
        <v>6933600</v>
      </c>
      <c r="G488" s="120" t="n">
        <v>0.001019961391479196</v>
      </c>
      <c r="H488" s="121" t="n">
        <v>63.74995683651977</v>
      </c>
      <c r="I488" s="118" t="n">
        <v>104.9625486755371</v>
      </c>
      <c r="J488" s="118" t="n">
        <v>105.4138668441772</v>
      </c>
      <c r="K488" s="120" t="n">
        <v>0.2332445788165743</v>
      </c>
      <c r="L488" s="120" t="n">
        <v>-0.1533354276253931</v>
      </c>
      <c r="M488" s="120" t="n">
        <v>-0.1612807032975021</v>
      </c>
      <c r="N488" t="n">
        <v>45.85573633787803</v>
      </c>
      <c r="O488" t="n">
        <v>0.002521187564676675</v>
      </c>
      <c r="P488" t="n">
        <v>104.6596908592898</v>
      </c>
      <c r="Q488" t="n">
        <v>104.3047562804824</v>
      </c>
    </row>
    <row r="489">
      <c r="A489" s="117" t="n">
        <v>45124</v>
      </c>
      <c r="B489" s="118" t="n">
        <v>100.7653569183026</v>
      </c>
      <c r="C489" s="118" t="n">
        <v>102.4939405843781</v>
      </c>
      <c r="D489" s="118" t="n">
        <v>100.2956321611171</v>
      </c>
      <c r="E489" s="118" t="n">
        <v>102.127555847168</v>
      </c>
      <c r="F489" s="119" t="n">
        <v>6682900</v>
      </c>
      <c r="G489" s="120" t="n">
        <v>0.007040447988704512</v>
      </c>
      <c r="H489" s="121" t="n">
        <v>64.19878509190944</v>
      </c>
      <c r="I489" s="118" t="n">
        <v>104.6315965270996</v>
      </c>
      <c r="J489" s="118" t="n">
        <v>105.4763479614258</v>
      </c>
      <c r="K489" s="120" t="n">
        <v>0.2353477720808523</v>
      </c>
      <c r="L489" s="120" t="n">
        <v>-0.147374529739711</v>
      </c>
      <c r="M489" s="120" t="n">
        <v>-0.1553757437119453</v>
      </c>
      <c r="N489" t="n">
        <v>48.26050276056703</v>
      </c>
      <c r="O489" t="n">
        <v>0.1092324606280459</v>
      </c>
      <c r="P489" t="n">
        <v>105.023091948733</v>
      </c>
      <c r="Q489" t="n">
        <v>105.2788380667849</v>
      </c>
    </row>
    <row r="490">
      <c r="A490" s="117" t="n">
        <v>45125</v>
      </c>
      <c r="B490" s="118" t="n">
        <v>102.0054213452221</v>
      </c>
      <c r="C490" s="118" t="n">
        <v>103.6588471898303</v>
      </c>
      <c r="D490" s="118" t="n">
        <v>101.7517659840788</v>
      </c>
      <c r="E490" s="118" t="n">
        <v>103.0763931274414</v>
      </c>
      <c r="F490" s="119" t="n">
        <v>5717200</v>
      </c>
      <c r="G490" s="120" t="n">
        <v>0.009290707805573506</v>
      </c>
      <c r="H490" s="121" t="n">
        <v>64.79523724567119</v>
      </c>
      <c r="I490" s="118" t="n">
        <v>104.3771136474609</v>
      </c>
      <c r="J490" s="118" t="n">
        <v>105.5323565673828</v>
      </c>
      <c r="K490" s="120" t="n">
        <v>0.234565109896517</v>
      </c>
      <c r="L490" s="120" t="n">
        <v>-0.1394530356279329</v>
      </c>
      <c r="M490" s="120" t="n">
        <v>-0.147528586541273</v>
      </c>
      <c r="N490" t="n">
        <v>51.3526471508632</v>
      </c>
      <c r="O490" t="n">
        <v>0.2408737084138093</v>
      </c>
      <c r="P490" t="n">
        <v>105.8034889072533</v>
      </c>
      <c r="Q490" t="n">
        <v>106.1400729779581</v>
      </c>
    </row>
    <row r="491">
      <c r="A491" s="117" t="n">
        <v>45126</v>
      </c>
      <c r="B491" s="118" t="n">
        <v>102.4751521663898</v>
      </c>
      <c r="C491" s="118" t="n">
        <v>103.5743063503324</v>
      </c>
      <c r="D491" s="118" t="n">
        <v>102.0054274210368</v>
      </c>
      <c r="E491" s="118" t="n">
        <v>103.2267074584961</v>
      </c>
      <c r="F491" s="119" t="n">
        <v>5027100</v>
      </c>
      <c r="G491" s="120" t="n">
        <v>0.001458280858439132</v>
      </c>
      <c r="H491" s="121" t="n">
        <v>64.88972689986457</v>
      </c>
      <c r="I491" s="118" t="n">
        <v>104.0709532165527</v>
      </c>
      <c r="J491" s="118" t="n">
        <v>105.6048015213013</v>
      </c>
      <c r="K491" s="120" t="n">
        <v>0.1971715689687905</v>
      </c>
      <c r="L491" s="120" t="n">
        <v>-0.1381981164620012</v>
      </c>
      <c r="M491" s="120" t="n">
        <v>-0.1462854437966596</v>
      </c>
      <c r="N491" t="n">
        <v>51.84365049582532</v>
      </c>
      <c r="O491" t="n">
        <v>0.329730860616787</v>
      </c>
      <c r="P491" t="n">
        <v>106.0387584045773</v>
      </c>
      <c r="Q491" t="n">
        <v>106.115312965532</v>
      </c>
    </row>
    <row r="492">
      <c r="A492" s="117" t="n">
        <v>45127</v>
      </c>
      <c r="B492" s="118" t="n">
        <v>102.9354749111363</v>
      </c>
      <c r="C492" s="118" t="n">
        <v>103.3582242923984</v>
      </c>
      <c r="D492" s="118" t="n">
        <v>100.972029020815</v>
      </c>
      <c r="E492" s="118" t="n">
        <v>101.0189971923828</v>
      </c>
      <c r="F492" s="119" t="n">
        <v>6458000</v>
      </c>
      <c r="G492" s="120" t="n">
        <v>-0.02138700652639658</v>
      </c>
      <c r="H492" s="121" t="n">
        <v>63.50192988716108</v>
      </c>
      <c r="I492" s="118" t="n">
        <v>103.715207824707</v>
      </c>
      <c r="J492" s="118" t="n">
        <v>105.7230361938477</v>
      </c>
      <c r="K492" s="120" t="n">
        <v>0.2108441894115453</v>
      </c>
      <c r="L492" s="120" t="n">
        <v>-0.1566294789696892</v>
      </c>
      <c r="M492" s="120" t="n">
        <v>-0.1645438425818602</v>
      </c>
      <c r="N492" t="n">
        <v>44.70653647343083</v>
      </c>
      <c r="O492" t="n">
        <v>0.2358785874812915</v>
      </c>
      <c r="P492" t="n">
        <v>105.3352595871233</v>
      </c>
      <c r="Q492" t="n">
        <v>103.6691553127743</v>
      </c>
    </row>
    <row r="493">
      <c r="A493" s="117" t="n">
        <v>45128</v>
      </c>
      <c r="B493" s="118" t="n">
        <v>101.4605381346613</v>
      </c>
      <c r="C493" s="118" t="n">
        <v>102.6724287558058</v>
      </c>
      <c r="D493" s="118" t="n">
        <v>101.0002099222271</v>
      </c>
      <c r="E493" s="118" t="n">
        <v>102.4563522338867</v>
      </c>
      <c r="F493" s="119" t="n">
        <v>6631600</v>
      </c>
      <c r="G493" s="120" t="n">
        <v>0.01422856177008547</v>
      </c>
      <c r="H493" s="121" t="n">
        <v>64.40547101908018</v>
      </c>
      <c r="I493" s="118" t="n">
        <v>103.4215441894531</v>
      </c>
      <c r="J493" s="118" t="n">
        <v>105.8378459167481</v>
      </c>
      <c r="K493" s="120" t="n">
        <v>0.217015679454912</v>
      </c>
      <c r="L493" s="120" t="n">
        <v>-0.1446295294161404</v>
      </c>
      <c r="M493" s="120" t="n">
        <v>-0.152656503039838</v>
      </c>
      <c r="N493" t="n">
        <v>49.57385217695556</v>
      </c>
      <c r="O493" t="n">
        <v>0.2645094148354445</v>
      </c>
      <c r="P493" t="n">
        <v>105.3352595871233</v>
      </c>
      <c r="Q493" t="n">
        <v>103.3582197944083</v>
      </c>
    </row>
    <row r="494">
      <c r="A494" s="117" t="n">
        <v>45131</v>
      </c>
      <c r="B494" s="118" t="n">
        <v>103.7246178865839</v>
      </c>
      <c r="C494" s="118" t="n">
        <v>103.8561402370412</v>
      </c>
      <c r="D494" s="118" t="n">
        <v>101.9396624865385</v>
      </c>
      <c r="E494" s="118" t="n">
        <v>102.1839141845703</v>
      </c>
      <c r="F494" s="119" t="n">
        <v>6787600</v>
      </c>
      <c r="G494" s="120" t="n">
        <v>-0.002659064502847919</v>
      </c>
      <c r="H494" s="121" t="n">
        <v>64.23421271730415</v>
      </c>
      <c r="I494" s="118" t="n">
        <v>103.1522080993652</v>
      </c>
      <c r="J494" s="118" t="n">
        <v>105.9362138366699</v>
      </c>
      <c r="K494" s="120" t="n">
        <v>0.2151545395161605</v>
      </c>
      <c r="L494" s="120" t="n">
        <v>-0.1469040146712541</v>
      </c>
      <c r="M494" s="120" t="n">
        <v>-0.1549096440543237</v>
      </c>
      <c r="N494" t="n">
        <v>48.69882291863281</v>
      </c>
      <c r="O494" t="n">
        <v>0.2586915302755415</v>
      </c>
      <c r="P494" t="n">
        <v>105.8058133400751</v>
      </c>
      <c r="Q494" t="n">
        <v>103.5233207192264</v>
      </c>
    </row>
    <row r="495">
      <c r="A495" s="117" t="n">
        <v>45132</v>
      </c>
      <c r="B495" s="118" t="n">
        <v>101.7235852321146</v>
      </c>
      <c r="C495" s="118" t="n">
        <v>102.2590711315642</v>
      </c>
      <c r="D495" s="118" t="n">
        <v>100.8874757955605</v>
      </c>
      <c r="E495" s="118" t="n">
        <v>101.7423782348633</v>
      </c>
      <c r="F495" s="119" t="n">
        <v>7692800</v>
      </c>
      <c r="G495" s="120" t="n">
        <v>-0.004320992724055395</v>
      </c>
      <c r="H495" s="121" t="n">
        <v>63.95665715151725</v>
      </c>
      <c r="I495" s="118" t="n">
        <v>102.8981997680664</v>
      </c>
      <c r="J495" s="118" t="n">
        <v>106.0209245681763</v>
      </c>
      <c r="K495" s="120" t="n">
        <v>0.2012994382304116</v>
      </c>
      <c r="L495" s="120" t="n">
        <v>-0.1505902362167806</v>
      </c>
      <c r="M495" s="120" t="n">
        <v>-0.1585612733335344</v>
      </c>
      <c r="N495" t="n">
        <v>47.2433842845797</v>
      </c>
      <c r="O495" t="n">
        <v>0.2202058003077583</v>
      </c>
      <c r="P495" t="n">
        <v>106.0946628587293</v>
      </c>
      <c r="Q495" t="n">
        <v>104.224982562048</v>
      </c>
    </row>
    <row r="496">
      <c r="A496" s="117" t="n">
        <v>45133</v>
      </c>
      <c r="B496" s="118" t="n">
        <v>101.7423818768542</v>
      </c>
      <c r="C496" s="118" t="n">
        <v>102.9542654025968</v>
      </c>
      <c r="D496" s="118" t="n">
        <v>101.4135688238564</v>
      </c>
      <c r="E496" s="118" t="n">
        <v>102.6818313598633</v>
      </c>
      <c r="F496" s="119" t="n">
        <v>5148900</v>
      </c>
      <c r="G496" s="120" t="n">
        <v>0.009233646208184343</v>
      </c>
      <c r="H496" s="121" t="n">
        <v>64.54721029631251</v>
      </c>
      <c r="I496" s="118" t="n">
        <v>102.7006227111816</v>
      </c>
      <c r="J496" s="118" t="n">
        <v>106.114661026001</v>
      </c>
      <c r="K496" s="120" t="n">
        <v>0.1939194070659311</v>
      </c>
      <c r="L496" s="120" t="n">
        <v>-0.1427470869722287</v>
      </c>
      <c r="M496" s="120" t="n">
        <v>-0.1507917258256312</v>
      </c>
      <c r="N496" t="n">
        <v>50.62465036619597</v>
      </c>
      <c r="O496" t="n">
        <v>0.2508915862227855</v>
      </c>
      <c r="P496" t="n">
        <v>106.1109781633927</v>
      </c>
      <c r="Q496" t="n">
        <v>103.8782569498059</v>
      </c>
    </row>
    <row r="497">
      <c r="A497" s="117" t="n">
        <v>45134</v>
      </c>
      <c r="B497" s="118" t="n">
        <v>103.1797423547773</v>
      </c>
      <c r="C497" s="118" t="n">
        <v>103.5555235957281</v>
      </c>
      <c r="D497" s="118" t="n">
        <v>100.8968797377326</v>
      </c>
      <c r="E497" s="118" t="n">
        <v>101.1505279541016</v>
      </c>
      <c r="F497" s="119" t="n">
        <v>6544600</v>
      </c>
      <c r="G497" s="120" t="n">
        <v>-0.01491309012979181</v>
      </c>
      <c r="H497" s="121" t="n">
        <v>63.58461193153697</v>
      </c>
      <c r="I497" s="118" t="n">
        <v>102.4795355224609</v>
      </c>
      <c r="J497" s="118" t="n">
        <v>106.214750213623</v>
      </c>
      <c r="K497" s="120" t="n">
        <v>0.1991505252733955</v>
      </c>
      <c r="L497" s="120" t="n">
        <v>-0.1511519183016171</v>
      </c>
      <c r="M497" s="120" t="n">
        <v>-0.1634560453573585</v>
      </c>
      <c r="N497" t="n">
        <v>45.50508421878321</v>
      </c>
      <c r="O497" t="n">
        <v>0.1650743962840979</v>
      </c>
      <c r="P497" t="n">
        <v>105.4074645876351</v>
      </c>
      <c r="Q497" t="n">
        <v>103.6306397378892</v>
      </c>
    </row>
    <row r="498">
      <c r="A498" s="117" t="n">
        <v>45135</v>
      </c>
      <c r="B498" s="118" t="n">
        <v>101.5638780532724</v>
      </c>
      <c r="C498" s="118" t="n">
        <v>102.3624086321617</v>
      </c>
      <c r="D498" s="118" t="n">
        <v>101.1129391749676</v>
      </c>
      <c r="E498" s="118" t="n">
        <v>102.0429992675781</v>
      </c>
      <c r="F498" s="119" t="n">
        <v>5988300</v>
      </c>
      <c r="G498" s="120" t="n">
        <v>0.008823199755136457</v>
      </c>
      <c r="H498" s="121" t="n">
        <v>64.14563166396175</v>
      </c>
      <c r="I498" s="118" t="n">
        <v>102.339034576416</v>
      </c>
      <c r="J498" s="118" t="n">
        <v>106.3214892959595</v>
      </c>
      <c r="K498" s="120" t="n">
        <v>0.2022712720091252</v>
      </c>
      <c r="L498" s="120" t="n">
        <v>-0.1410975024362361</v>
      </c>
      <c r="M498" s="120" t="n">
        <v>-0.1560750509415945</v>
      </c>
      <c r="N498" t="n">
        <v>48.75759205768244</v>
      </c>
      <c r="O498" t="n">
        <v>0.1650374792826258</v>
      </c>
      <c r="P498" t="n">
        <v>106.4394315898391</v>
      </c>
      <c r="Q498" t="n">
        <v>105.5182190288814</v>
      </c>
    </row>
    <row r="499">
      <c r="A499" s="117" t="n">
        <v>45138</v>
      </c>
      <c r="B499" s="118" t="n">
        <v>102.7851693442782</v>
      </c>
      <c r="C499" s="118" t="n">
        <v>104.1379716992128</v>
      </c>
      <c r="D499" s="118" t="n">
        <v>102.4469669636869</v>
      </c>
      <c r="E499" s="118" t="n">
        <v>103.7058258056641</v>
      </c>
      <c r="F499" s="119" t="n">
        <v>6406000</v>
      </c>
      <c r="G499" s="120" t="n">
        <v>0.01629535146968442</v>
      </c>
      <c r="H499" s="121" t="n">
        <v>65.19090727717092</v>
      </c>
      <c r="I499" s="118" t="n">
        <v>102.2224261474609</v>
      </c>
      <c r="J499" s="118" t="n">
        <v>106.4304920196533</v>
      </c>
      <c r="K499" s="120" t="n">
        <v>0.1904532880792395</v>
      </c>
      <c r="L499" s="120" t="n">
        <v>-0.1271013843602449</v>
      </c>
      <c r="M499" s="120" t="n">
        <v>-0.1423229972826523</v>
      </c>
      <c r="N499" t="n">
        <v>54.237908050559</v>
      </c>
      <c r="O499" t="n">
        <v>0.2675540277137386</v>
      </c>
      <c r="P499" t="n">
        <v>106.6420926152918</v>
      </c>
      <c r="Q499" t="n">
        <v>105.5732327348896</v>
      </c>
    </row>
    <row r="500">
      <c r="A500" s="117" t="n">
        <v>45139</v>
      </c>
      <c r="B500" s="118" t="n">
        <v>103.3394403357994</v>
      </c>
      <c r="C500" s="118" t="n">
        <v>103.8373474015375</v>
      </c>
      <c r="D500" s="118" t="n">
        <v>102.5315132288705</v>
      </c>
      <c r="E500" s="118" t="n">
        <v>102.7757720947266</v>
      </c>
      <c r="F500" s="119" t="n">
        <v>4566700</v>
      </c>
      <c r="G500" s="120" t="n">
        <v>-0.008968191552520266</v>
      </c>
      <c r="H500" s="121" t="n">
        <v>64.60626273322667</v>
      </c>
      <c r="I500" s="118" t="n">
        <v>102.051822052002</v>
      </c>
      <c r="J500" s="118" t="n">
        <v>106.5324242019653</v>
      </c>
      <c r="K500" s="120" t="n">
        <v>0.1886839285320132</v>
      </c>
      <c r="L500" s="120" t="n">
        <v>-0.1349297063512319</v>
      </c>
      <c r="M500" s="120" t="n">
        <v>-0.150014808933213</v>
      </c>
      <c r="N500" t="n">
        <v>50.9553556026283</v>
      </c>
      <c r="O500" t="n">
        <v>0.2628936448164574</v>
      </c>
      <c r="P500" t="n">
        <v>106.3369425502778</v>
      </c>
      <c r="Q500" t="n">
        <v>105.3283580916371</v>
      </c>
    </row>
    <row r="501">
      <c r="A501" s="117" t="n">
        <v>45140</v>
      </c>
      <c r="B501" s="118" t="n">
        <v>101.7235865548062</v>
      </c>
      <c r="C501" s="118" t="n">
        <v>101.9490524187086</v>
      </c>
      <c r="D501" s="118" t="n">
        <v>100.9438417814983</v>
      </c>
      <c r="E501" s="118" t="n">
        <v>101.0002136230469</v>
      </c>
      <c r="F501" s="119" t="n">
        <v>6213200</v>
      </c>
      <c r="G501" s="120" t="n">
        <v>-0.01727604118646942</v>
      </c>
      <c r="H501" s="121" t="n">
        <v>63.49012227734359</v>
      </c>
      <c r="I501" s="118" t="n">
        <v>101.9226762390137</v>
      </c>
      <c r="J501" s="118" t="n">
        <v>106.6205916213989</v>
      </c>
      <c r="K501" s="120" t="n">
        <v>0.18722238745622</v>
      </c>
      <c r="L501" s="120" t="n">
        <v>-0.1498746963734991</v>
      </c>
      <c r="M501" s="120" t="n">
        <v>-0.1646991881019718</v>
      </c>
      <c r="N501" t="n">
        <v>45.3166644048705</v>
      </c>
      <c r="O501" t="n">
        <v>0.1367438163254174</v>
      </c>
      <c r="P501" t="n">
        <v>104.8577177774026</v>
      </c>
      <c r="Q501" t="n">
        <v>103.0170305824602</v>
      </c>
    </row>
    <row r="502">
      <c r="A502" s="117" t="n">
        <v>45141</v>
      </c>
      <c r="B502" s="118" t="n">
        <v>100.521086385337</v>
      </c>
      <c r="C502" s="118" t="n">
        <v>102.4845322024037</v>
      </c>
      <c r="D502" s="118" t="n">
        <v>100.1922805269083</v>
      </c>
      <c r="E502" s="118" t="n">
        <v>102.0617828369141</v>
      </c>
      <c r="F502" s="119" t="n">
        <v>5084300</v>
      </c>
      <c r="G502" s="120" t="n">
        <v>0.01051056404523232</v>
      </c>
      <c r="H502" s="121" t="n">
        <v>64.15743927377923</v>
      </c>
      <c r="I502" s="118" t="n">
        <v>101.9005334472656</v>
      </c>
      <c r="J502" s="118" t="n">
        <v>106.7234218978882</v>
      </c>
      <c r="K502" s="120" t="n">
        <v>0.1764317362434635</v>
      </c>
      <c r="L502" s="120" t="n">
        <v>-0.1287161613610985</v>
      </c>
      <c r="M502" s="120" t="n">
        <v>-0.1559197054214829</v>
      </c>
      <c r="N502" t="n">
        <v>48.95372510435634</v>
      </c>
      <c r="O502" t="n">
        <v>0.1218069334663002</v>
      </c>
      <c r="P502" t="n">
        <v>104.5572091988803</v>
      </c>
      <c r="Q502" t="n">
        <v>102.8519296576421</v>
      </c>
    </row>
    <row r="503">
      <c r="A503" s="117" t="n">
        <v>45142</v>
      </c>
      <c r="B503" s="118" t="n">
        <v>102.1275454442551</v>
      </c>
      <c r="C503" s="118" t="n">
        <v>103.6306630806518</v>
      </c>
      <c r="D503" s="118" t="n">
        <v>101.6860030706882</v>
      </c>
      <c r="E503" s="118" t="n">
        <v>102.2214889526367</v>
      </c>
      <c r="F503" s="119" t="n">
        <v>5621400</v>
      </c>
      <c r="G503" s="120" t="n">
        <v>0.001564798412132973</v>
      </c>
      <c r="H503" s="121" t="n">
        <v>64.25783273288137</v>
      </c>
      <c r="I503" s="118" t="n">
        <v>101.907802734375</v>
      </c>
      <c r="J503" s="118" t="n">
        <v>106.8157874679565</v>
      </c>
      <c r="K503" s="120" t="n">
        <v>0.1740157034768519</v>
      </c>
      <c r="L503" s="120" t="n">
        <v>-0.1161188610720622</v>
      </c>
      <c r="M503" s="120" t="n">
        <v>-0.1545988899168138</v>
      </c>
      <c r="N503" t="n">
        <v>49.49793024994889</v>
      </c>
      <c r="O503" t="n">
        <v>0.119526767810644</v>
      </c>
      <c r="P503" t="n">
        <v>104.0843162548031</v>
      </c>
      <c r="Q503" t="n">
        <v>102.3703909894745</v>
      </c>
    </row>
    <row r="504">
      <c r="A504" s="117" t="n">
        <v>45145</v>
      </c>
      <c r="B504" s="118" t="n">
        <v>103.2173176252984</v>
      </c>
      <c r="C504" s="118" t="n">
        <v>104.2225282887984</v>
      </c>
      <c r="D504" s="118" t="n">
        <v>102.5690951862662</v>
      </c>
      <c r="E504" s="118" t="n">
        <v>103.7903823852539</v>
      </c>
      <c r="F504" s="119" t="n">
        <v>4887300</v>
      </c>
      <c r="G504" s="120" t="n">
        <v>0.01534798063197962</v>
      </c>
      <c r="H504" s="121" t="n">
        <v>65.24406070511863</v>
      </c>
      <c r="I504" s="118" t="n">
        <v>101.9556262207031</v>
      </c>
      <c r="J504" s="118" t="n">
        <v>106.9173472595215</v>
      </c>
      <c r="K504" s="120" t="n">
        <v>0.1764427395590887</v>
      </c>
      <c r="L504" s="120" t="n">
        <v>-0.09308067347695437</v>
      </c>
      <c r="M504" s="120" t="n">
        <v>-0.141623690053003</v>
      </c>
      <c r="N504" t="n">
        <v>54.616547982426</v>
      </c>
      <c r="O504" t="n">
        <v>0.2149577341122978</v>
      </c>
      <c r="P504" t="n">
        <v>104.9928005305317</v>
      </c>
      <c r="Q504" t="n">
        <v>103.2371537571142</v>
      </c>
    </row>
    <row r="505">
      <c r="A505" s="117" t="n">
        <v>45146</v>
      </c>
      <c r="B505" s="118" t="n">
        <v>102.9918383044594</v>
      </c>
      <c r="C505" s="118" t="n">
        <v>103.2360971628407</v>
      </c>
      <c r="D505" s="118" t="n">
        <v>100.8498947534721</v>
      </c>
      <c r="E505" s="118" t="n">
        <v>103.048210144043</v>
      </c>
      <c r="F505" s="119" t="n">
        <v>5851900</v>
      </c>
      <c r="G505" s="120" t="n">
        <v>-0.007150684140040164</v>
      </c>
      <c r="H505" s="121" t="n">
        <v>64.77752103500272</v>
      </c>
      <c r="I505" s="118" t="n">
        <v>102.0037754821777</v>
      </c>
      <c r="J505" s="118" t="n">
        <v>107.0203623962402</v>
      </c>
      <c r="K505" s="120" t="n">
        <v>0.1724297472742583</v>
      </c>
      <c r="L505" s="120" t="n">
        <v>-0.08450973914488602</v>
      </c>
      <c r="M505" s="120" t="n">
        <v>-0.1477616679187271</v>
      </c>
      <c r="N505" t="n">
        <v>51.93491763491979</v>
      </c>
      <c r="O505" t="n">
        <v>0.2186527516094271</v>
      </c>
      <c r="P505" t="n">
        <v>104.5362376494215</v>
      </c>
      <c r="Q505" t="n">
        <v>102.3593950833349</v>
      </c>
    </row>
    <row r="506">
      <c r="A506" s="117" t="n">
        <v>45147</v>
      </c>
      <c r="B506" s="118" t="n">
        <v>103.1421536534418</v>
      </c>
      <c r="C506" s="118" t="n">
        <v>103.3582230083161</v>
      </c>
      <c r="D506" s="118" t="n">
        <v>101.7423760113371</v>
      </c>
      <c r="E506" s="118" t="n">
        <v>103.048210144043</v>
      </c>
      <c r="F506" s="119" t="n">
        <v>4328600</v>
      </c>
      <c r="G506" s="120" t="n">
        <v>0</v>
      </c>
      <c r="H506" s="121" t="n">
        <v>64.77752103500272</v>
      </c>
      <c r="I506" s="118" t="n">
        <v>102.0513629150391</v>
      </c>
      <c r="J506" s="118" t="n">
        <v>107.1314759063721</v>
      </c>
      <c r="K506" s="120" t="n">
        <v>0.1722461222125637</v>
      </c>
      <c r="L506" s="120" t="n">
        <v>-0.08160675937631734</v>
      </c>
      <c r="M506" s="120" t="n">
        <v>-0.1477616679187271</v>
      </c>
      <c r="N506" t="n">
        <v>51.93491763491979</v>
      </c>
      <c r="O506" t="n">
        <v>0.2115210994282061</v>
      </c>
      <c r="P506" t="n">
        <v>103.8373876976111</v>
      </c>
      <c r="Q506" t="n">
        <v>101.2339850223286</v>
      </c>
    </row>
    <row r="507">
      <c r="A507" s="117" t="n">
        <v>45148</v>
      </c>
      <c r="B507" s="118" t="n">
        <v>103.6306479249552</v>
      </c>
      <c r="C507" s="118" t="n">
        <v>105.171344172868</v>
      </c>
      <c r="D507" s="118" t="n">
        <v>101.9490328513638</v>
      </c>
      <c r="E507" s="118" t="n">
        <v>102.4281539916992</v>
      </c>
      <c r="F507" s="119" t="n">
        <v>7276500</v>
      </c>
      <c r="G507" s="120" t="n">
        <v>-0.006017146260735795</v>
      </c>
      <c r="H507" s="121" t="n">
        <v>64.38774521652721</v>
      </c>
      <c r="I507" s="118" t="n">
        <v>102.1050895690918</v>
      </c>
      <c r="J507" s="118" t="n">
        <v>107.2317166137695</v>
      </c>
      <c r="K507" s="120" t="n">
        <v>0.1740132012023997</v>
      </c>
      <c r="L507" s="120" t="n">
        <v>-0.07976052253268284</v>
      </c>
      <c r="M507" s="120" t="n">
        <v>-0.1528897106118657</v>
      </c>
      <c r="N507" t="n">
        <v>49.57636783342742</v>
      </c>
      <c r="O507" t="n">
        <v>0.1579247189816063</v>
      </c>
      <c r="P507" t="n">
        <v>103.874645035126</v>
      </c>
      <c r="Q507" t="n">
        <v>101.4210777594258</v>
      </c>
    </row>
    <row r="508">
      <c r="A508" s="117" t="n">
        <v>45149</v>
      </c>
      <c r="B508" s="118" t="n">
        <v>102.3060563524237</v>
      </c>
      <c r="C508" s="118" t="n">
        <v>102.8979069824233</v>
      </c>
      <c r="D508" s="118" t="n">
        <v>101.3290279706084</v>
      </c>
      <c r="E508" s="118" t="n">
        <v>101.5450973510742</v>
      </c>
      <c r="F508" s="119" t="n">
        <v>5104300</v>
      </c>
      <c r="G508" s="120" t="n">
        <v>-0.008621229673792308</v>
      </c>
      <c r="H508" s="121" t="n">
        <v>63.83264367683791</v>
      </c>
      <c r="I508" s="118" t="n">
        <v>102.1647511291504</v>
      </c>
      <c r="J508" s="118" t="n">
        <v>107.3298225784302</v>
      </c>
      <c r="K508" s="120" t="n">
        <v>0.1770478586492596</v>
      </c>
      <c r="L508" s="120" t="n">
        <v>-0.08769411842281905</v>
      </c>
      <c r="M508" s="120" t="n">
        <v>-0.1601928429757135</v>
      </c>
      <c r="N508" t="n">
        <v>46.34816807915668</v>
      </c>
      <c r="O508" t="n">
        <v>0.06087073873202525</v>
      </c>
      <c r="P508" t="n">
        <v>103.8140917153305</v>
      </c>
      <c r="Q508" t="n">
        <v>100.7744637979229</v>
      </c>
    </row>
    <row r="509">
      <c r="A509" s="117" t="n">
        <v>45152</v>
      </c>
      <c r="B509" s="118" t="n">
        <v>101.3853743889815</v>
      </c>
      <c r="C509" s="118" t="n">
        <v>101.7423697370844</v>
      </c>
      <c r="D509" s="118" t="n">
        <v>100.5868438571896</v>
      </c>
      <c r="E509" s="118" t="n">
        <v>101.1223297119141</v>
      </c>
      <c r="F509" s="119" t="n">
        <v>5305200</v>
      </c>
      <c r="G509" s="120" t="n">
        <v>-0.004163348602626349</v>
      </c>
      <c r="H509" s="121" t="n">
        <v>63.566886128984</v>
      </c>
      <c r="I509" s="118" t="n">
        <v>102.2464831542969</v>
      </c>
      <c r="J509" s="118" t="n">
        <v>107.4085474395752</v>
      </c>
      <c r="K509" s="120" t="n">
        <v>0.1757043667840179</v>
      </c>
      <c r="L509" s="120" t="n">
        <v>-0.09149236584005127</v>
      </c>
      <c r="M509" s="120" t="n">
        <v>-0.1636892529293862</v>
      </c>
      <c r="N509" t="n">
        <v>44.84268740171866</v>
      </c>
      <c r="O509" t="n">
        <v>-0.02909806111367391</v>
      </c>
      <c r="P509" t="n">
        <v>104.3871271286917</v>
      </c>
      <c r="Q509" t="n">
        <v>101.9053760839129</v>
      </c>
    </row>
    <row r="510">
      <c r="A510" s="117" t="n">
        <v>45153</v>
      </c>
      <c r="B510" s="118" t="n">
        <v>99.64740400074312</v>
      </c>
      <c r="C510" s="118" t="n">
        <v>100.3519910962044</v>
      </c>
      <c r="D510" s="118" t="n">
        <v>99.20586160746515</v>
      </c>
      <c r="E510" s="118" t="n">
        <v>100.0983428955078</v>
      </c>
      <c r="F510" s="119" t="n">
        <v>6197600</v>
      </c>
      <c r="G510" s="120" t="n">
        <v>-0.01012621860397667</v>
      </c>
      <c r="H510" s="121" t="n">
        <v>62.92319394406781</v>
      </c>
      <c r="I510" s="118" t="n">
        <v>102.2233726501465</v>
      </c>
      <c r="J510" s="118" t="n">
        <v>107.4790340423584</v>
      </c>
      <c r="K510" s="120" t="n">
        <v>0.1749643113125502</v>
      </c>
      <c r="L510" s="120" t="n">
        <v>-0.06848438763563469</v>
      </c>
      <c r="M510" s="120" t="n">
        <v>-0.1721579183750783</v>
      </c>
      <c r="N510" t="n">
        <v>41.34008166507585</v>
      </c>
      <c r="O510" t="n">
        <v>-0.1482117769576934</v>
      </c>
      <c r="P510" t="n">
        <v>103.1711535968238</v>
      </c>
      <c r="Q510" t="n">
        <v>100.8240009104304</v>
      </c>
    </row>
    <row r="511">
      <c r="A511" s="117" t="n">
        <v>45154</v>
      </c>
      <c r="B511" s="118" t="n">
        <v>99.64739820074469</v>
      </c>
      <c r="C511" s="118" t="n">
        <v>101.8175240348751</v>
      </c>
      <c r="D511" s="118" t="n">
        <v>99.64739820074469</v>
      </c>
      <c r="E511" s="118" t="n">
        <v>100.0795440673828</v>
      </c>
      <c r="F511" s="119" t="n">
        <v>5953100</v>
      </c>
      <c r="G511" s="120" t="n">
        <v>-0.0001878035897620034</v>
      </c>
      <c r="H511" s="121" t="n">
        <v>62.91137674236582</v>
      </c>
      <c r="I511" s="118" t="n">
        <v>102.2483619689941</v>
      </c>
      <c r="J511" s="118" t="n">
        <v>107.558037033081</v>
      </c>
      <c r="K511" s="120" t="n">
        <v>0.1747041456988104</v>
      </c>
      <c r="L511" s="120" t="n">
        <v>-0.06231849684182866</v>
      </c>
      <c r="M511" s="120" t="n">
        <v>-0.1723133900897634</v>
      </c>
      <c r="N511" t="n">
        <v>41.27634022050194</v>
      </c>
      <c r="O511" t="n">
        <v>-0.214862269978436</v>
      </c>
      <c r="P511" t="n">
        <v>102.4140526205842</v>
      </c>
      <c r="Q511" t="n">
        <v>99.756381299407</v>
      </c>
    </row>
    <row r="512">
      <c r="A512" s="117" t="n">
        <v>45155</v>
      </c>
      <c r="B512" s="118" t="n">
        <v>100.9250658239569</v>
      </c>
      <c r="C512" s="118" t="n">
        <v>101.3008470788609</v>
      </c>
      <c r="D512" s="118" t="n">
        <v>98.43552307357841</v>
      </c>
      <c r="E512" s="118" t="n">
        <v>98.68917846679688</v>
      </c>
      <c r="F512" s="119" t="n">
        <v>5692800</v>
      </c>
      <c r="G512" s="120" t="n">
        <v>-0.01389260526256808</v>
      </c>
      <c r="H512" s="121" t="n">
        <v>62.03737381875942</v>
      </c>
      <c r="I512" s="118" t="n">
        <v>102.2269425964355</v>
      </c>
      <c r="J512" s="118" t="n">
        <v>107.6147756195068</v>
      </c>
      <c r="K512" s="120" t="n">
        <v>0.1651471967702189</v>
      </c>
      <c r="L512" s="120" t="n">
        <v>-0.0753453358272167</v>
      </c>
      <c r="M512" s="120" t="n">
        <v>-0.1838121134423596</v>
      </c>
      <c r="N512" t="n">
        <v>36.76164507817504</v>
      </c>
      <c r="O512" t="n">
        <v>-0.3321763749491622</v>
      </c>
      <c r="P512" t="n">
        <v>101.6336851786712</v>
      </c>
      <c r="Q512" t="n">
        <v>98.66674424462157</v>
      </c>
    </row>
    <row r="513">
      <c r="A513" s="117" t="n">
        <v>45156</v>
      </c>
      <c r="B513" s="118" t="n">
        <v>97.54304284888833</v>
      </c>
      <c r="C513" s="118" t="n">
        <v>98.68917238031581</v>
      </c>
      <c r="D513" s="118" t="n">
        <v>97.47728167089319</v>
      </c>
      <c r="E513" s="118" t="n">
        <v>98.46369934082031</v>
      </c>
      <c r="F513" s="119" t="n">
        <v>5836100</v>
      </c>
      <c r="G513" s="120" t="n">
        <v>-0.002284740125305884</v>
      </c>
      <c r="H513" s="121" t="n">
        <v>61.8956345415271</v>
      </c>
      <c r="I513" s="118" t="n">
        <v>102.1841040039063</v>
      </c>
      <c r="J513" s="118" t="n">
        <v>107.6757393264771</v>
      </c>
      <c r="K513" s="120" t="n">
        <v>0.1548825341915877</v>
      </c>
      <c r="L513" s="120" t="n">
        <v>-0.07745793144050339</v>
      </c>
      <c r="M513" s="120" t="n">
        <v>-0.1856768906565663</v>
      </c>
      <c r="N513" t="n">
        <v>36.07257031170368</v>
      </c>
      <c r="O513" t="n">
        <v>-0.3999982205646733</v>
      </c>
      <c r="P513" t="n">
        <v>101.6825868177505</v>
      </c>
      <c r="Q513" t="n">
        <v>98.542918551008</v>
      </c>
    </row>
    <row r="514">
      <c r="A514" s="117" t="n">
        <v>45159</v>
      </c>
      <c r="B514" s="118" t="n">
        <v>99.08373863924741</v>
      </c>
      <c r="C514" s="118" t="n">
        <v>99.09313514100738</v>
      </c>
      <c r="D514" s="118" t="n">
        <v>96.41569836644925</v>
      </c>
      <c r="E514" s="118" t="n">
        <v>96.63177490234375</v>
      </c>
      <c r="F514" s="119" t="n">
        <v>6697600</v>
      </c>
      <c r="G514" s="120" t="n">
        <v>-0.01860507426331381</v>
      </c>
      <c r="H514" s="121" t="n">
        <v>60.74406166430706</v>
      </c>
      <c r="I514" s="118" t="n">
        <v>102.121349029541</v>
      </c>
      <c r="J514" s="118" t="n">
        <v>107.7224702835083</v>
      </c>
      <c r="K514" s="120" t="n">
        <v>0.1658207007157612</v>
      </c>
      <c r="L514" s="120" t="n">
        <v>-0.09462189513708397</v>
      </c>
      <c r="M514" s="120" t="n">
        <v>-0.2008274325802336</v>
      </c>
      <c r="N514" t="n">
        <v>30.99004537674622</v>
      </c>
      <c r="O514" t="n">
        <v>-0.5348518536619089</v>
      </c>
      <c r="P514" t="n">
        <v>102.344179432046</v>
      </c>
      <c r="Q514" t="n">
        <v>100.1305838612566</v>
      </c>
    </row>
    <row r="515">
      <c r="A515" s="117" t="n">
        <v>45160</v>
      </c>
      <c r="B515" s="118" t="n">
        <v>94.84682642992036</v>
      </c>
      <c r="C515" s="118" t="n">
        <v>96.17145374587095</v>
      </c>
      <c r="D515" s="118" t="n">
        <v>94.63075704553705</v>
      </c>
      <c r="E515" s="118" t="n">
        <v>95.31655120849609</v>
      </c>
      <c r="F515" s="119" t="n">
        <v>9814700</v>
      </c>
      <c r="G515" s="120" t="n">
        <v>-0.0136106751136138</v>
      </c>
      <c r="H515" s="121" t="n">
        <v>59.91729397591286</v>
      </c>
      <c r="I515" s="118" t="n">
        <v>102.0386775207519</v>
      </c>
      <c r="J515" s="118" t="n">
        <v>107.7787753295898</v>
      </c>
      <c r="K515" s="120" t="n">
        <v>0.1702176489103595</v>
      </c>
      <c r="L515" s="120" t="n">
        <v>-0.1069447023773525</v>
      </c>
      <c r="M515" s="120" t="n">
        <v>-0.2117047107550966</v>
      </c>
      <c r="N515" t="n">
        <v>27.94569840655225</v>
      </c>
      <c r="O515" t="n">
        <v>-0.67045679227015</v>
      </c>
      <c r="P515" t="n">
        <v>102.0669594566525</v>
      </c>
      <c r="Q515" t="n">
        <v>99.98749183637287</v>
      </c>
    </row>
    <row r="516">
      <c r="A516" s="117" t="n">
        <v>45161</v>
      </c>
      <c r="B516" s="118" t="n">
        <v>91.10782255450546</v>
      </c>
      <c r="C516" s="118" t="n">
        <v>93.18400524644346</v>
      </c>
      <c r="D516" s="118" t="n">
        <v>90.7038589522549</v>
      </c>
      <c r="E516" s="118" t="n">
        <v>92.77064514160156</v>
      </c>
      <c r="F516" s="119" t="n">
        <v>20909100</v>
      </c>
      <c r="G516" s="120" t="n">
        <v>-0.02671001032470843</v>
      </c>
      <c r="H516" s="121" t="n">
        <v>58.31690243518764</v>
      </c>
      <c r="I516" s="118" t="n">
        <v>101.8868626403809</v>
      </c>
      <c r="J516" s="118" t="n">
        <v>107.8218854522705</v>
      </c>
      <c r="K516" s="120" t="n">
        <v>0.1827449297689088</v>
      </c>
      <c r="L516" s="120" t="n">
        <v>-0.1307982185973889</v>
      </c>
      <c r="M516" s="120" t="n">
        <v>-0.232760086069747</v>
      </c>
      <c r="N516" t="n">
        <v>23.19557843498862</v>
      </c>
      <c r="O516" t="n">
        <v>-0.8764351669594861</v>
      </c>
      <c r="P516" t="n">
        <v>103.203769447847</v>
      </c>
      <c r="Q516" t="n">
        <v>101.5641526966543</v>
      </c>
    </row>
    <row r="517">
      <c r="A517" s="117" t="n">
        <v>45162</v>
      </c>
      <c r="B517" s="118" t="n">
        <v>92.72365542272904</v>
      </c>
      <c r="C517" s="118" t="n">
        <v>93.18399080173837</v>
      </c>
      <c r="D517" s="118" t="n">
        <v>91.65268365113603</v>
      </c>
      <c r="E517" s="118" t="n">
        <v>91.71844482421875</v>
      </c>
      <c r="F517" s="119" t="n">
        <v>10310000</v>
      </c>
      <c r="G517" s="120" t="n">
        <v>-0.01134195321997356</v>
      </c>
      <c r="H517" s="121" t="n">
        <v>57.65547485583398</v>
      </c>
      <c r="I517" s="118" t="n">
        <v>101.7149432373047</v>
      </c>
      <c r="J517" s="118" t="n">
        <v>107.8346481704712</v>
      </c>
      <c r="K517" s="120" t="n">
        <v>0.1806025138774787</v>
      </c>
      <c r="L517" s="120" t="n">
        <v>-0.140656664540775</v>
      </c>
      <c r="M517" s="120" t="n">
        <v>-0.2414620852820405</v>
      </c>
      <c r="N517" t="n">
        <v>21.56416863781836</v>
      </c>
      <c r="O517" t="n">
        <v>-1.018402136865169</v>
      </c>
      <c r="P517" t="n">
        <v>101.7734536932029</v>
      </c>
      <c r="Q517" t="n">
        <v>99.39315755604169</v>
      </c>
    </row>
    <row r="518">
      <c r="A518" s="117" t="n">
        <v>45163</v>
      </c>
      <c r="B518" s="118" t="n">
        <v>92.53577706821902</v>
      </c>
      <c r="C518" s="118" t="n">
        <v>93.09004884074807</v>
      </c>
      <c r="D518" s="118" t="n">
        <v>91.88755461040688</v>
      </c>
      <c r="E518" s="118" t="n">
        <v>92.85518646240234</v>
      </c>
      <c r="F518" s="119" t="n">
        <v>7290600</v>
      </c>
      <c r="G518" s="120" t="n">
        <v>0.01239381719088439</v>
      </c>
      <c r="H518" s="121" t="n">
        <v>58.37004627125082</v>
      </c>
      <c r="I518" s="118" t="n">
        <v>101.4515214538574</v>
      </c>
      <c r="J518" s="118" t="n">
        <v>107.8640320968628</v>
      </c>
      <c r="K518" s="120" t="n">
        <v>0.1845811336590825</v>
      </c>
      <c r="L518" s="120" t="n">
        <v>-0.1300061203368884</v>
      </c>
      <c r="M518" s="120" t="n">
        <v>-0.2320609050346714</v>
      </c>
      <c r="N518" t="n">
        <v>27.49699817147778</v>
      </c>
      <c r="O518" t="n">
        <v>-0.9707915488994721</v>
      </c>
      <c r="P518" t="n">
        <v>102.4909286241949</v>
      </c>
      <c r="Q518" t="n">
        <v>100.1635886673305</v>
      </c>
    </row>
    <row r="519">
      <c r="A519" s="117" t="n">
        <v>45166</v>
      </c>
      <c r="B519" s="118" t="n">
        <v>93.55976460780792</v>
      </c>
      <c r="C519" s="118" t="n">
        <v>94.00130698346153</v>
      </c>
      <c r="D519" s="118" t="n">
        <v>92.88336704380546</v>
      </c>
      <c r="E519" s="118" t="n">
        <v>93.59734344482422</v>
      </c>
      <c r="F519" s="119" t="n">
        <v>6006600</v>
      </c>
      <c r="G519" s="120" t="n">
        <v>0.00799262820631319</v>
      </c>
      <c r="H519" s="121" t="n">
        <v>58.83657634948223</v>
      </c>
      <c r="I519" s="118" t="n">
        <v>101.2113980102539</v>
      </c>
      <c r="J519" s="118" t="n">
        <v>107.8956839752197</v>
      </c>
      <c r="K519" s="120" t="n">
        <v>0.1741478887442278</v>
      </c>
      <c r="L519" s="120" t="n">
        <v>-0.1230525827149732</v>
      </c>
      <c r="M519" s="120" t="n">
        <v>-0.2259230533635208</v>
      </c>
      <c r="N519" t="n">
        <v>31.15815681994025</v>
      </c>
      <c r="O519" t="n">
        <v>-0.8298220866796684</v>
      </c>
      <c r="P519" t="n">
        <v>103.1408621786224</v>
      </c>
      <c r="Q519" t="n">
        <v>100.917547278979</v>
      </c>
    </row>
    <row r="520">
      <c r="A520" s="117" t="n">
        <v>45167</v>
      </c>
      <c r="B520" s="118" t="n">
        <v>93.9731251988225</v>
      </c>
      <c r="C520" s="118" t="n">
        <v>95.97415706895455</v>
      </c>
      <c r="D520" s="118" t="n">
        <v>93.68189816952568</v>
      </c>
      <c r="E520" s="118" t="n">
        <v>95.60776519775391</v>
      </c>
      <c r="F520" s="119" t="n">
        <v>8641600</v>
      </c>
      <c r="G520" s="120" t="n">
        <v>0.02147947451216758</v>
      </c>
      <c r="H520" s="121" t="n">
        <v>60.10035509156413</v>
      </c>
      <c r="I520" s="118" t="n">
        <v>100.9893119812012</v>
      </c>
      <c r="J520" s="118" t="n">
        <v>107.9450674057007</v>
      </c>
      <c r="K520" s="120" t="n">
        <v>0.1971034175590923</v>
      </c>
      <c r="L520" s="120" t="n">
        <v>-0.1042162130168883</v>
      </c>
      <c r="M520" s="120" t="n">
        <v>-0.209296287317786</v>
      </c>
      <c r="N520" t="n">
        <v>39.99728696537315</v>
      </c>
      <c r="O520" t="n">
        <v>-0.5548979157425369</v>
      </c>
      <c r="P520" t="n">
        <v>104.6317460113656</v>
      </c>
      <c r="Q520" t="n">
        <v>103.1215728571484</v>
      </c>
    </row>
    <row r="521">
      <c r="A521" s="117" t="n">
        <v>45168</v>
      </c>
      <c r="B521" s="118" t="n">
        <v>95.48563217056261</v>
      </c>
      <c r="C521" s="118" t="n">
        <v>96.58478619920305</v>
      </c>
      <c r="D521" s="118" t="n">
        <v>95.36350633430138</v>
      </c>
      <c r="E521" s="118" t="n">
        <v>95.91777801513672</v>
      </c>
      <c r="F521" s="119" t="n">
        <v>4822100</v>
      </c>
      <c r="G521" s="120" t="n">
        <v>0.003242548518329835</v>
      </c>
      <c r="H521" s="121" t="n">
        <v>60.29523340891738</v>
      </c>
      <c r="I521" s="118" t="n">
        <v>100.8495217895508</v>
      </c>
      <c r="J521" s="118" t="n">
        <v>107.9616061401367</v>
      </c>
      <c r="K521" s="120" t="n">
        <v>0.191508376762032</v>
      </c>
      <c r="L521" s="120" t="n">
        <v>-0.1013115906256622</v>
      </c>
      <c r="M521" s="120" t="n">
        <v>-0.2067323921657904</v>
      </c>
      <c r="N521" t="n">
        <v>41.24997309071309</v>
      </c>
      <c r="O521" t="n">
        <v>-0.317676909053529</v>
      </c>
      <c r="P521" t="n">
        <v>105.0627106148288</v>
      </c>
      <c r="Q521" t="n">
        <v>103.6966664376923</v>
      </c>
    </row>
    <row r="522">
      <c r="A522" s="117" t="n">
        <v>45169</v>
      </c>
      <c r="B522" s="118" t="n">
        <v>96.40630163979129</v>
      </c>
      <c r="C522" s="118" t="n">
        <v>96.65994982841461</v>
      </c>
      <c r="D522" s="118" t="n">
        <v>95.45745572285321</v>
      </c>
      <c r="E522" s="118" t="n">
        <v>95.55139923095703</v>
      </c>
      <c r="F522" s="119" t="n">
        <v>7046200</v>
      </c>
      <c r="G522" s="120" t="n">
        <v>-0.003819717176120063</v>
      </c>
      <c r="H522" s="121" t="n">
        <v>60.06492267022717</v>
      </c>
      <c r="I522" s="118" t="n">
        <v>100.6941369628906</v>
      </c>
      <c r="J522" s="118" t="n">
        <v>107.9455949401855</v>
      </c>
      <c r="K522" s="120" t="n">
        <v>0.1852399551221339</v>
      </c>
      <c r="L522" s="120" t="n">
        <v>-0.1047443261789295</v>
      </c>
      <c r="M522" s="120" t="n">
        <v>-0.2097624500726943</v>
      </c>
      <c r="N522" t="n">
        <v>40.18229227696946</v>
      </c>
      <c r="O522" t="n">
        <v>-0.1589647143457775</v>
      </c>
      <c r="P522" t="n">
        <v>104.9089586076073</v>
      </c>
      <c r="Q522" t="n">
        <v>104.0075934122306</v>
      </c>
    </row>
    <row r="523">
      <c r="A523" s="117" t="n">
        <v>45170</v>
      </c>
      <c r="B523" s="118" t="n">
        <v>96.1169673997325</v>
      </c>
      <c r="C523" s="118" t="n">
        <v>97.05013981572361</v>
      </c>
      <c r="D523" s="118" t="n">
        <v>95.6927928895761</v>
      </c>
      <c r="E523" s="118" t="n">
        <v>96.48458099365234</v>
      </c>
      <c r="F523" s="119" t="n">
        <v>6359400</v>
      </c>
      <c r="G523" s="120" t="n">
        <v>0.00976628045435235</v>
      </c>
      <c r="H523" s="121" t="n">
        <v>60.6515335504936</v>
      </c>
      <c r="I523" s="118" t="n">
        <v>100.5483967590332</v>
      </c>
      <c r="J523" s="118" t="n">
        <v>107.9421618270874</v>
      </c>
      <c r="K523" s="120" t="n">
        <v>0.1902722382950108</v>
      </c>
      <c r="L523" s="120" t="n">
        <v>-0.09600100819004265</v>
      </c>
      <c r="M523" s="120" t="n">
        <v>-0.202044768534544</v>
      </c>
      <c r="N523" t="n">
        <v>44.14762831820974</v>
      </c>
      <c r="O523" t="n">
        <v>0.02551695330492465</v>
      </c>
      <c r="P523" t="n">
        <v>105.1046168179873</v>
      </c>
      <c r="Q523" t="n">
        <v>103.8975147372484</v>
      </c>
    </row>
    <row r="524">
      <c r="A524" s="117" t="n">
        <v>45174</v>
      </c>
      <c r="B524" s="118" t="n">
        <v>95.6739448342755</v>
      </c>
      <c r="C524" s="118" t="n">
        <v>96.10754017448885</v>
      </c>
      <c r="D524" s="118" t="n">
        <v>94.47684543754201</v>
      </c>
      <c r="E524" s="118" t="n">
        <v>94.56167602539062</v>
      </c>
      <c r="F524" s="119" t="n">
        <v>6698700</v>
      </c>
      <c r="G524" s="120" t="n">
        <v>-0.01992966076505243</v>
      </c>
      <c r="H524" s="121" t="n">
        <v>59.44276906195206</v>
      </c>
      <c r="I524" s="118" t="n">
        <v>100.3818605041504</v>
      </c>
      <c r="J524" s="118" t="n">
        <v>107.9183164596558</v>
      </c>
      <c r="K524" s="120" t="n">
        <v>0.1867814729623705</v>
      </c>
      <c r="L524" s="120" t="n">
        <v>-0.1140174014287646</v>
      </c>
      <c r="M524" s="120" t="n">
        <v>-0.2179477456033495</v>
      </c>
      <c r="N524" t="n">
        <v>38.4861373525224</v>
      </c>
      <c r="O524" t="n">
        <v>0.03415265237044496</v>
      </c>
      <c r="P524" t="n">
        <v>104.6503857488508</v>
      </c>
      <c r="Q524" t="n">
        <v>104.0296108559926</v>
      </c>
    </row>
    <row r="525">
      <c r="A525" s="117" t="n">
        <v>45175</v>
      </c>
      <c r="B525" s="118" t="n">
        <v>94.03382753504081</v>
      </c>
      <c r="C525" s="118" t="n">
        <v>94.55225349318128</v>
      </c>
      <c r="D525" s="118" t="n">
        <v>93.3457260084174</v>
      </c>
      <c r="E525" s="118" t="n">
        <v>94.42971801757812</v>
      </c>
      <c r="F525" s="119" t="n">
        <v>6096000</v>
      </c>
      <c r="G525" s="120" t="n">
        <v>-0.001395470272513633</v>
      </c>
      <c r="H525" s="121" t="n">
        <v>59.35981844481021</v>
      </c>
      <c r="I525" s="118" t="n">
        <v>100.1709733581543</v>
      </c>
      <c r="J525" s="118" t="n">
        <v>107.9006995010376</v>
      </c>
      <c r="K525" s="120" t="n">
        <v>0.1868478083698277</v>
      </c>
      <c r="L525" s="120" t="n">
        <v>-0.1152537638070352</v>
      </c>
      <c r="M525" s="120" t="n">
        <v>-0.2190390762759123</v>
      </c>
      <c r="N525" t="n">
        <v>38.12481584971753</v>
      </c>
      <c r="O525" t="n">
        <v>0.04633501764854531</v>
      </c>
      <c r="P525" t="n">
        <v>103.9468721730931</v>
      </c>
      <c r="Q525" t="n">
        <v>103.1133280635006</v>
      </c>
    </row>
    <row r="526">
      <c r="A526" s="117" t="n">
        <v>45176</v>
      </c>
      <c r="B526" s="118" t="n">
        <v>92.61992064794626</v>
      </c>
      <c r="C526" s="118" t="n">
        <v>93.0912208648928</v>
      </c>
      <c r="D526" s="118" t="n">
        <v>92.03550579000313</v>
      </c>
      <c r="E526" s="118" t="n">
        <v>92.30886077880859</v>
      </c>
      <c r="F526" s="119" t="n">
        <v>9927100</v>
      </c>
      <c r="G526" s="120" t="n">
        <v>-0.02245963753036662</v>
      </c>
      <c r="H526" s="121" t="n">
        <v>58.0266184386714</v>
      </c>
      <c r="I526" s="118" t="n">
        <v>99.88253356933593</v>
      </c>
      <c r="J526" s="118" t="n">
        <v>107.8718732070923</v>
      </c>
      <c r="K526" s="120" t="n">
        <v>0.1967516415045501</v>
      </c>
      <c r="L526" s="120" t="n">
        <v>-0.1351248435782854</v>
      </c>
      <c r="M526" s="120" t="n">
        <v>-0.2365791755481356</v>
      </c>
      <c r="N526" t="n">
        <v>32.79557760900019</v>
      </c>
      <c r="O526" t="n">
        <v>-0.06693076448618696</v>
      </c>
      <c r="P526" t="n">
        <v>103.6277238570857</v>
      </c>
      <c r="Q526" t="n">
        <v>102.3758932144581</v>
      </c>
    </row>
    <row r="527">
      <c r="A527" s="117" t="n">
        <v>45177</v>
      </c>
      <c r="B527" s="118" t="n">
        <v>92.46910020848969</v>
      </c>
      <c r="C527" s="118" t="n">
        <v>92.49737707059043</v>
      </c>
      <c r="D527" s="118" t="n">
        <v>91.69616814803064</v>
      </c>
      <c r="E527" s="118" t="n">
        <v>92.06378173828125</v>
      </c>
      <c r="F527" s="119" t="n">
        <v>6435000</v>
      </c>
      <c r="G527" s="120" t="n">
        <v>-0.00265498933103081</v>
      </c>
      <c r="H527" s="121" t="n">
        <v>57.87255838580093</v>
      </c>
      <c r="I527" s="118" t="n">
        <v>99.60008987426758</v>
      </c>
      <c r="J527" s="118" t="n">
        <v>107.8415422821045</v>
      </c>
      <c r="K527" s="120" t="n">
        <v>0.196976889789344</v>
      </c>
      <c r="L527" s="120" t="n">
        <v>-0.1374210778912587</v>
      </c>
      <c r="M527" s="120" t="n">
        <v>-0.2386060496921421</v>
      </c>
      <c r="N527" t="n">
        <v>32.23483665810853</v>
      </c>
      <c r="O527" t="n">
        <v>-0.1330271044195905</v>
      </c>
      <c r="P527" t="n">
        <v>103.7838076762808</v>
      </c>
      <c r="Q527" t="n">
        <v>102.5189852393418</v>
      </c>
    </row>
    <row r="528">
      <c r="A528" s="117" t="n">
        <v>45180</v>
      </c>
      <c r="B528" s="118" t="n">
        <v>92.68588876503901</v>
      </c>
      <c r="C528" s="118" t="n">
        <v>92.73301446492341</v>
      </c>
      <c r="D528" s="118" t="n">
        <v>91.03633824822418</v>
      </c>
      <c r="E528" s="118" t="n">
        <v>91.23428344726562</v>
      </c>
      <c r="F528" s="119" t="n">
        <v>7584700</v>
      </c>
      <c r="G528" s="120" t="n">
        <v>-0.009010039293994243</v>
      </c>
      <c r="H528" s="121" t="n">
        <v>57.35112436070089</v>
      </c>
      <c r="I528" s="118" t="n">
        <v>99.29466796875001</v>
      </c>
      <c r="J528" s="118" t="n">
        <v>107.8144641113281</v>
      </c>
      <c r="K528" s="120" t="n">
        <v>0.1970700551263678</v>
      </c>
      <c r="L528" s="120" t="n">
        <v>-0.1451929478736296</v>
      </c>
      <c r="M528" s="120" t="n">
        <v>-0.2454662391026253</v>
      </c>
      <c r="N528" t="n">
        <v>30.34375484493417</v>
      </c>
      <c r="O528" t="n">
        <v>-0.2030867480234471</v>
      </c>
      <c r="P528" t="n">
        <v>104.4663570817315</v>
      </c>
      <c r="Q528" t="n">
        <v>103.7269201312744</v>
      </c>
    </row>
    <row r="529">
      <c r="A529" s="117" t="n">
        <v>45181</v>
      </c>
      <c r="B529" s="118" t="n">
        <v>91.42281987037472</v>
      </c>
      <c r="C529" s="118" t="n">
        <v>91.59248824689962</v>
      </c>
      <c r="D529" s="118" t="n">
        <v>90.65931577174827</v>
      </c>
      <c r="E529" s="118" t="n">
        <v>90.77243041992188</v>
      </c>
      <c r="F529" s="119" t="n">
        <v>6307700</v>
      </c>
      <c r="G529" s="120" t="n">
        <v>-0.005062274946355028</v>
      </c>
      <c r="H529" s="121" t="n">
        <v>57.06079720070441</v>
      </c>
      <c r="I529" s="118" t="n">
        <v>99.03637603759766</v>
      </c>
      <c r="J529" s="118" t="n">
        <v>107.7751165771484</v>
      </c>
      <c r="K529" s="120" t="n">
        <v>0.197029182327649</v>
      </c>
      <c r="L529" s="120" t="n">
        <v>-0.1495202161975766</v>
      </c>
      <c r="M529" s="120" t="n">
        <v>-0.2492858964565952</v>
      </c>
      <c r="N529" t="n">
        <v>29.31262687757825</v>
      </c>
      <c r="O529" t="n">
        <v>-0.2480327336800729</v>
      </c>
      <c r="P529" t="n">
        <v>103.8932921517629</v>
      </c>
      <c r="Q529" t="n">
        <v>102.5767756893247</v>
      </c>
    </row>
    <row r="530">
      <c r="A530" s="117" t="n">
        <v>45182</v>
      </c>
      <c r="B530" s="118" t="n">
        <v>90.7724225232995</v>
      </c>
      <c r="C530" s="118" t="n">
        <v>91.62075714065317</v>
      </c>
      <c r="D530" s="118" t="n">
        <v>90.16915883512912</v>
      </c>
      <c r="E530" s="118" t="n">
        <v>90.61217498779297</v>
      </c>
      <c r="F530" s="119" t="n">
        <v>7140700</v>
      </c>
      <c r="G530" s="120" t="n">
        <v>-0.001765463713900184</v>
      </c>
      <c r="H530" s="121" t="n">
        <v>56.96005843376035</v>
      </c>
      <c r="I530" s="118" t="n">
        <v>98.7985530090332</v>
      </c>
      <c r="J530" s="118" t="n">
        <v>107.7318028640747</v>
      </c>
      <c r="K530" s="120" t="n">
        <v>0.1965535661732225</v>
      </c>
      <c r="L530" s="120" t="n">
        <v>-0.1510217073952854</v>
      </c>
      <c r="M530" s="120" t="n">
        <v>-0.2506112549659142</v>
      </c>
      <c r="N530" t="n">
        <v>28.94508091060366</v>
      </c>
      <c r="O530" t="n">
        <v>-0.2550692515183952</v>
      </c>
      <c r="P530" t="n">
        <v>104.0144209288095</v>
      </c>
      <c r="Q530" t="n">
        <v>102.9674934699528</v>
      </c>
    </row>
    <row r="531">
      <c r="A531" s="117" t="n">
        <v>45183</v>
      </c>
      <c r="B531" s="118" t="n">
        <v>91.16832759796743</v>
      </c>
      <c r="C531" s="118" t="n">
        <v>92.07322327541101</v>
      </c>
      <c r="D531" s="118" t="n">
        <v>90.39539542401741</v>
      </c>
      <c r="E531" s="118" t="n">
        <v>91.61135101318359</v>
      </c>
      <c r="F531" s="119" t="n">
        <v>7075300</v>
      </c>
      <c r="G531" s="120" t="n">
        <v>0.01102695113019014</v>
      </c>
      <c r="H531" s="121" t="n">
        <v>57.5881542144822</v>
      </c>
      <c r="I531" s="118" t="n">
        <v>98.61847930908203</v>
      </c>
      <c r="J531" s="118" t="n">
        <v>107.696696472168</v>
      </c>
      <c r="K531" s="120" t="n">
        <v>0.204004110772725</v>
      </c>
      <c r="L531" s="120" t="n">
        <v>-0.141660065252141</v>
      </c>
      <c r="M531" s="120" t="n">
        <v>-0.2423477818969089</v>
      </c>
      <c r="N531" t="n">
        <v>34.46279000024754</v>
      </c>
      <c r="O531" t="n">
        <v>-0.1634024220692272</v>
      </c>
      <c r="P531" t="n">
        <v>104.9112830404291</v>
      </c>
      <c r="Q531" t="n">
        <v>103.809479137511</v>
      </c>
    </row>
    <row r="532">
      <c r="A532" s="117" t="n">
        <v>45184</v>
      </c>
      <c r="B532" s="118" t="n">
        <v>92.5162403180715</v>
      </c>
      <c r="C532" s="118" t="n">
        <v>92.5162403180715</v>
      </c>
      <c r="D532" s="118" t="n">
        <v>90.61218328486551</v>
      </c>
      <c r="E532" s="118" t="n">
        <v>90.73472595214844</v>
      </c>
      <c r="F532" s="119" t="n">
        <v>10467300</v>
      </c>
      <c r="G532" s="120" t="n">
        <v>-0.009568956808736595</v>
      </c>
      <c r="H532" s="121" t="n">
        <v>57.03709565410896</v>
      </c>
      <c r="I532" s="118" t="n">
        <v>98.45845123291015</v>
      </c>
      <c r="J532" s="118" t="n">
        <v>107.6618612289429</v>
      </c>
      <c r="K532" s="120" t="n">
        <v>0.2018829216520568</v>
      </c>
      <c r="L532" s="120" t="n">
        <v>-0.1498734830149571</v>
      </c>
      <c r="M532" s="120" t="n">
        <v>-0.2495977232479808</v>
      </c>
      <c r="N532" t="n">
        <v>32.10707901248293</v>
      </c>
      <c r="O532" t="n">
        <v>-0.1340123893633645</v>
      </c>
      <c r="P532" t="n">
        <v>103.6472712302442</v>
      </c>
      <c r="Q532" t="n">
        <v>102.031935802363</v>
      </c>
    </row>
    <row r="533">
      <c r="A533" s="117" t="n">
        <v>45187</v>
      </c>
      <c r="B533" s="118" t="n">
        <v>90.4896508715331</v>
      </c>
      <c r="C533" s="118" t="n">
        <v>90.83841565653015</v>
      </c>
      <c r="D533" s="118" t="n">
        <v>89.81097733936119</v>
      </c>
      <c r="E533" s="118" t="n">
        <v>90.02777862548828</v>
      </c>
      <c r="F533" s="119" t="n">
        <v>6946300</v>
      </c>
      <c r="G533" s="120" t="n">
        <v>-0.007791364543636603</v>
      </c>
      <c r="H533" s="121" t="n">
        <v>56.59269884935753</v>
      </c>
      <c r="I533" s="118" t="n">
        <v>98.29630889892579</v>
      </c>
      <c r="J533" s="118" t="n">
        <v>107.6174872970581</v>
      </c>
      <c r="K533" s="120" t="n">
        <v>0.2021665451174463</v>
      </c>
      <c r="L533" s="120" t="n">
        <v>-0.1564971286169996</v>
      </c>
      <c r="M533" s="120" t="n">
        <v>-0.2554443809405307</v>
      </c>
      <c r="N533" t="n">
        <v>30.30785737006322</v>
      </c>
      <c r="O533" t="n">
        <v>-0.1340630424803644</v>
      </c>
      <c r="P533" t="n">
        <v>103.7080606828978</v>
      </c>
      <c r="Q533" t="n">
        <v>102.1383064561606</v>
      </c>
    </row>
    <row r="534">
      <c r="A534" s="117" t="n">
        <v>45188</v>
      </c>
      <c r="B534" s="118" t="n">
        <v>89.58474849911002</v>
      </c>
      <c r="C534" s="118" t="n">
        <v>90.00891582913219</v>
      </c>
      <c r="D534" s="118" t="n">
        <v>88.99091279878483</v>
      </c>
      <c r="E534" s="118" t="n">
        <v>89.18885803222656</v>
      </c>
      <c r="F534" s="119" t="n">
        <v>9386600</v>
      </c>
      <c r="G534" s="120" t="n">
        <v>-0.00931846376829526</v>
      </c>
      <c r="H534" s="121" t="n">
        <v>56.06534183557974</v>
      </c>
      <c r="I534" s="118" t="n">
        <v>98.09258682250976</v>
      </c>
      <c r="J534" s="118" t="n">
        <v>107.5529081726074</v>
      </c>
      <c r="K534" s="120" t="n">
        <v>0.1961033034065991</v>
      </c>
      <c r="L534" s="120" t="n">
        <v>-0.1643572795624351</v>
      </c>
      <c r="M534" s="120" t="n">
        <v>-0.262382495500217</v>
      </c>
      <c r="N534" t="n">
        <v>28.28241956230826</v>
      </c>
      <c r="O534" t="n">
        <v>-0.1606805605590926</v>
      </c>
      <c r="P534" t="n">
        <v>103.4929731657883</v>
      </c>
      <c r="Q534" t="n">
        <v>101.9206268162043</v>
      </c>
    </row>
    <row r="535">
      <c r="A535" s="117" t="n">
        <v>45189</v>
      </c>
      <c r="B535" s="118" t="n">
        <v>88.57616150859698</v>
      </c>
      <c r="C535" s="118" t="n">
        <v>89.92408037997278</v>
      </c>
      <c r="D535" s="118" t="n">
        <v>88.44419802676749</v>
      </c>
      <c r="E535" s="118" t="n">
        <v>88.64214324951172</v>
      </c>
      <c r="F535" s="119" t="n">
        <v>10274200</v>
      </c>
      <c r="G535" s="120" t="n">
        <v>-0.006129855172237964</v>
      </c>
      <c r="H535" s="121" t="n">
        <v>55.72166940994562</v>
      </c>
      <c r="I535" s="118" t="n">
        <v>97.84768005371093</v>
      </c>
      <c r="J535" s="118" t="n">
        <v>107.4789864730835</v>
      </c>
      <c r="K535" s="120" t="n">
        <v>0.1929766575493607</v>
      </c>
      <c r="L535" s="120" t="n">
        <v>-0.1694796484144524</v>
      </c>
      <c r="M535" s="120" t="n">
        <v>-0.2669039839753082</v>
      </c>
      <c r="N535" t="n">
        <v>27.01535428374588</v>
      </c>
      <c r="O535" t="n">
        <v>-0.1835402249461984</v>
      </c>
      <c r="P535" t="n">
        <v>102.5415422264953</v>
      </c>
      <c r="Q535" t="n">
        <v>100.4519172178292</v>
      </c>
    </row>
    <row r="536">
      <c r="A536" s="117" t="n">
        <v>45190</v>
      </c>
      <c r="B536" s="118" t="n">
        <v>88.05773962331773</v>
      </c>
      <c r="C536" s="118" t="n">
        <v>88.1237213726365</v>
      </c>
      <c r="D536" s="118" t="n">
        <v>86.22909948870999</v>
      </c>
      <c r="E536" s="118" t="n">
        <v>86.33277893066406</v>
      </c>
      <c r="F536" s="119" t="n">
        <v>7958600</v>
      </c>
      <c r="G536" s="120" t="n">
        <v>-0.02605266788673211</v>
      </c>
      <c r="H536" s="121" t="n">
        <v>54.26997126271402</v>
      </c>
      <c r="I536" s="118" t="n">
        <v>97.54963409423829</v>
      </c>
      <c r="J536" s="118" t="n">
        <v>107.3868419647217</v>
      </c>
      <c r="K536" s="120" t="n">
        <v>0.1919417766055805</v>
      </c>
      <c r="L536" s="120" t="n">
        <v>-0.1894045167889423</v>
      </c>
      <c r="M536" s="120" t="n">
        <v>-0.286003091009886</v>
      </c>
      <c r="N536" t="n">
        <v>22.44177728314534</v>
      </c>
      <c r="O536" t="n">
        <v>-0.3149160482863853</v>
      </c>
      <c r="P536" t="n">
        <v>100.8466912584281</v>
      </c>
      <c r="Q536" t="n">
        <v>98.61115810216316</v>
      </c>
    </row>
    <row r="537">
      <c r="A537" s="117" t="n">
        <v>45191</v>
      </c>
      <c r="B537" s="118" t="n">
        <v>86.3233554348508</v>
      </c>
      <c r="C537" s="118" t="n">
        <v>87.03030580918661</v>
      </c>
      <c r="D537" s="118" t="n">
        <v>85.35247807139834</v>
      </c>
      <c r="E537" s="118" t="n">
        <v>85.63525390625</v>
      </c>
      <c r="F537" s="119" t="n">
        <v>9289400</v>
      </c>
      <c r="G537" s="120" t="n">
        <v>-0.008079492320920867</v>
      </c>
      <c r="H537" s="121" t="n">
        <v>53.83149744664033</v>
      </c>
      <c r="I537" s="118" t="n">
        <v>97.23613464355469</v>
      </c>
      <c r="J537" s="118" t="n">
        <v>107.3032545852661</v>
      </c>
      <c r="K537" s="120" t="n">
        <v>0.190522519127122</v>
      </c>
      <c r="L537" s="120" t="n">
        <v>-0.1959537167709192</v>
      </c>
      <c r="M537" s="120" t="n">
        <v>-0.2917718235532328</v>
      </c>
      <c r="N537" t="n">
        <v>21.27046080892615</v>
      </c>
      <c r="O537" t="n">
        <v>-0.4038391844079969</v>
      </c>
      <c r="P537" t="n">
        <v>100.6199520606024</v>
      </c>
      <c r="Q537" t="n">
        <v>98.62494783993259</v>
      </c>
    </row>
    <row r="538">
      <c r="A538" s="117" t="n">
        <v>45194</v>
      </c>
      <c r="B538" s="118" t="n">
        <v>84.83404592946111</v>
      </c>
      <c r="C538" s="118" t="n">
        <v>85.63525492494512</v>
      </c>
      <c r="D538" s="118" t="n">
        <v>84.63610068526891</v>
      </c>
      <c r="E538" s="118" t="n">
        <v>85.39960479736328</v>
      </c>
      <c r="F538" s="119" t="n">
        <v>8291700</v>
      </c>
      <c r="G538" s="120" t="n">
        <v>-0.002751776845838494</v>
      </c>
      <c r="H538" s="121" t="n">
        <v>53.68336517838985</v>
      </c>
      <c r="I538" s="118" t="n">
        <v>96.91585556030273</v>
      </c>
      <c r="J538" s="118" t="n">
        <v>107.2263787841797</v>
      </c>
      <c r="K538" s="120" t="n">
        <v>0.1812766038605032</v>
      </c>
      <c r="L538" s="120" t="n">
        <v>-0.1771915389966187</v>
      </c>
      <c r="M538" s="120" t="n">
        <v>-0.2937207094507495</v>
      </c>
      <c r="N538" t="n">
        <v>20.87407783272062</v>
      </c>
      <c r="O538" t="n">
        <v>-0.4310960278000699</v>
      </c>
      <c r="P538" t="n">
        <v>101.0430578673824</v>
      </c>
      <c r="Q538" t="n">
        <v>99.09339736419518</v>
      </c>
    </row>
    <row r="539">
      <c r="A539" s="117" t="n">
        <v>45195</v>
      </c>
      <c r="B539" s="118" t="n">
        <v>84.83402999400445</v>
      </c>
      <c r="C539" s="118" t="n">
        <v>85.49384735070322</v>
      </c>
      <c r="D539" s="118" t="n">
        <v>84.6266567700506</v>
      </c>
      <c r="E539" s="118" t="n">
        <v>84.99427032470703</v>
      </c>
      <c r="F539" s="119" t="n">
        <v>8060500</v>
      </c>
      <c r="G539" s="120" t="n">
        <v>-0.004746327264839589</v>
      </c>
      <c r="H539" s="121" t="n">
        <v>53.42856635857532</v>
      </c>
      <c r="I539" s="118" t="n">
        <v>96.57318984985352</v>
      </c>
      <c r="J539" s="118" t="n">
        <v>107.1456089019775</v>
      </c>
      <c r="K539" s="120" t="n">
        <v>0.1755416543749529</v>
      </c>
      <c r="L539" s="120" t="n">
        <v>-0.1810968572288195</v>
      </c>
      <c r="M539" s="120" t="n">
        <v>-0.297072942104075</v>
      </c>
      <c r="N539" t="n">
        <v>20.17754926357752</v>
      </c>
      <c r="O539" t="n">
        <v>-0.4281191532641881</v>
      </c>
      <c r="P539" t="n">
        <v>99.55862341332561</v>
      </c>
      <c r="Q539" t="n">
        <v>97.60537871541179</v>
      </c>
    </row>
    <row r="540">
      <c r="A540" s="117" t="n">
        <v>45196</v>
      </c>
      <c r="B540" s="118" t="n">
        <v>85.36189456658215</v>
      </c>
      <c r="C540" s="118" t="n">
        <v>85.49385805444359</v>
      </c>
      <c r="D540" s="118" t="n">
        <v>84.08938539564924</v>
      </c>
      <c r="E540" s="118" t="n">
        <v>84.28733062744141</v>
      </c>
      <c r="F540" s="119" t="n">
        <v>7631000</v>
      </c>
      <c r="G540" s="120" t="n">
        <v>-0.008317498280353219</v>
      </c>
      <c r="H540" s="121" t="n">
        <v>52.98417434976614</v>
      </c>
      <c r="I540" s="118" t="n">
        <v>96.19740859985352</v>
      </c>
      <c r="J540" s="118" t="n">
        <v>107.0471586990356</v>
      </c>
      <c r="K540" s="120" t="n">
        <v>0.1458396308438221</v>
      </c>
      <c r="L540" s="120" t="n">
        <v>-0.1879080827105947</v>
      </c>
      <c r="M540" s="120" t="n">
        <v>-0.302919536699338</v>
      </c>
      <c r="N540" t="n">
        <v>18.98753095588597</v>
      </c>
      <c r="O540" t="n">
        <v>-0.4246203934176354</v>
      </c>
      <c r="P540" t="n">
        <v>99.59836752500229</v>
      </c>
      <c r="Q540" t="n">
        <v>97.83409698064568</v>
      </c>
    </row>
    <row r="541">
      <c r="A541" s="117" t="n">
        <v>45197</v>
      </c>
      <c r="B541" s="118" t="n">
        <v>83.98570576778528</v>
      </c>
      <c r="C541" s="118" t="n">
        <v>84.626674415715</v>
      </c>
      <c r="D541" s="118" t="n">
        <v>83.57096642486934</v>
      </c>
      <c r="E541" s="118" t="n">
        <v>84.48528289794922</v>
      </c>
      <c r="F541" s="119" t="n">
        <v>16315600</v>
      </c>
      <c r="G541" s="120" t="n">
        <v>0.002348541222437994</v>
      </c>
      <c r="H541" s="121" t="n">
        <v>53.1086098673634</v>
      </c>
      <c r="I541" s="118" t="n">
        <v>95.82258010864258</v>
      </c>
      <c r="J541" s="118" t="n">
        <v>106.9587552642822</v>
      </c>
      <c r="K541" s="120" t="n">
        <v>0.1451012449466365</v>
      </c>
      <c r="L541" s="120" t="n">
        <v>-0.1860008513664319</v>
      </c>
      <c r="M541" s="120" t="n">
        <v>-0.3012824144959202</v>
      </c>
      <c r="N541" t="n">
        <v>20.40314203302118</v>
      </c>
      <c r="O541" t="n">
        <v>-0.362262049582371</v>
      </c>
      <c r="P541" t="n">
        <v>100.1757713962382</v>
      </c>
      <c r="Q541" t="n">
        <v>98.65251877164384</v>
      </c>
    </row>
    <row r="542">
      <c r="A542" s="117" t="n">
        <v>45198</v>
      </c>
      <c r="B542" s="118" t="n">
        <v>93.66620603173145</v>
      </c>
      <c r="C542" s="118" t="n">
        <v>93.7604646351429</v>
      </c>
      <c r="D542" s="118" t="n">
        <v>89.18885405071796</v>
      </c>
      <c r="E542" s="118" t="n">
        <v>90.13145446777344</v>
      </c>
      <c r="F542" s="119" t="n">
        <v>34935400</v>
      </c>
      <c r="G542" s="120" t="n">
        <v>0.06683023807405952</v>
      </c>
      <c r="H542" s="121" t="n">
        <v>56.65787090858164</v>
      </c>
      <c r="I542" s="118" t="n">
        <v>95.60482925415039</v>
      </c>
      <c r="J542" s="118" t="n">
        <v>106.886210975647</v>
      </c>
      <c r="K542" s="120" t="n">
        <v>0.2976028785123147</v>
      </c>
      <c r="L542" s="120" t="n">
        <v>-0.1316010944711687</v>
      </c>
      <c r="M542" s="120" t="n">
        <v>-0.2545869519101505</v>
      </c>
      <c r="N542" t="n">
        <v>48.20434881923858</v>
      </c>
      <c r="O542" t="n">
        <v>0.08223770990901969</v>
      </c>
      <c r="P542" t="n">
        <v>99.93265786053455</v>
      </c>
      <c r="Q542" t="n">
        <v>98.72414167853424</v>
      </c>
    </row>
    <row r="543">
      <c r="A543" s="117" t="n">
        <v>45201</v>
      </c>
      <c r="B543" s="118" t="n">
        <v>90.67815781963603</v>
      </c>
      <c r="C543" s="118" t="n">
        <v>90.84782618344163</v>
      </c>
      <c r="D543" s="118" t="n">
        <v>88.3499408155682</v>
      </c>
      <c r="E543" s="118" t="n">
        <v>89.13229370117188</v>
      </c>
      <c r="F543" s="119" t="n">
        <v>12776300</v>
      </c>
      <c r="G543" s="120" t="n">
        <v>-0.01108559461845604</v>
      </c>
      <c r="H543" s="121" t="n">
        <v>56.02978471974429</v>
      </c>
      <c r="I543" s="118" t="n">
        <v>95.3383480834961</v>
      </c>
      <c r="J543" s="118" t="n">
        <v>106.8050293731689</v>
      </c>
      <c r="K543" s="120" t="n">
        <v>0.2951630082993683</v>
      </c>
      <c r="L543" s="120" t="n">
        <v>-0.1412278127049723</v>
      </c>
      <c r="M543" s="120" t="n">
        <v>-0.2628502987845822</v>
      </c>
      <c r="N543" t="n">
        <v>45.1959641686814</v>
      </c>
      <c r="O543" t="n">
        <v>0.318677872152088</v>
      </c>
      <c r="P543" t="n">
        <v>99.89291374885786</v>
      </c>
      <c r="Q543" t="n">
        <v>99.54806569451597</v>
      </c>
    </row>
    <row r="544">
      <c r="A544" s="117" t="n">
        <v>45202</v>
      </c>
      <c r="B544" s="118" t="n">
        <v>88.90608246379506</v>
      </c>
      <c r="C544" s="118" t="n">
        <v>90.53678455891625</v>
      </c>
      <c r="D544" s="118" t="n">
        <v>88.77411896378194</v>
      </c>
      <c r="E544" s="118" t="n">
        <v>89.63188171386719</v>
      </c>
      <c r="F544" s="119" t="n">
        <v>10964300</v>
      </c>
      <c r="G544" s="120" t="n">
        <v>0.005605016901845339</v>
      </c>
      <c r="H544" s="121" t="n">
        <v>56.34383261010522</v>
      </c>
      <c r="I544" s="118" t="n">
        <v>95.08730743408204</v>
      </c>
      <c r="J544" s="118" t="n">
        <v>106.7328817749023</v>
      </c>
      <c r="K544" s="120" t="n">
        <v>0.2905313269388469</v>
      </c>
      <c r="L544" s="120" t="n">
        <v>-0.1364143800803489</v>
      </c>
      <c r="M544" s="120" t="n">
        <v>-0.2587185622500795</v>
      </c>
      <c r="N544" t="n">
        <v>46.97779412227145</v>
      </c>
      <c r="O544" t="n">
        <v>0.5072360400322693</v>
      </c>
      <c r="P544" t="n">
        <v>98.55573026927344</v>
      </c>
      <c r="Q544" t="n">
        <v>97.80104091160608</v>
      </c>
    </row>
    <row r="545">
      <c r="A545" s="117" t="n">
        <v>45203</v>
      </c>
      <c r="B545" s="118" t="n">
        <v>90.09375197478946</v>
      </c>
      <c r="C545" s="118" t="n">
        <v>90.7347205630259</v>
      </c>
      <c r="D545" s="118" t="n">
        <v>89.66015663443402</v>
      </c>
      <c r="E545" s="118" t="n">
        <v>90.38595581054688</v>
      </c>
      <c r="F545" s="119" t="n">
        <v>8045400</v>
      </c>
      <c r="G545" s="120" t="n">
        <v>0.008413012002659093</v>
      </c>
      <c r="H545" s="121" t="n">
        <v>56.81785395012985</v>
      </c>
      <c r="I545" s="118" t="n">
        <v>94.86017898559571</v>
      </c>
      <c r="J545" s="118" t="n">
        <v>106.6782299423218</v>
      </c>
      <c r="K545" s="120" t="n">
        <v>0.2931091323438273</v>
      </c>
      <c r="L545" s="120" t="n">
        <v>-0.129149023894641</v>
      </c>
      <c r="M545" s="120" t="n">
        <v>-0.2524821526169411</v>
      </c>
      <c r="N545" t="n">
        <v>49.63932758417369</v>
      </c>
      <c r="O545" t="n">
        <v>0.6709827845517351</v>
      </c>
      <c r="P545" t="n">
        <v>99.2734191956681</v>
      </c>
      <c r="Q545" t="n">
        <v>99.13198983352883</v>
      </c>
    </row>
    <row r="546">
      <c r="A546" s="117" t="n">
        <v>45204</v>
      </c>
      <c r="B546" s="118" t="n">
        <v>90.29170227050781</v>
      </c>
      <c r="C546" s="118" t="n">
        <v>90.70644878953942</v>
      </c>
      <c r="D546" s="118" t="n">
        <v>89.81097400449127</v>
      </c>
      <c r="E546" s="118" t="n">
        <v>90.29170227050781</v>
      </c>
      <c r="F546" s="119" t="n">
        <v>7430000</v>
      </c>
      <c r="G546" s="120" t="n">
        <v>-0.001042789659010945</v>
      </c>
      <c r="H546" s="121" t="n">
        <v>56.75860487958347</v>
      </c>
      <c r="I546" s="118" t="n">
        <v>94.6123764038086</v>
      </c>
      <c r="J546" s="118" t="n">
        <v>106.6350583267212</v>
      </c>
      <c r="K546" s="120" t="n">
        <v>0.2829933427750773</v>
      </c>
      <c r="L546" s="120" t="n">
        <v>-0.1300571382870632</v>
      </c>
      <c r="M546" s="120" t="n">
        <v>-0.2532616564981183</v>
      </c>
      <c r="N546" t="n">
        <v>49.30617454508861</v>
      </c>
      <c r="O546" t="n">
        <v>0.7549267412403049</v>
      </c>
      <c r="P546" t="n">
        <v>99.23601427511684</v>
      </c>
      <c r="Q546" t="n">
        <v>98.83988491122469</v>
      </c>
    </row>
    <row r="547">
      <c r="A547" s="117" t="n">
        <v>45205</v>
      </c>
      <c r="B547" s="118" t="n">
        <v>90.29170208517236</v>
      </c>
      <c r="C547" s="118" t="n">
        <v>92.10149330573374</v>
      </c>
      <c r="D547" s="118" t="n">
        <v>89.60360056105243</v>
      </c>
      <c r="E547" s="118" t="n">
        <v>91.53593444824219</v>
      </c>
      <c r="F547" s="119" t="n">
        <v>8532900</v>
      </c>
      <c r="G547" s="120" t="n">
        <v>0.01378013866663785</v>
      </c>
      <c r="H547" s="121" t="n">
        <v>57.54074632534903</v>
      </c>
      <c r="I547" s="118" t="n">
        <v>94.42008453369141</v>
      </c>
      <c r="J547" s="118" t="n">
        <v>106.6116465759277</v>
      </c>
      <c r="K547" s="120" t="n">
        <v>0.2876607390946408</v>
      </c>
      <c r="L547" s="120" t="n">
        <v>-0.1180692050206072</v>
      </c>
      <c r="M547" s="120" t="n">
        <v>-0.2429714985769669</v>
      </c>
      <c r="N547" t="n">
        <v>53.72171239164525</v>
      </c>
      <c r="O547" t="n">
        <v>0.8681497764452568</v>
      </c>
      <c r="P547" t="n">
        <v>100.4142213079946</v>
      </c>
      <c r="Q547" t="n">
        <v>100.4959862806635</v>
      </c>
    </row>
    <row r="548">
      <c r="A548" s="117" t="n">
        <v>45208</v>
      </c>
      <c r="B548" s="118" t="n">
        <v>91.22487133617487</v>
      </c>
      <c r="C548" s="118" t="n">
        <v>91.56420807697353</v>
      </c>
      <c r="D548" s="118" t="n">
        <v>90.41423436554147</v>
      </c>
      <c r="E548" s="118" t="n">
        <v>91.31912994384766</v>
      </c>
      <c r="F548" s="119" t="n">
        <v>5964200</v>
      </c>
      <c r="G548" s="120" t="n">
        <v>-0.00236851795637838</v>
      </c>
      <c r="H548" s="121" t="n">
        <v>57.40446003445403</v>
      </c>
      <c r="I548" s="118" t="n">
        <v>94.2056071472168</v>
      </c>
      <c r="J548" s="118" t="n">
        <v>106.5864038467407</v>
      </c>
      <c r="K548" s="120" t="n">
        <v>0.2859039837692821</v>
      </c>
      <c r="L548" s="120" t="n">
        <v>-0.1201580739447989</v>
      </c>
      <c r="M548" s="120" t="n">
        <v>-0.2447645341760776</v>
      </c>
      <c r="N548" t="n">
        <v>52.85776186812874</v>
      </c>
      <c r="O548" t="n">
        <v>0.8985703954821074</v>
      </c>
      <c r="P548" t="n">
        <v>101.0570930141349</v>
      </c>
      <c r="Q548" t="n">
        <v>101.0085134115881</v>
      </c>
    </row>
    <row r="549">
      <c r="A549" s="117" t="n">
        <v>45209</v>
      </c>
      <c r="B549" s="118" t="n">
        <v>91.66789782676366</v>
      </c>
      <c r="C549" s="118" t="n">
        <v>93.18548519386633</v>
      </c>
      <c r="D549" s="118" t="n">
        <v>91.64904898117508</v>
      </c>
      <c r="E549" s="118" t="n">
        <v>92.01666259765625</v>
      </c>
      <c r="F549" s="119" t="n">
        <v>8499000</v>
      </c>
      <c r="G549" s="120" t="n">
        <v>0.007638406697890288</v>
      </c>
      <c r="H549" s="121" t="n">
        <v>57.84293864646997</v>
      </c>
      <c r="I549" s="118" t="n">
        <v>93.97182388305664</v>
      </c>
      <c r="J549" s="118" t="n">
        <v>106.505965385437</v>
      </c>
      <c r="K549" s="120" t="n">
        <v>0.2863598909297656</v>
      </c>
      <c r="L549" s="120" t="n">
        <v>-0.1134374834837343</v>
      </c>
      <c r="M549" s="120" t="n">
        <v>-0.2389957385354439</v>
      </c>
      <c r="N549" t="n">
        <v>55.34593692297476</v>
      </c>
      <c r="O549" t="n">
        <v>0.9318002027813781</v>
      </c>
      <c r="P549" t="n">
        <v>101.5830715763707</v>
      </c>
      <c r="Q549" t="n">
        <v>101.5679034369769</v>
      </c>
    </row>
    <row r="550">
      <c r="A550" s="117" t="n">
        <v>45210</v>
      </c>
      <c r="B550" s="118" t="n">
        <v>92.66704568456544</v>
      </c>
      <c r="C550" s="118" t="n">
        <v>93.27030938257639</v>
      </c>
      <c r="D550" s="118" t="n">
        <v>92.38426987132497</v>
      </c>
      <c r="E550" s="118" t="n">
        <v>92.98753356933594</v>
      </c>
      <c r="F550" s="119" t="n">
        <v>7642900</v>
      </c>
      <c r="G550" s="120" t="n">
        <v>0.01055103439172567</v>
      </c>
      <c r="H550" s="121" t="n">
        <v>58.45324148144736</v>
      </c>
      <c r="I550" s="118" t="n">
        <v>93.77605911254882</v>
      </c>
      <c r="J550" s="118" t="n">
        <v>106.4260395812988</v>
      </c>
      <c r="K550" s="120" t="n">
        <v>0.2882100041166592</v>
      </c>
      <c r="L550" s="120" t="n">
        <v>-0.1040833318815564</v>
      </c>
      <c r="M550" s="120" t="n">
        <v>-0.2309663564004815</v>
      </c>
      <c r="N550" t="n">
        <v>58.61969147437269</v>
      </c>
      <c r="O550" t="n">
        <v>0.9803688451846624</v>
      </c>
      <c r="P550" t="n">
        <v>101.9991819472299</v>
      </c>
      <c r="Q550" t="n">
        <v>102.2926165267018</v>
      </c>
    </row>
    <row r="551">
      <c r="A551" s="117" t="n">
        <v>45211</v>
      </c>
      <c r="B551" s="118" t="n">
        <v>93.82644794503479</v>
      </c>
      <c r="C551" s="118" t="n">
        <v>94.30717617938042</v>
      </c>
      <c r="D551" s="118" t="n">
        <v>92.8649914763435</v>
      </c>
      <c r="E551" s="118" t="n">
        <v>93.55309295654297</v>
      </c>
      <c r="F551" s="119" t="n">
        <v>10705200</v>
      </c>
      <c r="G551" s="120" t="n">
        <v>0.006082099024438792</v>
      </c>
      <c r="H551" s="121" t="n">
        <v>58.80875988443696</v>
      </c>
      <c r="I551" s="118" t="n">
        <v>93.62711669921875</v>
      </c>
      <c r="J551" s="118" t="n">
        <v>106.3510890960693</v>
      </c>
      <c r="K551" s="120" t="n">
        <v>0.2865597783432027</v>
      </c>
      <c r="L551" s="120" t="n">
        <v>-0.09863427798841462</v>
      </c>
      <c r="M551" s="120" t="n">
        <v>-0.2262890176269843</v>
      </c>
      <c r="N551" t="n">
        <v>60.43918993281429</v>
      </c>
      <c r="O551" t="n">
        <v>1.007905026432177</v>
      </c>
      <c r="P551" t="n">
        <v>101.3773629612183</v>
      </c>
      <c r="Q551" t="n">
        <v>101.9371505788103</v>
      </c>
    </row>
    <row r="552">
      <c r="A552" s="117" t="n">
        <v>45212</v>
      </c>
      <c r="B552" s="118" t="n">
        <v>93.87357761974323</v>
      </c>
      <c r="C552" s="118" t="n">
        <v>95.06125622889959</v>
      </c>
      <c r="D552" s="118" t="n">
        <v>93.7416141288893</v>
      </c>
      <c r="E552" s="118" t="n">
        <v>94.17521667480469</v>
      </c>
      <c r="F552" s="119" t="n">
        <v>8774700</v>
      </c>
      <c r="G552" s="120" t="n">
        <v>0.006649953503415462</v>
      </c>
      <c r="H552" s="121" t="n">
        <v>59.19983540326199</v>
      </c>
      <c r="I552" s="118" t="n">
        <v>93.46938537597656</v>
      </c>
      <c r="J552" s="118" t="n">
        <v>106.2731335449219</v>
      </c>
      <c r="K552" s="120" t="n">
        <v>0.2842498418512332</v>
      </c>
      <c r="L552" s="120" t="n">
        <v>-0.092640237847465</v>
      </c>
      <c r="M552" s="120" t="n">
        <v>-0.2211438755691217</v>
      </c>
      <c r="N552" t="n">
        <v>62.39782772287721</v>
      </c>
      <c r="O552" t="n">
        <v>1.022127560401231</v>
      </c>
      <c r="P552" t="n">
        <v>100.8724149816559</v>
      </c>
      <c r="Q552" t="n">
        <v>100.6558156638436</v>
      </c>
    </row>
    <row r="553">
      <c r="A553" s="117" t="n">
        <v>45215</v>
      </c>
      <c r="B553" s="118" t="n">
        <v>93.99610516491238</v>
      </c>
      <c r="C553" s="118" t="n">
        <v>96.69194265840919</v>
      </c>
      <c r="D553" s="118" t="n">
        <v>93.88299053745828</v>
      </c>
      <c r="E553" s="118" t="n">
        <v>96.18293762207031</v>
      </c>
      <c r="F553" s="119" t="n">
        <v>10845400</v>
      </c>
      <c r="G553" s="120" t="n">
        <v>0.02131899472234244</v>
      </c>
      <c r="H553" s="121" t="n">
        <v>60.46191638178767</v>
      </c>
      <c r="I553" s="118" t="n">
        <v>93.34861434936523</v>
      </c>
      <c r="J553" s="118" t="n">
        <v>106.2172612762451</v>
      </c>
      <c r="K553" s="120" t="n">
        <v>0.2896658611434744</v>
      </c>
      <c r="L553" s="120" t="n">
        <v>-0.07329623986686928</v>
      </c>
      <c r="M553" s="120" t="n">
        <v>-0.2045394459629157</v>
      </c>
      <c r="N553" t="n">
        <v>67.91809793951991</v>
      </c>
      <c r="O553" t="n">
        <v>1.113355732134016</v>
      </c>
      <c r="P553" t="n">
        <v>101.9337288706291</v>
      </c>
      <c r="Q553" t="n">
        <v>101.793870589719</v>
      </c>
    </row>
    <row r="554">
      <c r="A554" s="117" t="n">
        <v>45216</v>
      </c>
      <c r="B554" s="118" t="n">
        <v>96.116976997503</v>
      </c>
      <c r="C554" s="118" t="n">
        <v>97.64398525042792</v>
      </c>
      <c r="D554" s="118" t="n">
        <v>96.116976997503</v>
      </c>
      <c r="E554" s="118" t="n">
        <v>97.09728240966797</v>
      </c>
      <c r="F554" s="119" t="n">
        <v>9253800</v>
      </c>
      <c r="G554" s="120" t="n">
        <v>0.009506309644963906</v>
      </c>
      <c r="H554" s="121" t="n">
        <v>61.03668608064087</v>
      </c>
      <c r="I554" s="118" t="n">
        <v>93.21475234985351</v>
      </c>
      <c r="J554" s="118" t="n">
        <v>106.1548963928223</v>
      </c>
      <c r="K554" s="120" t="n">
        <v>0.2863343190817971</v>
      </c>
      <c r="L554" s="120" t="n">
        <v>-0.06448670697389125</v>
      </c>
      <c r="M554" s="120" t="n">
        <v>-0.1969775516258846</v>
      </c>
      <c r="N554" t="n">
        <v>70.0728814005037</v>
      </c>
      <c r="O554" t="n">
        <v>1.175752939154193</v>
      </c>
      <c r="P554" t="n">
        <v>101.92905786753</v>
      </c>
      <c r="Q554" t="n">
        <v>101.4604306294171</v>
      </c>
    </row>
    <row r="555">
      <c r="A555" s="117" t="n">
        <v>45217</v>
      </c>
      <c r="B555" s="118" t="n">
        <v>97.05956837272025</v>
      </c>
      <c r="C555" s="118" t="n">
        <v>97.93618706881395</v>
      </c>
      <c r="D555" s="118" t="n">
        <v>97.02186349217668</v>
      </c>
      <c r="E555" s="118" t="n">
        <v>97.81364440917969</v>
      </c>
      <c r="F555" s="119" t="n">
        <v>8757300</v>
      </c>
      <c r="G555" s="120" t="n">
        <v>0.007377775996750158</v>
      </c>
      <c r="H555" s="121" t="n">
        <v>61.48700107812779</v>
      </c>
      <c r="I555" s="118" t="n">
        <v>93.11006103515625</v>
      </c>
      <c r="J555" s="118" t="n">
        <v>106.0977005386353</v>
      </c>
      <c r="K555" s="120" t="n">
        <v>0.2837440530453854</v>
      </c>
      <c r="L555" s="120" t="n">
        <v>-0.05758469945596267</v>
      </c>
      <c r="M555" s="120" t="n">
        <v>-0.1910530318814185</v>
      </c>
      <c r="N555" t="n">
        <v>71.67788648940719</v>
      </c>
      <c r="O555" t="n">
        <v>1.201493913552144</v>
      </c>
      <c r="P555" t="n">
        <v>100.5708290469687</v>
      </c>
      <c r="Q555" t="n">
        <v>100.129490251322</v>
      </c>
    </row>
    <row r="556">
      <c r="A556" s="117" t="n">
        <v>45218</v>
      </c>
      <c r="B556" s="118" t="n">
        <v>97.8136455312042</v>
      </c>
      <c r="C556" s="118" t="n">
        <v>98.36035551815131</v>
      </c>
      <c r="D556" s="118" t="n">
        <v>96.94645484316646</v>
      </c>
      <c r="E556" s="118" t="n">
        <v>97.13497924804688</v>
      </c>
      <c r="F556" s="119" t="n">
        <v>8391100</v>
      </c>
      <c r="G556" s="120" t="n">
        <v>-0.006938348583493958</v>
      </c>
      <c r="H556" s="121" t="n">
        <v>61.06038283129407</v>
      </c>
      <c r="I556" s="118" t="n">
        <v>92.99179641723633</v>
      </c>
      <c r="J556" s="118" t="n">
        <v>106.0289881896973</v>
      </c>
      <c r="K556" s="120" t="n">
        <v>0.2633011080540278</v>
      </c>
      <c r="L556" s="120" t="n">
        <v>-0.06412350532155542</v>
      </c>
      <c r="M556" s="120" t="n">
        <v>-0.1966657879317858</v>
      </c>
      <c r="N556" t="n">
        <v>67.95937941327495</v>
      </c>
      <c r="O556" t="n">
        <v>1.111144265058114</v>
      </c>
      <c r="P556" t="n">
        <v>99.6871756170983</v>
      </c>
      <c r="Q556" t="n">
        <v>99.19259974662438</v>
      </c>
    </row>
    <row r="557">
      <c r="A557" s="117" t="n">
        <v>45219</v>
      </c>
      <c r="B557" s="118" t="n">
        <v>97.38947085937799</v>
      </c>
      <c r="C557" s="118" t="n">
        <v>97.81363815329095</v>
      </c>
      <c r="D557" s="118" t="n">
        <v>96.68252057520961</v>
      </c>
      <c r="E557" s="118" t="n">
        <v>96.77677917480469</v>
      </c>
      <c r="F557" s="119" t="n">
        <v>7823500</v>
      </c>
      <c r="G557" s="120" t="n">
        <v>-0.003687652748938897</v>
      </c>
      <c r="H557" s="121" t="n">
        <v>60.83521334269498</v>
      </c>
      <c r="I557" s="118" t="n">
        <v>92.87876892089844</v>
      </c>
      <c r="J557" s="118" t="n">
        <v>105.9470002365112</v>
      </c>
      <c r="K557" s="120" t="n">
        <v>0.2606257126880869</v>
      </c>
      <c r="L557" s="120" t="n">
        <v>-0.06757469284982365</v>
      </c>
      <c r="M557" s="120" t="n">
        <v>-0.1996282055472358</v>
      </c>
      <c r="N557" t="n">
        <v>66.01282504519153</v>
      </c>
      <c r="O557" t="n">
        <v>0.9706863517571142</v>
      </c>
      <c r="P557" t="n">
        <v>98.46222903662309</v>
      </c>
      <c r="Q557" t="n">
        <v>97.71284297914397</v>
      </c>
    </row>
    <row r="558">
      <c r="A558" s="117" t="n">
        <v>45222</v>
      </c>
      <c r="B558" s="118" t="n">
        <v>96.2677838313564</v>
      </c>
      <c r="C558" s="118" t="n">
        <v>97.80422720668801</v>
      </c>
      <c r="D558" s="118" t="n">
        <v>95.92844708536113</v>
      </c>
      <c r="E558" s="118" t="n">
        <v>96.90875244140625</v>
      </c>
      <c r="F558" s="119" t="n">
        <v>5966100</v>
      </c>
      <c r="G558" s="120" t="n">
        <v>0.001363687319694495</v>
      </c>
      <c r="H558" s="121" t="n">
        <v>60.91817355172132</v>
      </c>
      <c r="I558" s="118" t="n">
        <v>92.78604202270508</v>
      </c>
      <c r="J558" s="118" t="n">
        <v>105.8684265136719</v>
      </c>
      <c r="K558" s="120" t="n">
        <v>0.2591439217694349</v>
      </c>
      <c r="L558" s="120" t="n">
        <v>-0.06630315628190075</v>
      </c>
      <c r="M558" s="120" t="n">
        <v>-0.1985367486800994</v>
      </c>
      <c r="N558" t="n">
        <v>66.39474235525819</v>
      </c>
      <c r="O558" t="n">
        <v>0.8352539116136692</v>
      </c>
      <c r="P558" t="n">
        <v>98.29157139259293</v>
      </c>
      <c r="Q558" t="n">
        <v>98.00769901393991</v>
      </c>
    </row>
    <row r="559">
      <c r="A559" s="117" t="n">
        <v>45223</v>
      </c>
      <c r="B559" s="118" t="n">
        <v>97.70995841758754</v>
      </c>
      <c r="C559" s="118" t="n">
        <v>99.58573115201474</v>
      </c>
      <c r="D559" s="118" t="n">
        <v>97.70995841758754</v>
      </c>
      <c r="E559" s="118" t="n">
        <v>99.14270782470703</v>
      </c>
      <c r="F559" s="119" t="n">
        <v>9252200</v>
      </c>
      <c r="G559" s="120" t="n">
        <v>0.02305215294822305</v>
      </c>
      <c r="H559" s="121" t="n">
        <v>62.32246860576199</v>
      </c>
      <c r="I559" s="118" t="n">
        <v>92.74644958496094</v>
      </c>
      <c r="J559" s="118" t="n">
        <v>105.7827687072754</v>
      </c>
      <c r="K559" s="120" t="n">
        <v>0.2619655515431533</v>
      </c>
      <c r="L559" s="120" t="n">
        <v>-0.04477943383323824</v>
      </c>
      <c r="M559" s="120" t="n">
        <v>-0.180061295228293</v>
      </c>
      <c r="N559" t="n">
        <v>72.10825479095557</v>
      </c>
      <c r="O559" t="n">
        <v>0.8423108084447843</v>
      </c>
      <c r="P559" t="n">
        <v>99.03262271363452</v>
      </c>
      <c r="Q559" t="n">
        <v>98.96113036889871</v>
      </c>
    </row>
    <row r="560">
      <c r="A560" s="117" t="n">
        <v>45224</v>
      </c>
      <c r="B560" s="118" t="n">
        <v>98.46403818737984</v>
      </c>
      <c r="C560" s="118" t="n">
        <v>99.01074815236402</v>
      </c>
      <c r="D560" s="118" t="n">
        <v>97.54971463698537</v>
      </c>
      <c r="E560" s="118" t="n">
        <v>97.59684753417969</v>
      </c>
      <c r="F560" s="119" t="n">
        <v>7054700</v>
      </c>
      <c r="G560" s="120" t="n">
        <v>-0.0155922742523894</v>
      </c>
      <c r="H560" s="121" t="n">
        <v>61.35071958317503</v>
      </c>
      <c r="I560" s="118" t="n">
        <v>92.69641967773437</v>
      </c>
      <c r="J560" s="118" t="n">
        <v>105.6878876495361</v>
      </c>
      <c r="K560" s="120" t="n">
        <v>0.2690973899448582</v>
      </c>
      <c r="L560" s="120" t="n">
        <v>-0.0596734948724329</v>
      </c>
      <c r="M560" s="120" t="n">
        <v>-0.1928460043832423</v>
      </c>
      <c r="N560" t="n">
        <v>63.99952004015182</v>
      </c>
      <c r="O560" t="n">
        <v>0.6951685243420271</v>
      </c>
      <c r="P560" t="n">
        <v>97.61130214505316</v>
      </c>
      <c r="Q560" t="n">
        <v>96.53898087173714</v>
      </c>
    </row>
    <row r="561">
      <c r="A561" s="117" t="n">
        <v>45225</v>
      </c>
      <c r="B561" s="118" t="n">
        <v>96.31491291232395</v>
      </c>
      <c r="C561" s="118" t="n">
        <v>96.73908023226241</v>
      </c>
      <c r="D561" s="118" t="n">
        <v>94.21291077417784</v>
      </c>
      <c r="E561" s="118" t="n">
        <v>94.27889251708984</v>
      </c>
      <c r="F561" s="119" t="n">
        <v>11222600</v>
      </c>
      <c r="G561" s="120" t="n">
        <v>-0.03399653883213649</v>
      </c>
      <c r="H561" s="121" t="n">
        <v>59.2650074624861</v>
      </c>
      <c r="I561" s="118" t="n">
        <v>92.58040664672852</v>
      </c>
      <c r="J561" s="118" t="n">
        <v>105.5717950057983</v>
      </c>
      <c r="K561" s="120" t="n">
        <v>0.3066179275112315</v>
      </c>
      <c r="L561" s="120" t="n">
        <v>-0.09164134141888958</v>
      </c>
      <c r="M561" s="120" t="n">
        <v>-0.2202864465387415</v>
      </c>
      <c r="N561" t="n">
        <v>50.79617298712817</v>
      </c>
      <c r="O561" t="n">
        <v>0.3444152474402846</v>
      </c>
      <c r="P561" t="n">
        <v>96.44244449752529</v>
      </c>
      <c r="Q561" t="n">
        <v>94.69824738755398</v>
      </c>
    </row>
    <row r="562">
      <c r="A562" s="117" t="n">
        <v>45226</v>
      </c>
      <c r="B562" s="118" t="n">
        <v>94.0526639023707</v>
      </c>
      <c r="C562" s="118" t="n">
        <v>94.58051780905458</v>
      </c>
      <c r="D562" s="118" t="n">
        <v>92.19574002018184</v>
      </c>
      <c r="E562" s="118" t="n">
        <v>92.35598754882812</v>
      </c>
      <c r="F562" s="119" t="n">
        <v>9602700</v>
      </c>
      <c r="G562" s="120" t="n">
        <v>-0.02039592232071619</v>
      </c>
      <c r="H562" s="121" t="n">
        <v>58.05624297394456</v>
      </c>
      <c r="I562" s="118" t="n">
        <v>92.45374282836914</v>
      </c>
      <c r="J562" s="118" t="n">
        <v>105.4362839126587</v>
      </c>
      <c r="K562" s="120" t="n">
        <v>0.2199435654278598</v>
      </c>
      <c r="L562" s="120" t="n">
        <v>-0.1101681540586599</v>
      </c>
      <c r="M562" s="120" t="n">
        <v>-0.236189423607547</v>
      </c>
      <c r="N562" t="n">
        <v>45.00176725030897</v>
      </c>
      <c r="O562" t="n">
        <v>-0.02732654577194782</v>
      </c>
      <c r="P562" t="n">
        <v>96.00528878568912</v>
      </c>
      <c r="Q562" t="n">
        <v>95.15292426170237</v>
      </c>
    </row>
    <row r="563">
      <c r="A563" s="117" t="n">
        <v>45229</v>
      </c>
      <c r="B563" s="118" t="n">
        <v>93.31744200948353</v>
      </c>
      <c r="C563" s="118" t="n">
        <v>96.1923761803033</v>
      </c>
      <c r="D563" s="118" t="n">
        <v>93.31744200948353</v>
      </c>
      <c r="E563" s="118" t="n">
        <v>95.95672607421875</v>
      </c>
      <c r="F563" s="119" t="n">
        <v>8206700</v>
      </c>
      <c r="G563" s="120" t="n">
        <v>0.03898760243873678</v>
      </c>
      <c r="H563" s="121" t="n">
        <v>60.31971669409941</v>
      </c>
      <c r="I563" s="118" t="n">
        <v>92.40360336303711</v>
      </c>
      <c r="J563" s="118" t="n">
        <v>105.3190099334717</v>
      </c>
      <c r="K563" s="120" t="n">
        <v>0.2519937936201725</v>
      </c>
      <c r="L563" s="120" t="n">
        <v>-0.07547574381177169</v>
      </c>
      <c r="M563" s="120" t="n">
        <v>-0.2064102805166558</v>
      </c>
      <c r="N563" t="n">
        <v>55.2873088624827</v>
      </c>
      <c r="O563" t="n">
        <v>-0.04016790906614931</v>
      </c>
      <c r="P563" t="n">
        <v>97.15310109224005</v>
      </c>
      <c r="Q563" t="n">
        <v>96.2248414180158</v>
      </c>
    </row>
    <row r="564">
      <c r="A564" s="117" t="n">
        <v>45230</v>
      </c>
      <c r="B564" s="118" t="n">
        <v>95.57968239344055</v>
      </c>
      <c r="C564" s="118" t="n">
        <v>97.02185986076756</v>
      </c>
      <c r="D564" s="118" t="n">
        <v>95.57968239344055</v>
      </c>
      <c r="E564" s="118" t="n">
        <v>96.87104034423828</v>
      </c>
      <c r="F564" s="119" t="n">
        <v>6558500</v>
      </c>
      <c r="G564" s="120" t="n">
        <v>0.009528402097757516</v>
      </c>
      <c r="H564" s="121" t="n">
        <v>60.89446720918361</v>
      </c>
      <c r="I564" s="118" t="n">
        <v>92.408388671875</v>
      </c>
      <c r="J564" s="118" t="n">
        <v>105.2018257904053</v>
      </c>
      <c r="K564" s="120" t="n">
        <v>0.2527470949703295</v>
      </c>
      <c r="L564" s="120" t="n">
        <v>-0.05994446474296067</v>
      </c>
      <c r="M564" s="120" t="n">
        <v>-0.1988486385687718</v>
      </c>
      <c r="N564" t="n">
        <v>57.46269805676589</v>
      </c>
      <c r="O564" t="n">
        <v>0.001265960327730964</v>
      </c>
      <c r="P564" t="n">
        <v>97.76324626007997</v>
      </c>
      <c r="Q564" t="n">
        <v>96.68501197332017</v>
      </c>
    </row>
    <row r="565">
      <c r="A565" s="117" t="n">
        <v>45231</v>
      </c>
      <c r="B565" s="118" t="n">
        <v>96.66367140842796</v>
      </c>
      <c r="C565" s="118" t="n">
        <v>96.77677885097552</v>
      </c>
      <c r="D565" s="118" t="n">
        <v>94.2317607130734</v>
      </c>
      <c r="E565" s="118" t="n">
        <v>95.08952331542969</v>
      </c>
      <c r="F565" s="119" t="n">
        <v>7272400</v>
      </c>
      <c r="G565" s="120" t="n">
        <v>-0.01839060489572364</v>
      </c>
      <c r="H565" s="121" t="n">
        <v>59.77458112240392</v>
      </c>
      <c r="I565" s="118" t="n">
        <v>92.40384811401367</v>
      </c>
      <c r="J565" s="118" t="n">
        <v>105.0790487289429</v>
      </c>
      <c r="K565" s="120" t="n">
        <v>0.2642040737076907</v>
      </c>
      <c r="L565" s="120" t="n">
        <v>-0.07723265467191087</v>
      </c>
      <c r="M565" s="120" t="n">
        <v>-0.2135822967185247</v>
      </c>
      <c r="N565" t="n">
        <v>52.13972734748155</v>
      </c>
      <c r="O565" t="n">
        <v>-0.09749807873274485</v>
      </c>
      <c r="P565" t="n">
        <v>98.80586875750519</v>
      </c>
      <c r="Q565" t="n">
        <v>98.36317350565908</v>
      </c>
    </row>
    <row r="566">
      <c r="A566" s="117" t="n">
        <v>45232</v>
      </c>
      <c r="B566" s="118" t="n">
        <v>96.19236874104527</v>
      </c>
      <c r="C566" s="118" t="n">
        <v>99.49146997108545</v>
      </c>
      <c r="D566" s="118" t="n">
        <v>96.04154923290929</v>
      </c>
      <c r="E566" s="118" t="n">
        <v>99.04844665527344</v>
      </c>
      <c r="F566" s="119" t="n">
        <v>8135100</v>
      </c>
      <c r="G566" s="120" t="n">
        <v>0.04163364376863332</v>
      </c>
      <c r="H566" s="121" t="n">
        <v>62.26321473927335</v>
      </c>
      <c r="I566" s="118" t="n">
        <v>92.52940414428711</v>
      </c>
      <c r="J566" s="118" t="n">
        <v>104.9840494537354</v>
      </c>
      <c r="K566" s="120" t="n">
        <v>0.2975692920568646</v>
      </c>
      <c r="L566" s="120" t="n">
        <v>-0.03299588252561647</v>
      </c>
      <c r="M566" s="120" t="n">
        <v>-0.180840862206757</v>
      </c>
      <c r="N566" t="n">
        <v>60.82443377871871</v>
      </c>
      <c r="O566" t="n">
        <v>0.08760563485508022</v>
      </c>
      <c r="P566" t="n">
        <v>100.6994181465004</v>
      </c>
      <c r="Q566" t="n">
        <v>100.1487736702474</v>
      </c>
    </row>
    <row r="567">
      <c r="A567" s="117" t="n">
        <v>45233</v>
      </c>
      <c r="B567" s="118" t="n">
        <v>100.3209744372229</v>
      </c>
      <c r="C567" s="118" t="n">
        <v>101.470948231497</v>
      </c>
      <c r="D567" s="118" t="n">
        <v>99.96278882567496</v>
      </c>
      <c r="E567" s="118" t="n">
        <v>100.9148101806641</v>
      </c>
      <c r="F567" s="119" t="n">
        <v>7568000</v>
      </c>
      <c r="G567" s="120" t="n">
        <v>0.01884293584013785</v>
      </c>
      <c r="H567" s="121" t="n">
        <v>63.43643649980621</v>
      </c>
      <c r="I567" s="118" t="n">
        <v>92.71333145141601</v>
      </c>
      <c r="J567" s="118" t="n">
        <v>104.9072521591187</v>
      </c>
      <c r="K567" s="120" t="n">
        <v>0.3001262747762253</v>
      </c>
      <c r="L567" s="120" t="n">
        <v>-0.006206968005861735</v>
      </c>
      <c r="M567" s="120" t="n">
        <v>-0.1654054991304563</v>
      </c>
      <c r="N567" t="n">
        <v>64.12908937956053</v>
      </c>
      <c r="O567" t="n">
        <v>0.3071867641151922</v>
      </c>
      <c r="P567" t="n">
        <v>101.6181446849484</v>
      </c>
      <c r="Q567" t="n">
        <v>101.3254125216289</v>
      </c>
    </row>
    <row r="568">
      <c r="A568" s="117" t="n">
        <v>45236</v>
      </c>
      <c r="B568" s="118" t="n">
        <v>100.8205247564238</v>
      </c>
      <c r="C568" s="118" t="n">
        <v>101.4237883583353</v>
      </c>
      <c r="D568" s="118" t="n">
        <v>100.2643940449461</v>
      </c>
      <c r="E568" s="118" t="n">
        <v>101.093879699707</v>
      </c>
      <c r="F568" s="119" t="n">
        <v>5231900</v>
      </c>
      <c r="G568" s="120" t="n">
        <v>0.001774462229303886</v>
      </c>
      <c r="H568" s="121" t="n">
        <v>63.54900206033675</v>
      </c>
      <c r="I568" s="118" t="n">
        <v>92.87810531616211</v>
      </c>
      <c r="J568" s="118" t="n">
        <v>104.8215929412842</v>
      </c>
      <c r="K568" s="120" t="n">
        <v>0.2991251812814733</v>
      </c>
      <c r="L568" s="120" t="n">
        <v>-0.0002813425312507833</v>
      </c>
      <c r="M568" s="120" t="n">
        <v>-0.1639245427118785</v>
      </c>
      <c r="N568" t="n">
        <v>64.43904141652581</v>
      </c>
      <c r="O568" t="n">
        <v>0.4284875615121833</v>
      </c>
      <c r="P568" t="n">
        <v>101.8519088353021</v>
      </c>
      <c r="Q568" t="n">
        <v>101.7387372701242</v>
      </c>
    </row>
    <row r="569">
      <c r="A569" s="117" t="n">
        <v>45237</v>
      </c>
      <c r="B569" s="118" t="n">
        <v>101.1598807646674</v>
      </c>
      <c r="C569" s="118" t="n">
        <v>103.0827865600586</v>
      </c>
      <c r="D569" s="118" t="n">
        <v>101.0750501754374</v>
      </c>
      <c r="E569" s="118" t="n">
        <v>103.0827865600586</v>
      </c>
      <c r="F569" s="119" t="n">
        <v>7745800</v>
      </c>
      <c r="G569" s="120" t="n">
        <v>0.01967386024019935</v>
      </c>
      <c r="H569" s="121" t="n">
        <v>64.79925624527596</v>
      </c>
      <c r="I569" s="118" t="n">
        <v>93.06781417846679</v>
      </c>
      <c r="J569" s="118" t="n">
        <v>104.7380818939209</v>
      </c>
      <c r="K569" s="120" t="n">
        <v>0.3034116647241995</v>
      </c>
      <c r="L569" s="120" t="n">
        <v>0</v>
      </c>
      <c r="M569" s="120" t="n">
        <v>-0.1474757110149312</v>
      </c>
      <c r="N569" t="n">
        <v>67.77014339406287</v>
      </c>
      <c r="O569" t="n">
        <v>0.5963523438496496</v>
      </c>
      <c r="P569" t="n">
        <v>102.1417840560587</v>
      </c>
      <c r="Q569" t="n">
        <v>102.7004561378689</v>
      </c>
    </row>
    <row r="570">
      <c r="A570" s="117" t="n">
        <v>45238</v>
      </c>
      <c r="B570" s="118" t="n">
        <v>103.0922122517226</v>
      </c>
      <c r="C570" s="118" t="n">
        <v>104.345865365811</v>
      </c>
      <c r="D570" s="118" t="n">
        <v>102.6491888962641</v>
      </c>
      <c r="E570" s="118" t="n">
        <v>103.1110610961914</v>
      </c>
      <c r="F570" s="119" t="n">
        <v>8639700</v>
      </c>
      <c r="G570" s="120" t="n">
        <v>0.0002742895984513272</v>
      </c>
      <c r="H570" s="121" t="n">
        <v>64.8170300072514</v>
      </c>
      <c r="I570" s="118" t="n">
        <v>93.21788009643555</v>
      </c>
      <c r="J570" s="118" t="n">
        <v>104.6615282058716</v>
      </c>
      <c r="K570" s="120" t="n">
        <v>0.3035003740916786</v>
      </c>
      <c r="L570" s="120" t="n">
        <v>0</v>
      </c>
      <c r="M570" s="120" t="n">
        <v>-0.1472418724700354</v>
      </c>
      <c r="N570" t="n">
        <v>67.81629812163592</v>
      </c>
      <c r="O570" t="n">
        <v>0.6581205984216274</v>
      </c>
      <c r="P570" t="n">
        <v>102.216601276313</v>
      </c>
      <c r="Q570" t="n">
        <v>102.7665682759481</v>
      </c>
    </row>
    <row r="571">
      <c r="A571" s="117" t="n">
        <v>45239</v>
      </c>
      <c r="B571" s="118" t="n">
        <v>103.5163866007917</v>
      </c>
      <c r="C571" s="118" t="n">
        <v>103.5917963667291</v>
      </c>
      <c r="D571" s="118" t="n">
        <v>100.7828437130665</v>
      </c>
      <c r="E571" s="118" t="n">
        <v>100.8582534790039</v>
      </c>
      <c r="F571" s="119" t="n">
        <v>9154200</v>
      </c>
      <c r="G571" s="120" t="n">
        <v>-0.02184836033338733</v>
      </c>
      <c r="H571" s="121" t="n">
        <v>63.400884179913</v>
      </c>
      <c r="I571" s="118" t="n">
        <v>93.3166896057129</v>
      </c>
      <c r="J571" s="118" t="n">
        <v>104.5737572479248</v>
      </c>
      <c r="K571" s="120" t="n">
        <v>0.318436595260975</v>
      </c>
      <c r="L571" s="120" t="n">
        <v>-0.02184836033338733</v>
      </c>
      <c r="M571" s="120" t="n">
        <v>-0.1658732393175347</v>
      </c>
      <c r="N571" t="n">
        <v>60.39511829362685</v>
      </c>
      <c r="O571" t="n">
        <v>0.503078286880664</v>
      </c>
      <c r="P571" t="n">
        <v>101.4194462640205</v>
      </c>
      <c r="Q571" t="n">
        <v>101.9757345043164</v>
      </c>
    </row>
    <row r="572">
      <c r="A572" s="117" t="n">
        <v>45240</v>
      </c>
      <c r="B572" s="118" t="n">
        <v>101.1787273953372</v>
      </c>
      <c r="C572" s="118" t="n">
        <v>101.6406067870507</v>
      </c>
      <c r="D572" s="118" t="n">
        <v>99.54803266752324</v>
      </c>
      <c r="E572" s="118" t="n">
        <v>100.0193328857422</v>
      </c>
      <c r="F572" s="119" t="n">
        <v>8897700</v>
      </c>
      <c r="G572" s="120" t="n">
        <v>-0.008317817970508123</v>
      </c>
      <c r="H572" s="121" t="n">
        <v>62.87352716613521</v>
      </c>
      <c r="I572" s="118" t="n">
        <v>93.4060482788086</v>
      </c>
      <c r="J572" s="118" t="n">
        <v>104.4784769821167</v>
      </c>
      <c r="K572" s="120" t="n">
        <v>0.3211781037031695</v>
      </c>
      <c r="L572" s="120" t="n">
        <v>-0.02998444761968821</v>
      </c>
      <c r="M572" s="120" t="n">
        <v>-0.172811353877221</v>
      </c>
      <c r="N572" t="n">
        <v>57.85607964760403</v>
      </c>
      <c r="O572" t="n">
        <v>0.3093552365760035</v>
      </c>
      <c r="P572" t="n">
        <v>103.0020603329785</v>
      </c>
      <c r="Q572" t="n">
        <v>104.2683766625009</v>
      </c>
    </row>
    <row r="573">
      <c r="A573" s="117" t="n">
        <v>45243</v>
      </c>
      <c r="B573" s="118" t="n">
        <v>99.32181161068142</v>
      </c>
      <c r="C573" s="118" t="n">
        <v>99.65172032857608</v>
      </c>
      <c r="D573" s="118" t="n">
        <v>98.2001147783689</v>
      </c>
      <c r="E573" s="118" t="n">
        <v>98.21896362304688</v>
      </c>
      <c r="F573" s="119" t="n">
        <v>7055600</v>
      </c>
      <c r="G573" s="120" t="n">
        <v>-0.01800021266640495</v>
      </c>
      <c r="H573" s="121" t="n">
        <v>61.74179030605779</v>
      </c>
      <c r="I573" s="118" t="n">
        <v>93.44073593139649</v>
      </c>
      <c r="J573" s="118" t="n">
        <v>104.3741948699951</v>
      </c>
      <c r="K573" s="120" t="n">
        <v>0.322095739793945</v>
      </c>
      <c r="L573" s="120" t="n">
        <v>-0.04744493385225412</v>
      </c>
      <c r="M573" s="120" t="n">
        <v>-0.1877009254226666</v>
      </c>
      <c r="N573" t="n">
        <v>52.7325240619084</v>
      </c>
      <c r="O573" t="n">
        <v>0.03948063986966299</v>
      </c>
      <c r="P573" t="n">
        <v>102.9038733389254</v>
      </c>
      <c r="Q573" t="n">
        <v>103.9431985835019</v>
      </c>
    </row>
    <row r="574">
      <c r="A574" s="117" t="n">
        <v>45244</v>
      </c>
      <c r="B574" s="118" t="n">
        <v>99.50088868214887</v>
      </c>
      <c r="C574" s="118" t="n">
        <v>100.9524940554934</v>
      </c>
      <c r="D574" s="118" t="n">
        <v>99.33122033483666</v>
      </c>
      <c r="E574" s="118" t="n">
        <v>99.67998504638672</v>
      </c>
      <c r="F574" s="119" t="n">
        <v>9674800</v>
      </c>
      <c r="G574" s="120" t="n">
        <v>0.01487514599468875</v>
      </c>
      <c r="H574" s="121" t="n">
        <v>62.66020845083386</v>
      </c>
      <c r="I574" s="118" t="n">
        <v>93.54310211181641</v>
      </c>
      <c r="J574" s="118" t="n">
        <v>104.2826333236694</v>
      </c>
      <c r="K574" s="120" t="n">
        <v>0.3244776815524725</v>
      </c>
      <c r="L574" s="120" t="n">
        <v>-0.03327553817532602</v>
      </c>
      <c r="M574" s="120" t="n">
        <v>-0.1756178580969783</v>
      </c>
      <c r="N574" t="n">
        <v>56.12791947747692</v>
      </c>
      <c r="O574" t="n">
        <v>-0.05593264849955193</v>
      </c>
      <c r="P574" t="n">
        <v>104.9002881042245</v>
      </c>
      <c r="Q574" t="n">
        <v>106.1807501412297</v>
      </c>
    </row>
    <row r="575">
      <c r="A575" s="117" t="n">
        <v>45245</v>
      </c>
      <c r="B575" s="118" t="n">
        <v>100.6885869221162</v>
      </c>
      <c r="C575" s="118" t="n">
        <v>102.8000100662452</v>
      </c>
      <c r="D575" s="118" t="n">
        <v>100.5943283087256</v>
      </c>
      <c r="E575" s="118" t="n">
        <v>101.6311874389648</v>
      </c>
      <c r="F575" s="119" t="n">
        <v>11140800</v>
      </c>
      <c r="G575" s="120" t="n">
        <v>0.01957466578340794</v>
      </c>
      <c r="H575" s="121" t="n">
        <v>63.8867610891776</v>
      </c>
      <c r="I575" s="118" t="n">
        <v>93.68713150024413</v>
      </c>
      <c r="J575" s="118" t="n">
        <v>104.1963460540772</v>
      </c>
      <c r="K575" s="120" t="n">
        <v>0.3302398870477888</v>
      </c>
      <c r="L575" s="120" t="n">
        <v>-0.01435222993046315</v>
      </c>
      <c r="M575" s="120" t="n">
        <v>-0.1594808531914166</v>
      </c>
      <c r="N575" t="n">
        <v>60.23608130042782</v>
      </c>
      <c r="O575" t="n">
        <v>-0.005585560316367033</v>
      </c>
      <c r="P575" t="n">
        <v>105.1223931947102</v>
      </c>
      <c r="Q575" t="n">
        <v>106.2606605609059</v>
      </c>
    </row>
    <row r="576">
      <c r="A576" s="117" t="n">
        <v>45246</v>
      </c>
      <c r="B576" s="118" t="n">
        <v>100.9525145177821</v>
      </c>
      <c r="C576" s="118" t="n">
        <v>101.8008564262955</v>
      </c>
      <c r="D576" s="118" t="n">
        <v>100.8582559038298</v>
      </c>
      <c r="E576" s="118" t="n">
        <v>101.4332427978516</v>
      </c>
      <c r="F576" s="119" t="n">
        <v>5386800</v>
      </c>
      <c r="G576" s="120" t="n">
        <v>-0.001947676162222911</v>
      </c>
      <c r="H576" s="121" t="n">
        <v>63.76233036752258</v>
      </c>
      <c r="I576" s="118" t="n">
        <v>93.86961914062501</v>
      </c>
      <c r="J576" s="118" t="n">
        <v>104.098938369751</v>
      </c>
      <c r="K576" s="120" t="n">
        <v>0.3288965493917442</v>
      </c>
      <c r="L576" s="120" t="n">
        <v>-0.01627195259657577</v>
      </c>
      <c r="M576" s="120" t="n">
        <v>-0.1611179122975476</v>
      </c>
      <c r="N576" t="n">
        <v>59.62609262148455</v>
      </c>
      <c r="O576" t="n">
        <v>-0.003658781784114939</v>
      </c>
      <c r="P576" t="n">
        <v>105.2509453984829</v>
      </c>
      <c r="Q576" t="n">
        <v>106.3515839743769</v>
      </c>
    </row>
    <row r="577">
      <c r="A577" s="117" t="n">
        <v>45247</v>
      </c>
      <c r="B577" s="118" t="n">
        <v>101.857388933955</v>
      </c>
      <c r="C577" s="118" t="n">
        <v>101.9987804211596</v>
      </c>
      <c r="D577" s="118" t="n">
        <v>99.46318324275846</v>
      </c>
      <c r="E577" s="118" t="n">
        <v>99.8779296875</v>
      </c>
      <c r="F577" s="119" t="n">
        <v>6352600</v>
      </c>
      <c r="G577" s="120" t="n">
        <v>-0.01533336672920116</v>
      </c>
      <c r="H577" s="121" t="n">
        <v>62.78463917248887</v>
      </c>
      <c r="I577" s="118" t="n">
        <v>94.02590209960937</v>
      </c>
      <c r="J577" s="118" t="n">
        <v>103.9958083724976</v>
      </c>
      <c r="K577" s="120" t="n">
        <v>0.3342950215587781</v>
      </c>
      <c r="L577" s="120" t="n">
        <v>-0.03135581550921351</v>
      </c>
      <c r="M577" s="120" t="n">
        <v>-0.1739807989908473</v>
      </c>
      <c r="N577" t="n">
        <v>54.92006098578696</v>
      </c>
      <c r="O577" t="n">
        <v>-0.1187976657410592</v>
      </c>
      <c r="P577" t="n">
        <v>105.3818663099882</v>
      </c>
      <c r="Q577" t="n">
        <v>106.3763952497687</v>
      </c>
    </row>
    <row r="578">
      <c r="A578" s="117" t="n">
        <v>45250</v>
      </c>
      <c r="B578" s="118" t="n">
        <v>99.9156456766226</v>
      </c>
      <c r="C578" s="118" t="n">
        <v>100.4340787902122</v>
      </c>
      <c r="D578" s="118" t="n">
        <v>99.06730385050811</v>
      </c>
      <c r="E578" s="118" t="n">
        <v>100.2172775268555</v>
      </c>
      <c r="F578" s="119" t="n">
        <v>6197400</v>
      </c>
      <c r="G578" s="120" t="n">
        <v>0.003397625886091493</v>
      </c>
      <c r="H578" s="121" t="n">
        <v>62.99795788779024</v>
      </c>
      <c r="I578" s="118" t="n">
        <v>94.20556198120117</v>
      </c>
      <c r="J578" s="118" t="n">
        <v>103.9011443328857</v>
      </c>
      <c r="K578" s="120" t="n">
        <v>0.3343387485065594</v>
      </c>
      <c r="L578" s="120" t="n">
        <v>-0.02806472495357559</v>
      </c>
      <c r="M578" s="120" t="n">
        <v>-0.17117429477109</v>
      </c>
      <c r="N578" t="n">
        <v>55.74085364580974</v>
      </c>
      <c r="O578" t="n">
        <v>-0.1800916690050969</v>
      </c>
      <c r="P578" t="n">
        <v>106.193063848185</v>
      </c>
      <c r="Q578" t="n">
        <v>107.6715199025049</v>
      </c>
    </row>
    <row r="579">
      <c r="A579" s="117" t="n">
        <v>45251</v>
      </c>
      <c r="B579" s="118" t="n">
        <v>100.0758740490341</v>
      </c>
      <c r="C579" s="118" t="n">
        <v>100.5754510670034</v>
      </c>
      <c r="D579" s="118" t="n">
        <v>99.302942075833</v>
      </c>
      <c r="E579" s="118" t="n">
        <v>100.4340667724609</v>
      </c>
      <c r="F579" s="119" t="n">
        <v>5803500</v>
      </c>
      <c r="G579" s="120" t="n">
        <v>0.002163192325269181</v>
      </c>
      <c r="H579" s="121" t="n">
        <v>63.13423458680073</v>
      </c>
      <c r="I579" s="118" t="n">
        <v>94.39879470825196</v>
      </c>
      <c r="J579" s="118" t="n">
        <v>103.8163410186768</v>
      </c>
      <c r="K579" s="120" t="n">
        <v>0.3248908588753551</v>
      </c>
      <c r="L579" s="120" t="n">
        <v>-0.02596224202593689</v>
      </c>
      <c r="M579" s="120" t="n">
        <v>-0.169381385366553</v>
      </c>
      <c r="N579" t="n">
        <v>56.28840409074645</v>
      </c>
      <c r="O579" t="n">
        <v>-0.2118345490563027</v>
      </c>
      <c r="P579" t="n">
        <v>105.9616167515013</v>
      </c>
      <c r="Q579" t="n">
        <v>107.045992107554</v>
      </c>
    </row>
    <row r="580">
      <c r="A580" s="117" t="n">
        <v>45252</v>
      </c>
      <c r="B580" s="118" t="n">
        <v>101.329542907922</v>
      </c>
      <c r="C580" s="118" t="n">
        <v>101.8291199688328</v>
      </c>
      <c r="D580" s="118" t="n">
        <v>100.6885743488456</v>
      </c>
      <c r="E580" s="118" t="n">
        <v>101.7254333496094</v>
      </c>
      <c r="F580" s="119" t="n">
        <v>6280300</v>
      </c>
      <c r="G580" s="120" t="n">
        <v>0.01285785409918838</v>
      </c>
      <c r="H580" s="121" t="n">
        <v>63.94600536378174</v>
      </c>
      <c r="I580" s="118" t="n">
        <v>94.62105987548829</v>
      </c>
      <c r="J580" s="118" t="n">
        <v>103.7398620605469</v>
      </c>
      <c r="K580" s="120" t="n">
        <v>0.3214773464084125</v>
      </c>
      <c r="L580" s="120" t="n">
        <v>-0.01343820664680584</v>
      </c>
      <c r="M580" s="120" t="n">
        <v>-0.1587014124075262</v>
      </c>
      <c r="N580" t="n">
        <v>59.50241070257147</v>
      </c>
      <c r="O580" t="n">
        <v>-0.1543315146756616</v>
      </c>
      <c r="P580" t="n">
        <v>106.3707095489842</v>
      </c>
      <c r="Q580" t="n">
        <v>107.4841366752688</v>
      </c>
    </row>
    <row r="581">
      <c r="A581" s="117" t="n">
        <v>45254</v>
      </c>
      <c r="B581" s="118" t="n">
        <v>101.3295386002428</v>
      </c>
      <c r="C581" s="118" t="n">
        <v>101.8008387797788</v>
      </c>
      <c r="D581" s="118" t="n">
        <v>101.2352800026296</v>
      </c>
      <c r="E581" s="118" t="n">
        <v>101.4615020751953</v>
      </c>
      <c r="F581" s="119" t="n">
        <v>2443600</v>
      </c>
      <c r="G581" s="120" t="n">
        <v>-0.002594545589272523</v>
      </c>
      <c r="H581" s="121" t="n">
        <v>63.78009453761355</v>
      </c>
      <c r="I581" s="118" t="n">
        <v>94.81806289672852</v>
      </c>
      <c r="J581" s="118" t="n">
        <v>103.6733612060547</v>
      </c>
      <c r="K581" s="120" t="n">
        <v>0.2925150173825526</v>
      </c>
      <c r="L581" s="120" t="n">
        <v>-0.01599788619629516</v>
      </c>
      <c r="M581" s="120" t="n">
        <v>-0.1608841999472255</v>
      </c>
      <c r="N581" t="n">
        <v>58.55478143922084</v>
      </c>
      <c r="O581" t="n">
        <v>-0.1428089968786712</v>
      </c>
      <c r="P581" t="n">
        <v>106.4361700047368</v>
      </c>
      <c r="Q581" t="n">
        <v>107.3325777172193</v>
      </c>
    </row>
    <row r="582">
      <c r="A582" s="117" t="n">
        <v>45257</v>
      </c>
      <c r="B582" s="118" t="n">
        <v>101.4803696218588</v>
      </c>
      <c r="C582" s="118" t="n">
        <v>102.0082235815501</v>
      </c>
      <c r="D582" s="118" t="n">
        <v>100.7639912540841</v>
      </c>
      <c r="E582" s="118" t="n">
        <v>101.7631454467773</v>
      </c>
      <c r="F582" s="119" t="n">
        <v>5785000</v>
      </c>
      <c r="G582" s="120" t="n">
        <v>0.002972983500268755</v>
      </c>
      <c r="H582" s="121" t="n">
        <v>63.96971170631945</v>
      </c>
      <c r="I582" s="118" t="n">
        <v>95.0386312866211</v>
      </c>
      <c r="J582" s="118" t="n">
        <v>103.6117766189575</v>
      </c>
      <c r="K582" s="120" t="n">
        <v>0.2782511955149229</v>
      </c>
      <c r="L582" s="120" t="n">
        <v>-0.01307246414772723</v>
      </c>
      <c r="M582" s="120" t="n">
        <v>-0.1583895225188537</v>
      </c>
      <c r="N582" t="n">
        <v>59.3515559700885</v>
      </c>
      <c r="O582" t="n">
        <v>-0.1242910622954927</v>
      </c>
      <c r="P582" t="n">
        <v>106.244496536337</v>
      </c>
      <c r="Q582" t="n">
        <v>107.2388775597737</v>
      </c>
    </row>
    <row r="583">
      <c r="A583" s="117" t="n">
        <v>45258</v>
      </c>
      <c r="B583" s="118" t="n">
        <v>102.3381288753598</v>
      </c>
      <c r="C583" s="118" t="n">
        <v>103.5917891790673</v>
      </c>
      <c r="D583" s="118" t="n">
        <v>101.9422384188639</v>
      </c>
      <c r="E583" s="118" t="n">
        <v>102.5077972412109</v>
      </c>
      <c r="F583" s="119" t="n">
        <v>7287400</v>
      </c>
      <c r="G583" s="120" t="n">
        <v>0.007317499780144399</v>
      </c>
      <c r="H583" s="121" t="n">
        <v>64.43781005766634</v>
      </c>
      <c r="I583" s="118" t="n">
        <v>95.28823165893554</v>
      </c>
      <c r="J583" s="118" t="n">
        <v>103.5536817932129</v>
      </c>
      <c r="K583" s="120" t="n">
        <v>0.2480201563518047</v>
      </c>
      <c r="L583" s="120" t="n">
        <v>-0.005850622121109872</v>
      </c>
      <c r="M583" s="120" t="n">
        <v>-0.1522310380349183</v>
      </c>
      <c r="N583" t="n">
        <v>61.32807472774372</v>
      </c>
      <c r="O583" t="n">
        <v>-0.07380422965437261</v>
      </c>
      <c r="P583" t="n">
        <v>106.3496568288554</v>
      </c>
      <c r="Q583" t="n">
        <v>107.5199609444554</v>
      </c>
    </row>
    <row r="584">
      <c r="A584" s="117" t="n">
        <v>45259</v>
      </c>
      <c r="B584" s="118" t="n">
        <v>104.4401237441118</v>
      </c>
      <c r="C584" s="118" t="n">
        <v>105.7126328037524</v>
      </c>
      <c r="D584" s="118" t="n">
        <v>103.8274320660714</v>
      </c>
      <c r="E584" s="118" t="n">
        <v>104.0348052978516</v>
      </c>
      <c r="F584" s="119" t="n">
        <v>9601800</v>
      </c>
      <c r="G584" s="120" t="n">
        <v>0.01489650639011808</v>
      </c>
      <c r="H584" s="121" t="n">
        <v>65.39770830695558</v>
      </c>
      <c r="I584" s="118" t="n">
        <v>95.58515060424804</v>
      </c>
      <c r="J584" s="118" t="n">
        <v>103.4895899963379</v>
      </c>
      <c r="K584" s="120" t="n">
        <v>0.2504925434208812</v>
      </c>
      <c r="L584" s="120" t="n">
        <v>0</v>
      </c>
      <c r="M584" s="120" t="n">
        <v>-0.1396022422756616</v>
      </c>
      <c r="N584" t="n">
        <v>65.07804897007972</v>
      </c>
      <c r="O584" t="n">
        <v>0.04416984945201974</v>
      </c>
      <c r="P584" t="n">
        <v>106.2748765043602</v>
      </c>
      <c r="Q584" t="n">
        <v>107.4152392493874</v>
      </c>
    </row>
    <row r="585">
      <c r="A585" s="117" t="n">
        <v>45260</v>
      </c>
      <c r="B585" s="118" t="n">
        <v>104.1856146014393</v>
      </c>
      <c r="C585" s="118" t="n">
        <v>104.2515963376894</v>
      </c>
      <c r="D585" s="118" t="n">
        <v>102.7057323528567</v>
      </c>
      <c r="E585" s="118" t="n">
        <v>103.9405364990234</v>
      </c>
      <c r="F585" s="119" t="n">
        <v>8690900</v>
      </c>
      <c r="G585" s="120" t="n">
        <v>-0.0009061275075993303</v>
      </c>
      <c r="H585" s="121" t="n">
        <v>65.33844964452469</v>
      </c>
      <c r="I585" s="118" t="n">
        <v>95.89111846923828</v>
      </c>
      <c r="J585" s="118" t="n">
        <v>103.4201249313355</v>
      </c>
      <c r="K585" s="120" t="n">
        <v>0.2373961930058813</v>
      </c>
      <c r="L585" s="120" t="n">
        <v>-0.0009061275075993303</v>
      </c>
      <c r="M585" s="120" t="n">
        <v>-0.1403818723514125</v>
      </c>
      <c r="N585" t="n">
        <v>64.66119156327611</v>
      </c>
      <c r="O585" t="n">
        <v>0.09469245768874646</v>
      </c>
      <c r="P585" t="n">
        <v>106.693318687193</v>
      </c>
      <c r="Q585" t="n">
        <v>107.1452030338109</v>
      </c>
    </row>
    <row r="586">
      <c r="A586" s="117" t="n">
        <v>45261</v>
      </c>
      <c r="B586" s="118" t="n">
        <v>104.347227046508</v>
      </c>
      <c r="C586" s="118" t="n">
        <v>107.3926198942417</v>
      </c>
      <c r="D586" s="118" t="n">
        <v>103.7986765004369</v>
      </c>
      <c r="E586" s="118" t="n">
        <v>107.326416015625</v>
      </c>
      <c r="F586" s="119" t="n">
        <v>8051800</v>
      </c>
      <c r="G586" s="120" t="n">
        <v>0.03257515913084963</v>
      </c>
      <c r="H586" s="121" t="n">
        <v>67.46686003905809</v>
      </c>
      <c r="I586" s="118" t="n">
        <v>96.3109912109375</v>
      </c>
      <c r="J586" s="118" t="n">
        <v>103.3616135406494</v>
      </c>
      <c r="K586" s="120" t="n">
        <v>0.2201903269524241</v>
      </c>
      <c r="L586" s="120" t="n">
        <v>0</v>
      </c>
      <c r="M586" s="120" t="n">
        <v>-0.1123796750514968</v>
      </c>
      <c r="N586" t="n">
        <v>71.67833028315822</v>
      </c>
      <c r="O586" t="n">
        <v>0.3221684240923839</v>
      </c>
      <c r="P586" t="n">
        <v>107.324501816858</v>
      </c>
      <c r="Q586" t="n">
        <v>107.451063518574</v>
      </c>
    </row>
    <row r="587">
      <c r="A587" s="117" t="n">
        <v>45264</v>
      </c>
      <c r="B587" s="118" t="n">
        <v>106.9481168009209</v>
      </c>
      <c r="C587" s="118" t="n">
        <v>109.0666483652037</v>
      </c>
      <c r="D587" s="118" t="n">
        <v>106.8724531554188</v>
      </c>
      <c r="E587" s="118" t="n">
        <v>108.9058685302734</v>
      </c>
      <c r="F587" s="119" t="n">
        <v>10086600</v>
      </c>
      <c r="G587" s="120" t="n">
        <v>0.01471634452433856</v>
      </c>
      <c r="H587" s="121" t="n">
        <v>68.4597255953682</v>
      </c>
      <c r="I587" s="118" t="n">
        <v>96.77640350341797</v>
      </c>
      <c r="J587" s="118" t="n">
        <v>103.3254718017578</v>
      </c>
      <c r="K587" s="120" t="n">
        <v>0.2169928346113105</v>
      </c>
      <c r="L587" s="120" t="n">
        <v>0</v>
      </c>
      <c r="M587" s="120" t="n">
        <v>-0.0993171485427492</v>
      </c>
      <c r="N587" t="n">
        <v>74.24725536273691</v>
      </c>
      <c r="O587" t="n">
        <v>0.5326144230654464</v>
      </c>
      <c r="P587" t="n">
        <v>106.7611109549192</v>
      </c>
      <c r="Q587" t="n">
        <v>106.4535460131256</v>
      </c>
    </row>
    <row r="588">
      <c r="A588" s="117" t="n">
        <v>45265</v>
      </c>
      <c r="B588" s="118" t="n">
        <v>108.4424335257603</v>
      </c>
      <c r="C588" s="118" t="n">
        <v>109.7475988461846</v>
      </c>
      <c r="D588" s="118" t="n">
        <v>108.3856821878762</v>
      </c>
      <c r="E588" s="118" t="n">
        <v>109.1517639160156</v>
      </c>
      <c r="F588" s="119" t="n">
        <v>6960000</v>
      </c>
      <c r="G588" s="120" t="n">
        <v>0.002257870848106247</v>
      </c>
      <c r="H588" s="121" t="n">
        <v>68.61429881405932</v>
      </c>
      <c r="I588" s="118" t="n">
        <v>97.25144668579101</v>
      </c>
      <c r="J588" s="118" t="n">
        <v>103.2884120559692</v>
      </c>
      <c r="K588" s="120" t="n">
        <v>0.2169366288215356</v>
      </c>
      <c r="L588" s="120" t="n">
        <v>0</v>
      </c>
      <c r="M588" s="120" t="n">
        <v>-0.09728352298905474</v>
      </c>
      <c r="N588" t="n">
        <v>74.63302649796668</v>
      </c>
      <c r="O588" t="n">
        <v>0.6350360048254569</v>
      </c>
      <c r="P588" t="n">
        <v>106.7400803722459</v>
      </c>
      <c r="Q588" t="n">
        <v>106.7208482038655</v>
      </c>
    </row>
    <row r="589">
      <c r="A589" s="117" t="n">
        <v>45266</v>
      </c>
      <c r="B589" s="118" t="n">
        <v>109.7097613013404</v>
      </c>
      <c r="C589" s="118" t="n">
        <v>110.7879428610128</v>
      </c>
      <c r="D589" s="118" t="n">
        <v>109.3030782768547</v>
      </c>
      <c r="E589" s="118" t="n">
        <v>109.8137969970703</v>
      </c>
      <c r="F589" s="119" t="n">
        <v>6317000</v>
      </c>
      <c r="G589" s="120" t="n">
        <v>0.006065253160398631</v>
      </c>
      <c r="H589" s="121" t="n">
        <v>69.03046190678984</v>
      </c>
      <c r="I589" s="118" t="n">
        <v>97.74783721923828</v>
      </c>
      <c r="J589" s="118" t="n">
        <v>103.2721227645874</v>
      </c>
      <c r="K589" s="120" t="n">
        <v>0.2090734787991805</v>
      </c>
      <c r="L589" s="120" t="n">
        <v>0</v>
      </c>
      <c r="M589" s="120" t="n">
        <v>-0.09180831902392028</v>
      </c>
      <c r="N589" t="n">
        <v>75.68893010838387</v>
      </c>
      <c r="O589" t="n">
        <v>0.6894904261293093</v>
      </c>
      <c r="P589" t="n">
        <v>106.3099496129378</v>
      </c>
      <c r="Q589" t="n">
        <v>106.1035908340452</v>
      </c>
    </row>
    <row r="590">
      <c r="A590" s="117" t="n">
        <v>45267</v>
      </c>
      <c r="B590" s="118" t="n">
        <v>107.931718107678</v>
      </c>
      <c r="C590" s="118" t="n">
        <v>109.7097704097771</v>
      </c>
      <c r="D590" s="118" t="n">
        <v>107.931718107678</v>
      </c>
      <c r="E590" s="118" t="n">
        <v>108.5842971801758</v>
      </c>
      <c r="F590" s="119" t="n">
        <v>7294500</v>
      </c>
      <c r="G590" s="120" t="n">
        <v>-0.01119622352123328</v>
      </c>
      <c r="H590" s="121" t="n">
        <v>68.25758142550744</v>
      </c>
      <c r="I590" s="118" t="n">
        <v>98.23377655029297</v>
      </c>
      <c r="J590" s="118" t="n">
        <v>103.2552881622315</v>
      </c>
      <c r="K590" s="120" t="n">
        <v>0.2151160138504068</v>
      </c>
      <c r="L590" s="120" t="n">
        <v>-0.01119622352123328</v>
      </c>
      <c r="M590" s="120" t="n">
        <v>-0.101976636084253</v>
      </c>
      <c r="N590" t="n">
        <v>69.87201967127781</v>
      </c>
      <c r="O590" t="n">
        <v>0.5887406710590417</v>
      </c>
      <c r="P590" t="n">
        <v>107.1211176345275</v>
      </c>
      <c r="Q590" t="n">
        <v>107.5860901701898</v>
      </c>
    </row>
    <row r="591">
      <c r="A591" s="117" t="n">
        <v>45268</v>
      </c>
      <c r="B591" s="118" t="n">
        <v>108.2911044724798</v>
      </c>
      <c r="C591" s="118" t="n">
        <v>109.9840405087174</v>
      </c>
      <c r="D591" s="118" t="n">
        <v>108.2627324118433</v>
      </c>
      <c r="E591" s="118" t="n">
        <v>109.6246490478516</v>
      </c>
      <c r="F591" s="119" t="n">
        <v>6122200</v>
      </c>
      <c r="G591" s="120" t="n">
        <v>0.009581052644743959</v>
      </c>
      <c r="H591" s="121" t="n">
        <v>68.91156090654813</v>
      </c>
      <c r="I591" s="118" t="n">
        <v>98.73656387329102</v>
      </c>
      <c r="J591" s="118" t="n">
        <v>103.2433752441406</v>
      </c>
      <c r="K591" s="120" t="n">
        <v>0.1956397715381463</v>
      </c>
      <c r="L591" s="120" t="n">
        <v>-0.001722442483468423</v>
      </c>
      <c r="M591" s="120" t="n">
        <v>-0.09337262695836623</v>
      </c>
      <c r="N591" t="n">
        <v>71.84385086900606</v>
      </c>
      <c r="O591" t="n">
        <v>0.5395081863264171</v>
      </c>
      <c r="P591" t="n">
        <v>107.5816504993142</v>
      </c>
      <c r="Q591" t="n">
        <v>108.0655697759024</v>
      </c>
    </row>
    <row r="592">
      <c r="A592" s="117" t="n">
        <v>45271</v>
      </c>
      <c r="B592" s="118" t="n">
        <v>111.4027112164764</v>
      </c>
      <c r="C592" s="118" t="n">
        <v>112.9443201127731</v>
      </c>
      <c r="D592" s="118" t="n">
        <v>111.0622320270627</v>
      </c>
      <c r="E592" s="118" t="n">
        <v>112.1782455444336</v>
      </c>
      <c r="F592" s="119" t="n">
        <v>7972800</v>
      </c>
      <c r="G592" s="120" t="n">
        <v>0.02329399928539222</v>
      </c>
      <c r="H592" s="121" t="n">
        <v>70.51678675706053</v>
      </c>
      <c r="I592" s="118" t="n">
        <v>99.17749969482422</v>
      </c>
      <c r="J592" s="118" t="n">
        <v>103.2531938934326</v>
      </c>
      <c r="K592" s="120" t="n">
        <v>0.200821776174614</v>
      </c>
      <c r="L592" s="120" t="n">
        <v>0</v>
      </c>
      <c r="M592" s="120" t="n">
        <v>-0.07225364957861735</v>
      </c>
      <c r="N592" t="n">
        <v>75.9965469073049</v>
      </c>
      <c r="O592" t="n">
        <v>0.6204886655020698</v>
      </c>
      <c r="P592" t="n">
        <v>108.0001000612988</v>
      </c>
      <c r="Q592" t="n">
        <v>108.9886790866582</v>
      </c>
    </row>
    <row r="593">
      <c r="A593" s="117" t="n">
        <v>45272</v>
      </c>
      <c r="B593" s="118" t="n">
        <v>113.1901908207041</v>
      </c>
      <c r="C593" s="118" t="n">
        <v>113.4833783434457</v>
      </c>
      <c r="D593" s="118" t="n">
        <v>112.1498412479204</v>
      </c>
      <c r="E593" s="118" t="n">
        <v>113.1523590087891</v>
      </c>
      <c r="F593" s="119" t="n">
        <v>7378400</v>
      </c>
      <c r="G593" s="120" t="n">
        <v>0.008683621852239032</v>
      </c>
      <c r="H593" s="121" t="n">
        <v>71.12912786749381</v>
      </c>
      <c r="I593" s="118" t="n">
        <v>99.65790100097657</v>
      </c>
      <c r="J593" s="118" t="n">
        <v>103.2655954742432</v>
      </c>
      <c r="K593" s="120" t="n">
        <v>0.1800958133355646</v>
      </c>
      <c r="L593" s="120" t="n">
        <v>0</v>
      </c>
      <c r="M593" s="120" t="n">
        <v>-0.06419745109676334</v>
      </c>
      <c r="N593" t="n">
        <v>77.36782380107843</v>
      </c>
      <c r="O593" t="n">
        <v>0.6766258409418615</v>
      </c>
      <c r="P593" t="n">
        <v>108.4933668435377</v>
      </c>
      <c r="Q593" t="n">
        <v>109.8566721654743</v>
      </c>
    </row>
    <row r="594">
      <c r="A594" s="117" t="n">
        <v>45273</v>
      </c>
      <c r="B594" s="118" t="n">
        <v>112.878110477193</v>
      </c>
      <c r="C594" s="118" t="n">
        <v>114.8547816270308</v>
      </c>
      <c r="D594" s="118" t="n">
        <v>112.7362429528832</v>
      </c>
      <c r="E594" s="118" t="n">
        <v>114.5994186401367</v>
      </c>
      <c r="F594" s="119" t="n">
        <v>8182900</v>
      </c>
      <c r="G594" s="120" t="n">
        <v>0.01278859445816116</v>
      </c>
      <c r="H594" s="121" t="n">
        <v>72.03876943795389</v>
      </c>
      <c r="I594" s="118" t="n">
        <v>100.157251739502</v>
      </c>
      <c r="J594" s="118" t="n">
        <v>103.2840185928345</v>
      </c>
      <c r="K594" s="120" t="n">
        <v>0.1790599824094566</v>
      </c>
      <c r="L594" s="120" t="n">
        <v>0</v>
      </c>
      <c r="M594" s="120" t="n">
        <v>-0.05222985180592632</v>
      </c>
      <c r="N594" t="n">
        <v>79.26303732335883</v>
      </c>
      <c r="O594" t="n">
        <v>0.7428890637260634</v>
      </c>
      <c r="P594" t="n">
        <v>109.9894898740698</v>
      </c>
      <c r="Q594" t="n">
        <v>111.2537674007867</v>
      </c>
    </row>
    <row r="595">
      <c r="A595" s="117" t="n">
        <v>45274</v>
      </c>
      <c r="B595" s="118" t="n">
        <v>114.854780556329</v>
      </c>
      <c r="C595" s="118" t="n">
        <v>115.9424147293072</v>
      </c>
      <c r="D595" s="118" t="n">
        <v>113.3226242962935</v>
      </c>
      <c r="E595" s="118" t="n">
        <v>114.4575500488281</v>
      </c>
      <c r="F595" s="119" t="n">
        <v>9590500</v>
      </c>
      <c r="G595" s="120" t="n">
        <v>-0.001237952103004036</v>
      </c>
      <c r="H595" s="121" t="n">
        <v>71.94958889183035</v>
      </c>
      <c r="I595" s="118" t="n">
        <v>100.6386836242676</v>
      </c>
      <c r="J595" s="118" t="n">
        <v>103.3027127838135</v>
      </c>
      <c r="K595" s="120" t="n">
        <v>0.1749578479154809</v>
      </c>
      <c r="L595" s="120" t="n">
        <v>-0.001237952103004147</v>
      </c>
      <c r="M595" s="120" t="n">
        <v>-0.0534031458540476</v>
      </c>
      <c r="N595" t="n">
        <v>78.56839027014173</v>
      </c>
      <c r="O595" t="n">
        <v>0.7089305875873455</v>
      </c>
      <c r="P595" t="n">
        <v>110.3424937386054</v>
      </c>
      <c r="Q595" t="n">
        <v>111.1573246746769</v>
      </c>
    </row>
    <row r="596">
      <c r="A596" s="117" t="n">
        <v>45275</v>
      </c>
      <c r="B596" s="118" t="n">
        <v>114.3724341325829</v>
      </c>
      <c r="C596" s="118" t="n">
        <v>115.4411560056533</v>
      </c>
      <c r="D596" s="118" t="n">
        <v>114.0603270244155</v>
      </c>
      <c r="E596" s="118" t="n">
        <v>114.9588165283203</v>
      </c>
      <c r="F596" s="119" t="n">
        <v>13633300</v>
      </c>
      <c r="G596" s="120" t="n">
        <v>0.004379496846458331</v>
      </c>
      <c r="H596" s="121" t="n">
        <v>72.2646918894861</v>
      </c>
      <c r="I596" s="118" t="n">
        <v>101.1320259094238</v>
      </c>
      <c r="J596" s="118" t="n">
        <v>103.3192447280884</v>
      </c>
      <c r="K596" s="120" t="n">
        <v>0.1725624636309559</v>
      </c>
      <c r="L596" s="120" t="n">
        <v>0</v>
      </c>
      <c r="M596" s="120" t="n">
        <v>-0.04925752791644811</v>
      </c>
      <c r="N596" t="n">
        <v>79.26001269195294</v>
      </c>
      <c r="O596" t="n">
        <v>0.6533628331403283</v>
      </c>
      <c r="P596" t="n">
        <v>110.160826400067</v>
      </c>
      <c r="Q596" t="n">
        <v>111.6946545371657</v>
      </c>
    </row>
    <row r="597">
      <c r="A597" s="117" t="n">
        <v>45278</v>
      </c>
      <c r="B597" s="118" t="n">
        <v>114.8264079050769</v>
      </c>
      <c r="C597" s="118" t="n">
        <v>115.2330837381727</v>
      </c>
      <c r="D597" s="118" t="n">
        <v>114.3062293953559</v>
      </c>
      <c r="E597" s="118" t="n">
        <v>114.571044921875</v>
      </c>
      <c r="F597" s="119" t="n">
        <v>6874800</v>
      </c>
      <c r="G597" s="120" t="n">
        <v>-0.003373134990040438</v>
      </c>
      <c r="H597" s="121" t="n">
        <v>72.02093332872919</v>
      </c>
      <c r="I597" s="118" t="n">
        <v>101.5927281188965</v>
      </c>
      <c r="J597" s="118" t="n">
        <v>103.3258786773682</v>
      </c>
      <c r="K597" s="120" t="n">
        <v>0.1571814503968244</v>
      </c>
      <c r="L597" s="120" t="n">
        <v>-0.003373134990040438</v>
      </c>
      <c r="M597" s="120" t="n">
        <v>-0.05246451061555057</v>
      </c>
      <c r="N597" t="n">
        <v>77.18491415961775</v>
      </c>
      <c r="O597" t="n">
        <v>0.5289382754525205</v>
      </c>
      <c r="P597" t="n">
        <v>110.7804759154448</v>
      </c>
      <c r="Q597" t="n">
        <v>112.3981874782348</v>
      </c>
    </row>
    <row r="598">
      <c r="A598" s="117" t="n">
        <v>45279</v>
      </c>
      <c r="B598" s="118" t="n">
        <v>115.1385024391097</v>
      </c>
      <c r="C598" s="118" t="n">
        <v>116.6517391028832</v>
      </c>
      <c r="D598" s="118" t="n">
        <v>115.0439265005642</v>
      </c>
      <c r="E598" s="118" t="n">
        <v>115.9897003173828</v>
      </c>
      <c r="F598" s="119" t="n">
        <v>7697300</v>
      </c>
      <c r="G598" s="120" t="n">
        <v>0.01238232047613064</v>
      </c>
      <c r="H598" s="121" t="n">
        <v>72.91271960619555</v>
      </c>
      <c r="I598" s="118" t="n">
        <v>102.0861395263672</v>
      </c>
      <c r="J598" s="118" t="n">
        <v>103.3432110595703</v>
      </c>
      <c r="K598" s="120" t="n">
        <v>0.1577364914380297</v>
      </c>
      <c r="L598" s="120" t="n">
        <v>0</v>
      </c>
      <c r="M598" s="120" t="n">
        <v>-0.04073182252348517</v>
      </c>
      <c r="N598" t="n">
        <v>79.3182421264875</v>
      </c>
      <c r="O598" t="n">
        <v>0.4819545421859766</v>
      </c>
      <c r="P598" t="n">
        <v>111.4541186846546</v>
      </c>
      <c r="Q598" t="n">
        <v>112.9724864828106</v>
      </c>
    </row>
    <row r="599">
      <c r="A599" s="117" t="n">
        <v>45280</v>
      </c>
      <c r="B599" s="118" t="n">
        <v>114.5615866071791</v>
      </c>
      <c r="C599" s="118" t="n">
        <v>116.6990375799592</v>
      </c>
      <c r="D599" s="118" t="n">
        <v>114.4386386013686</v>
      </c>
      <c r="E599" s="118" t="n">
        <v>114.8453216552734</v>
      </c>
      <c r="F599" s="119" t="n">
        <v>9176600</v>
      </c>
      <c r="G599" s="120" t="n">
        <v>-0.009866209318396435</v>
      </c>
      <c r="H599" s="121" t="n">
        <v>72.19334745258728</v>
      </c>
      <c r="I599" s="118" t="n">
        <v>102.5427127075195</v>
      </c>
      <c r="J599" s="118" t="n">
        <v>103.3575368881226</v>
      </c>
      <c r="K599" s="120" t="n">
        <v>0.1684314186474266</v>
      </c>
      <c r="L599" s="120" t="n">
        <v>-0.009866209318396435</v>
      </c>
      <c r="M599" s="120" t="n">
        <v>-0.05019616315494513</v>
      </c>
      <c r="N599" t="n">
        <v>73.35931203804495</v>
      </c>
      <c r="O599" t="n">
        <v>0.321306864590146</v>
      </c>
      <c r="P599" t="n">
        <v>109.9096695888848</v>
      </c>
      <c r="Q599" t="n">
        <v>111.2937439701939</v>
      </c>
    </row>
    <row r="600">
      <c r="A600" s="117" t="n">
        <v>45281</v>
      </c>
      <c r="B600" s="118" t="n">
        <v>115.6681495691518</v>
      </c>
      <c r="C600" s="118" t="n">
        <v>116.6139234586275</v>
      </c>
      <c r="D600" s="118" t="n">
        <v>114.7223756796761</v>
      </c>
      <c r="E600" s="118" t="n">
        <v>115.8856735229492</v>
      </c>
      <c r="F600" s="119" t="n">
        <v>16533300</v>
      </c>
      <c r="G600" s="120" t="n">
        <v>0.009058722224650761</v>
      </c>
      <c r="H600" s="121" t="n">
        <v>72.84732693362797</v>
      </c>
      <c r="I600" s="118" t="n">
        <v>103.0006755065918</v>
      </c>
      <c r="J600" s="118" t="n">
        <v>103.3758003997803</v>
      </c>
      <c r="K600" s="120" t="n">
        <v>0.1671480407750253</v>
      </c>
      <c r="L600" s="120" t="n">
        <v>-0.0008968623433712741</v>
      </c>
      <c r="M600" s="120" t="n">
        <v>-0.04159215402905836</v>
      </c>
      <c r="N600" t="n">
        <v>75.18452281127126</v>
      </c>
      <c r="O600" t="n">
        <v>0.2365303205864087</v>
      </c>
      <c r="P600" t="n">
        <v>110.9518345788975</v>
      </c>
      <c r="Q600" t="n">
        <v>112.5886977463777</v>
      </c>
    </row>
    <row r="601">
      <c r="A601" s="117" t="n">
        <v>45282</v>
      </c>
      <c r="B601" s="118" t="n">
        <v>102.3894831530694</v>
      </c>
      <c r="C601" s="118" t="n">
        <v>104.7917496948888</v>
      </c>
      <c r="D601" s="118" t="n">
        <v>101.6234013969924</v>
      </c>
      <c r="E601" s="118" t="n">
        <v>102.1814117431641</v>
      </c>
      <c r="F601" s="119" t="n">
        <v>46666200</v>
      </c>
      <c r="G601" s="120" t="n">
        <v>-0.1182567384144448</v>
      </c>
      <c r="H601" s="121" t="n">
        <v>64.23263964824638</v>
      </c>
      <c r="I601" s="118" t="n">
        <v>103.1732418823242</v>
      </c>
      <c r="J601" s="118" t="n">
        <v>103.3348594284058</v>
      </c>
      <c r="K601" s="120" t="n">
        <v>0.4740003433540959</v>
      </c>
      <c r="L601" s="120" t="n">
        <v>-0.1190475407422824</v>
      </c>
      <c r="M601" s="120" t="n">
        <v>-0.1549303399643954</v>
      </c>
      <c r="N601" t="n">
        <v>38.1276959811676</v>
      </c>
      <c r="O601" t="n">
        <v>-0.7377534375474193</v>
      </c>
      <c r="P601" t="n">
        <v>111.1748030301456</v>
      </c>
      <c r="Q601" t="n">
        <v>112.7571307639653</v>
      </c>
    </row>
    <row r="602">
      <c r="A602" s="117" t="n">
        <v>45286</v>
      </c>
      <c r="B602" s="118" t="n">
        <v>102.4273212401799</v>
      </c>
      <c r="C602" s="118" t="n">
        <v>102.7961725018729</v>
      </c>
      <c r="D602" s="118" t="n">
        <v>101.6517868930713</v>
      </c>
      <c r="E602" s="118" t="n">
        <v>102.1624984741211</v>
      </c>
      <c r="F602" s="119" t="n">
        <v>12846700</v>
      </c>
      <c r="G602" s="120" t="n">
        <v>-0.0001850950062278756</v>
      </c>
      <c r="H602" s="121" t="n">
        <v>64.22075050741066</v>
      </c>
      <c r="I602" s="118" t="n">
        <v>103.3329875183105</v>
      </c>
      <c r="J602" s="118" t="n">
        <v>103.2956029891968</v>
      </c>
      <c r="K602" s="120" t="n">
        <v>0.4739414655436998</v>
      </c>
      <c r="L602" s="120" t="n">
        <v>-0.1192106006432151</v>
      </c>
      <c r="M602" s="120" t="n">
        <v>-0.1550867581383827</v>
      </c>
      <c r="N602" t="n">
        <v>38.09978610203376</v>
      </c>
      <c r="O602" t="n">
        <v>-1.343441060548168</v>
      </c>
      <c r="P602" t="n">
        <v>111.6442425311733</v>
      </c>
      <c r="Q602" t="n">
        <v>113.4474036845771</v>
      </c>
    </row>
    <row r="603">
      <c r="A603" s="117" t="n">
        <v>45287</v>
      </c>
      <c r="B603" s="118" t="n">
        <v>102.465140554562</v>
      </c>
      <c r="C603" s="118" t="n">
        <v>102.7015840288515</v>
      </c>
      <c r="D603" s="118" t="n">
        <v>101.0559394681877</v>
      </c>
      <c r="E603" s="118" t="n">
        <v>101.3207550048828</v>
      </c>
      <c r="F603" s="119" t="n">
        <v>10157900</v>
      </c>
      <c r="G603" s="120" t="n">
        <v>-0.008239260803234005</v>
      </c>
      <c r="H603" s="121" t="n">
        <v>63.69161899500067</v>
      </c>
      <c r="I603" s="118" t="n">
        <v>103.4357438659668</v>
      </c>
      <c r="J603" s="118" t="n">
        <v>103.2550873947144</v>
      </c>
      <c r="K603" s="120" t="n">
        <v>0.4742551247087822</v>
      </c>
      <c r="L603" s="120" t="n">
        <v>-0.1264676542172395</v>
      </c>
      <c r="M603" s="120" t="n">
        <v>-0.1620482186941865</v>
      </c>
      <c r="N603" t="n">
        <v>36.80838258044375</v>
      </c>
      <c r="O603" t="n">
        <v>-1.735797748060175</v>
      </c>
      <c r="P603" t="n">
        <v>111.8461066082299</v>
      </c>
      <c r="Q603" t="n">
        <v>113.6783433449907</v>
      </c>
    </row>
    <row r="604">
      <c r="A604" s="117" t="n">
        <v>45288</v>
      </c>
      <c r="B604" s="118" t="n">
        <v>101.3964091211794</v>
      </c>
      <c r="C604" s="118" t="n">
        <v>103.4676560703585</v>
      </c>
      <c r="D604" s="118" t="n">
        <v>101.018098154726</v>
      </c>
      <c r="E604" s="118" t="n">
        <v>102.9191055297852</v>
      </c>
      <c r="F604" s="119" t="n">
        <v>9352900</v>
      </c>
      <c r="G604" s="120" t="n">
        <v>0.01577515411156694</v>
      </c>
      <c r="H604" s="121" t="n">
        <v>64.69636410026202</v>
      </c>
      <c r="I604" s="118" t="n">
        <v>103.5521803283691</v>
      </c>
      <c r="J604" s="118" t="n">
        <v>103.2125444030762</v>
      </c>
      <c r="K604" s="120" t="n">
        <v>0.4746344453087653</v>
      </c>
      <c r="L604" s="120" t="n">
        <v>-0.1126875468410778</v>
      </c>
      <c r="M604" s="120" t="n">
        <v>-0.1488294002060253</v>
      </c>
      <c r="N604" t="n">
        <v>40.90448587488727</v>
      </c>
      <c r="O604" t="n">
        <v>-1.814197419831586</v>
      </c>
      <c r="P604" t="n">
        <v>111.8883596315237</v>
      </c>
      <c r="Q604" t="n">
        <v>113.6230989556369</v>
      </c>
    </row>
    <row r="605">
      <c r="A605" s="117" t="n">
        <v>45289</v>
      </c>
      <c r="B605" s="118" t="n">
        <v>103.0515218318305</v>
      </c>
      <c r="C605" s="118" t="n">
        <v>103.9972957185569</v>
      </c>
      <c r="D605" s="118" t="n">
        <v>102.2286959527329</v>
      </c>
      <c r="E605" s="118" t="n">
        <v>102.6826705932617</v>
      </c>
      <c r="F605" s="119" t="n">
        <v>7667500</v>
      </c>
      <c r="G605" s="120" t="n">
        <v>-0.002297289072872966</v>
      </c>
      <c r="H605" s="121" t="n">
        <v>64.54773784995987</v>
      </c>
      <c r="I605" s="118" t="n">
        <v>103.6495608520508</v>
      </c>
      <c r="J605" s="118" t="n">
        <v>103.1727052688599</v>
      </c>
      <c r="K605" s="120" t="n">
        <v>0.4746920450041336</v>
      </c>
      <c r="L605" s="120" t="n">
        <v>-0.114725960043944</v>
      </c>
      <c r="M605" s="120" t="n">
        <v>-0.1507847851240827</v>
      </c>
      <c r="N605" t="n">
        <v>40.48641962768367</v>
      </c>
      <c r="O605" t="n">
        <v>-1.804661875011993</v>
      </c>
      <c r="P605" t="n">
        <v>111.5644370042919</v>
      </c>
      <c r="Q605" t="n">
        <v>113.1313589572978</v>
      </c>
    </row>
    <row r="606">
      <c r="A606" s="117" t="n">
        <v>45293</v>
      </c>
      <c r="B606" s="118" t="n">
        <v>101.774711754378</v>
      </c>
      <c r="C606" s="118" t="n">
        <v>102.0016954293921</v>
      </c>
      <c r="D606" s="118" t="n">
        <v>100.6776107630613</v>
      </c>
      <c r="E606" s="118" t="n">
        <v>100.7721939086914</v>
      </c>
      <c r="F606" s="119" t="n">
        <v>9326600</v>
      </c>
      <c r="G606" s="120" t="n">
        <v>-0.01860563884375332</v>
      </c>
      <c r="H606" s="121" t="n">
        <v>63.34678595134226</v>
      </c>
      <c r="I606" s="118" t="n">
        <v>103.7223051452637</v>
      </c>
      <c r="J606" s="118" t="n">
        <v>103.1117027664185</v>
      </c>
      <c r="K606" s="120" t="n">
        <v>0.4624960420621426</v>
      </c>
      <c r="L606" s="120" t="n">
        <v>-0.1311970491091168</v>
      </c>
      <c r="M606" s="120" t="n">
        <v>-0.1665849767126844</v>
      </c>
      <c r="N606" t="n">
        <v>37.17971782400797</v>
      </c>
      <c r="O606" t="n">
        <v>-1.843230353072424</v>
      </c>
      <c r="P606" t="n">
        <v>110.9400943483595</v>
      </c>
      <c r="Q606" t="n">
        <v>111.216926416114</v>
      </c>
    </row>
    <row r="607">
      <c r="A607" s="117" t="n">
        <v>45294</v>
      </c>
      <c r="B607" s="118" t="n">
        <v>99.98722359073679</v>
      </c>
      <c r="C607" s="118" t="n">
        <v>101.65178777049</v>
      </c>
      <c r="D607" s="118" t="n">
        <v>98.3604912350328</v>
      </c>
      <c r="E607" s="118" t="n">
        <v>98.39832305908203</v>
      </c>
      <c r="F607" s="119" t="n">
        <v>10573700</v>
      </c>
      <c r="G607" s="120" t="n">
        <v>-0.02355680428829721</v>
      </c>
      <c r="H607" s="121" t="n">
        <v>61.85453811239383</v>
      </c>
      <c r="I607" s="118" t="n">
        <v>103.7547360229492</v>
      </c>
      <c r="J607" s="118" t="n">
        <v>103.0400481414795</v>
      </c>
      <c r="K607" s="120" t="n">
        <v>0.4633181016571046</v>
      </c>
      <c r="L607" s="120" t="n">
        <v>-0.1516632701883484</v>
      </c>
      <c r="M607" s="120" t="n">
        <v>-0.1862175713071903</v>
      </c>
      <c r="N607" t="n">
        <v>33.51663986174692</v>
      </c>
      <c r="O607" t="n">
        <v>-1.935299315610675</v>
      </c>
      <c r="P607" t="n">
        <v>110.0340673301855</v>
      </c>
      <c r="Q607" t="n">
        <v>110.0400996005249</v>
      </c>
    </row>
    <row r="608">
      <c r="A608" s="117" t="n">
        <v>45295</v>
      </c>
      <c r="B608" s="118" t="n">
        <v>96.90399035591457</v>
      </c>
      <c r="C608" s="118" t="n">
        <v>98.00109151432076</v>
      </c>
      <c r="D608" s="118" t="n">
        <v>96.75267028808594</v>
      </c>
      <c r="E608" s="118" t="n">
        <v>96.75267028808594</v>
      </c>
      <c r="F608" s="119" t="n">
        <v>10420600</v>
      </c>
      <c r="G608" s="120" t="n">
        <v>-0.01672439854496288</v>
      </c>
      <c r="H608" s="121" t="n">
        <v>60.82005816518756</v>
      </c>
      <c r="I608" s="118" t="n">
        <v>103.7516143798828</v>
      </c>
      <c r="J608" s="118" t="n">
        <v>102.9563729858398</v>
      </c>
      <c r="K608" s="120" t="n">
        <v>0.4644747927911309</v>
      </c>
      <c r="L608" s="120" t="n">
        <v>-0.1658511917580489</v>
      </c>
      <c r="M608" s="120" t="n">
        <v>-0.1998275929735366</v>
      </c>
      <c r="N608" t="n">
        <v>31.22026660111064</v>
      </c>
      <c r="O608" t="n">
        <v>-2.005190823052041</v>
      </c>
      <c r="P608" t="n">
        <v>109.6796392893495</v>
      </c>
      <c r="Q608" t="n">
        <v>109.4737719871133</v>
      </c>
    </row>
    <row r="609">
      <c r="A609" s="117" t="n">
        <v>45296</v>
      </c>
      <c r="B609" s="118" t="n">
        <v>96.90398526697639</v>
      </c>
      <c r="C609" s="118" t="n">
        <v>98.05783048826358</v>
      </c>
      <c r="D609" s="118" t="n">
        <v>96.37435423386685</v>
      </c>
      <c r="E609" s="118" t="n">
        <v>96.54459381103516</v>
      </c>
      <c r="F609" s="119" t="n">
        <v>8044500</v>
      </c>
      <c r="G609" s="120" t="n">
        <v>-0.002150601905159033</v>
      </c>
      <c r="H609" s="121" t="n">
        <v>60.68925843222562</v>
      </c>
      <c r="I609" s="118" t="n">
        <v>103.6996520996094</v>
      </c>
      <c r="J609" s="118" t="n">
        <v>102.8510105514526</v>
      </c>
      <c r="K609" s="120" t="n">
        <v>0.4626555624282882</v>
      </c>
      <c r="L609" s="120" t="n">
        <v>-0.1676451137742403</v>
      </c>
      <c r="M609" s="120" t="n">
        <v>-0.2015484452765434</v>
      </c>
      <c r="N609" t="n">
        <v>30.93169394496947</v>
      </c>
      <c r="O609" t="n">
        <v>-1.961205106843677</v>
      </c>
      <c r="P609" t="n">
        <v>109.8298714411552</v>
      </c>
      <c r="Q609" t="n">
        <v>109.6036039915397</v>
      </c>
    </row>
    <row r="610">
      <c r="A610" s="117" t="n">
        <v>45299</v>
      </c>
      <c r="B610" s="118" t="n">
        <v>96.5445908617836</v>
      </c>
      <c r="C610" s="118" t="n">
        <v>98.06728725113973</v>
      </c>
      <c r="D610" s="118" t="n">
        <v>96.21357147620215</v>
      </c>
      <c r="E610" s="118" t="n">
        <v>98.00108337402344</v>
      </c>
      <c r="F610" s="119" t="n">
        <v>9414200</v>
      </c>
      <c r="G610" s="120" t="n">
        <v>0.01508618458573707</v>
      </c>
      <c r="H610" s="121" t="n">
        <v>61.60482778730568</v>
      </c>
      <c r="I610" s="118" t="n">
        <v>103.7077368164063</v>
      </c>
      <c r="J610" s="118" t="n">
        <v>102.7815364837647</v>
      </c>
      <c r="K610" s="120" t="n">
        <v>0.4681049966861814</v>
      </c>
      <c r="L610" s="120" t="n">
        <v>-0.1550880543197982</v>
      </c>
      <c r="M610" s="120" t="n">
        <v>-0.1895028577392166</v>
      </c>
      <c r="N610" t="n">
        <v>35.43067234256451</v>
      </c>
      <c r="O610" t="n">
        <v>-1.737450457851672</v>
      </c>
      <c r="P610" t="n">
        <v>111.3977936188492</v>
      </c>
      <c r="Q610" t="n">
        <v>111.8688888137034</v>
      </c>
    </row>
    <row r="611">
      <c r="A611" s="117" t="n">
        <v>45300</v>
      </c>
      <c r="B611" s="118" t="n">
        <v>97.57550636965958</v>
      </c>
      <c r="C611" s="118" t="n">
        <v>97.79303757463998</v>
      </c>
      <c r="D611" s="118" t="n">
        <v>96.94183949206084</v>
      </c>
      <c r="E611" s="118" t="n">
        <v>97.1688232421875</v>
      </c>
      <c r="F611" s="119" t="n">
        <v>7759500</v>
      </c>
      <c r="G611" s="120" t="n">
        <v>-0.008492356443240534</v>
      </c>
      <c r="H611" s="121" t="n">
        <v>61.08165763111143</v>
      </c>
      <c r="I611" s="118" t="n">
        <v>103.7655354309082</v>
      </c>
      <c r="J611" s="118" t="n">
        <v>102.7010188674927</v>
      </c>
      <c r="K611" s="120" t="n">
        <v>0.4651927205994061</v>
      </c>
      <c r="L611" s="120" t="n">
        <v>-0.1622633477256663</v>
      </c>
      <c r="M611" s="120" t="n">
        <v>-0.196385888367523</v>
      </c>
      <c r="N611" t="n">
        <v>34.06520140402695</v>
      </c>
      <c r="O611" t="n">
        <v>-1.554852370474583</v>
      </c>
      <c r="P611" t="n">
        <v>111.2287962839774</v>
      </c>
      <c r="Q611" t="n">
        <v>112.0898920026016</v>
      </c>
    </row>
    <row r="612">
      <c r="A612" s="117" t="n">
        <v>45301</v>
      </c>
      <c r="B612" s="118" t="n">
        <v>97.12152166288196</v>
      </c>
      <c r="C612" s="118" t="n">
        <v>98.19970330457184</v>
      </c>
      <c r="D612" s="118" t="n">
        <v>96.81887431110378</v>
      </c>
      <c r="E612" s="118" t="n">
        <v>98.14295196533203</v>
      </c>
      <c r="F612" s="119" t="n">
        <v>6784700</v>
      </c>
      <c r="G612" s="120" t="n">
        <v>0.01002511598516098</v>
      </c>
      <c r="H612" s="121" t="n">
        <v>61.69400833342922</v>
      </c>
      <c r="I612" s="118" t="n">
        <v>103.8812747192383</v>
      </c>
      <c r="J612" s="118" t="n">
        <v>102.6265892410278</v>
      </c>
      <c r="K612" s="120" t="n">
        <v>0.456575133285483</v>
      </c>
      <c r="L612" s="120" t="n">
        <v>-0.1538649406215957</v>
      </c>
      <c r="M612" s="120" t="n">
        <v>-0.1883295636910953</v>
      </c>
      <c r="N612" t="n">
        <v>37.11983203512566</v>
      </c>
      <c r="O612" t="n">
        <v>-1.288799172314241</v>
      </c>
      <c r="P612" t="n">
        <v>111.8578320804642</v>
      </c>
      <c r="Q612" t="n">
        <v>112.8495835225793</v>
      </c>
    </row>
    <row r="613">
      <c r="A613" s="117" t="n">
        <v>45302</v>
      </c>
      <c r="B613" s="118" t="n">
        <v>98.56855503557631</v>
      </c>
      <c r="C613" s="118" t="n">
        <v>100.2614911485039</v>
      </c>
      <c r="D613" s="118" t="n">
        <v>98.10512785426202</v>
      </c>
      <c r="E613" s="118" t="n">
        <v>100.1574554443359</v>
      </c>
      <c r="F613" s="119" t="n">
        <v>9537700</v>
      </c>
      <c r="G613" s="120" t="n">
        <v>0.02052621648995756</v>
      </c>
      <c r="H613" s="121" t="n">
        <v>62.96035290461444</v>
      </c>
      <c r="I613" s="118" t="n">
        <v>103.9652893066406</v>
      </c>
      <c r="J613" s="118" t="n">
        <v>102.5758094406128</v>
      </c>
      <c r="K613" s="120" t="n">
        <v>0.4635905264576924</v>
      </c>
      <c r="L613" s="120" t="n">
        <v>-0.1364969892130513</v>
      </c>
      <c r="M613" s="120" t="n">
        <v>-0.1716690405969206</v>
      </c>
      <c r="N613" t="n">
        <v>43.00080394101088</v>
      </c>
      <c r="O613" t="n">
        <v>-0.9150531553639656</v>
      </c>
      <c r="P613" t="n">
        <v>111.8085467254905</v>
      </c>
      <c r="Q613" t="n">
        <v>113.0844106245574</v>
      </c>
    </row>
    <row r="614">
      <c r="A614" s="117" t="n">
        <v>45303</v>
      </c>
      <c r="B614" s="118" t="n">
        <v>100.2520286957032</v>
      </c>
      <c r="C614" s="118" t="n">
        <v>100.5546760408743</v>
      </c>
      <c r="D614" s="118" t="n">
        <v>99.04143931501891</v>
      </c>
      <c r="E614" s="118" t="n">
        <v>99.36299896240234</v>
      </c>
      <c r="F614" s="119" t="n">
        <v>6680900</v>
      </c>
      <c r="G614" s="120" t="n">
        <v>-0.00793207533487239</v>
      </c>
      <c r="H614" s="121" t="n">
        <v>62.46094664226488</v>
      </c>
      <c r="I614" s="118" t="n">
        <v>104.0151284790039</v>
      </c>
      <c r="J614" s="118" t="n">
        <v>102.5207764053345</v>
      </c>
      <c r="K614" s="120" t="n">
        <v>0.4584673283499078</v>
      </c>
      <c r="L614" s="120" t="n">
        <v>-0.1433463601465026</v>
      </c>
      <c r="M614" s="120" t="n">
        <v>-0.1782394241691129</v>
      </c>
      <c r="N614" t="n">
        <v>41.35801462956097</v>
      </c>
      <c r="O614" t="n">
        <v>-0.6705754209743886</v>
      </c>
      <c r="P614" t="n">
        <v>111.8860056820947</v>
      </c>
      <c r="Q614" t="n">
        <v>113.1424232140582</v>
      </c>
    </row>
    <row r="615">
      <c r="A615" s="117" t="n">
        <v>45307</v>
      </c>
      <c r="B615" s="118" t="n">
        <v>98.30374371094884</v>
      </c>
      <c r="C615" s="118" t="n">
        <v>98.56855925446294</v>
      </c>
      <c r="D615" s="118" t="n">
        <v>95.86364526168477</v>
      </c>
      <c r="E615" s="118" t="n">
        <v>96.20412445068359</v>
      </c>
      <c r="F615" s="119" t="n">
        <v>10547900</v>
      </c>
      <c r="G615" s="120" t="n">
        <v>-0.03179125574615582</v>
      </c>
      <c r="H615" s="121" t="n">
        <v>60.47523471341365</v>
      </c>
      <c r="I615" s="118" t="n">
        <v>104.037420501709</v>
      </c>
      <c r="J615" s="118" t="n">
        <v>102.4376825332642</v>
      </c>
      <c r="K615" s="120" t="n">
        <v>0.4664122964490058</v>
      </c>
      <c r="L615" s="120" t="n">
        <v>-0.1705804550969604</v>
      </c>
      <c r="M615" s="120" t="n">
        <v>-0.2043642247974609</v>
      </c>
      <c r="N615" t="n">
        <v>35.54351195585062</v>
      </c>
      <c r="O615" t="n">
        <v>-0.6692997264894653</v>
      </c>
      <c r="P615" t="n">
        <v>111.4752525754533</v>
      </c>
      <c r="Q615" t="n">
        <v>113.1313589572977</v>
      </c>
    </row>
    <row r="616">
      <c r="A616" s="117" t="n">
        <v>45308</v>
      </c>
      <c r="B616" s="118" t="n">
        <v>95.5704593423095</v>
      </c>
      <c r="C616" s="118" t="n">
        <v>95.81635537095248</v>
      </c>
      <c r="D616" s="118" t="n">
        <v>94.80437754569597</v>
      </c>
      <c r="E616" s="118" t="n">
        <v>95.35292816162109</v>
      </c>
      <c r="F616" s="119" t="n">
        <v>8226200</v>
      </c>
      <c r="G616" s="120" t="n">
        <v>-0.008847814934367371</v>
      </c>
      <c r="H616" s="121" t="n">
        <v>59.94016102855694</v>
      </c>
      <c r="I616" s="118" t="n">
        <v>103.9635101318359</v>
      </c>
      <c r="J616" s="118" t="n">
        <v>102.3521587371826</v>
      </c>
      <c r="K616" s="120" t="n">
        <v>0.4640333911977816</v>
      </c>
      <c r="L616" s="120" t="n">
        <v>-0.1779190057332096</v>
      </c>
      <c r="M616" s="120" t="n">
        <v>-0.2114038628916148</v>
      </c>
      <c r="N616" t="n">
        <v>34.15026223013265</v>
      </c>
      <c r="O616" t="n">
        <v>-0.6717291305482793</v>
      </c>
      <c r="P616" t="n">
        <v>110.8555883017718</v>
      </c>
      <c r="Q616" t="n">
        <v>112.4932204727882</v>
      </c>
    </row>
    <row r="617">
      <c r="A617" s="117" t="n">
        <v>45309</v>
      </c>
      <c r="B617" s="118" t="n">
        <v>95.52315952765781</v>
      </c>
      <c r="C617" s="118" t="n">
        <v>95.92984257467016</v>
      </c>
      <c r="D617" s="118" t="n">
        <v>94.64358955229071</v>
      </c>
      <c r="E617" s="118" t="n">
        <v>95.46641540527344</v>
      </c>
      <c r="F617" s="119" t="n">
        <v>8852400</v>
      </c>
      <c r="G617" s="120" t="n">
        <v>0.001190181002726831</v>
      </c>
      <c r="H617" s="121" t="n">
        <v>60.01150066951352</v>
      </c>
      <c r="I617" s="118" t="n">
        <v>103.8545422363281</v>
      </c>
      <c r="J617" s="118" t="n">
        <v>102.2553104400635</v>
      </c>
      <c r="K617" s="120" t="n">
        <v>0.4650324140923554</v>
      </c>
      <c r="L617" s="120" t="n">
        <v>-0.1769405805511305</v>
      </c>
      <c r="M617" s="120" t="n">
        <v>-0.2104652907504047</v>
      </c>
      <c r="N617" t="n">
        <v>34.51880444308867</v>
      </c>
      <c r="O617" t="n">
        <v>-0.6132586092728789</v>
      </c>
      <c r="P617" t="n">
        <v>111.8413987093718</v>
      </c>
      <c r="Q617" t="n">
        <v>114.0899764156184</v>
      </c>
    </row>
    <row r="618">
      <c r="A618" s="117" t="n">
        <v>45310</v>
      </c>
      <c r="B618" s="118" t="n">
        <v>95.542074089324</v>
      </c>
      <c r="C618" s="118" t="n">
        <v>96.63917525257918</v>
      </c>
      <c r="D618" s="118" t="n">
        <v>94.26528079570826</v>
      </c>
      <c r="E618" s="118" t="n">
        <v>96.2608642578125</v>
      </c>
      <c r="F618" s="119" t="n">
        <v>8517200</v>
      </c>
      <c r="G618" s="120" t="n">
        <v>0.0083217626760832</v>
      </c>
      <c r="H618" s="121" t="n">
        <v>60.51090213592082</v>
      </c>
      <c r="I618" s="118" t="n">
        <v>103.7578819274902</v>
      </c>
      <c r="J618" s="118" t="n">
        <v>102.1669757461548</v>
      </c>
      <c r="K618" s="120" t="n">
        <v>0.4628152985759735</v>
      </c>
      <c r="L618" s="120" t="n">
        <v>-0.1700912753941621</v>
      </c>
      <c r="M618" s="120" t="n">
        <v>-0.2038949702754992</v>
      </c>
      <c r="N618" t="n">
        <v>37.16977779685133</v>
      </c>
      <c r="O618" t="n">
        <v>-0.4748271965201551</v>
      </c>
      <c r="P618" t="n">
        <v>113.235652549095</v>
      </c>
      <c r="Q618" t="n">
        <v>116.3524759499798</v>
      </c>
    </row>
    <row r="619">
      <c r="A619" s="117" t="n">
        <v>45313</v>
      </c>
      <c r="B619" s="118" t="n">
        <v>96.23249072500494</v>
      </c>
      <c r="C619" s="118" t="n">
        <v>96.28923484786387</v>
      </c>
      <c r="D619" s="118" t="n">
        <v>94.6625026462097</v>
      </c>
      <c r="E619" s="118" t="n">
        <v>95.10701751708984</v>
      </c>
      <c r="F619" s="119" t="n">
        <v>9897400</v>
      </c>
      <c r="G619" s="120" t="n">
        <v>-0.01198666508574397</v>
      </c>
      <c r="H619" s="121" t="n">
        <v>59.7855782179813</v>
      </c>
      <c r="I619" s="118" t="n">
        <v>103.5983665466309</v>
      </c>
      <c r="J619" s="118" t="n">
        <v>102.0634144592285</v>
      </c>
      <c r="K619" s="120" t="n">
        <v>0.4629383547629582</v>
      </c>
      <c r="L619" s="120" t="n">
        <v>-0.1800391133277492</v>
      </c>
      <c r="M619" s="120" t="n">
        <v>-0.213437614639883</v>
      </c>
      <c r="N619" t="n">
        <v>34.95627162844042</v>
      </c>
      <c r="O619" t="n">
        <v>-0.4167880954525818</v>
      </c>
      <c r="P619" t="n">
        <v>113.4750617505874</v>
      </c>
      <c r="Q619" t="n">
        <v>116.5044279240995</v>
      </c>
    </row>
    <row r="620">
      <c r="A620" s="117" t="n">
        <v>45314</v>
      </c>
      <c r="B620" s="118" t="n">
        <v>96.11898853511161</v>
      </c>
      <c r="C620" s="118" t="n">
        <v>96.60133519269326</v>
      </c>
      <c r="D620" s="118" t="n">
        <v>95.74068478829139</v>
      </c>
      <c r="E620" s="118" t="n">
        <v>96.37435150146484</v>
      </c>
      <c r="F620" s="119" t="n">
        <v>8208000</v>
      </c>
      <c r="G620" s="120" t="n">
        <v>0.01332534672478047</v>
      </c>
      <c r="H620" s="121" t="n">
        <v>60.58224177687739</v>
      </c>
      <c r="I620" s="118" t="n">
        <v>103.4636323547363</v>
      </c>
      <c r="J620" s="118" t="n">
        <v>101.979252243042</v>
      </c>
      <c r="K620" s="120" t="n">
        <v>0.4653815075908534</v>
      </c>
      <c r="L620" s="120" t="n">
        <v>-0.1691128502120831</v>
      </c>
      <c r="M620" s="120" t="n">
        <v>-0.2029563981342889</v>
      </c>
      <c r="N620" t="n">
        <v>39.23644704481375</v>
      </c>
      <c r="O620" t="n">
        <v>-0.2567158015411968</v>
      </c>
      <c r="P620" t="n">
        <v>113.8060167094992</v>
      </c>
      <c r="Q620" t="n">
        <v>116.9878633219975</v>
      </c>
    </row>
    <row r="621">
      <c r="A621" s="117" t="n">
        <v>45315</v>
      </c>
      <c r="B621" s="118" t="n">
        <v>96.26085922704394</v>
      </c>
      <c r="C621" s="118" t="n">
        <v>96.27977874441864</v>
      </c>
      <c r="D621" s="118" t="n">
        <v>95.22996921625504</v>
      </c>
      <c r="E621" s="118" t="n">
        <v>95.29617309570312</v>
      </c>
      <c r="F621" s="119" t="n">
        <v>7879300</v>
      </c>
      <c r="G621" s="120" t="n">
        <v>-0.01118739985239048</v>
      </c>
      <c r="H621" s="121" t="n">
        <v>59.90448401416526</v>
      </c>
      <c r="I621" s="118" t="n">
        <v>103.3523907470703</v>
      </c>
      <c r="J621" s="118" t="n">
        <v>101.8928827285767</v>
      </c>
      <c r="K621" s="120" t="n">
        <v>0.2235668308501268</v>
      </c>
      <c r="L621" s="120" t="n">
        <v>-0.1784083169889736</v>
      </c>
      <c r="M621" s="120" t="n">
        <v>-0.2118732436081502</v>
      </c>
      <c r="N621" t="n">
        <v>37.00541575886944</v>
      </c>
      <c r="O621" t="n">
        <v>-0.1901823471744413</v>
      </c>
      <c r="P621" t="n">
        <v>113.930407071648</v>
      </c>
      <c r="Q621" t="n">
        <v>117.6370575194399</v>
      </c>
    </row>
    <row r="622">
      <c r="A622" s="117" t="n">
        <v>45316</v>
      </c>
      <c r="B622" s="118" t="n">
        <v>96.02441604853828</v>
      </c>
      <c r="C622" s="118" t="n">
        <v>96.22302768745941</v>
      </c>
      <c r="D622" s="118" t="n">
        <v>94.66249942087158</v>
      </c>
      <c r="E622" s="118" t="n">
        <v>95.30562591552734</v>
      </c>
      <c r="F622" s="119" t="n">
        <v>10063700</v>
      </c>
      <c r="G622" s="120" t="n">
        <v>9.919411784475862e-05</v>
      </c>
      <c r="H622" s="121" t="n">
        <v>59.91042618661199</v>
      </c>
      <c r="I622" s="118" t="n">
        <v>103.258116607666</v>
      </c>
      <c r="J622" s="118" t="n">
        <v>101.7986482620239</v>
      </c>
      <c r="K622" s="120" t="n">
        <v>0.2236231086896936</v>
      </c>
      <c r="L622" s="120" t="n">
        <v>-0.1783268199267489</v>
      </c>
      <c r="M622" s="120" t="n">
        <v>-0.2117950660698</v>
      </c>
      <c r="N622" t="n">
        <v>37.03921769183636</v>
      </c>
      <c r="O622" t="n">
        <v>-0.1159214709538436</v>
      </c>
      <c r="P622" t="n">
        <v>114.5500713453295</v>
      </c>
      <c r="Q622" t="n">
        <v>117.7807219807738</v>
      </c>
    </row>
    <row r="623">
      <c r="A623" s="117" t="n">
        <v>45317</v>
      </c>
      <c r="B623" s="118" t="n">
        <v>96.06225493960558</v>
      </c>
      <c r="C623" s="118" t="n">
        <v>97.67006768676771</v>
      </c>
      <c r="D623" s="118" t="n">
        <v>95.73123551703482</v>
      </c>
      <c r="E623" s="118" t="n">
        <v>97.17826843261719</v>
      </c>
      <c r="F623" s="119" t="n">
        <v>9735800</v>
      </c>
      <c r="G623" s="120" t="n">
        <v>0.01964881400337926</v>
      </c>
      <c r="H623" s="121" t="n">
        <v>61.0875950076159</v>
      </c>
      <c r="I623" s="118" t="n">
        <v>103.2373027038574</v>
      </c>
      <c r="J623" s="118" t="n">
        <v>101.7072691726685</v>
      </c>
      <c r="K623" s="120" t="n">
        <v>0.2370802895571729</v>
      </c>
      <c r="L623" s="120" t="n">
        <v>-0.1621819164399244</v>
      </c>
      <c r="M623" s="120" t="n">
        <v>-0.1963077739264596</v>
      </c>
      <c r="N623" t="n">
        <v>43.50640870971375</v>
      </c>
      <c r="O623" t="n">
        <v>0.07845854794739449</v>
      </c>
      <c r="P623" t="n">
        <v>114.4045470923819</v>
      </c>
      <c r="Q623" t="n">
        <v>117.0790174188141</v>
      </c>
    </row>
    <row r="624">
      <c r="A624" s="117" t="n">
        <v>45320</v>
      </c>
      <c r="B624" s="118" t="n">
        <v>97.30120496926301</v>
      </c>
      <c r="C624" s="118" t="n">
        <v>98.36993397056705</v>
      </c>
      <c r="D624" s="118" t="n">
        <v>95.84471246600724</v>
      </c>
      <c r="E624" s="118" t="n">
        <v>98.24697875976562</v>
      </c>
      <c r="F624" s="119" t="n">
        <v>8860800</v>
      </c>
      <c r="G624" s="120" t="n">
        <v>0.01099742097061007</v>
      </c>
      <c r="H624" s="121" t="n">
        <v>61.75940100599679</v>
      </c>
      <c r="I624" s="118" t="n">
        <v>103.208642578125</v>
      </c>
      <c r="J624" s="118" t="n">
        <v>101.6195482254028</v>
      </c>
      <c r="K624" s="120" t="n">
        <v>0.2329047703832244</v>
      </c>
      <c r="L624" s="120" t="n">
        <v>-0.1529680782782246</v>
      </c>
      <c r="M624" s="120" t="n">
        <v>-0.1874692321855221</v>
      </c>
      <c r="N624" t="n">
        <v>46.86106644593556</v>
      </c>
      <c r="O624" t="n">
        <v>0.2864532994666003</v>
      </c>
      <c r="P624" t="n">
        <v>115.3105519731006</v>
      </c>
      <c r="Q624" t="n">
        <v>118.2779812917517</v>
      </c>
    </row>
    <row r="625">
      <c r="A625" s="117" t="n">
        <v>45321</v>
      </c>
      <c r="B625" s="118" t="n">
        <v>97.7362697566754</v>
      </c>
      <c r="C625" s="118" t="n">
        <v>98.65367157911173</v>
      </c>
      <c r="D625" s="118" t="n">
        <v>97.53765810682043</v>
      </c>
      <c r="E625" s="118" t="n">
        <v>98.53072357177734</v>
      </c>
      <c r="F625" s="119" t="n">
        <v>7542800</v>
      </c>
      <c r="G625" s="120" t="n">
        <v>0.002888076718425392</v>
      </c>
      <c r="H625" s="121" t="n">
        <v>61.93776689418611</v>
      </c>
      <c r="I625" s="118" t="n">
        <v>103.1466333007812</v>
      </c>
      <c r="J625" s="118" t="n">
        <v>101.5202772903442</v>
      </c>
      <c r="K625" s="120" t="n">
        <v>0.2336074921984029</v>
      </c>
      <c r="L625" s="120" t="n">
        <v>-0.1505217851053368</v>
      </c>
      <c r="M625" s="120" t="n">
        <v>-0.1851225809919929</v>
      </c>
      <c r="N625" t="n">
        <v>47.74822790086817</v>
      </c>
      <c r="O625" t="n">
        <v>0.4413305226934083</v>
      </c>
      <c r="P625" t="n">
        <v>115.2213749234139</v>
      </c>
      <c r="Q625" t="n">
        <v>117.4906590332695</v>
      </c>
    </row>
    <row r="626">
      <c r="A626" s="117" t="n">
        <v>45322</v>
      </c>
      <c r="B626" s="118" t="n">
        <v>98.44559271433627</v>
      </c>
      <c r="C626" s="118" t="n">
        <v>98.64421156483112</v>
      </c>
      <c r="D626" s="118" t="n">
        <v>95.63665055139258</v>
      </c>
      <c r="E626" s="118" t="n">
        <v>96.0244140625</v>
      </c>
      <c r="F626" s="119" t="n">
        <v>11547600</v>
      </c>
      <c r="G626" s="120" t="n">
        <v>-0.02543683247643624</v>
      </c>
      <c r="H626" s="121" t="n">
        <v>60.36226629373414</v>
      </c>
      <c r="I626" s="118" t="n">
        <v>103.0384567260742</v>
      </c>
      <c r="J626" s="118" t="n">
        <v>101.4107221221924</v>
      </c>
      <c r="K626" s="120" t="n">
        <v>0.2411991708619604</v>
      </c>
      <c r="L626" s="120" t="n">
        <v>-0.1721298201499945</v>
      </c>
      <c r="M626" s="120" t="n">
        <v>-0.2058504813881302</v>
      </c>
      <c r="N626" t="n">
        <v>41.20449087259514</v>
      </c>
      <c r="O626" t="n">
        <v>0.3757351580377781</v>
      </c>
      <c r="P626" t="n">
        <v>113.341270349026</v>
      </c>
      <c r="Q626" t="n">
        <v>115.1894730474706</v>
      </c>
    </row>
    <row r="627">
      <c r="A627" s="117" t="n">
        <v>45323</v>
      </c>
      <c r="B627" s="118" t="n">
        <v>96.37435111336517</v>
      </c>
      <c r="C627" s="118" t="n">
        <v>96.70537049834056</v>
      </c>
      <c r="D627" s="118" t="n">
        <v>95.1543020524432</v>
      </c>
      <c r="E627" s="118" t="n">
        <v>96.241943359375</v>
      </c>
      <c r="F627" s="119" t="n">
        <v>7666700</v>
      </c>
      <c r="G627" s="120" t="n">
        <v>0.002265354066450342</v>
      </c>
      <c r="H627" s="121" t="n">
        <v>60.4990081991428</v>
      </c>
      <c r="I627" s="118" t="n">
        <v>102.9657369995117</v>
      </c>
      <c r="J627" s="118" t="n">
        <v>101.3011309432983</v>
      </c>
      <c r="K627" s="120" t="n">
        <v>0.2280750771376833</v>
      </c>
      <c r="L627" s="120" t="n">
        <v>-0.1702544010715783</v>
      </c>
      <c r="M627" s="120" t="n">
        <v>-0.2040514515467732</v>
      </c>
      <c r="N627" t="n">
        <v>41.94811359941205</v>
      </c>
      <c r="O627" t="n">
        <v>0.3483631167636485</v>
      </c>
      <c r="P627" t="n">
        <v>114.8246938592841</v>
      </c>
      <c r="Q627" t="n">
        <v>116.5458654880287</v>
      </c>
    </row>
    <row r="628">
      <c r="A628" s="117" t="n">
        <v>45324</v>
      </c>
      <c r="B628" s="118" t="n">
        <v>95.40966593542362</v>
      </c>
      <c r="C628" s="118" t="n">
        <v>95.91093215046773</v>
      </c>
      <c r="D628" s="118" t="n">
        <v>94.03829670261486</v>
      </c>
      <c r="E628" s="118" t="n">
        <v>95.24888610839844</v>
      </c>
      <c r="F628" s="119" t="n">
        <v>8966900</v>
      </c>
      <c r="G628" s="120" t="n">
        <v>-0.01031834163269552</v>
      </c>
      <c r="H628" s="121" t="n">
        <v>59.8747587641048</v>
      </c>
      <c r="I628" s="118" t="n">
        <v>102.8663691711426</v>
      </c>
      <c r="J628" s="118" t="n">
        <v>101.1864808654785</v>
      </c>
      <c r="K628" s="120" t="n">
        <v>0.2233042196776545</v>
      </c>
      <c r="L628" s="120" t="n">
        <v>-0.1788159996295474</v>
      </c>
      <c r="M628" s="120" t="n">
        <v>-0.2095785856146221</v>
      </c>
      <c r="N628" t="n">
        <v>39.49247705657482</v>
      </c>
      <c r="O628" t="n">
        <v>0.2683328063672989</v>
      </c>
      <c r="P628" t="n">
        <v>116.0335022347395</v>
      </c>
      <c r="Q628" t="n">
        <v>118.5155509623939</v>
      </c>
    </row>
    <row r="629">
      <c r="A629" s="117" t="n">
        <v>45327</v>
      </c>
      <c r="B629" s="118" t="n">
        <v>95.05026873945151</v>
      </c>
      <c r="C629" s="118" t="n">
        <v>95.13538491957162</v>
      </c>
      <c r="D629" s="118" t="n">
        <v>93.67889958918479</v>
      </c>
      <c r="E629" s="118" t="n">
        <v>94.27473449707031</v>
      </c>
      <c r="F629" s="119" t="n">
        <v>10097900</v>
      </c>
      <c r="G629" s="120" t="n">
        <v>-0.01022743310845109</v>
      </c>
      <c r="H629" s="121" t="n">
        <v>59.26239367396027</v>
      </c>
      <c r="I629" s="118" t="n">
        <v>102.7431825256348</v>
      </c>
      <c r="J629" s="118" t="n">
        <v>101.0694882583618</v>
      </c>
      <c r="K629" s="120" t="n">
        <v>0.2258317842876224</v>
      </c>
      <c r="L629" s="120" t="n">
        <v>-0.1872146040630664</v>
      </c>
      <c r="M629" s="120" t="n">
        <v>-0.2129348522301153</v>
      </c>
      <c r="N629" t="n">
        <v>37.19239790512835</v>
      </c>
      <c r="O629" t="n">
        <v>0.1600875631716021</v>
      </c>
      <c r="P629" t="n">
        <v>115.6110015184083</v>
      </c>
      <c r="Q629" t="n">
        <v>118.3608478757824</v>
      </c>
    </row>
    <row r="630">
      <c r="A630" s="117" t="n">
        <v>45328</v>
      </c>
      <c r="B630" s="118" t="n">
        <v>94.10450288929579</v>
      </c>
      <c r="C630" s="118" t="n">
        <v>97.06477259359487</v>
      </c>
      <c r="D630" s="118" t="n">
        <v>93.75456394924778</v>
      </c>
      <c r="E630" s="118" t="n">
        <v>97.04586029052734</v>
      </c>
      <c r="F630" s="119" t="n">
        <v>11368600</v>
      </c>
      <c r="G630" s="120" t="n">
        <v>0.02939415112904031</v>
      </c>
      <c r="H630" s="121" t="n">
        <v>61.00436142988134</v>
      </c>
      <c r="I630" s="118" t="n">
        <v>102.6495910644531</v>
      </c>
      <c r="J630" s="118" t="n">
        <v>100.9720630264282</v>
      </c>
      <c r="K630" s="120" t="n">
        <v>0.2443763365871861</v>
      </c>
      <c r="L630" s="120" t="n">
        <v>-0.1633234672994194</v>
      </c>
      <c r="M630" s="120" t="n">
        <v>-0.1897997403281669</v>
      </c>
      <c r="N630" t="n">
        <v>46.70183917849768</v>
      </c>
      <c r="O630" t="n">
        <v>0.278482123610071</v>
      </c>
      <c r="P630" t="n">
        <v>115.9466569970264</v>
      </c>
      <c r="Q630" t="n">
        <v>118.1232696613125</v>
      </c>
    </row>
    <row r="631">
      <c r="A631" s="117" t="n">
        <v>45329</v>
      </c>
      <c r="B631" s="118" t="n">
        <v>96.83778797524296</v>
      </c>
      <c r="C631" s="118" t="n">
        <v>98.68204417362065</v>
      </c>
      <c r="D631" s="118" t="n">
        <v>96.79995615377852</v>
      </c>
      <c r="E631" s="118" t="n">
        <v>98.16187286376953</v>
      </c>
      <c r="F631" s="119" t="n">
        <v>9447800</v>
      </c>
      <c r="G631" s="120" t="n">
        <v>0.01149984728767572</v>
      </c>
      <c r="H631" s="121" t="n">
        <v>61.70590227020715</v>
      </c>
      <c r="I631" s="118" t="n">
        <v>102.5835984802246</v>
      </c>
      <c r="J631" s="118" t="n">
        <v>100.8751615142822</v>
      </c>
      <c r="K631" s="120" t="n">
        <v>0.2458700770482034</v>
      </c>
      <c r="L631" s="120" t="n">
        <v>-0.1537018149441807</v>
      </c>
      <c r="M631" s="120" t="n">
        <v>-0.1804825610695056</v>
      </c>
      <c r="N631" t="n">
        <v>49.9860531628624</v>
      </c>
      <c r="O631" t="n">
        <v>0.4264635075691978</v>
      </c>
      <c r="P631" t="n">
        <v>116.9136874632567</v>
      </c>
      <c r="Q631" t="n">
        <v>119.3387914721665</v>
      </c>
    </row>
    <row r="632">
      <c r="A632" s="117" t="n">
        <v>45330</v>
      </c>
      <c r="B632" s="118" t="n">
        <v>98.76716618719566</v>
      </c>
      <c r="C632" s="118" t="n">
        <v>99.26842518710808</v>
      </c>
      <c r="D632" s="118" t="n">
        <v>97.46200083559266</v>
      </c>
      <c r="E632" s="118" t="n">
        <v>98.14295196533203</v>
      </c>
      <c r="F632" s="119" t="n">
        <v>6330400</v>
      </c>
      <c r="G632" s="120" t="n">
        <v>-0.0001927520114022307</v>
      </c>
      <c r="H632" s="121" t="n">
        <v>61.69400833342917</v>
      </c>
      <c r="I632" s="118" t="n">
        <v>102.5111946105957</v>
      </c>
      <c r="J632" s="118" t="n">
        <v>100.7708617782593</v>
      </c>
      <c r="K632" s="120" t="n">
        <v>0.2433498257714637</v>
      </c>
      <c r="L632" s="120" t="n">
        <v>-0.1538649406215963</v>
      </c>
      <c r="M632" s="120" t="n">
        <v>-0.1806405247042385</v>
      </c>
      <c r="N632" t="n">
        <v>49.92987893823669</v>
      </c>
      <c r="O632" t="n">
        <v>0.5118311112947387</v>
      </c>
      <c r="P632" t="n">
        <v>116.9653415259631</v>
      </c>
      <c r="Q632" t="n">
        <v>119.5597861172371</v>
      </c>
    </row>
    <row r="633">
      <c r="A633" s="117" t="n">
        <v>45331</v>
      </c>
      <c r="B633" s="118" t="n">
        <v>98.17132759155174</v>
      </c>
      <c r="C633" s="118" t="n">
        <v>99.24950919314131</v>
      </c>
      <c r="D633" s="118" t="n">
        <v>97.72681273172975</v>
      </c>
      <c r="E633" s="118" t="n">
        <v>98.83336639404297</v>
      </c>
      <c r="F633" s="119" t="n">
        <v>5449000</v>
      </c>
      <c r="G633" s="120" t="n">
        <v>0.00703478359765275</v>
      </c>
      <c r="H633" s="121" t="n">
        <v>62.12801233132663</v>
      </c>
      <c r="I633" s="118" t="n">
        <v>102.4377059936523</v>
      </c>
      <c r="J633" s="118" t="n">
        <v>100.68139087677</v>
      </c>
      <c r="K633" s="120" t="n">
        <v>0.2328233229168214</v>
      </c>
      <c r="L633" s="120" t="n">
        <v>-0.1479125635844822</v>
      </c>
      <c r="M633" s="120" t="n">
        <v>-0.1748765081068466</v>
      </c>
      <c r="N633" t="n">
        <v>52.04751883711823</v>
      </c>
      <c r="O633" t="n">
        <v>0.5975800565563298</v>
      </c>
      <c r="P633" t="n">
        <v>117.6413382446019</v>
      </c>
      <c r="Q633" t="n">
        <v>120.7366214766537</v>
      </c>
    </row>
    <row r="634">
      <c r="A634" s="117" t="n">
        <v>45334</v>
      </c>
      <c r="B634" s="118" t="n">
        <v>99.06035147868445</v>
      </c>
      <c r="C634" s="118" t="n">
        <v>101.6044854557618</v>
      </c>
      <c r="D634" s="118" t="n">
        <v>98.97523529532501</v>
      </c>
      <c r="E634" s="118" t="n">
        <v>101.3680419921875</v>
      </c>
      <c r="F634" s="119" t="n">
        <v>7501900</v>
      </c>
      <c r="G634" s="120" t="n">
        <v>0.02564595025569538</v>
      </c>
      <c r="H634" s="121" t="n">
        <v>63.72134424506106</v>
      </c>
      <c r="I634" s="118" t="n">
        <v>102.3843707275391</v>
      </c>
      <c r="J634" s="118" t="n">
        <v>100.6084325408936</v>
      </c>
      <c r="K634" s="120" t="n">
        <v>0.2486949060236683</v>
      </c>
      <c r="L634" s="120" t="n">
        <v>-0.1260599715766668</v>
      </c>
      <c r="M634" s="120" t="n">
        <v>-0.1537154320789492</v>
      </c>
      <c r="N634" t="n">
        <v>58.91712047897487</v>
      </c>
      <c r="O634" t="n">
        <v>0.7954073513768705</v>
      </c>
      <c r="P634" t="n">
        <v>117.5896915610473</v>
      </c>
      <c r="Q634" t="n">
        <v>120.264233247861</v>
      </c>
    </row>
    <row r="635">
      <c r="A635" s="117" t="n">
        <v>45335</v>
      </c>
      <c r="B635" s="118" t="n">
        <v>99.29679939591524</v>
      </c>
      <c r="C635" s="118" t="n">
        <v>100.0628811589198</v>
      </c>
      <c r="D635" s="118" t="n">
        <v>98.59692873273576</v>
      </c>
      <c r="E635" s="118" t="n">
        <v>99.30625915527344</v>
      </c>
      <c r="F635" s="119" t="n">
        <v>6180500</v>
      </c>
      <c r="G635" s="120" t="n">
        <v>-0.0203395744496373</v>
      </c>
      <c r="H635" s="121" t="n">
        <v>62.42527921975768</v>
      </c>
      <c r="I635" s="118" t="n">
        <v>102.2916851806641</v>
      </c>
      <c r="J635" s="118" t="n">
        <v>100.5164570999145</v>
      </c>
      <c r="K635" s="120" t="n">
        <v>0.2313119744093835</v>
      </c>
      <c r="L635" s="120" t="n">
        <v>-0.1438355398493013</v>
      </c>
      <c r="M635" s="120" t="n">
        <v>-0.1709285000537586</v>
      </c>
      <c r="N635" t="n">
        <v>52.34775060444525</v>
      </c>
      <c r="O635" t="n">
        <v>0.7579646172853052</v>
      </c>
      <c r="P635" t="n">
        <v>115.9701153206469</v>
      </c>
      <c r="Q635" t="n">
        <v>118.3884615266317</v>
      </c>
    </row>
    <row r="636">
      <c r="A636" s="117" t="n">
        <v>45336</v>
      </c>
      <c r="B636" s="118" t="n">
        <v>99.13601219220956</v>
      </c>
      <c r="C636" s="118" t="n">
        <v>100.6492488712764</v>
      </c>
      <c r="D636" s="118" t="n">
        <v>98.79553303745931</v>
      </c>
      <c r="E636" s="118" t="n">
        <v>100.5641326904297</v>
      </c>
      <c r="F636" s="119" t="n">
        <v>5743300</v>
      </c>
      <c r="G636" s="120" t="n">
        <v>0.01266660879038306</v>
      </c>
      <c r="H636" s="121" t="n">
        <v>63.21599581026478</v>
      </c>
      <c r="I636" s="118" t="n">
        <v>102.1564395141602</v>
      </c>
      <c r="J636" s="118" t="n">
        <v>100.4259954452515</v>
      </c>
      <c r="K636" s="120" t="n">
        <v>0.230920381821908</v>
      </c>
      <c r="L636" s="120" t="n">
        <v>-0.1329908395723429</v>
      </c>
      <c r="M636" s="120" t="n">
        <v>-0.1604269757046834</v>
      </c>
      <c r="N636" t="n">
        <v>55.60041918626337</v>
      </c>
      <c r="O636" t="n">
        <v>0.7851471566614651</v>
      </c>
      <c r="P636" t="n">
        <v>117.0240131620457</v>
      </c>
      <c r="Q636" t="n">
        <v>119.6785709525582</v>
      </c>
    </row>
    <row r="637">
      <c r="A637" s="117" t="n">
        <v>45337</v>
      </c>
      <c r="B637" s="118" t="n">
        <v>101.2167186488222</v>
      </c>
      <c r="C637" s="118" t="n">
        <v>101.5193660053416</v>
      </c>
      <c r="D637" s="118" t="n">
        <v>100.0912526250971</v>
      </c>
      <c r="E637" s="118" t="n">
        <v>100.2993240356445</v>
      </c>
      <c r="F637" s="119" t="n">
        <v>7201300</v>
      </c>
      <c r="G637" s="120" t="n">
        <v>-0.002633231627426569</v>
      </c>
      <c r="H637" s="121" t="n">
        <v>63.04953345073793</v>
      </c>
      <c r="I637" s="118" t="n">
        <v>101.9843086242676</v>
      </c>
      <c r="J637" s="118" t="n">
        <v>100.3285916137695</v>
      </c>
      <c r="K637" s="120" t="n">
        <v>0.2316637155112987</v>
      </c>
      <c r="L637" s="120" t="n">
        <v>-0.1352738755148495</v>
      </c>
      <c r="M637" s="120" t="n">
        <v>-0.1626377659457919</v>
      </c>
      <c r="N637" t="n">
        <v>54.75310391983007</v>
      </c>
      <c r="O637" t="n">
        <v>0.7524470825286576</v>
      </c>
      <c r="P637" t="n">
        <v>117.8314620911205</v>
      </c>
      <c r="Q637" t="n">
        <v>120.0349510900045</v>
      </c>
    </row>
    <row r="638">
      <c r="A638" s="117" t="n">
        <v>45338</v>
      </c>
      <c r="B638" s="118" t="n">
        <v>98.95632642170031</v>
      </c>
      <c r="C638" s="118" t="n">
        <v>99.02253030999505</v>
      </c>
      <c r="D638" s="118" t="n">
        <v>96.13792407351526</v>
      </c>
      <c r="E638" s="118" t="n">
        <v>97.89706420898438</v>
      </c>
      <c r="F638" s="119" t="n">
        <v>14590100</v>
      </c>
      <c r="G638" s="120" t="n">
        <v>-0.02395090744386708</v>
      </c>
      <c r="H638" s="121" t="n">
        <v>61.53943991068031</v>
      </c>
      <c r="I638" s="118" t="n">
        <v>101.7592146301269</v>
      </c>
      <c r="J638" s="118" t="n">
        <v>100.2222663879395</v>
      </c>
      <c r="K638" s="120" t="n">
        <v>0.2487370906834523</v>
      </c>
      <c r="L638" s="120" t="n">
        <v>-0.1559848508866871</v>
      </c>
      <c r="M638" s="120" t="n">
        <v>-0.182693351310614</v>
      </c>
      <c r="N638" t="n">
        <v>47.65776530260561</v>
      </c>
      <c r="O638" t="n">
        <v>0.5458058188689476</v>
      </c>
      <c r="P638" t="n">
        <v>117.2446571804721</v>
      </c>
      <c r="Q638" t="n">
        <v>118.9465016272575</v>
      </c>
    </row>
    <row r="639">
      <c r="A639" s="117" t="n">
        <v>45342</v>
      </c>
      <c r="B639" s="118" t="n">
        <v>97.53764589821192</v>
      </c>
      <c r="C639" s="118" t="n">
        <v>98.20914440624716</v>
      </c>
      <c r="D639" s="118" t="n">
        <v>96.62970394865661</v>
      </c>
      <c r="E639" s="118" t="n">
        <v>97.69843292236328</v>
      </c>
      <c r="F639" s="119" t="n">
        <v>8759500</v>
      </c>
      <c r="G639" s="120" t="n">
        <v>-0.002028981034580046</v>
      </c>
      <c r="H639" s="121" t="n">
        <v>61.41457755422286</v>
      </c>
      <c r="I639" s="118" t="n">
        <v>101.5169073486328</v>
      </c>
      <c r="J639" s="118" t="n">
        <v>100.1173827362061</v>
      </c>
      <c r="K639" s="120" t="n">
        <v>0.2443355452132897</v>
      </c>
      <c r="L639" s="120" t="n">
        <v>-0.1576973416171363</v>
      </c>
      <c r="M639" s="120" t="n">
        <v>-0.184351651000241</v>
      </c>
      <c r="N639" t="n">
        <v>47.11410491844842</v>
      </c>
      <c r="O639" t="n">
        <v>0.3803604873949825</v>
      </c>
      <c r="P639" t="n">
        <v>116.5991732545891</v>
      </c>
      <c r="Q639" t="n">
        <v>118.0486905900676</v>
      </c>
    </row>
    <row r="640">
      <c r="A640" s="117" t="n">
        <v>45343</v>
      </c>
      <c r="B640" s="118" t="n">
        <v>97.74572334900488</v>
      </c>
      <c r="C640" s="118" t="n">
        <v>99.79805081703758</v>
      </c>
      <c r="D640" s="118" t="n">
        <v>97.34850007435629</v>
      </c>
      <c r="E640" s="118" t="n">
        <v>99.56160736083984</v>
      </c>
      <c r="F640" s="119" t="n">
        <v>8888100</v>
      </c>
      <c r="G640" s="120" t="n">
        <v>0.01907066861509588</v>
      </c>
      <c r="H640" s="121" t="n">
        <v>62.58579461089555</v>
      </c>
      <c r="I640" s="118" t="n">
        <v>101.3364535522461</v>
      </c>
      <c r="J640" s="118" t="n">
        <v>100.0361880874634</v>
      </c>
      <c r="K640" s="120" t="n">
        <v>0.248846245855255</v>
      </c>
      <c r="L640" s="120" t="n">
        <v>-0.1416340667455024</v>
      </c>
      <c r="M640" s="120" t="n">
        <v>-0.1687966916300165</v>
      </c>
      <c r="N640" t="n">
        <v>52.57870030511405</v>
      </c>
      <c r="O640" t="n">
        <v>0.3801215919103597</v>
      </c>
      <c r="P640" t="n">
        <v>116.7047984336719</v>
      </c>
      <c r="Q640" t="n">
        <v>117.5762938174472</v>
      </c>
    </row>
    <row r="641">
      <c r="A641" s="117" t="n">
        <v>45344</v>
      </c>
      <c r="B641" s="118" t="n">
        <v>100.062870519184</v>
      </c>
      <c r="C641" s="118" t="n">
        <v>100.2614821504942</v>
      </c>
      <c r="D641" s="118" t="n">
        <v>98.43613843529303</v>
      </c>
      <c r="E641" s="118" t="n">
        <v>99.38191223144531</v>
      </c>
      <c r="F641" s="119" t="n">
        <v>6705500</v>
      </c>
      <c r="G641" s="120" t="n">
        <v>-0.00180486368348054</v>
      </c>
      <c r="H641" s="121" t="n">
        <v>62.47283578310058</v>
      </c>
      <c r="I641" s="118" t="n">
        <v>101.131598815918</v>
      </c>
      <c r="J641" s="118" t="n">
        <v>99.94042400360108</v>
      </c>
      <c r="K641" s="120" t="n">
        <v>0.2445711454974367</v>
      </c>
      <c r="L641" s="120" t="n">
        <v>-0.1431833002455702</v>
      </c>
      <c r="M641" s="120" t="n">
        <v>-0.1702969002948824</v>
      </c>
      <c r="N641" t="n">
        <v>52.02041087960904</v>
      </c>
      <c r="O641" t="n">
        <v>0.352205875915007</v>
      </c>
      <c r="P641" t="n">
        <v>119.1200612351537</v>
      </c>
      <c r="Q641" t="n">
        <v>121.0184139990274</v>
      </c>
    </row>
    <row r="642">
      <c r="A642" s="117" t="n">
        <v>45345</v>
      </c>
      <c r="B642" s="118" t="n">
        <v>99.55216026370171</v>
      </c>
      <c r="C642" s="118" t="n">
        <v>100.838413313034</v>
      </c>
      <c r="D642" s="118" t="n">
        <v>99.48595638097204</v>
      </c>
      <c r="E642" s="118" t="n">
        <v>99.90209197998047</v>
      </c>
      <c r="F642" s="119" t="n">
        <v>6947300</v>
      </c>
      <c r="G642" s="120" t="n">
        <v>0.005234149120855403</v>
      </c>
      <c r="H642" s="121" t="n">
        <v>62.79982792159203</v>
      </c>
      <c r="I642" s="118" t="n">
        <v>100.8860757446289</v>
      </c>
      <c r="J642" s="118" t="n">
        <v>99.84590312957764</v>
      </c>
      <c r="K642" s="120" t="n">
        <v>0.2446614645167587</v>
      </c>
      <c r="L642" s="120" t="n">
        <v>-0.1386985938698164</v>
      </c>
      <c r="M642" s="120" t="n">
        <v>-0.1659541105449899</v>
      </c>
      <c r="N642" t="n">
        <v>53.55773268505676</v>
      </c>
      <c r="O642" t="n">
        <v>0.3522678842126333</v>
      </c>
      <c r="P642" t="n">
        <v>119.2022133323123</v>
      </c>
      <c r="Q642" t="n">
        <v>120.6620424054088</v>
      </c>
    </row>
    <row r="643">
      <c r="A643" s="117" t="n">
        <v>45348</v>
      </c>
      <c r="B643" s="118" t="n">
        <v>99.59944326155781</v>
      </c>
      <c r="C643" s="118" t="n">
        <v>100.3466054796451</v>
      </c>
      <c r="D643" s="118" t="n">
        <v>98.13349810246262</v>
      </c>
      <c r="E643" s="118" t="n">
        <v>98.87120056152344</v>
      </c>
      <c r="F643" s="119" t="n">
        <v>5831500</v>
      </c>
      <c r="G643" s="120" t="n">
        <v>-0.01031901733012375</v>
      </c>
      <c r="H643" s="121" t="n">
        <v>62.15179540894034</v>
      </c>
      <c r="I643" s="118" t="n">
        <v>100.6004525756836</v>
      </c>
      <c r="J643" s="118" t="n">
        <v>99.75456146240235</v>
      </c>
      <c r="K643" s="120" t="n">
        <v>0.2398319794523334</v>
      </c>
      <c r="L643" s="120" t="n">
        <v>-0.1475863780061337</v>
      </c>
      <c r="M643" s="120" t="n">
        <v>-0.1745606445323945</v>
      </c>
      <c r="N643" t="n">
        <v>50.12968092644839</v>
      </c>
      <c r="O643" t="n">
        <v>0.2700739094441447</v>
      </c>
      <c r="P643" t="n">
        <v>118.7656184360141</v>
      </c>
      <c r="Q643" t="n">
        <v>120.5984934156139</v>
      </c>
    </row>
    <row r="644">
      <c r="A644" s="117" t="n">
        <v>45349</v>
      </c>
      <c r="B644" s="118" t="n">
        <v>99.14547277884667</v>
      </c>
      <c r="C644" s="118" t="n">
        <v>99.54269605747869</v>
      </c>
      <c r="D644" s="118" t="n">
        <v>98.35101900590089</v>
      </c>
      <c r="E644" s="118" t="n">
        <v>99.4481201171875</v>
      </c>
      <c r="F644" s="119" t="n">
        <v>5317400</v>
      </c>
      <c r="G644" s="120" t="n">
        <v>0.005835061700348865</v>
      </c>
      <c r="H644" s="121" t="n">
        <v>62.51445496993896</v>
      </c>
      <c r="I644" s="118" t="n">
        <v>100.2974266052246</v>
      </c>
      <c r="J644" s="118" t="n">
        <v>99.67354846954346</v>
      </c>
      <c r="K644" s="120" t="n">
        <v>0.2376601306561734</v>
      </c>
      <c r="L644" s="120" t="n">
        <v>-0.1426124919275817</v>
      </c>
      <c r="M644" s="120" t="n">
        <v>-0.1697441549633448</v>
      </c>
      <c r="N644" t="n">
        <v>51.98200195107184</v>
      </c>
      <c r="O644" t="n">
        <v>0.2426234091883272</v>
      </c>
      <c r="P644" t="n">
        <v>118.9862624544404</v>
      </c>
      <c r="Q644" t="n">
        <v>120.8885734507734</v>
      </c>
    </row>
    <row r="645">
      <c r="A645" s="117" t="n">
        <v>45350</v>
      </c>
      <c r="B645" s="118" t="n">
        <v>98.45506956726216</v>
      </c>
      <c r="C645" s="118" t="n">
        <v>99.7224104486577</v>
      </c>
      <c r="D645" s="118" t="n">
        <v>98.07675853330754</v>
      </c>
      <c r="E645" s="118" t="n">
        <v>98.69151306152344</v>
      </c>
      <c r="F645" s="119" t="n">
        <v>4219800</v>
      </c>
      <c r="G645" s="120" t="n">
        <v>-0.007608057897650511</v>
      </c>
      <c r="H645" s="121" t="n">
        <v>62.03884137708759</v>
      </c>
      <c r="I645" s="118" t="n">
        <v>99.98210586547852</v>
      </c>
      <c r="J645" s="118" t="n">
        <v>99.59479206085206</v>
      </c>
      <c r="K645" s="120" t="n">
        <v>0.239301458973564</v>
      </c>
      <c r="L645" s="120" t="n">
        <v>-0.149135545729719</v>
      </c>
      <c r="M645" s="120" t="n">
        <v>-0.1760607895022464</v>
      </c>
      <c r="N645" t="n">
        <v>49.39103402012221</v>
      </c>
      <c r="O645" t="n">
        <v>0.1652685179820775</v>
      </c>
      <c r="P645" t="n">
        <v>118.8289979709548</v>
      </c>
      <c r="Q645" t="n">
        <v>120.2448985659699</v>
      </c>
    </row>
    <row r="646">
      <c r="A646" s="117" t="n">
        <v>45351</v>
      </c>
      <c r="B646" s="118" t="n">
        <v>99.28734647996149</v>
      </c>
      <c r="C646" s="118" t="n">
        <v>99.84534961340476</v>
      </c>
      <c r="D646" s="118" t="n">
        <v>98.05783753256669</v>
      </c>
      <c r="E646" s="118" t="n">
        <v>98.29428100585938</v>
      </c>
      <c r="F646" s="119" t="n">
        <v>10811600</v>
      </c>
      <c r="G646" s="120" t="n">
        <v>-0.004024986985622925</v>
      </c>
      <c r="H646" s="121" t="n">
        <v>61.78913584794169</v>
      </c>
      <c r="I646" s="118" t="n">
        <v>99.6488151550293</v>
      </c>
      <c r="J646" s="118" t="n">
        <v>99.52346004486084</v>
      </c>
      <c r="K646" s="120" t="n">
        <v>0.2201971709359527</v>
      </c>
      <c r="L646" s="120" t="n">
        <v>-0.1525602640846861</v>
      </c>
      <c r="M646" s="120" t="n">
        <v>-0.1793771341014443</v>
      </c>
      <c r="N646" t="n">
        <v>48.03726099172763</v>
      </c>
      <c r="O646" t="n">
        <v>0.08324738510833038</v>
      </c>
      <c r="P646" t="n">
        <v>119.2561992069923</v>
      </c>
      <c r="Q646" t="n">
        <v>121.2753183515608</v>
      </c>
    </row>
    <row r="647">
      <c r="A647" s="117" t="n">
        <v>45352</v>
      </c>
      <c r="B647" s="118" t="n">
        <v>98.5885111972967</v>
      </c>
      <c r="C647" s="118" t="n">
        <v>98.65495160852709</v>
      </c>
      <c r="D647" s="118" t="n">
        <v>96.65223847384593</v>
      </c>
      <c r="E647" s="118" t="n">
        <v>96.69969177246094</v>
      </c>
      <c r="F647" s="119" t="n">
        <v>7349300</v>
      </c>
      <c r="G647" s="120" t="n">
        <v>-0.01622260437820777</v>
      </c>
      <c r="H647" s="121" t="n">
        <v>60.78675514220919</v>
      </c>
      <c r="I647" s="118" t="n">
        <v>99.29138809204102</v>
      </c>
      <c r="J647" s="118" t="n">
        <v>99.44593406677247</v>
      </c>
      <c r="K647" s="120" t="n">
        <v>0.228692917310653</v>
      </c>
      <c r="L647" s="120" t="n">
        <v>-0.1663079436548131</v>
      </c>
      <c r="M647" s="120" t="n">
        <v>-0.1926897741986275</v>
      </c>
      <c r="N647" t="n">
        <v>42.94825999982576</v>
      </c>
      <c r="O647" t="n">
        <v>-0.07400104979191638</v>
      </c>
      <c r="P647" t="n">
        <v>120.3757936370019</v>
      </c>
      <c r="Q647" t="n">
        <v>123.1013479084198</v>
      </c>
    </row>
    <row r="648">
      <c r="A648" s="117" t="n">
        <v>45355</v>
      </c>
      <c r="B648" s="118" t="n">
        <v>96.48139673224748</v>
      </c>
      <c r="C648" s="118" t="n">
        <v>96.59529044925202</v>
      </c>
      <c r="D648" s="118" t="n">
        <v>93.97563357767717</v>
      </c>
      <c r="E648" s="118" t="n">
        <v>94.47868347167969</v>
      </c>
      <c r="F648" s="119" t="n">
        <v>11050900</v>
      </c>
      <c r="G648" s="120" t="n">
        <v>-0.02296810113942649</v>
      </c>
      <c r="H648" s="121" t="n">
        <v>59.39059880216537</v>
      </c>
      <c r="I648" s="118" t="n">
        <v>98.86116775512696</v>
      </c>
      <c r="J648" s="118" t="n">
        <v>99.37298725128174</v>
      </c>
      <c r="K648" s="120" t="n">
        <v>0.2406066870134339</v>
      </c>
      <c r="L648" s="120" t="n">
        <v>-0.1854562671240859</v>
      </c>
      <c r="M648" s="120" t="n">
        <v>-0.2112321571157267</v>
      </c>
      <c r="N648" t="n">
        <v>37.05931235707264</v>
      </c>
      <c r="O648" t="n">
        <v>-0.3099652154990501</v>
      </c>
      <c r="P648" t="n">
        <v>120.2467027551468</v>
      </c>
      <c r="Q648" t="n">
        <v>122.6621011869428</v>
      </c>
    </row>
    <row r="649">
      <c r="A649" s="117" t="n">
        <v>45356</v>
      </c>
      <c r="B649" s="118" t="n">
        <v>93.96614375576996</v>
      </c>
      <c r="C649" s="118" t="n">
        <v>94.12749802224808</v>
      </c>
      <c r="D649" s="118" t="n">
        <v>93.01699078853997</v>
      </c>
      <c r="E649" s="118" t="n">
        <v>93.31122589111328</v>
      </c>
      <c r="F649" s="119" t="n">
        <v>8670600</v>
      </c>
      <c r="G649" s="120" t="n">
        <v>-0.01235683582441494</v>
      </c>
      <c r="H649" s="121" t="n">
        <v>58.65671892325332</v>
      </c>
      <c r="I649" s="118" t="n">
        <v>98.43048583984375</v>
      </c>
      <c r="J649" s="118" t="n">
        <v>99.29186214447022</v>
      </c>
      <c r="K649" s="120" t="n">
        <v>0.2418876501855208</v>
      </c>
      <c r="L649" s="120" t="n">
        <v>-0.1955214503030397</v>
      </c>
      <c r="M649" s="120" t="n">
        <v>-0.2209788318538255</v>
      </c>
      <c r="N649" t="n">
        <v>34.38999709341873</v>
      </c>
      <c r="O649" t="n">
        <v>-0.514955625716961</v>
      </c>
      <c r="P649" t="n">
        <v>119.0449488488267</v>
      </c>
      <c r="Q649" t="n">
        <v>120.4603653545741</v>
      </c>
    </row>
    <row r="650">
      <c r="A650" s="117" t="n">
        <v>45357</v>
      </c>
      <c r="B650" s="118" t="n">
        <v>94.91529715136701</v>
      </c>
      <c r="C650" s="118" t="n">
        <v>95.01021100022588</v>
      </c>
      <c r="D650" s="118" t="n">
        <v>92.12478509784883</v>
      </c>
      <c r="E650" s="118" t="n">
        <v>92.66580200195312</v>
      </c>
      <c r="F650" s="119" t="n">
        <v>10045300</v>
      </c>
      <c r="G650" s="120" t="n">
        <v>-0.006916894328591439</v>
      </c>
      <c r="H650" s="121" t="n">
        <v>58.2509965967993</v>
      </c>
      <c r="I650" s="118" t="n">
        <v>97.96608840942383</v>
      </c>
      <c r="J650" s="118" t="n">
        <v>99.1986612701416</v>
      </c>
      <c r="K650" s="120" t="n">
        <v>0.2154568449803808</v>
      </c>
      <c r="L650" s="120" t="n">
        <v>-0.2010859434209119</v>
      </c>
      <c r="M650" s="120" t="n">
        <v>-0.2263672389536285</v>
      </c>
      <c r="N650" t="n">
        <v>32.97587330227338</v>
      </c>
      <c r="O650" t="n">
        <v>-0.6552976913658962</v>
      </c>
      <c r="P650" t="n">
        <v>119.6481649931121</v>
      </c>
      <c r="Q650" t="n">
        <v>121.2173057620599</v>
      </c>
    </row>
    <row r="651">
      <c r="A651" s="117" t="n">
        <v>45358</v>
      </c>
      <c r="B651" s="118" t="n">
        <v>93.00749934690911</v>
      </c>
      <c r="C651" s="118" t="n">
        <v>93.39665554822757</v>
      </c>
      <c r="D651" s="118" t="n">
        <v>92.7132642376428</v>
      </c>
      <c r="E651" s="118" t="n">
        <v>93.19733428955078</v>
      </c>
      <c r="F651" s="119" t="n">
        <v>8133900</v>
      </c>
      <c r="G651" s="120" t="n">
        <v>0.005736013460353462</v>
      </c>
      <c r="H651" s="121" t="n">
        <v>58.58512509735754</v>
      </c>
      <c r="I651" s="118" t="n">
        <v>97.78640686035156</v>
      </c>
      <c r="J651" s="118" t="n">
        <v>99.12736042022705</v>
      </c>
      <c r="K651" s="120" t="n">
        <v>0.2115247715292378</v>
      </c>
      <c r="L651" s="120" t="n">
        <v>-0.1965033616387087</v>
      </c>
      <c r="M651" s="120" t="n">
        <v>-0.2219296710228961</v>
      </c>
      <c r="N651" t="n">
        <v>35.33417524501641</v>
      </c>
      <c r="O651" t="n">
        <v>-0.6711583144918174</v>
      </c>
      <c r="P651" t="n">
        <v>120.8358616152242</v>
      </c>
      <c r="Q651" t="n">
        <v>123.0571592319988</v>
      </c>
    </row>
    <row r="652">
      <c r="A652" s="117" t="n">
        <v>45359</v>
      </c>
      <c r="B652" s="118" t="n">
        <v>93.48206590677604</v>
      </c>
      <c r="C652" s="118" t="n">
        <v>94.26986454172699</v>
      </c>
      <c r="D652" s="118" t="n">
        <v>93.03596289080474</v>
      </c>
      <c r="E652" s="118" t="n">
        <v>94.11800384521484</v>
      </c>
      <c r="F652" s="119" t="n">
        <v>9043500</v>
      </c>
      <c r="G652" s="120" t="n">
        <v>0.009878711260170592</v>
      </c>
      <c r="H652" s="121" t="n">
        <v>59.1638706323353</v>
      </c>
      <c r="I652" s="118" t="n">
        <v>97.62551696777344</v>
      </c>
      <c r="J652" s="118" t="n">
        <v>99.08210582733155</v>
      </c>
      <c r="K652" s="120" t="n">
        <v>0.2159609259480603</v>
      </c>
      <c r="L652" s="120" t="n">
        <v>-0.1885658503498199</v>
      </c>
      <c r="M652" s="120" t="n">
        <v>-0.2142433389028253</v>
      </c>
      <c r="N652" t="n">
        <v>39.31702500064455</v>
      </c>
      <c r="O652" t="n">
        <v>-0.5818014040654005</v>
      </c>
      <c r="P652" t="n">
        <v>120.1105721624599</v>
      </c>
      <c r="Q652" t="n">
        <v>121.2808376641996</v>
      </c>
    </row>
    <row r="653">
      <c r="A653" s="117" t="n">
        <v>45362</v>
      </c>
      <c r="B653" s="118" t="n">
        <v>94.820368036617</v>
      </c>
      <c r="C653" s="118" t="n">
        <v>96.58579285871953</v>
      </c>
      <c r="D653" s="118" t="n">
        <v>94.38375860898945</v>
      </c>
      <c r="E653" s="118" t="n">
        <v>95.94036865234375</v>
      </c>
      <c r="F653" s="119" t="n">
        <v>8537400</v>
      </c>
      <c r="G653" s="120" t="n">
        <v>0.01936255267510711</v>
      </c>
      <c r="H653" s="121" t="n">
        <v>60.30943419391712</v>
      </c>
      <c r="I653" s="118" t="n">
        <v>97.51790924072266</v>
      </c>
      <c r="J653" s="118" t="n">
        <v>99.05251754760742</v>
      </c>
      <c r="K653" s="120" t="n">
        <v>0.2269573502545561</v>
      </c>
      <c r="L653" s="120" t="n">
        <v>-0.1728544138848375</v>
      </c>
      <c r="M653" s="120" t="n">
        <v>-0.1990290841625151</v>
      </c>
      <c r="N653" t="n">
        <v>46.35954052686509</v>
      </c>
      <c r="O653" t="n">
        <v>-0.3723102914004572</v>
      </c>
      <c r="P653" t="n">
        <v>120.0073009328062</v>
      </c>
      <c r="Q653" t="n">
        <v>120.830552317445</v>
      </c>
    </row>
    <row r="654">
      <c r="A654" s="117" t="n">
        <v>45363</v>
      </c>
      <c r="B654" s="118" t="n">
        <v>95.66512737656723</v>
      </c>
      <c r="C654" s="118" t="n">
        <v>96.21563782941455</v>
      </c>
      <c r="D654" s="118" t="n">
        <v>94.58309358522587</v>
      </c>
      <c r="E654" s="118" t="n">
        <v>95.08614349365234</v>
      </c>
      <c r="F654" s="119" t="n">
        <v>7040900</v>
      </c>
      <c r="G654" s="120" t="n">
        <v>-0.008903709363332069</v>
      </c>
      <c r="H654" s="121" t="n">
        <v>59.77245651998749</v>
      </c>
      <c r="I654" s="118" t="n">
        <v>97.36125</v>
      </c>
      <c r="J654" s="118" t="n">
        <v>99.02095222473145</v>
      </c>
      <c r="K654" s="120" t="n">
        <v>0.2043887646184261</v>
      </c>
      <c r="L654" s="120" t="n">
        <v>-0.1802190777847698</v>
      </c>
      <c r="M654" s="120" t="n">
        <v>-0.206160696405614</v>
      </c>
      <c r="N654" t="n">
        <v>43.79389728784233</v>
      </c>
      <c r="O654" t="n">
        <v>-0.2684684066039075</v>
      </c>
      <c r="P654" t="n">
        <v>121.2982540262684</v>
      </c>
      <c r="Q654" t="n">
        <v>122.5626595773403</v>
      </c>
    </row>
    <row r="655">
      <c r="A655" s="117" t="n">
        <v>45364</v>
      </c>
      <c r="B655" s="118" t="n">
        <v>95.49428150813407</v>
      </c>
      <c r="C655" s="118" t="n">
        <v>96.81360356564298</v>
      </c>
      <c r="D655" s="118" t="n">
        <v>95.22851983345062</v>
      </c>
      <c r="E655" s="118" t="n">
        <v>96.20614624023438</v>
      </c>
      <c r="F655" s="119" t="n">
        <v>7326400</v>
      </c>
      <c r="G655" s="120" t="n">
        <v>0.01177882187068402</v>
      </c>
      <c r="H655" s="121" t="n">
        <v>60.47650563810962</v>
      </c>
      <c r="I655" s="118" t="n">
        <v>97.23171951293945</v>
      </c>
      <c r="J655" s="118" t="n">
        <v>98.99877922058106</v>
      </c>
      <c r="K655" s="120" t="n">
        <v>0.2002436592440591</v>
      </c>
      <c r="L655" s="120" t="n">
        <v>-0.1705630243290116</v>
      </c>
      <c r="M655" s="120" t="n">
        <v>-0.1968102046546278</v>
      </c>
      <c r="N655" t="n">
        <v>47.8676604039881</v>
      </c>
      <c r="O655" t="n">
        <v>-0.1096864676988212</v>
      </c>
      <c r="P655" t="n">
        <v>121.1081449380534</v>
      </c>
      <c r="Q655" t="n">
        <v>121.6206342322466</v>
      </c>
    </row>
    <row r="656">
      <c r="A656" s="117" t="n">
        <v>45365</v>
      </c>
      <c r="B656" s="118" t="n">
        <v>97.00343069614217</v>
      </c>
      <c r="C656" s="118" t="n">
        <v>97.27868592658432</v>
      </c>
      <c r="D656" s="118" t="n">
        <v>95.0007173489127</v>
      </c>
      <c r="E656" s="118" t="n">
        <v>95.16207885742188</v>
      </c>
      <c r="F656" s="119" t="n">
        <v>8350900</v>
      </c>
      <c r="G656" s="120" t="n">
        <v>-0.01085239793521486</v>
      </c>
      <c r="H656" s="121" t="n">
        <v>59.8201905331936</v>
      </c>
      <c r="I656" s="118" t="n">
        <v>97.11951721191406</v>
      </c>
      <c r="J656" s="118" t="n">
        <v>98.97124542236328</v>
      </c>
      <c r="K656" s="120" t="n">
        <v>0.1955083032473186</v>
      </c>
      <c r="L656" s="120" t="n">
        <v>-0.1795644044511742</v>
      </c>
      <c r="M656" s="120" t="n">
        <v>-0.2055267399312196</v>
      </c>
      <c r="N656" t="n">
        <v>44.6209382728386</v>
      </c>
      <c r="O656" t="n">
        <v>-0.06264868120469991</v>
      </c>
      <c r="P656" t="n">
        <v>120.8687209782573</v>
      </c>
      <c r="Q656" t="n">
        <v>121.3140048029982</v>
      </c>
    </row>
    <row r="657">
      <c r="A657" s="117" t="n">
        <v>45366</v>
      </c>
      <c r="B657" s="118" t="n">
        <v>95.20002984142546</v>
      </c>
      <c r="C657" s="118" t="n">
        <v>96.01630183821557</v>
      </c>
      <c r="D657" s="118" t="n">
        <v>94.2888367703648</v>
      </c>
      <c r="E657" s="118" t="n">
        <v>94.57358551025391</v>
      </c>
      <c r="F657" s="119" t="n">
        <v>15208500</v>
      </c>
      <c r="G657" s="120" t="n">
        <v>-0.006184116133588158</v>
      </c>
      <c r="H657" s="121" t="n">
        <v>59.45025552780295</v>
      </c>
      <c r="I657" s="118" t="n">
        <v>97.04302246093749</v>
      </c>
      <c r="J657" s="118" t="n">
        <v>98.94540424346924</v>
      </c>
      <c r="K657" s="120" t="n">
        <v>0.1959018032059369</v>
      </c>
      <c r="L657" s="120" t="n">
        <v>-0.1846380734541777</v>
      </c>
      <c r="M657" s="120" t="n">
        <v>-0.2104398548365153</v>
      </c>
      <c r="N657" t="n">
        <v>42.85645760969557</v>
      </c>
      <c r="O657" t="n">
        <v>-0.05889930342426108</v>
      </c>
      <c r="P657" t="n">
        <v>120.0387582569944</v>
      </c>
      <c r="Q657" t="n">
        <v>119.8719690344348</v>
      </c>
    </row>
    <row r="658">
      <c r="A658" s="117" t="n">
        <v>45369</v>
      </c>
      <c r="B658" s="118" t="n">
        <v>93.94715462570998</v>
      </c>
      <c r="C658" s="118" t="n">
        <v>94.59257886948885</v>
      </c>
      <c r="D658" s="118" t="n">
        <v>93.51053793131867</v>
      </c>
      <c r="E658" s="118" t="n">
        <v>93.71935272216797</v>
      </c>
      <c r="F658" s="119" t="n">
        <v>7207000</v>
      </c>
      <c r="G658" s="120" t="n">
        <v>-0.009032466977719866</v>
      </c>
      <c r="H658" s="121" t="n">
        <v>58.91327305793107</v>
      </c>
      <c r="I658" s="118" t="n">
        <v>96.98235610961915</v>
      </c>
      <c r="J658" s="118" t="n">
        <v>98.92119091033936</v>
      </c>
      <c r="K658" s="120" t="n">
        <v>0.1812080008089199</v>
      </c>
      <c r="L658" s="120" t="n">
        <v>-0.1912774903654649</v>
      </c>
      <c r="M658" s="120" t="n">
        <v>-0.2175715307746282</v>
      </c>
      <c r="N658" t="n">
        <v>40.36149083095124</v>
      </c>
      <c r="O658" t="n">
        <v>-0.09930343704551703</v>
      </c>
      <c r="P658" t="n">
        <v>120.7521672753362</v>
      </c>
      <c r="Q658" t="n">
        <v>121.0152271513273</v>
      </c>
    </row>
    <row r="659">
      <c r="A659" s="117" t="n">
        <v>45370</v>
      </c>
      <c r="B659" s="118" t="n">
        <v>93.49155702464907</v>
      </c>
      <c r="C659" s="118" t="n">
        <v>94.95325330294385</v>
      </c>
      <c r="D659" s="118" t="n">
        <v>93.43461017012513</v>
      </c>
      <c r="E659" s="118" t="n">
        <v>94.8773193359375</v>
      </c>
      <c r="F659" s="119" t="n">
        <v>6168900</v>
      </c>
      <c r="G659" s="120" t="n">
        <v>0.01235568300607381</v>
      </c>
      <c r="H659" s="121" t="n">
        <v>59.64118678468514</v>
      </c>
      <c r="I659" s="118" t="n">
        <v>96.94901062011719</v>
      </c>
      <c r="J659" s="118" t="n">
        <v>98.9103988647461</v>
      </c>
      <c r="K659" s="120" t="n">
        <v>0.1883529984018836</v>
      </c>
      <c r="L659" s="120" t="n">
        <v>-0.1812851713965441</v>
      </c>
      <c r="M659" s="120" t="n">
        <v>-0.2079040926339519</v>
      </c>
      <c r="N659" t="n">
        <v>45.03297828898691</v>
      </c>
      <c r="O659" t="n">
        <v>-0.03662388718682619</v>
      </c>
      <c r="P659" t="n">
        <v>121.423212583107</v>
      </c>
      <c r="Q659" t="n">
        <v>121.3167388278348</v>
      </c>
    </row>
    <row r="660">
      <c r="A660" s="117" t="n">
        <v>45371</v>
      </c>
      <c r="B660" s="118" t="n">
        <v>94.39325707296904</v>
      </c>
      <c r="C660" s="118" t="n">
        <v>95.33292369828348</v>
      </c>
      <c r="D660" s="118" t="n">
        <v>93.99461457575444</v>
      </c>
      <c r="E660" s="118" t="n">
        <v>95.17156219482422</v>
      </c>
      <c r="F660" s="119" t="n">
        <v>7771700</v>
      </c>
      <c r="G660" s="120" t="n">
        <v>0.003101298191666713</v>
      </c>
      <c r="H660" s="121" t="n">
        <v>59.82615188940934</v>
      </c>
      <c r="I660" s="118" t="n">
        <v>96.89242019653321</v>
      </c>
      <c r="J660" s="118" t="n">
        <v>98.87998733520507</v>
      </c>
      <c r="K660" s="120" t="n">
        <v>0.1732621818794131</v>
      </c>
      <c r="L660" s="120" t="n">
        <v>-0.07527798939837105</v>
      </c>
      <c r="M660" s="120" t="n">
        <v>-0.2054475670288111</v>
      </c>
      <c r="N660" t="n">
        <v>46.18646997095815</v>
      </c>
      <c r="O660" t="n">
        <v>0.0323433938643416</v>
      </c>
      <c r="P660" t="n">
        <v>122.5462973519252</v>
      </c>
      <c r="Q660" t="n">
        <v>122.7551520134897</v>
      </c>
    </row>
    <row r="661">
      <c r="A661" s="117" t="n">
        <v>45372</v>
      </c>
      <c r="B661" s="118" t="n">
        <v>95.33292798878831</v>
      </c>
      <c r="C661" s="118" t="n">
        <v>96.73767034927864</v>
      </c>
      <c r="D661" s="118" t="n">
        <v>94.68750367029035</v>
      </c>
      <c r="E661" s="118" t="n">
        <v>95.693603515625</v>
      </c>
      <c r="F661" s="119" t="n">
        <v>17176000</v>
      </c>
      <c r="G661" s="120" t="n">
        <v>0.005485265858430788</v>
      </c>
      <c r="H661" s="121" t="n">
        <v>60.15431423780961</v>
      </c>
      <c r="I661" s="118" t="n">
        <v>96.86291580200195</v>
      </c>
      <c r="J661" s="118" t="n">
        <v>98.8643049621582</v>
      </c>
      <c r="K661" s="120" t="n">
        <v>0.1753994911951005</v>
      </c>
      <c r="L661" s="120" t="n">
        <v>-0.07020564332507839</v>
      </c>
      <c r="M661" s="120" t="n">
        <v>-0.2010892356955012</v>
      </c>
      <c r="N661" t="n">
        <v>48.26097335099562</v>
      </c>
      <c r="O661" t="n">
        <v>0.1161001727012182</v>
      </c>
      <c r="P661" t="n">
        <v>122.9512652035434</v>
      </c>
      <c r="Q661" t="n">
        <v>123.3360639406389</v>
      </c>
    </row>
    <row r="662">
      <c r="A662" s="117" t="n">
        <v>45373</v>
      </c>
      <c r="B662" s="118" t="n">
        <v>89.07800033964877</v>
      </c>
      <c r="C662" s="118" t="n">
        <v>90.33088190784945</v>
      </c>
      <c r="D662" s="118" t="n">
        <v>87.05630722139331</v>
      </c>
      <c r="E662" s="118" t="n">
        <v>89.08749389648438</v>
      </c>
      <c r="F662" s="119" t="n">
        <v>41837400</v>
      </c>
      <c r="G662" s="120" t="n">
        <v>-0.06903397276769885</v>
      </c>
      <c r="H662" s="121" t="n">
        <v>56.00162294685707</v>
      </c>
      <c r="I662" s="118" t="n">
        <v>96.681806640625</v>
      </c>
      <c r="J662" s="118" t="n">
        <v>98.81094169616699</v>
      </c>
      <c r="K662" s="120" t="n">
        <v>0.2938444403204364</v>
      </c>
      <c r="L662" s="120" t="n">
        <v>-0.134393041623335</v>
      </c>
      <c r="M662" s="120" t="n">
        <v>-0.2562412196423194</v>
      </c>
      <c r="N662" t="n">
        <v>31.63929077095635</v>
      </c>
      <c r="O662" t="n">
        <v>-0.2504305026231164</v>
      </c>
      <c r="P662" t="n">
        <v>122.7181799351567</v>
      </c>
      <c r="Q662" t="n">
        <v>123.4771225345505</v>
      </c>
    </row>
    <row r="663">
      <c r="A663" s="117" t="n">
        <v>45376</v>
      </c>
      <c r="B663" s="118" t="n">
        <v>89.28682193039359</v>
      </c>
      <c r="C663" s="118" t="n">
        <v>90.66309087625643</v>
      </c>
      <c r="D663" s="118" t="n">
        <v>88.05292014057935</v>
      </c>
      <c r="E663" s="118" t="n">
        <v>88.98309326171875</v>
      </c>
      <c r="F663" s="119" t="n">
        <v>14548800</v>
      </c>
      <c r="G663" s="120" t="n">
        <v>-0.001171888782581898</v>
      </c>
      <c r="H663" s="121" t="n">
        <v>55.93599527311927</v>
      </c>
      <c r="I663" s="118" t="n">
        <v>96.45831939697266</v>
      </c>
      <c r="J663" s="118" t="n">
        <v>98.75282901763916</v>
      </c>
      <c r="K663" s="120" t="n">
        <v>0.2936669994105882</v>
      </c>
      <c r="L663" s="120" t="n">
        <v>-0.1354074367079814</v>
      </c>
      <c r="M663" s="120" t="n">
        <v>-0.2571128222139674</v>
      </c>
      <c r="N663" t="n">
        <v>31.45491262753559</v>
      </c>
      <c r="O663" t="n">
        <v>-0.4644838270568572</v>
      </c>
      <c r="P663" t="n">
        <v>122.3791300467036</v>
      </c>
      <c r="Q663" t="n">
        <v>123.0290073200098</v>
      </c>
    </row>
    <row r="664">
      <c r="A664" s="117" t="n">
        <v>45377</v>
      </c>
      <c r="B664" s="118" t="n">
        <v>88.97358740878632</v>
      </c>
      <c r="C664" s="118" t="n">
        <v>89.08748835934776</v>
      </c>
      <c r="D664" s="118" t="n">
        <v>87.71121960367327</v>
      </c>
      <c r="E664" s="118" t="n">
        <v>87.87257385253906</v>
      </c>
      <c r="F664" s="119" t="n">
        <v>10816900</v>
      </c>
      <c r="G664" s="120" t="n">
        <v>-0.01248011693539808</v>
      </c>
      <c r="H664" s="121" t="n">
        <v>55.23790751121286</v>
      </c>
      <c r="I664" s="118" t="n">
        <v>96.2285108947754</v>
      </c>
      <c r="J664" s="118" t="n">
        <v>98.69334426879882</v>
      </c>
      <c r="K664" s="120" t="n">
        <v>0.291822802792862</v>
      </c>
      <c r="L664" s="120" t="n">
        <v>-0.1442317058482755</v>
      </c>
      <c r="M664" s="120" t="n">
        <v>-0.2663841410625449</v>
      </c>
      <c r="N664" t="n">
        <v>29.4865107134235</v>
      </c>
      <c r="O664" t="n">
        <v>-0.6348957700653082</v>
      </c>
      <c r="P664" t="n">
        <v>122.1530771099967</v>
      </c>
      <c r="Q664" t="n">
        <v>122.6306855328051</v>
      </c>
    </row>
    <row r="665">
      <c r="A665" s="117" t="n">
        <v>45378</v>
      </c>
      <c r="B665" s="118" t="n">
        <v>88.52748557654911</v>
      </c>
      <c r="C665" s="118" t="n">
        <v>89.36274474213704</v>
      </c>
      <c r="D665" s="118" t="n">
        <v>87.6257932407477</v>
      </c>
      <c r="E665" s="118" t="n">
        <v>89.34375762939453</v>
      </c>
      <c r="F665" s="119" t="n">
        <v>11095700</v>
      </c>
      <c r="G665" s="120" t="n">
        <v>0.0167422406372697</v>
      </c>
      <c r="H665" s="121" t="n">
        <v>56.16271385106483</v>
      </c>
      <c r="I665" s="118" t="n">
        <v>96.09130355834961</v>
      </c>
      <c r="J665" s="118" t="n">
        <v>98.64281242370606</v>
      </c>
      <c r="K665" s="120" t="n">
        <v>0.3026462274963414</v>
      </c>
      <c r="L665" s="120" t="n">
        <v>-0.1186200712421739</v>
      </c>
      <c r="M665" s="120" t="n">
        <v>-0.2541017678168968</v>
      </c>
      <c r="N665" t="n">
        <v>35.26592343810708</v>
      </c>
      <c r="O665" t="n">
        <v>-0.6028155431359625</v>
      </c>
      <c r="P665" t="n">
        <v>123.1796499522239</v>
      </c>
      <c r="Q665" t="n">
        <v>123.0483590895561</v>
      </c>
    </row>
    <row r="666">
      <c r="A666" s="117" t="n">
        <v>45379</v>
      </c>
      <c r="B666" s="118" t="n">
        <v>89.57156218078106</v>
      </c>
      <c r="C666" s="118" t="n">
        <v>89.98918453445589</v>
      </c>
      <c r="D666" s="118" t="n">
        <v>88.67935613352039</v>
      </c>
      <c r="E666" s="118" t="n">
        <v>89.20139312744141</v>
      </c>
      <c r="F666" s="119" t="n">
        <v>11331700</v>
      </c>
      <c r="G666" s="120" t="n">
        <v>-0.001593446545461674</v>
      </c>
      <c r="H666" s="121" t="n">
        <v>56.0732215686951</v>
      </c>
      <c r="I666" s="118" t="n">
        <v>95.96827285766602</v>
      </c>
      <c r="J666" s="118" t="n">
        <v>98.58701244354248</v>
      </c>
      <c r="K666" s="120" t="n">
        <v>0.3028502600543652</v>
      </c>
      <c r="L666" s="120" t="n">
        <v>-0.1200245030448923</v>
      </c>
      <c r="M666" s="120" t="n">
        <v>-0.2552903167782349</v>
      </c>
      <c r="N666" t="n">
        <v>34.96725282944323</v>
      </c>
      <c r="O666" t="n">
        <v>-0.5470977885712629</v>
      </c>
      <c r="P666" t="n">
        <v>123.156088320478</v>
      </c>
      <c r="Q666" t="n">
        <v>122.8215546417078</v>
      </c>
    </row>
    <row r="667">
      <c r="A667" s="117" t="n">
        <v>45383</v>
      </c>
      <c r="B667" s="118" t="n">
        <v>89.04003306841881</v>
      </c>
      <c r="C667" s="118" t="n">
        <v>89.14444046888944</v>
      </c>
      <c r="D667" s="118" t="n">
        <v>87.0278335134475</v>
      </c>
      <c r="E667" s="118" t="n">
        <v>87.85359191894531</v>
      </c>
      <c r="F667" s="119" t="n">
        <v>10360000</v>
      </c>
      <c r="G667" s="120" t="n">
        <v>-0.01510964303629769</v>
      </c>
      <c r="H667" s="121" t="n">
        <v>55.22597520689688</v>
      </c>
      <c r="I667" s="118" t="n">
        <v>95.81601638793946</v>
      </c>
      <c r="J667" s="118" t="n">
        <v>98.52470832824707</v>
      </c>
      <c r="K667" s="120" t="n">
        <v>0.3023121557484179</v>
      </c>
      <c r="L667" s="120" t="n">
        <v>-0.1333206186845727</v>
      </c>
      <c r="M667" s="120" t="n">
        <v>-0.26654261425739</v>
      </c>
      <c r="N667" t="n">
        <v>32.18792945917222</v>
      </c>
      <c r="O667" t="n">
        <v>-0.5551665143482172</v>
      </c>
      <c r="P667" t="n">
        <v>122.9418272683718</v>
      </c>
      <c r="Q667" t="n">
        <v>123.0815604036652</v>
      </c>
    </row>
    <row r="668">
      <c r="A668" s="117" t="n">
        <v>45384</v>
      </c>
      <c r="B668" s="118" t="n">
        <v>87.09426579982022</v>
      </c>
      <c r="C668" s="118" t="n">
        <v>87.22714661684277</v>
      </c>
      <c r="D668" s="118" t="n">
        <v>86.03121202217837</v>
      </c>
      <c r="E668" s="118" t="n">
        <v>86.32544708251953</v>
      </c>
      <c r="F668" s="119" t="n">
        <v>11107300</v>
      </c>
      <c r="G668" s="120" t="n">
        <v>-0.01739422148881131</v>
      </c>
      <c r="H668" s="121" t="n">
        <v>54.26536236221251</v>
      </c>
      <c r="I668" s="118" t="n">
        <v>95.6173080444336</v>
      </c>
      <c r="J668" s="118" t="n">
        <v>98.42620418548584</v>
      </c>
      <c r="K668" s="120" t="n">
        <v>0.2984451319456337</v>
      </c>
      <c r="L668" s="120" t="n">
        <v>-0.1483958318029592</v>
      </c>
      <c r="M668" s="120" t="n">
        <v>-0.2793005344776015</v>
      </c>
      <c r="N668" t="n">
        <v>29.34040758837456</v>
      </c>
      <c r="O668" t="n">
        <v>-0.6130361665497175</v>
      </c>
      <c r="P668" t="n">
        <v>122.1601684748912</v>
      </c>
      <c r="Q668" t="n">
        <v>122.0193490355216</v>
      </c>
    </row>
    <row r="669">
      <c r="A669" s="117" t="n">
        <v>45385</v>
      </c>
      <c r="B669" s="118" t="n">
        <v>86.38240083572431</v>
      </c>
      <c r="C669" s="118" t="n">
        <v>86.7905368411007</v>
      </c>
      <c r="D669" s="118" t="n">
        <v>85.68951608558805</v>
      </c>
      <c r="E669" s="118" t="n">
        <v>85.73697662353516</v>
      </c>
      <c r="F669" s="119" t="n">
        <v>8876600</v>
      </c>
      <c r="G669" s="120" t="n">
        <v>-0.006816882841299998</v>
      </c>
      <c r="H669" s="121" t="n">
        <v>53.89544174464862</v>
      </c>
      <c r="I669" s="118" t="n">
        <v>95.42990722656251</v>
      </c>
      <c r="J669" s="118" t="n">
        <v>98.32687149047851</v>
      </c>
      <c r="K669" s="120" t="n">
        <v>0.2971136894750542</v>
      </c>
      <c r="L669" s="120" t="n">
        <v>-0.1542011176447212</v>
      </c>
      <c r="M669" s="120" t="n">
        <v>-0.2842134582978552</v>
      </c>
      <c r="N669" t="n">
        <v>28.30207349697575</v>
      </c>
      <c r="O669" t="n">
        <v>-0.6377213948907055</v>
      </c>
      <c r="P669" t="n">
        <v>122.2943583506506</v>
      </c>
      <c r="Q669" t="n">
        <v>122.2932043420416</v>
      </c>
    </row>
    <row r="670">
      <c r="A670" s="117" t="n">
        <v>45386</v>
      </c>
      <c r="B670" s="118" t="n">
        <v>86.32545872804009</v>
      </c>
      <c r="C670" s="118" t="n">
        <v>86.42037981711394</v>
      </c>
      <c r="D670" s="118" t="n">
        <v>84.37020594968709</v>
      </c>
      <c r="E670" s="118" t="n">
        <v>84.54105377197266</v>
      </c>
      <c r="F670" s="119" t="n">
        <v>12110300</v>
      </c>
      <c r="G670" s="120" t="n">
        <v>-0.0139487406561315</v>
      </c>
      <c r="H670" s="121" t="n">
        <v>53.14366820520488</v>
      </c>
      <c r="I670" s="118" t="n">
        <v>95.19324127197265</v>
      </c>
      <c r="J670" s="118" t="n">
        <v>98.21601642608643</v>
      </c>
      <c r="K670" s="120" t="n">
        <v>0.2990549702403894</v>
      </c>
      <c r="L670" s="120" t="n">
        <v>-0.1659989469019408</v>
      </c>
      <c r="M670" s="120" t="n">
        <v>-0.2941977791332077</v>
      </c>
      <c r="N670" t="n">
        <v>26.26758908788355</v>
      </c>
      <c r="O670" t="n">
        <v>-0.6776259253030625</v>
      </c>
      <c r="P670" t="n">
        <v>120.8016149716499</v>
      </c>
      <c r="Q670" t="n">
        <v>120.4232595112453</v>
      </c>
    </row>
    <row r="671">
      <c r="A671" s="117" t="n">
        <v>45387</v>
      </c>
      <c r="B671" s="118" t="n">
        <v>84.61696565334248</v>
      </c>
      <c r="C671" s="118" t="n">
        <v>85.66103218738975</v>
      </c>
      <c r="D671" s="118" t="n">
        <v>84.28476365270842</v>
      </c>
      <c r="E671" s="118" t="n">
        <v>84.32272338867188</v>
      </c>
      <c r="F671" s="119" t="n">
        <v>9716700</v>
      </c>
      <c r="G671" s="120" t="n">
        <v>-0.002582536809745406</v>
      </c>
      <c r="H671" s="121" t="n">
        <v>53.00642272586003</v>
      </c>
      <c r="I671" s="118" t="n">
        <v>94.97377227783203</v>
      </c>
      <c r="J671" s="118" t="n">
        <v>98.1230936050415</v>
      </c>
      <c r="K671" s="120" t="n">
        <v>0.2967629727037512</v>
      </c>
      <c r="L671" s="120" t="n">
        <v>-0.168152785320933</v>
      </c>
      <c r="M671" s="120" t="n">
        <v>-0.2960205393489962</v>
      </c>
      <c r="N671" t="n">
        <v>25.9015249856249</v>
      </c>
      <c r="O671" t="n">
        <v>-0.6610456439399632</v>
      </c>
      <c r="P671" t="n">
        <v>122.0636122733893</v>
      </c>
      <c r="Q671" t="n">
        <v>121.8423123835264</v>
      </c>
    </row>
    <row r="672">
      <c r="A672" s="117" t="n">
        <v>45390</v>
      </c>
      <c r="B672" s="118" t="n">
        <v>84.57901397399061</v>
      </c>
      <c r="C672" s="118" t="n">
        <v>85.67054123761093</v>
      </c>
      <c r="D672" s="118" t="n">
        <v>84.2847788975613</v>
      </c>
      <c r="E672" s="118" t="n">
        <v>85.42375946044922</v>
      </c>
      <c r="F672" s="119" t="n">
        <v>8452500</v>
      </c>
      <c r="G672" s="120" t="n">
        <v>0.01305740644431386</v>
      </c>
      <c r="H672" s="121" t="n">
        <v>53.69854913155071</v>
      </c>
      <c r="I672" s="118" t="n">
        <v>94.77613494873047</v>
      </c>
      <c r="J672" s="118" t="n">
        <v>98.03360919952392</v>
      </c>
      <c r="K672" s="120" t="n">
        <v>0.2990567731000385</v>
      </c>
      <c r="L672" s="120" t="n">
        <v>-0.1572910181392979</v>
      </c>
      <c r="M672" s="120" t="n">
        <v>-0.2868283934028272</v>
      </c>
      <c r="N672" t="n">
        <v>31.11507084544736</v>
      </c>
      <c r="O672" t="n">
        <v>-0.524225400974506</v>
      </c>
      <c r="P672" t="n">
        <v>122.1318915651353</v>
      </c>
      <c r="Q672" t="n">
        <v>121.8782818977824</v>
      </c>
    </row>
    <row r="673">
      <c r="A673" s="117" t="n">
        <v>45391</v>
      </c>
      <c r="B673" s="118" t="n">
        <v>85.42376423930074</v>
      </c>
      <c r="C673" s="118" t="n">
        <v>86.52478512095358</v>
      </c>
      <c r="D673" s="118" t="n">
        <v>85.30037696454815</v>
      </c>
      <c r="E673" s="118" t="n">
        <v>86.37291717529297</v>
      </c>
      <c r="F673" s="119" t="n">
        <v>7191900</v>
      </c>
      <c r="G673" s="120" t="n">
        <v>0.01111116767558329</v>
      </c>
      <c r="H673" s="121" t="n">
        <v>54.29520271488691</v>
      </c>
      <c r="I673" s="118" t="n">
        <v>94.56002792358399</v>
      </c>
      <c r="J673" s="118" t="n">
        <v>97.94661582946777</v>
      </c>
      <c r="K673" s="120" t="n">
        <v>0.291606879241379</v>
      </c>
      <c r="L673" s="120" t="n">
        <v>-0.1479275373401238</v>
      </c>
      <c r="M673" s="120" t="n">
        <v>-0.2789042241004608</v>
      </c>
      <c r="N673" t="n">
        <v>35.33873741756501</v>
      </c>
      <c r="O673" t="n">
        <v>-0.3277111289280961</v>
      </c>
      <c r="P673" t="n">
        <v>122.2731728057892</v>
      </c>
      <c r="Q673" t="n">
        <v>122.3291567686425</v>
      </c>
    </row>
    <row r="674">
      <c r="A674" s="117" t="n">
        <v>45392</v>
      </c>
      <c r="B674" s="118" t="n">
        <v>85.32884844618567</v>
      </c>
      <c r="C674" s="118" t="n">
        <v>85.51867613246601</v>
      </c>
      <c r="D674" s="118" t="n">
        <v>84.25630101846176</v>
      </c>
      <c r="E674" s="118" t="n">
        <v>84.474609375</v>
      </c>
      <c r="F674" s="119" t="n">
        <v>7932900</v>
      </c>
      <c r="G674" s="120" t="n">
        <v>-0.02197804430340555</v>
      </c>
      <c r="H674" s="121" t="n">
        <v>53.10190034415675</v>
      </c>
      <c r="I674" s="118" t="n">
        <v>94.28458053588867</v>
      </c>
      <c r="J674" s="118" t="n">
        <v>97.85454643249511</v>
      </c>
      <c r="K674" s="120" t="n">
        <v>0.2975176038997447</v>
      </c>
      <c r="L674" s="120" t="n">
        <v>-0.1666544236741743</v>
      </c>
      <c r="M674" s="120" t="n">
        <v>-0.2947524990101795</v>
      </c>
      <c r="N674" t="n">
        <v>31.21625221899022</v>
      </c>
      <c r="O674" t="n">
        <v>-0.2850550758097787</v>
      </c>
      <c r="P674" t="n">
        <v>121.048823936611</v>
      </c>
      <c r="Q674" t="n">
        <v>121.2614175440324</v>
      </c>
    </row>
    <row r="675">
      <c r="A675" s="117" t="n">
        <v>45393</v>
      </c>
      <c r="B675" s="118" t="n">
        <v>86.59121514458916</v>
      </c>
      <c r="C675" s="118" t="n">
        <v>87.71121576430185</v>
      </c>
      <c r="D675" s="118" t="n">
        <v>86.21155256746493</v>
      </c>
      <c r="E675" s="118" t="n">
        <v>87.32205963134766</v>
      </c>
      <c r="F675" s="119" t="n">
        <v>15330200</v>
      </c>
      <c r="G675" s="120" t="n">
        <v>0.03370776470486225</v>
      </c>
      <c r="H675" s="121" t="n">
        <v>54.89184670633863</v>
      </c>
      <c r="I675" s="118" t="n">
        <v>94.06040725708007</v>
      </c>
      <c r="J675" s="118" t="n">
        <v>97.76628635406495</v>
      </c>
      <c r="K675" s="120" t="n">
        <v>0.3236649788150124</v>
      </c>
      <c r="L675" s="120" t="n">
        <v>-0.1385642070695454</v>
      </c>
      <c r="M675" s="120" t="n">
        <v>-0.2709801821881225</v>
      </c>
      <c r="N675" t="n">
        <v>42.12285238918889</v>
      </c>
      <c r="O675" t="n">
        <v>-0.03755758397965003</v>
      </c>
      <c r="P675" t="n">
        <v>121.9623776896365</v>
      </c>
      <c r="Q675" t="n">
        <v>123.1977479153916</v>
      </c>
    </row>
    <row r="676">
      <c r="A676" s="117" t="n">
        <v>45394</v>
      </c>
      <c r="B676" s="118" t="n">
        <v>87.33155318717763</v>
      </c>
      <c r="C676" s="118" t="n">
        <v>88.14782519348323</v>
      </c>
      <c r="D676" s="118" t="n">
        <v>86.48680775484347</v>
      </c>
      <c r="E676" s="118" t="n">
        <v>87.32205963134766</v>
      </c>
      <c r="F676" s="119" t="n">
        <v>10905900</v>
      </c>
      <c r="G676" s="120" t="n">
        <v>0</v>
      </c>
      <c r="H676" s="121" t="n">
        <v>54.89184670633863</v>
      </c>
      <c r="I676" s="118" t="n">
        <v>93.88636016845703</v>
      </c>
      <c r="J676" s="118" t="n">
        <v>97.66924240112304</v>
      </c>
      <c r="K676" s="120" t="n">
        <v>0.323190291215543</v>
      </c>
      <c r="L676" s="120" t="n">
        <v>-0.1385642070695454</v>
      </c>
      <c r="M676" s="120" t="n">
        <v>-0.2709801821881225</v>
      </c>
      <c r="N676" t="n">
        <v>42.12285238918888</v>
      </c>
      <c r="O676" t="n">
        <v>0.1437243038388472</v>
      </c>
      <c r="P676" t="n">
        <v>120.2789275111238</v>
      </c>
      <c r="Q676" t="n">
        <v>121.2337440863898</v>
      </c>
    </row>
    <row r="677">
      <c r="A677" s="117" t="n">
        <v>45397</v>
      </c>
      <c r="B677" s="118" t="n">
        <v>88.83123288184264</v>
      </c>
      <c r="C677" s="118" t="n">
        <v>89.14445513478535</v>
      </c>
      <c r="D677" s="118" t="n">
        <v>87.83462649720215</v>
      </c>
      <c r="E677" s="118" t="n">
        <v>88.36614990234375</v>
      </c>
      <c r="F677" s="119" t="n">
        <v>11597300</v>
      </c>
      <c r="G677" s="120" t="n">
        <v>0.01195677558916941</v>
      </c>
      <c r="H677" s="121" t="n">
        <v>55.54817619908141</v>
      </c>
      <c r="I677" s="118" t="n">
        <v>93.72884429931641</v>
      </c>
      <c r="J677" s="118" t="n">
        <v>97.58014331817627</v>
      </c>
      <c r="K677" s="120" t="n">
        <v>0.3280091082357588</v>
      </c>
      <c r="L677" s="120" t="n">
        <v>-0.1282642126089978</v>
      </c>
      <c r="M677" s="120" t="n">
        <v>-0.2622634558264887</v>
      </c>
      <c r="N677" t="n">
        <v>45.77898918454012</v>
      </c>
      <c r="O677" t="n">
        <v>0.340304262907531</v>
      </c>
      <c r="P677" t="n">
        <v>118.772053056397</v>
      </c>
      <c r="Q677" t="n">
        <v>119.2393327749089</v>
      </c>
    </row>
    <row r="678">
      <c r="A678" s="117" t="n">
        <v>45398</v>
      </c>
      <c r="B678" s="118" t="n">
        <v>88.30918587578952</v>
      </c>
      <c r="C678" s="118" t="n">
        <v>89.40071314908013</v>
      </c>
      <c r="D678" s="118" t="n">
        <v>86.98986393619555</v>
      </c>
      <c r="E678" s="118" t="n">
        <v>88.64138793945312</v>
      </c>
      <c r="F678" s="119" t="n">
        <v>10388200</v>
      </c>
      <c r="G678" s="120" t="n">
        <v>0.003114745153133258</v>
      </c>
      <c r="H678" s="121" t="n">
        <v>55.7211946116629</v>
      </c>
      <c r="I678" s="118" t="n">
        <v>93.5966943359375</v>
      </c>
      <c r="J678" s="118" t="n">
        <v>97.49082336425781</v>
      </c>
      <c r="K678" s="120" t="n">
        <v>0.3279691617206597</v>
      </c>
      <c r="L678" s="120" t="n">
        <v>-0.1255489777904089</v>
      </c>
      <c r="M678" s="120" t="n">
        <v>-0.2599655945012349</v>
      </c>
      <c r="N678" t="n">
        <v>46.73424240805131</v>
      </c>
      <c r="O678" t="n">
        <v>0.4863257347363126</v>
      </c>
      <c r="P678" t="n">
        <v>118.5554380548618</v>
      </c>
      <c r="Q678" t="n">
        <v>119.250405575497</v>
      </c>
    </row>
    <row r="679">
      <c r="A679" s="117" t="n">
        <v>45399</v>
      </c>
      <c r="B679" s="118" t="n">
        <v>89.79935331478158</v>
      </c>
      <c r="C679" s="118" t="n">
        <v>90.23596276457073</v>
      </c>
      <c r="D679" s="118" t="n">
        <v>88.89766098783079</v>
      </c>
      <c r="E679" s="118" t="n">
        <v>90.01765441894531</v>
      </c>
      <c r="F679" s="119" t="n">
        <v>10181200</v>
      </c>
      <c r="G679" s="120" t="n">
        <v>0.01552622890372901</v>
      </c>
      <c r="H679" s="121" t="n">
        <v>56.58633463399281</v>
      </c>
      <c r="I679" s="118" t="n">
        <v>93.511552734375</v>
      </c>
      <c r="J679" s="118" t="n">
        <v>97.42247650146484</v>
      </c>
      <c r="K679" s="120" t="n">
        <v>0.3300697630148624</v>
      </c>
      <c r="L679" s="120" t="n">
        <v>-0.1119720510544828</v>
      </c>
      <c r="M679" s="120" t="n">
        <v>-0.2484756509248262</v>
      </c>
      <c r="N679" t="n">
        <v>51.34970411252415</v>
      </c>
      <c r="O679" t="n">
        <v>0.6621600676681063</v>
      </c>
      <c r="P679" t="n">
        <v>117.8537914045133</v>
      </c>
      <c r="Q679" t="n">
        <v>117.7953831889599</v>
      </c>
    </row>
    <row r="680">
      <c r="A680" s="117" t="n">
        <v>45400</v>
      </c>
      <c r="B680" s="118" t="n">
        <v>90.32140683508314</v>
      </c>
      <c r="C680" s="118" t="n">
        <v>91.00479094160488</v>
      </c>
      <c r="D680" s="118" t="n">
        <v>89.72343578486498</v>
      </c>
      <c r="E680" s="118" t="n">
        <v>90.87191009521484</v>
      </c>
      <c r="F680" s="119" t="n">
        <v>10062900</v>
      </c>
      <c r="G680" s="120" t="n">
        <v>0.009489868201784102</v>
      </c>
      <c r="H680" s="121" t="n">
        <v>57.12333149169145</v>
      </c>
      <c r="I680" s="118" t="n">
        <v>93.38807373046875</v>
      </c>
      <c r="J680" s="118" t="n">
        <v>97.36431941986083</v>
      </c>
      <c r="K680" s="120" t="n">
        <v>0.3322577001715132</v>
      </c>
      <c r="L680" s="120" t="n">
        <v>-0.1035447828594892</v>
      </c>
      <c r="M680" s="120" t="n">
        <v>-0.2413437839016712</v>
      </c>
      <c r="N680" t="n">
        <v>54.01330566973989</v>
      </c>
      <c r="O680" t="n">
        <v>0.8126402913987554</v>
      </c>
      <c r="P680" t="n">
        <v>117.6112903384104</v>
      </c>
      <c r="Q680" t="n">
        <v>117.1232060952351</v>
      </c>
    </row>
    <row r="681">
      <c r="A681" s="117" t="n">
        <v>45401</v>
      </c>
      <c r="B681" s="118" t="n">
        <v>90.56816466017106</v>
      </c>
      <c r="C681" s="118" t="n">
        <v>91.32748984892193</v>
      </c>
      <c r="D681" s="118" t="n">
        <v>89.68545220586941</v>
      </c>
      <c r="E681" s="118" t="n">
        <v>89.72341918945312</v>
      </c>
      <c r="F681" s="119" t="n">
        <v>11241900</v>
      </c>
      <c r="G681" s="120" t="n">
        <v>-0.01263856899847637</v>
      </c>
      <c r="H681" s="121" t="n">
        <v>56.40137432521087</v>
      </c>
      <c r="I681" s="118" t="n">
        <v>93.21930465698242</v>
      </c>
      <c r="J681" s="118" t="n">
        <v>97.30986133575439</v>
      </c>
      <c r="K681" s="120" t="n">
        <v>0.3330003496377648</v>
      </c>
      <c r="L681" s="120" t="n">
        <v>-0.1148746939753637</v>
      </c>
      <c r="M681" s="120" t="n">
        <v>-0.250932112834953</v>
      </c>
      <c r="N681" t="n">
        <v>50.04615359023595</v>
      </c>
      <c r="O681" t="n">
        <v>0.8096778489997103</v>
      </c>
      <c r="P681" t="n">
        <v>116.5847396336386</v>
      </c>
      <c r="Q681" t="n">
        <v>114.700005707277</v>
      </c>
    </row>
    <row r="682">
      <c r="A682" s="117" t="n">
        <v>45404</v>
      </c>
      <c r="B682" s="118" t="n">
        <v>89.81833339778863</v>
      </c>
      <c r="C682" s="118" t="n">
        <v>90.2264694211682</v>
      </c>
      <c r="D682" s="118" t="n">
        <v>89.07799531850982</v>
      </c>
      <c r="E682" s="118" t="n">
        <v>89.40071105957031</v>
      </c>
      <c r="F682" s="119" t="n">
        <v>8642000</v>
      </c>
      <c r="G682" s="120" t="n">
        <v>-0.003596698975564028</v>
      </c>
      <c r="H682" s="121" t="n">
        <v>56.19851555995498</v>
      </c>
      <c r="I682" s="118" t="n">
        <v>93.04445983886718</v>
      </c>
      <c r="J682" s="118" t="n">
        <v>97.26318424224854</v>
      </c>
      <c r="K682" s="120" t="n">
        <v>0.224107371088903</v>
      </c>
      <c r="L682" s="120" t="n">
        <v>-0.1180582232567883</v>
      </c>
      <c r="M682" s="120" t="n">
        <v>-0.2536262845373475</v>
      </c>
      <c r="N682" t="n">
        <v>48.95805247655857</v>
      </c>
      <c r="O682" t="n">
        <v>0.7615499202533884</v>
      </c>
      <c r="P682" t="n">
        <v>117.6583767061432</v>
      </c>
      <c r="Q682" t="n">
        <v>115.8535164173066</v>
      </c>
    </row>
    <row r="683">
      <c r="A683" s="117" t="n">
        <v>45405</v>
      </c>
      <c r="B683" s="118" t="n">
        <v>89.57156631963565</v>
      </c>
      <c r="C683" s="118" t="n">
        <v>89.90376840318009</v>
      </c>
      <c r="D683" s="118" t="n">
        <v>89.13495683248264</v>
      </c>
      <c r="E683" s="118" t="n">
        <v>89.23935699462891</v>
      </c>
      <c r="F683" s="119" t="n">
        <v>6582700</v>
      </c>
      <c r="G683" s="120" t="n">
        <v>-0.00180484095740463</v>
      </c>
      <c r="H683" s="121" t="n">
        <v>56.09708617732704</v>
      </c>
      <c r="I683" s="118" t="n">
        <v>92.85257965087891</v>
      </c>
      <c r="J683" s="118" t="n">
        <v>97.21870655059814</v>
      </c>
      <c r="K683" s="120" t="n">
        <v>0.2241726276620453</v>
      </c>
      <c r="L683" s="120" t="n">
        <v>-0.1196499878975006</v>
      </c>
      <c r="M683" s="120" t="n">
        <v>-0.2549733703885447</v>
      </c>
      <c r="N683" t="n">
        <v>48.39152297733617</v>
      </c>
      <c r="O683" t="n">
        <v>0.6961975983760467</v>
      </c>
      <c r="P683" t="n">
        <v>119.0545934002492</v>
      </c>
      <c r="Q683" t="n">
        <v>117.5823770227086</v>
      </c>
    </row>
    <row r="684">
      <c r="A684" s="117" t="n">
        <v>45406</v>
      </c>
      <c r="B684" s="118" t="n">
        <v>89.31527644660109</v>
      </c>
      <c r="C684" s="118" t="n">
        <v>90.34985675738334</v>
      </c>
      <c r="D684" s="118" t="n">
        <v>89.31527644660109</v>
      </c>
      <c r="E684" s="118" t="n">
        <v>89.82781982421875</v>
      </c>
      <c r="F684" s="119" t="n">
        <v>6493200</v>
      </c>
      <c r="G684" s="120" t="n">
        <v>0.006594207414843511</v>
      </c>
      <c r="H684" s="121" t="n">
        <v>56.46700199894868</v>
      </c>
      <c r="I684" s="118" t="n">
        <v>92.62177520751953</v>
      </c>
      <c r="J684" s="118" t="n">
        <v>97.1709708404541</v>
      </c>
      <c r="K684" s="120" t="n">
        <v>0.2200058081377259</v>
      </c>
      <c r="L684" s="120" t="n">
        <v>-0.1138447773200367</v>
      </c>
      <c r="M684" s="120" t="n">
        <v>-0.250060510263305</v>
      </c>
      <c r="N684" t="n">
        <v>50.63509743641726</v>
      </c>
      <c r="O684" t="n">
        <v>0.6697400246255381</v>
      </c>
      <c r="P684" t="n">
        <v>118.9980764764966</v>
      </c>
      <c r="Q684" t="n">
        <v>117.9807158975685</v>
      </c>
    </row>
    <row r="685">
      <c r="A685" s="117" t="n">
        <v>45407</v>
      </c>
      <c r="B685" s="118" t="n">
        <v>89.22038375349958</v>
      </c>
      <c r="C685" s="118" t="n">
        <v>89.97021550721198</v>
      </c>
      <c r="D685" s="118" t="n">
        <v>87.73970736166706</v>
      </c>
      <c r="E685" s="118" t="n">
        <v>89.16343688964844</v>
      </c>
      <c r="F685" s="119" t="n">
        <v>5317900</v>
      </c>
      <c r="G685" s="120" t="n">
        <v>-0.007396182339395763</v>
      </c>
      <c r="H685" s="121" t="n">
        <v>56.04936175600543</v>
      </c>
      <c r="I685" s="118" t="n">
        <v>92.41891876220703</v>
      </c>
      <c r="J685" s="118" t="n">
        <v>97.11235061645507</v>
      </c>
      <c r="K685" s="120" t="n">
        <v>0.2139792974733908</v>
      </c>
      <c r="L685" s="120" t="n">
        <v>-0.1203989429279856</v>
      </c>
      <c r="M685" s="120" t="n">
        <v>-0.255607199472911</v>
      </c>
      <c r="N685" t="n">
        <v>48.0930376010667</v>
      </c>
      <c r="O685" t="n">
        <v>0.5875677124363492</v>
      </c>
      <c r="P685" t="n">
        <v>118.5460296362974</v>
      </c>
      <c r="Q685" t="n">
        <v>117.410885314835</v>
      </c>
    </row>
    <row r="686">
      <c r="A686" s="117" t="n">
        <v>45408</v>
      </c>
      <c r="B686" s="118" t="n">
        <v>89.78037007584473</v>
      </c>
      <c r="C686" s="118" t="n">
        <v>90.56816872729546</v>
      </c>
      <c r="D686" s="118" t="n">
        <v>89.13495305032309</v>
      </c>
      <c r="E686" s="118" t="n">
        <v>89.33427429199219</v>
      </c>
      <c r="F686" s="119" t="n">
        <v>6115700</v>
      </c>
      <c r="G686" s="120" t="n">
        <v>0.00191600288529914</v>
      </c>
      <c r="H686" s="121" t="n">
        <v>56.15675249484912</v>
      </c>
      <c r="I686" s="118" t="n">
        <v>92.19432159423827</v>
      </c>
      <c r="J686" s="118" t="n">
        <v>97.05284660339356</v>
      </c>
      <c r="K686" s="120" t="n">
        <v>0.2139985747791617</v>
      </c>
      <c r="L686" s="120" t="n">
        <v>-0.1187136247647234</v>
      </c>
      <c r="M686" s="120" t="n">
        <v>-0.2541809407193052</v>
      </c>
      <c r="N686" t="n">
        <v>48.80476362403321</v>
      </c>
      <c r="O686" t="n">
        <v>0.5267447149614066</v>
      </c>
      <c r="P686" t="n">
        <v>119.6691144051156</v>
      </c>
      <c r="Q686" t="n">
        <v>119.2227321178544</v>
      </c>
    </row>
    <row r="687">
      <c r="A687" s="117" t="n">
        <v>45411</v>
      </c>
      <c r="B687" s="118" t="n">
        <v>89.63800360402863</v>
      </c>
      <c r="C687" s="118" t="n">
        <v>90.06511951916598</v>
      </c>
      <c r="D687" s="118" t="n">
        <v>88.9356252331217</v>
      </c>
      <c r="E687" s="118" t="n">
        <v>89.27732086181641</v>
      </c>
      <c r="F687" s="119" t="n">
        <v>5030700</v>
      </c>
      <c r="G687" s="120" t="n">
        <v>-0.0006375316822928578</v>
      </c>
      <c r="H687" s="121" t="n">
        <v>56.12095078595897</v>
      </c>
      <c r="I687" s="118" t="n">
        <v>91.97388153076172</v>
      </c>
      <c r="J687" s="118" t="n">
        <v>96.99268207550048</v>
      </c>
      <c r="K687" s="120" t="n">
        <v>0.2063306054956532</v>
      </c>
      <c r="L687" s="120" t="n">
        <v>-0.119275472750109</v>
      </c>
      <c r="M687" s="120" t="n">
        <v>-0.2546564239988545</v>
      </c>
      <c r="N687" t="n">
        <v>48.5656863083632</v>
      </c>
      <c r="O687" t="n">
        <v>0.4667538598518919</v>
      </c>
      <c r="P687" t="n">
        <v>120.0929138521662</v>
      </c>
      <c r="Q687" t="n">
        <v>119.7068168466511</v>
      </c>
    </row>
    <row r="688">
      <c r="A688" s="117" t="n">
        <v>45412</v>
      </c>
      <c r="B688" s="118" t="n">
        <v>88.18579848302294</v>
      </c>
      <c r="C688" s="118" t="n">
        <v>88.75528876871262</v>
      </c>
      <c r="D688" s="118" t="n">
        <v>87.55935409974097</v>
      </c>
      <c r="E688" s="118" t="n">
        <v>87.56884765625</v>
      </c>
      <c r="F688" s="119" t="n">
        <v>6493300</v>
      </c>
      <c r="G688" s="120" t="n">
        <v>-0.01913669887351099</v>
      </c>
      <c r="H688" s="121" t="n">
        <v>55.04698105027293</v>
      </c>
      <c r="I688" s="118" t="n">
        <v>91.76731719970704</v>
      </c>
      <c r="J688" s="118" t="n">
        <v>96.92345851898193</v>
      </c>
      <c r="K688" s="120" t="n">
        <v>0.2084596410645701</v>
      </c>
      <c r="L688" s="120" t="n">
        <v>-0.1361296328186056</v>
      </c>
      <c r="M688" s="120" t="n">
        <v>-0.2689198395700944</v>
      </c>
      <c r="N688" t="n">
        <v>41.93015642322907</v>
      </c>
      <c r="O688" t="n">
        <v>0.303969434935482</v>
      </c>
      <c r="P688" t="n">
        <v>118.1904947226892</v>
      </c>
      <c r="Q688" t="n">
        <v>117.4495973977553</v>
      </c>
    </row>
    <row r="689">
      <c r="A689" s="117" t="n">
        <v>45413</v>
      </c>
      <c r="B689" s="118" t="n">
        <v>87.14173123426683</v>
      </c>
      <c r="C689" s="118" t="n">
        <v>87.19868533625338</v>
      </c>
      <c r="D689" s="118" t="n">
        <v>85.50918697892617</v>
      </c>
      <c r="E689" s="118" t="n">
        <v>85.74647521972656</v>
      </c>
      <c r="F689" s="119" t="n">
        <v>9783100</v>
      </c>
      <c r="G689" s="120" t="n">
        <v>-0.02081073903903741</v>
      </c>
      <c r="H689" s="121" t="n">
        <v>53.90141269274887</v>
      </c>
      <c r="I689" s="118" t="n">
        <v>91.5282780456543</v>
      </c>
      <c r="J689" s="118" t="n">
        <v>96.84155311584473</v>
      </c>
      <c r="K689" s="120" t="n">
        <v>0.2207920337928266</v>
      </c>
      <c r="L689" s="120" t="n">
        <v>-0.1541074135935749</v>
      </c>
      <c r="M689" s="120" t="n">
        <v>-0.280421640155054</v>
      </c>
      <c r="N689" t="n">
        <v>36.24199599647765</v>
      </c>
      <c r="O689" t="n">
        <v>0.07732782978988573</v>
      </c>
      <c r="P689" t="n">
        <v>117.8067124159324</v>
      </c>
      <c r="Q689" t="n">
        <v>116.6003836520353</v>
      </c>
    </row>
    <row r="690">
      <c r="A690" s="117" t="n">
        <v>45414</v>
      </c>
      <c r="B690" s="118" t="n">
        <v>86.68613295478016</v>
      </c>
      <c r="C690" s="118" t="n">
        <v>87.74917952973607</v>
      </c>
      <c r="D690" s="118" t="n">
        <v>86.28749048917169</v>
      </c>
      <c r="E690" s="118" t="n">
        <v>87.71121978759766</v>
      </c>
      <c r="F690" s="119" t="n">
        <v>7333300</v>
      </c>
      <c r="G690" s="120" t="n">
        <v>0.02291341495771593</v>
      </c>
      <c r="H690" s="121" t="n">
        <v>55.13647812858492</v>
      </c>
      <c r="I690" s="118" t="n">
        <v>91.29127029418946</v>
      </c>
      <c r="J690" s="118" t="n">
        <v>96.76472724914551</v>
      </c>
      <c r="K690" s="120" t="n">
        <v>0.2283328573083412</v>
      </c>
      <c r="L690" s="120" t="n">
        <v>-0.134725125751589</v>
      </c>
      <c r="M690" s="120" t="n">
        <v>-0.2617290134486673</v>
      </c>
      <c r="N690" t="n">
        <v>44.91780934674325</v>
      </c>
      <c r="O690" t="n">
        <v>0.06405142270372632</v>
      </c>
      <c r="P690" t="n">
        <v>118.9086116398891</v>
      </c>
      <c r="Q690" t="n">
        <v>118.0885817211986</v>
      </c>
    </row>
    <row r="691">
      <c r="A691" s="117" t="n">
        <v>45415</v>
      </c>
      <c r="B691" s="118" t="n">
        <v>88.35664588284391</v>
      </c>
      <c r="C691" s="118" t="n">
        <v>88.88817646651734</v>
      </c>
      <c r="D691" s="118" t="n">
        <v>87.19868535037887</v>
      </c>
      <c r="E691" s="118" t="n">
        <v>87.46444702148438</v>
      </c>
      <c r="F691" s="119" t="n">
        <v>5736700</v>
      </c>
      <c r="G691" s="120" t="n">
        <v>-0.002813468638457772</v>
      </c>
      <c r="H691" s="121" t="n">
        <v>54.98135337653514</v>
      </c>
      <c r="I691" s="118" t="n">
        <v>91.05292098999024</v>
      </c>
      <c r="J691" s="118" t="n">
        <v>96.68591594696045</v>
      </c>
      <c r="K691" s="120" t="n">
        <v>0.2283949900054368</v>
      </c>
      <c r="L691" s="120" t="n">
        <v>-0.1371595494739323</v>
      </c>
      <c r="M691" s="120" t="n">
        <v>-0.2638061157160126</v>
      </c>
      <c r="N691" t="n">
        <v>44.10600930728627</v>
      </c>
      <c r="O691" t="n">
        <v>0.04392430349235998</v>
      </c>
      <c r="P691" t="n">
        <v>120.3825160443057</v>
      </c>
      <c r="Q691" t="n">
        <v>120.462005769476</v>
      </c>
    </row>
    <row r="692">
      <c r="A692" s="117" t="n">
        <v>45418</v>
      </c>
      <c r="B692" s="118" t="n">
        <v>88.09087046470414</v>
      </c>
      <c r="C692" s="118" t="n">
        <v>88.62240096542949</v>
      </c>
      <c r="D692" s="118" t="n">
        <v>87.77765553918714</v>
      </c>
      <c r="E692" s="118" t="n">
        <v>88.61290740966797</v>
      </c>
      <c r="F692" s="119" t="n">
        <v>6696300</v>
      </c>
      <c r="G692" s="120" t="n">
        <v>0.01313059680010875</v>
      </c>
      <c r="H692" s="121" t="n">
        <v>55.70329135924672</v>
      </c>
      <c r="I692" s="118" t="n">
        <v>90.82713729858398</v>
      </c>
      <c r="J692" s="118" t="n">
        <v>96.62388549804687</v>
      </c>
      <c r="K692" s="120" t="n">
        <v>0.2284424324251759</v>
      </c>
      <c r="L692" s="120" t="n">
        <v>-0.1258299394152503</v>
      </c>
      <c r="M692" s="120" t="n">
        <v>-0.2541394506547736</v>
      </c>
      <c r="N692" t="n">
        <v>48.74839721998562</v>
      </c>
      <c r="O692" t="n">
        <v>0.1094987955043503</v>
      </c>
      <c r="P692" t="n">
        <v>121.6256965089162</v>
      </c>
      <c r="Q692" t="n">
        <v>121.78145469943</v>
      </c>
    </row>
    <row r="693">
      <c r="A693" s="117" t="n">
        <v>45419</v>
      </c>
      <c r="B693" s="118" t="n">
        <v>89.29631495543384</v>
      </c>
      <c r="C693" s="118" t="n">
        <v>89.52410964521584</v>
      </c>
      <c r="D693" s="118" t="n">
        <v>88.47054924796298</v>
      </c>
      <c r="E693" s="118" t="n">
        <v>89.01156616210938</v>
      </c>
      <c r="F693" s="119" t="n">
        <v>7113500</v>
      </c>
      <c r="G693" s="120" t="n">
        <v>0.00449887904702595</v>
      </c>
      <c r="H693" s="121" t="n">
        <v>55.95389372959322</v>
      </c>
      <c r="I693" s="118" t="n">
        <v>90.6299446105957</v>
      </c>
      <c r="J693" s="118" t="n">
        <v>96.55666156768798</v>
      </c>
      <c r="K693" s="120" t="n">
        <v>0.2261125692466146</v>
      </c>
      <c r="L693" s="120" t="n">
        <v>-0.1218971540461481</v>
      </c>
      <c r="M693" s="120" t="n">
        <v>-0.2507839142573212</v>
      </c>
      <c r="N693" t="n">
        <v>50.29178288215981</v>
      </c>
      <c r="O693" t="n">
        <v>0.1772517152630255</v>
      </c>
      <c r="P693" t="n">
        <v>121.7599011429793</v>
      </c>
      <c r="Q693" t="n">
        <v>121.8008150128039</v>
      </c>
    </row>
    <row r="694">
      <c r="A694" s="117" t="n">
        <v>45420</v>
      </c>
      <c r="B694" s="118" t="n">
        <v>88.38511913229817</v>
      </c>
      <c r="C694" s="118" t="n">
        <v>88.87867544555232</v>
      </c>
      <c r="D694" s="118" t="n">
        <v>88.0149500869921</v>
      </c>
      <c r="E694" s="118" t="n">
        <v>88.83121490478516</v>
      </c>
      <c r="F694" s="119" t="n">
        <v>5372900</v>
      </c>
      <c r="G694" s="120" t="n">
        <v>-0.002026155308802902</v>
      </c>
      <c r="H694" s="121" t="n">
        <v>55.84052245076481</v>
      </c>
      <c r="I694" s="118" t="n">
        <v>90.41760650634765</v>
      </c>
      <c r="J694" s="118" t="n">
        <v>96.48989807128906</v>
      </c>
      <c r="K694" s="120" t="n">
        <v>0.2089570475521609</v>
      </c>
      <c r="L694" s="120" t="n">
        <v>-0.1166709986130182</v>
      </c>
      <c r="M694" s="120" t="n">
        <v>-0.2416632380714685</v>
      </c>
      <c r="N694" t="n">
        <v>49.56460408778238</v>
      </c>
      <c r="O694" t="n">
        <v>0.2054632526563408</v>
      </c>
      <c r="P694" t="n">
        <v>121.7716561318209</v>
      </c>
      <c r="Q694" t="n">
        <v>121.7289016157746</v>
      </c>
    </row>
    <row r="695">
      <c r="A695" s="117" t="n">
        <v>45421</v>
      </c>
      <c r="B695" s="118" t="n">
        <v>88.87867616227884</v>
      </c>
      <c r="C695" s="118" t="n">
        <v>89.20139191088197</v>
      </c>
      <c r="D695" s="118" t="n">
        <v>88.28071244768434</v>
      </c>
      <c r="E695" s="118" t="n">
        <v>88.64138793945312</v>
      </c>
      <c r="F695" s="119" t="n">
        <v>6429800</v>
      </c>
      <c r="G695" s="120" t="n">
        <v>-0.002136939875645005</v>
      </c>
      <c r="H695" s="121" t="n">
        <v>55.72119461166292</v>
      </c>
      <c r="I695" s="118" t="n">
        <v>90.21660400390626</v>
      </c>
      <c r="J695" s="118" t="n">
        <v>96.42439311981201</v>
      </c>
      <c r="K695" s="120" t="n">
        <v>0.1739923727627067</v>
      </c>
      <c r="L695" s="120" t="n">
        <v>-0.1185586195793958</v>
      </c>
      <c r="M695" s="120" t="n">
        <v>-0.2357822487953366</v>
      </c>
      <c r="N695" t="n">
        <v>48.76536074237223</v>
      </c>
      <c r="O695" t="n">
        <v>0.2063391123575661</v>
      </c>
      <c r="P695" t="n">
        <v>122.4732806447139</v>
      </c>
      <c r="Q695" t="n">
        <v>121.9944608656812</v>
      </c>
    </row>
    <row r="696">
      <c r="A696" s="117" t="n">
        <v>45422</v>
      </c>
      <c r="B696" s="118" t="n">
        <v>88.33765673794159</v>
      </c>
      <c r="C696" s="118" t="n">
        <v>88.40409714874441</v>
      </c>
      <c r="D696" s="118" t="n">
        <v>86.2590096490993</v>
      </c>
      <c r="E696" s="118" t="n">
        <v>86.31596374511719</v>
      </c>
      <c r="F696" s="119" t="n">
        <v>10548400</v>
      </c>
      <c r="G696" s="120" t="n">
        <v>-0.02623406794943606</v>
      </c>
      <c r="H696" s="121" t="n">
        <v>54.2594010059968</v>
      </c>
      <c r="I696" s="118" t="n">
        <v>89.9770376586914</v>
      </c>
      <c r="J696" s="118" t="n">
        <v>96.34256378173828</v>
      </c>
      <c r="K696" s="120" t="n">
        <v>0.1987628836584849</v>
      </c>
      <c r="L696" s="120" t="n">
        <v>-0.1394162964204813</v>
      </c>
      <c r="M696" s="120" t="n">
        <v>-0.255830789208605</v>
      </c>
      <c r="N696" t="n">
        <v>40.21110288432115</v>
      </c>
      <c r="O696" t="n">
        <v>0.05327647026298155</v>
      </c>
      <c r="P696" t="n">
        <v>122.6310764271301</v>
      </c>
      <c r="Q696" t="n">
        <v>122.2821315414536</v>
      </c>
    </row>
    <row r="697">
      <c r="A697" s="117" t="n">
        <v>45425</v>
      </c>
      <c r="B697" s="118" t="n">
        <v>86.62917901459029</v>
      </c>
      <c r="C697" s="118" t="n">
        <v>88.05290831557912</v>
      </c>
      <c r="D697" s="118" t="n">
        <v>86.51528530504667</v>
      </c>
      <c r="E697" s="118" t="n">
        <v>88.00545501708984</v>
      </c>
      <c r="F697" s="119" t="n">
        <v>8792100</v>
      </c>
      <c r="G697" s="120" t="n">
        <v>0.01957333497383584</v>
      </c>
      <c r="H697" s="121" t="n">
        <v>55.32143843736685</v>
      </c>
      <c r="I697" s="118" t="n">
        <v>89.80315292358398</v>
      </c>
      <c r="J697" s="118" t="n">
        <v>96.27683841705323</v>
      </c>
      <c r="K697" s="120" t="n">
        <v>0.2067735804624182</v>
      </c>
      <c r="L697" s="120" t="n">
        <v>-0.1190829613985923</v>
      </c>
      <c r="M697" s="120" t="n">
        <v>-0.2412649159685699</v>
      </c>
      <c r="N697" t="n">
        <v>47.42673370995082</v>
      </c>
      <c r="O697" t="n">
        <v>0.06785305178252288</v>
      </c>
      <c r="P697" t="n">
        <v>122.6475245565262</v>
      </c>
      <c r="Q697" t="n">
        <v>122.5642999922423</v>
      </c>
    </row>
    <row r="698">
      <c r="A698" s="117" t="n">
        <v>45426</v>
      </c>
      <c r="B698" s="118" t="n">
        <v>88.26174239121156</v>
      </c>
      <c r="C698" s="118" t="n">
        <v>89.54309759379973</v>
      </c>
      <c r="D698" s="118" t="n">
        <v>87.89157327138527</v>
      </c>
      <c r="E698" s="118" t="n">
        <v>88.07191467285156</v>
      </c>
      <c r="F698" s="119" t="n">
        <v>7811000</v>
      </c>
      <c r="G698" s="120" t="n">
        <v>0.0007551765484175021</v>
      </c>
      <c r="H698" s="121" t="n">
        <v>55.36321589029948</v>
      </c>
      <c r="I698" s="118" t="n">
        <v>89.67501754760742</v>
      </c>
      <c r="J698" s="118" t="n">
        <v>96.2069829940796</v>
      </c>
      <c r="K698" s="120" t="n">
        <v>0.2064528191510157</v>
      </c>
      <c r="L698" s="120" t="n">
        <v>-0.118417713509939</v>
      </c>
      <c r="M698" s="120" t="n">
        <v>-0.2406919370266478</v>
      </c>
      <c r="N698" t="n">
        <v>47.69415182914682</v>
      </c>
      <c r="O698" t="n">
        <v>0.08300578558296534</v>
      </c>
      <c r="P698" t="n">
        <v>123.2102439156498</v>
      </c>
      <c r="Q698" t="n">
        <v>123.3526560538659</v>
      </c>
    </row>
    <row r="699">
      <c r="A699" s="117" t="n">
        <v>45427</v>
      </c>
      <c r="B699" s="118" t="n">
        <v>87.59731985873603</v>
      </c>
      <c r="C699" s="118" t="n">
        <v>87.9105420459947</v>
      </c>
      <c r="D699" s="118" t="n">
        <v>86.23053739903403</v>
      </c>
      <c r="E699" s="118" t="n">
        <v>87.00884246826172</v>
      </c>
      <c r="F699" s="119" t="n">
        <v>15614400</v>
      </c>
      <c r="G699" s="120" t="n">
        <v>-0.01207050180001978</v>
      </c>
      <c r="H699" s="121" t="n">
        <v>54.69495409324073</v>
      </c>
      <c r="I699" s="118" t="n">
        <v>89.54896987915039</v>
      </c>
      <c r="J699" s="118" t="n">
        <v>96.12349807739258</v>
      </c>
      <c r="K699" s="120" t="n">
        <v>0.2016827058796343</v>
      </c>
      <c r="L699" s="120" t="n">
        <v>-0.1290588540858829</v>
      </c>
      <c r="M699" s="120" t="n">
        <v>-0.2498571663675372</v>
      </c>
      <c r="N699" t="n">
        <v>43.85175505719327</v>
      </c>
      <c r="O699" t="n">
        <v>0.02545203761569292</v>
      </c>
      <c r="P699" t="n">
        <v>124.7359868615681</v>
      </c>
      <c r="Q699" t="n">
        <v>125.2806903686116</v>
      </c>
    </row>
    <row r="700">
      <c r="A700" s="117" t="n">
        <v>45428</v>
      </c>
      <c r="B700" s="118" t="n">
        <v>87.02782541324231</v>
      </c>
      <c r="C700" s="118" t="n">
        <v>88.1193453759939</v>
      </c>
      <c r="D700" s="118" t="n">
        <v>86.87595748434316</v>
      </c>
      <c r="E700" s="118" t="n">
        <v>87.10375213623047</v>
      </c>
      <c r="F700" s="119" t="n">
        <v>12711700</v>
      </c>
      <c r="G700" s="120" t="n">
        <v>0.001090804857027949</v>
      </c>
      <c r="H700" s="121" t="n">
        <v>54.75461561482056</v>
      </c>
      <c r="I700" s="118" t="n">
        <v>89.43772888183594</v>
      </c>
      <c r="J700" s="118" t="n">
        <v>96.04513797760009</v>
      </c>
      <c r="K700" s="120" t="n">
        <v>0.1977098650236503</v>
      </c>
      <c r="L700" s="120" t="n">
        <v>-0.1281088272537343</v>
      </c>
      <c r="M700" s="120" t="n">
        <v>-0.2490389069211463</v>
      </c>
      <c r="N700" t="n">
        <v>44.28332840621856</v>
      </c>
      <c r="O700" t="n">
        <v>-0.0008139744857091902</v>
      </c>
      <c r="P700" t="n">
        <v>124.4793104448281</v>
      </c>
      <c r="Q700" t="n">
        <v>125.0261953754654</v>
      </c>
    </row>
    <row r="701">
      <c r="A701" s="117" t="n">
        <v>45429</v>
      </c>
      <c r="B701" s="118" t="n">
        <v>87.33155804170836</v>
      </c>
      <c r="C701" s="118" t="n">
        <v>87.5973196880299</v>
      </c>
      <c r="D701" s="118" t="n">
        <v>86.69562011205412</v>
      </c>
      <c r="E701" s="118" t="n">
        <v>87.49291229248047</v>
      </c>
      <c r="F701" s="119" t="n">
        <v>12019600</v>
      </c>
      <c r="G701" s="120" t="n">
        <v>0.004467777181875521</v>
      </c>
      <c r="H701" s="121" t="n">
        <v>54.99924703706681</v>
      </c>
      <c r="I701" s="118" t="n">
        <v>89.32364044189453</v>
      </c>
      <c r="J701" s="118" t="n">
        <v>95.97760147094726</v>
      </c>
      <c r="K701" s="120" t="n">
        <v>0.1948529624913726</v>
      </c>
      <c r="L701" s="120" t="n">
        <v>-0.12421341176706</v>
      </c>
      <c r="M701" s="120" t="n">
        <v>-0.2456837800850121</v>
      </c>
      <c r="N701" t="n">
        <v>46.11231514278768</v>
      </c>
      <c r="O701" t="n">
        <v>0.0126877018181516</v>
      </c>
      <c r="P701" t="n">
        <v>124.6582991512577</v>
      </c>
      <c r="Q701" t="n">
        <v>124.965337691369</v>
      </c>
    </row>
    <row r="702">
      <c r="A702" s="117" t="n">
        <v>45432</v>
      </c>
      <c r="B702" s="118" t="n">
        <v>87.55934868146649</v>
      </c>
      <c r="C702" s="118" t="n">
        <v>87.98646455893785</v>
      </c>
      <c r="D702" s="118" t="n">
        <v>86.21155339906295</v>
      </c>
      <c r="E702" s="118" t="n">
        <v>87.10375213623047</v>
      </c>
      <c r="F702" s="119" t="n">
        <v>9701500</v>
      </c>
      <c r="G702" s="120" t="n">
        <v>-0.004447904933705615</v>
      </c>
      <c r="H702" s="121" t="n">
        <v>54.75461561482054</v>
      </c>
      <c r="I702" s="118" t="n">
        <v>89.18335540771484</v>
      </c>
      <c r="J702" s="118" t="n">
        <v>95.90281131744385</v>
      </c>
      <c r="K702" s="120" t="n">
        <v>0.1950159846727948</v>
      </c>
      <c r="L702" s="120" t="n">
        <v>-0.1241287212509468</v>
      </c>
      <c r="M702" s="120" t="n">
        <v>-0.2490389069211463</v>
      </c>
      <c r="N702" t="n">
        <v>44.5378280349329</v>
      </c>
      <c r="O702" t="n">
        <v>0.0007077127194747845</v>
      </c>
      <c r="P702" t="n">
        <v>124.8018826872779</v>
      </c>
      <c r="Q702" t="n">
        <v>125.8366884944376</v>
      </c>
    </row>
    <row r="703">
      <c r="A703" s="117" t="n">
        <v>45433</v>
      </c>
      <c r="B703" s="118" t="n">
        <v>86.91393118371472</v>
      </c>
      <c r="C703" s="118" t="n">
        <v>88.12884574295694</v>
      </c>
      <c r="D703" s="118" t="n">
        <v>86.80003022823752</v>
      </c>
      <c r="E703" s="118" t="n">
        <v>88.10037231445312</v>
      </c>
      <c r="F703" s="119" t="n">
        <v>7809700</v>
      </c>
      <c r="G703" s="120" t="n">
        <v>0.01144175943952375</v>
      </c>
      <c r="H703" s="121" t="n">
        <v>55.38110475488891</v>
      </c>
      <c r="I703" s="118" t="n">
        <v>89.02655548095703</v>
      </c>
      <c r="J703" s="118" t="n">
        <v>95.83220573425292</v>
      </c>
      <c r="K703" s="120" t="n">
        <v>0.2000993629864908</v>
      </c>
      <c r="L703" s="120" t="n">
        <v>-0.1141072127795121</v>
      </c>
      <c r="M703" s="120" t="n">
        <v>-0.2404465907456962</v>
      </c>
      <c r="N703" t="n">
        <v>49.31114880756832</v>
      </c>
      <c r="O703" t="n">
        <v>0.06181997072300194</v>
      </c>
      <c r="P703" t="n">
        <v>125.107984662876</v>
      </c>
      <c r="Q703" t="n">
        <v>126.0828788871427</v>
      </c>
    </row>
    <row r="704">
      <c r="A704" s="117" t="n">
        <v>45434</v>
      </c>
      <c r="B704" s="118" t="n">
        <v>87.27460910952524</v>
      </c>
      <c r="C704" s="118" t="n">
        <v>88.04342790783534</v>
      </c>
      <c r="D704" s="118" t="n">
        <v>86.98986757510039</v>
      </c>
      <c r="E704" s="118" t="n">
        <v>87.79664611816406</v>
      </c>
      <c r="F704" s="119" t="n">
        <v>7611900</v>
      </c>
      <c r="G704" s="120" t="n">
        <v>-0.003447501847154366</v>
      </c>
      <c r="H704" s="121" t="n">
        <v>55.19017829394897</v>
      </c>
      <c r="I704" s="118" t="n">
        <v>88.88076553344726</v>
      </c>
      <c r="J704" s="118" t="n">
        <v>95.75223705291748</v>
      </c>
      <c r="K704" s="120" t="n">
        <v>0.1985016795700566</v>
      </c>
      <c r="L704" s="120" t="n">
        <v>-0.1103931493741273</v>
      </c>
      <c r="M704" s="120" t="n">
        <v>-0.2430651525271127</v>
      </c>
      <c r="N704" t="n">
        <v>47.95655530998968</v>
      </c>
      <c r="O704" t="n">
        <v>0.0824154596369977</v>
      </c>
      <c r="P704" t="n">
        <v>124.7477492295615</v>
      </c>
      <c r="Q704" t="n">
        <v>126.0579736296471</v>
      </c>
    </row>
    <row r="705">
      <c r="A705" s="117" t="n">
        <v>45435</v>
      </c>
      <c r="B705" s="118" t="n">
        <v>87.74919267809902</v>
      </c>
      <c r="C705" s="118" t="n">
        <v>87.87258720365422</v>
      </c>
      <c r="D705" s="118" t="n">
        <v>86.51529811278643</v>
      </c>
      <c r="E705" s="118" t="n">
        <v>86.75258636474609</v>
      </c>
      <c r="F705" s="119" t="n">
        <v>7729000</v>
      </c>
      <c r="G705" s="120" t="n">
        <v>-0.01189179541110019</v>
      </c>
      <c r="H705" s="121" t="n">
        <v>54.5338679849752</v>
      </c>
      <c r="I705" s="118" t="n">
        <v>88.6916943359375</v>
      </c>
      <c r="J705" s="118" t="n">
        <v>95.67075893402099</v>
      </c>
      <c r="K705" s="120" t="n">
        <v>0.2010277567520529</v>
      </c>
      <c r="L705" s="120" t="n">
        <v>-0.1174197982121186</v>
      </c>
      <c r="M705" s="120" t="n">
        <v>-0.2520664668727927</v>
      </c>
      <c r="N705" t="n">
        <v>43.52986654190128</v>
      </c>
      <c r="O705" t="n">
        <v>0.0291019734993766</v>
      </c>
      <c r="P705" t="n">
        <v>123.8365568051168</v>
      </c>
      <c r="Q705" t="n">
        <v>125.4909197908882</v>
      </c>
    </row>
    <row r="706">
      <c r="A706" s="117" t="n">
        <v>45436</v>
      </c>
      <c r="B706" s="118" t="n">
        <v>87.1037653346834</v>
      </c>
      <c r="C706" s="118" t="n">
        <v>87.51190140361616</v>
      </c>
      <c r="D706" s="118" t="n">
        <v>86.83800366030161</v>
      </c>
      <c r="E706" s="118" t="n">
        <v>87.08478546142578</v>
      </c>
      <c r="F706" s="119" t="n">
        <v>6936800</v>
      </c>
      <c r="G706" s="120" t="n">
        <v>0.003829270233892235</v>
      </c>
      <c r="H706" s="121" t="n">
        <v>54.74269290238907</v>
      </c>
      <c r="I706" s="118" t="n">
        <v>88.53014846801757</v>
      </c>
      <c r="J706" s="118" t="n">
        <v>95.59094181060792</v>
      </c>
      <c r="K706" s="120" t="n">
        <v>0.201546916749441</v>
      </c>
      <c r="L706" s="120" t="n">
        <v>-0.0994305786791907</v>
      </c>
      <c r="M706" s="120" t="n">
        <v>-0.2492024272574588</v>
      </c>
      <c r="N706" t="n">
        <v>45.26121288562467</v>
      </c>
      <c r="O706" t="n">
        <v>0.02002185003121659</v>
      </c>
      <c r="P706" t="n">
        <v>124.6558935477659</v>
      </c>
      <c r="Q706" t="n">
        <v>126.6776147273717</v>
      </c>
    </row>
    <row r="707">
      <c r="A707" s="117" t="n">
        <v>45440</v>
      </c>
      <c r="B707" s="118" t="n">
        <v>87.07527786999772</v>
      </c>
      <c r="C707" s="118" t="n">
        <v>87.8156159125862</v>
      </c>
      <c r="D707" s="118" t="n">
        <v>86.70510884870347</v>
      </c>
      <c r="E707" s="118" t="n">
        <v>87.32205963134766</v>
      </c>
      <c r="F707" s="119" t="n">
        <v>10835000</v>
      </c>
      <c r="G707" s="120" t="n">
        <v>0.00272463402952261</v>
      </c>
      <c r="H707" s="121" t="n">
        <v>54.89184670633862</v>
      </c>
      <c r="I707" s="118" t="n">
        <v>88.38511795043945</v>
      </c>
      <c r="J707" s="118" t="n">
        <v>95.51541133880615</v>
      </c>
      <c r="K707" s="120" t="n">
        <v>0.2020236212040011</v>
      </c>
      <c r="L707" s="120" t="n">
        <v>-0.0923442727526208</v>
      </c>
      <c r="M707" s="120" t="n">
        <v>-0.2471567786414814</v>
      </c>
      <c r="N707" t="n">
        <v>46.52238360903164</v>
      </c>
      <c r="O707" t="n">
        <v>0.03303881550802129</v>
      </c>
      <c r="P707" t="n">
        <v>124.7430265723998</v>
      </c>
      <c r="Q707" t="n">
        <v>127.1561630558744</v>
      </c>
    </row>
    <row r="708">
      <c r="A708" s="117" t="n">
        <v>45441</v>
      </c>
      <c r="B708" s="118" t="n">
        <v>87.01833602463792</v>
      </c>
      <c r="C708" s="118" t="n">
        <v>88.00545588537139</v>
      </c>
      <c r="D708" s="118" t="n">
        <v>86.73358726504608</v>
      </c>
      <c r="E708" s="118" t="n">
        <v>87.00884246826172</v>
      </c>
      <c r="F708" s="119" t="n">
        <v>7237300</v>
      </c>
      <c r="G708" s="120" t="n">
        <v>-0.003586919094765606</v>
      </c>
      <c r="H708" s="121" t="n">
        <v>54.69495409324071</v>
      </c>
      <c r="I708" s="118" t="n">
        <v>88.25090774536133</v>
      </c>
      <c r="J708" s="118" t="n">
        <v>95.44273006439209</v>
      </c>
      <c r="K708" s="120" t="n">
        <v>0.190765152644568</v>
      </c>
      <c r="L708" s="120" t="n">
        <v>-0.09559996041215768</v>
      </c>
      <c r="M708" s="120" t="n">
        <v>-0.2498571663675372</v>
      </c>
      <c r="N708" t="n">
        <v>45.04693617692732</v>
      </c>
      <c r="O708" t="n">
        <v>0.02401706443594087</v>
      </c>
      <c r="P708" t="n">
        <v>123.8695120971236</v>
      </c>
      <c r="Q708" t="n">
        <v>126.2599155391379</v>
      </c>
    </row>
    <row r="709">
      <c r="A709" s="117" t="n">
        <v>45442</v>
      </c>
      <c r="B709" s="118" t="n">
        <v>87.54038083924405</v>
      </c>
      <c r="C709" s="118" t="n">
        <v>89.10647743279699</v>
      </c>
      <c r="D709" s="118" t="n">
        <v>87.28410548437954</v>
      </c>
      <c r="E709" s="118" t="n">
        <v>88.69834136962891</v>
      </c>
      <c r="F709" s="119" t="n">
        <v>9300100</v>
      </c>
      <c r="G709" s="120" t="n">
        <v>0.01941755404898604</v>
      </c>
      <c r="H709" s="121" t="n">
        <v>55.75699632055302</v>
      </c>
      <c r="I709" s="118" t="n">
        <v>88.12732818603516</v>
      </c>
      <c r="J709" s="118" t="n">
        <v>95.38061012268066</v>
      </c>
      <c r="K709" s="120" t="n">
        <v>0.1866647657799085</v>
      </c>
      <c r="L709" s="120" t="n">
        <v>-0.07803872376155563</v>
      </c>
      <c r="M709" s="120" t="n">
        <v>-0.2352912273510193</v>
      </c>
      <c r="N709" t="n">
        <v>53.59592830764502</v>
      </c>
      <c r="O709" t="n">
        <v>0.1294087286663534</v>
      </c>
      <c r="P709" t="n">
        <v>123.0478066467418</v>
      </c>
      <c r="Q709" t="n">
        <v>124.9072482074197</v>
      </c>
    </row>
    <row r="710">
      <c r="A710" s="117" t="n">
        <v>45443</v>
      </c>
      <c r="B710" s="118" t="n">
        <v>88.74579769270422</v>
      </c>
      <c r="C710" s="118" t="n">
        <v>90.23596748194996</v>
      </c>
      <c r="D710" s="118" t="n">
        <v>88.2427478055934</v>
      </c>
      <c r="E710" s="118" t="n">
        <v>90.21698760986328</v>
      </c>
      <c r="F710" s="119" t="n">
        <v>12565600</v>
      </c>
      <c r="G710" s="120" t="n">
        <v>0.0171214728120539</v>
      </c>
      <c r="H710" s="121" t="n">
        <v>56.71163821713716</v>
      </c>
      <c r="I710" s="118" t="n">
        <v>88.02823669433593</v>
      </c>
      <c r="J710" s="118" t="n">
        <v>95.33120334625244</v>
      </c>
      <c r="K710" s="120" t="n">
        <v>0.1789311100950422</v>
      </c>
      <c r="L710" s="120" t="n">
        <v>-0.06225338883667253</v>
      </c>
      <c r="M710" s="120" t="n">
        <v>-0.2221982868909707</v>
      </c>
      <c r="N710" t="n">
        <v>59.66944943004115</v>
      </c>
      <c r="O710" t="n">
        <v>0.2897893335018848</v>
      </c>
      <c r="P710" t="n">
        <v>124.1685300869791</v>
      </c>
      <c r="Q710" t="n">
        <v>124.6748902716221</v>
      </c>
    </row>
    <row r="711">
      <c r="A711" s="117" t="n">
        <v>45446</v>
      </c>
      <c r="B711" s="118" t="n">
        <v>90.06452648752925</v>
      </c>
      <c r="C711" s="118" t="n">
        <v>90.7601190500725</v>
      </c>
      <c r="D711" s="118" t="n">
        <v>89.61668738726742</v>
      </c>
      <c r="E711" s="118" t="n">
        <v>89.95018768310547</v>
      </c>
      <c r="F711" s="119" t="n">
        <v>9668100</v>
      </c>
      <c r="G711" s="120" t="n">
        <v>-0.00295731362602758</v>
      </c>
      <c r="H711" s="121" t="n">
        <v>56.54392411668327</v>
      </c>
      <c r="I711" s="118" t="n">
        <v>87.91336837768554</v>
      </c>
      <c r="J711" s="118" t="n">
        <v>95.28055656433105</v>
      </c>
      <c r="K711" s="120" t="n">
        <v>0.1789775026204745</v>
      </c>
      <c r="L711" s="120" t="n">
        <v>-0.06502659966762714</v>
      </c>
      <c r="M711" s="120" t="n">
        <v>-0.2244984904954955</v>
      </c>
      <c r="N711" t="n">
        <v>58.22757665071782</v>
      </c>
      <c r="O711" t="n">
        <v>0.3616250329150021</v>
      </c>
      <c r="P711" t="n">
        <v>124.2697720498837</v>
      </c>
      <c r="Q711" t="n">
        <v>125.3442991651998</v>
      </c>
    </row>
    <row r="712">
      <c r="A712" s="117" t="n">
        <v>45447</v>
      </c>
      <c r="B712" s="118" t="n">
        <v>89.84536202644725</v>
      </c>
      <c r="C712" s="118" t="n">
        <v>90.62670860326043</v>
      </c>
      <c r="D712" s="118" t="n">
        <v>89.00684605393762</v>
      </c>
      <c r="E712" s="118" t="n">
        <v>90.27414703369141</v>
      </c>
      <c r="F712" s="119" t="n">
        <v>7838400</v>
      </c>
      <c r="G712" s="120" t="n">
        <v>0.003601541685796628</v>
      </c>
      <c r="H712" s="121" t="n">
        <v>56.74756941646804</v>
      </c>
      <c r="I712" s="118" t="n">
        <v>87.93710144042969</v>
      </c>
      <c r="J712" s="118" t="n">
        <v>95.23848140716552</v>
      </c>
      <c r="K712" s="120" t="n">
        <v>0.1738612575798054</v>
      </c>
      <c r="L712" s="120" t="n">
        <v>-0.06165925399121885</v>
      </c>
      <c r="M712" s="120" t="n">
        <v>-0.2217054894816168</v>
      </c>
      <c r="N712" t="n">
        <v>59.50708593414652</v>
      </c>
      <c r="O712" t="n">
        <v>0.4110734153025432</v>
      </c>
      <c r="P712" t="n">
        <v>124.4086919619567</v>
      </c>
      <c r="Q712" t="n">
        <v>125.6873167562574</v>
      </c>
    </row>
    <row r="713">
      <c r="A713" s="117" t="n">
        <v>45448</v>
      </c>
      <c r="B713" s="118" t="n">
        <v>90.82680918166267</v>
      </c>
      <c r="C713" s="118" t="n">
        <v>90.82680918166267</v>
      </c>
      <c r="D713" s="118" t="n">
        <v>89.28317006281398</v>
      </c>
      <c r="E713" s="118" t="n">
        <v>89.87394714355469</v>
      </c>
      <c r="F713" s="119" t="n">
        <v>7463300</v>
      </c>
      <c r="G713" s="120" t="n">
        <v>-0.004433161688997878</v>
      </c>
      <c r="H713" s="121" t="n">
        <v>56.49599826578721</v>
      </c>
      <c r="I713" s="118" t="n">
        <v>87.95491851806641</v>
      </c>
      <c r="J713" s="118" t="n">
        <v>95.1955326461792</v>
      </c>
      <c r="K713" s="120" t="n">
        <v>0.1743579586679741</v>
      </c>
      <c r="L713" s="120" t="n">
        <v>-0.06581907023765066</v>
      </c>
      <c r="M713" s="120" t="n">
        <v>-0.2251557948884043</v>
      </c>
      <c r="N713" t="n">
        <v>57.17713235058312</v>
      </c>
      <c r="O713" t="n">
        <v>0.3967466247385947</v>
      </c>
      <c r="P713" t="n">
        <v>125.8872968860794</v>
      </c>
      <c r="Q713" t="n">
        <v>128.2211597118202</v>
      </c>
    </row>
    <row r="714">
      <c r="A714" s="117" t="n">
        <v>45449</v>
      </c>
      <c r="B714" s="118" t="n">
        <v>90.38850004261342</v>
      </c>
      <c r="C714" s="118" t="n">
        <v>92.23705485633312</v>
      </c>
      <c r="D714" s="118" t="n">
        <v>89.55950739249189</v>
      </c>
      <c r="E714" s="118" t="n">
        <v>91.20796203613281</v>
      </c>
      <c r="F714" s="119" t="n">
        <v>9760100</v>
      </c>
      <c r="G714" s="120" t="n">
        <v>0.01484317686022307</v>
      </c>
      <c r="H714" s="121" t="n">
        <v>57.33457835994115</v>
      </c>
      <c r="I714" s="118" t="n">
        <v>88.02162628173828</v>
      </c>
      <c r="J714" s="118" t="n">
        <v>95.16841358184814</v>
      </c>
      <c r="K714" s="120" t="n">
        <v>0.1812132124713199</v>
      </c>
      <c r="L714" s="120" t="n">
        <v>-0.05195285747774037</v>
      </c>
      <c r="M714" s="120" t="n">
        <v>-0.2136546453128139</v>
      </c>
      <c r="N714" t="n">
        <v>62.45436708079207</v>
      </c>
      <c r="O714" t="n">
        <v>0.452967095513848</v>
      </c>
      <c r="P714" t="n">
        <v>125.8849355574986</v>
      </c>
      <c r="Q714" t="n">
        <v>128.1768855971231</v>
      </c>
    </row>
    <row r="715">
      <c r="A715" s="117" t="n">
        <v>45450</v>
      </c>
      <c r="B715" s="118" t="n">
        <v>90.89351678649224</v>
      </c>
      <c r="C715" s="118" t="n">
        <v>93.32331809348027</v>
      </c>
      <c r="D715" s="118" t="n">
        <v>90.80776268542164</v>
      </c>
      <c r="E715" s="118" t="n">
        <v>91.99884033203125</v>
      </c>
      <c r="F715" s="119" t="n">
        <v>9397400</v>
      </c>
      <c r="G715" s="120" t="n">
        <v>0.008671154121228097</v>
      </c>
      <c r="H715" s="121" t="n">
        <v>57.83173532537582</v>
      </c>
      <c r="I715" s="118" t="n">
        <v>88.07472793579102</v>
      </c>
      <c r="J715" s="118" t="n">
        <v>95.15182502746582</v>
      </c>
      <c r="K715" s="120" t="n">
        <v>0.1824854170545277</v>
      </c>
      <c r="L715" s="120" t="n">
        <v>-0.03861034643752859</v>
      </c>
      <c r="M715" s="120" t="n">
        <v>-0.2068361235498094</v>
      </c>
      <c r="N715" t="n">
        <v>65.19298302982749</v>
      </c>
      <c r="O715" t="n">
        <v>0.5147639406205197</v>
      </c>
      <c r="P715" t="n">
        <v>125.7319067071549</v>
      </c>
      <c r="Q715" t="n">
        <v>128.0634662855437</v>
      </c>
    </row>
    <row r="716">
      <c r="A716" s="117" t="n">
        <v>45453</v>
      </c>
      <c r="B716" s="118" t="n">
        <v>91.21748478562768</v>
      </c>
      <c r="C716" s="118" t="n">
        <v>92.41808570202738</v>
      </c>
      <c r="D716" s="118" t="n">
        <v>91.09360806982113</v>
      </c>
      <c r="E716" s="118" t="n">
        <v>91.47475433349609</v>
      </c>
      <c r="F716" s="119" t="n">
        <v>7035100</v>
      </c>
      <c r="G716" s="120" t="n">
        <v>-0.005696658747476491</v>
      </c>
      <c r="H716" s="121" t="n">
        <v>57.50228766445278</v>
      </c>
      <c r="I716" s="118" t="n">
        <v>88.12019515991211</v>
      </c>
      <c r="J716" s="118" t="n">
        <v>95.14534557342529</v>
      </c>
      <c r="K716" s="120" t="n">
        <v>0.1525638593384399</v>
      </c>
      <c r="L716" s="120" t="n">
        <v>-0.04408705521722867</v>
      </c>
      <c r="M716" s="120" t="n">
        <v>-0.2113545074847718</v>
      </c>
      <c r="N716" t="n">
        <v>61.96736939176228</v>
      </c>
      <c r="O716" t="n">
        <v>0.491725255969761</v>
      </c>
      <c r="P716" t="n">
        <v>126.120389533618</v>
      </c>
      <c r="Q716" t="n">
        <v>128.5807523284495</v>
      </c>
    </row>
    <row r="717">
      <c r="A717" s="117" t="n">
        <v>45454</v>
      </c>
      <c r="B717" s="118" t="n">
        <v>91.01737596469511</v>
      </c>
      <c r="C717" s="118" t="n">
        <v>91.47475292802974</v>
      </c>
      <c r="D717" s="118" t="n">
        <v>90.06451395502813</v>
      </c>
      <c r="E717" s="118" t="n">
        <v>91.35088348388672</v>
      </c>
      <c r="F717" s="119" t="n">
        <v>7301500</v>
      </c>
      <c r="G717" s="120" t="n">
        <v>-0.001354153400158542</v>
      </c>
      <c r="H717" s="121" t="n">
        <v>57.42442074609506</v>
      </c>
      <c r="I717" s="118" t="n">
        <v>88.19014099121094</v>
      </c>
      <c r="J717" s="118" t="n">
        <v>95.14350776672363</v>
      </c>
      <c r="K717" s="120" t="n">
        <v>0.139878840281871</v>
      </c>
      <c r="L717" s="120" t="n">
        <v>-0.04538150798166196</v>
      </c>
      <c r="M717" s="120" t="n">
        <v>-0.212422454459981</v>
      </c>
      <c r="N717" t="n">
        <v>61.19666034317632</v>
      </c>
      <c r="O717" t="n">
        <v>0.441141085228133</v>
      </c>
      <c r="P717" t="n">
        <v>126.4241301806353</v>
      </c>
      <c r="Q717" t="n">
        <v>129.4631673882785</v>
      </c>
    </row>
    <row r="718">
      <c r="A718" s="117" t="n">
        <v>45455</v>
      </c>
      <c r="B718" s="118" t="n">
        <v>91.80825423012195</v>
      </c>
      <c r="C718" s="118" t="n">
        <v>91.95118498716286</v>
      </c>
      <c r="D718" s="118" t="n">
        <v>89.09259892538577</v>
      </c>
      <c r="E718" s="118" t="n">
        <v>89.26411437988281</v>
      </c>
      <c r="F718" s="119" t="n">
        <v>9861300</v>
      </c>
      <c r="G718" s="120" t="n">
        <v>-0.02284344742404154</v>
      </c>
      <c r="H718" s="121" t="n">
        <v>56.1126490099256</v>
      </c>
      <c r="I718" s="118" t="n">
        <v>88.2489143371582</v>
      </c>
      <c r="J718" s="118" t="n">
        <v>95.12555240631103</v>
      </c>
      <c r="K718" s="120" t="n">
        <v>0.1652333611551287</v>
      </c>
      <c r="L718" s="120" t="n">
        <v>-0.06718828531410059</v>
      </c>
      <c r="M718" s="120" t="n">
        <v>-0.23041344071388</v>
      </c>
      <c r="N718" t="n">
        <v>49.93034443177047</v>
      </c>
      <c r="O718" t="n">
        <v>0.249670612591985</v>
      </c>
      <c r="P718" t="n">
        <v>127.4624653908559</v>
      </c>
      <c r="Q718" t="n">
        <v>131.1588266795714</v>
      </c>
    </row>
    <row r="719">
      <c r="A719" s="117" t="n">
        <v>45456</v>
      </c>
      <c r="B719" s="118" t="n">
        <v>89.6071546942662</v>
      </c>
      <c r="C719" s="118" t="n">
        <v>90.07405509783061</v>
      </c>
      <c r="D719" s="118" t="n">
        <v>89.30223910646237</v>
      </c>
      <c r="E719" s="118" t="n">
        <v>89.74055480957031</v>
      </c>
      <c r="F719" s="119" t="n">
        <v>8348200</v>
      </c>
      <c r="G719" s="120" t="n">
        <v>0.005337424036493621</v>
      </c>
      <c r="H719" s="121" t="n">
        <v>56.41214601150251</v>
      </c>
      <c r="I719" s="118" t="n">
        <v>88.32898590087891</v>
      </c>
      <c r="J719" s="118" t="n">
        <v>95.10626846313477</v>
      </c>
      <c r="K719" s="120" t="n">
        <v>0.1587835866497195</v>
      </c>
      <c r="L719" s="120" t="n">
        <v>-0.06220947364661322</v>
      </c>
      <c r="M719" s="120" t="n">
        <v>-0.2263058309141839</v>
      </c>
      <c r="N719" t="n">
        <v>52.09865173734508</v>
      </c>
      <c r="O719" t="n">
        <v>0.1429415284012299</v>
      </c>
      <c r="P719" t="n">
        <v>127.7191122909886</v>
      </c>
      <c r="Q719" t="n">
        <v>131.8697414876993</v>
      </c>
    </row>
    <row r="720">
      <c r="A720" s="117" t="n">
        <v>45457</v>
      </c>
      <c r="B720" s="118" t="n">
        <v>89.37846992815324</v>
      </c>
      <c r="C720" s="118" t="n">
        <v>90.31227073640308</v>
      </c>
      <c r="D720" s="118" t="n">
        <v>88.90203886727771</v>
      </c>
      <c r="E720" s="118" t="n">
        <v>88.98779296875</v>
      </c>
      <c r="F720" s="119" t="n">
        <v>7426800</v>
      </c>
      <c r="G720" s="120" t="n">
        <v>-0.008388201325673528</v>
      </c>
      <c r="H720" s="121" t="n">
        <v>55.93894957354473</v>
      </c>
      <c r="I720" s="118" t="n">
        <v>88.41792068481445</v>
      </c>
      <c r="J720" s="118" t="n">
        <v>95.07316860198975</v>
      </c>
      <c r="K720" s="120" t="n">
        <v>0.1626990440841719</v>
      </c>
      <c r="L720" s="120" t="n">
        <v>-0.07007584938297495</v>
      </c>
      <c r="M720" s="120" t="n">
        <v>-0.2327957333689754</v>
      </c>
      <c r="N720" t="n">
        <v>48.52321215891115</v>
      </c>
      <c r="O720" t="n">
        <v>0.01615100980875966</v>
      </c>
      <c r="P720" t="n">
        <v>127.7968147596027</v>
      </c>
      <c r="Q720" t="n">
        <v>132.5529913820121</v>
      </c>
    </row>
    <row r="721">
      <c r="A721" s="117" t="n">
        <v>45460</v>
      </c>
      <c r="B721" s="118" t="n">
        <v>87.67284820686206</v>
      </c>
      <c r="C721" s="118" t="n">
        <v>90.63625006648699</v>
      </c>
      <c r="D721" s="118" t="n">
        <v>87.67284820686206</v>
      </c>
      <c r="E721" s="118" t="n">
        <v>90.52190399169922</v>
      </c>
      <c r="F721" s="119" t="n">
        <v>6365400</v>
      </c>
      <c r="G721" s="120" t="n">
        <v>0.01723956704362761</v>
      </c>
      <c r="H721" s="121" t="n">
        <v>56.90331284506796</v>
      </c>
      <c r="I721" s="118" t="n">
        <v>88.541904296875</v>
      </c>
      <c r="J721" s="118" t="n">
        <v>95.04618923187256</v>
      </c>
      <c r="K721" s="120" t="n">
        <v>0.1722217016928692</v>
      </c>
      <c r="L721" s="120" t="n">
        <v>-0.01605385823344796</v>
      </c>
      <c r="M721" s="120" t="n">
        <v>-0.2195694639782327</v>
      </c>
      <c r="N721" t="n">
        <v>55.26175212598182</v>
      </c>
      <c r="O721" t="n">
        <v>0.02933901347929063</v>
      </c>
      <c r="P721" t="n">
        <v>128.8139275292028</v>
      </c>
      <c r="Q721" t="n">
        <v>134.1767458201034</v>
      </c>
    </row>
    <row r="722">
      <c r="A722" s="117" t="n">
        <v>45461</v>
      </c>
      <c r="B722" s="118" t="n">
        <v>90.2074557027475</v>
      </c>
      <c r="C722" s="118" t="n">
        <v>90.76964813723283</v>
      </c>
      <c r="D722" s="118" t="n">
        <v>89.76913999726052</v>
      </c>
      <c r="E722" s="118" t="n">
        <v>90.31227111816406</v>
      </c>
      <c r="F722" s="119" t="n">
        <v>6712000</v>
      </c>
      <c r="G722" s="120" t="n">
        <v>-0.00231582483676418</v>
      </c>
      <c r="H722" s="121" t="n">
        <v>56.77153473988719</v>
      </c>
      <c r="I722" s="118" t="n">
        <v>88.6396745300293</v>
      </c>
      <c r="J722" s="118" t="n">
        <v>95.01999359130859</v>
      </c>
      <c r="K722" s="120" t="n">
        <v>0.1713667138981533</v>
      </c>
      <c r="L722" s="120" t="n">
        <v>-0.01833250514658924</v>
      </c>
      <c r="M722" s="120" t="n">
        <v>-0.2213768043969211</v>
      </c>
      <c r="N722" t="n">
        <v>54.21732124049031</v>
      </c>
      <c r="O722" t="n">
        <v>0.01822297480877333</v>
      </c>
      <c r="P722" t="n">
        <v>129.1411929122069</v>
      </c>
      <c r="Q722" t="n">
        <v>134.2182346469982</v>
      </c>
    </row>
    <row r="723">
      <c r="A723" s="117" t="n">
        <v>45463</v>
      </c>
      <c r="B723" s="118" t="n">
        <v>89.45468614757493</v>
      </c>
      <c r="C723" s="118" t="n">
        <v>91.56051039418494</v>
      </c>
      <c r="D723" s="118" t="n">
        <v>89.11165522987045</v>
      </c>
      <c r="E723" s="118" t="n">
        <v>91.06502532958984</v>
      </c>
      <c r="F723" s="119" t="n">
        <v>9393800</v>
      </c>
      <c r="G723" s="120" t="n">
        <v>0.008335015852285244</v>
      </c>
      <c r="H723" s="121" t="n">
        <v>57.24472638190271</v>
      </c>
      <c r="I723" s="118" t="n">
        <v>88.73351669311523</v>
      </c>
      <c r="J723" s="118" t="n">
        <v>94.99289581298828</v>
      </c>
      <c r="K723" s="120" t="n">
        <v>0.1694077645000687</v>
      </c>
      <c r="L723" s="120" t="n">
        <v>-0.01015029101531284</v>
      </c>
      <c r="M723" s="120" t="n">
        <v>-0.2148869677186124</v>
      </c>
      <c r="N723" t="n">
        <v>57.33549462681768</v>
      </c>
      <c r="O723" t="n">
        <v>0.05383211596669735</v>
      </c>
      <c r="P723" t="n">
        <v>128.7904027932159</v>
      </c>
      <c r="Q723" t="n">
        <v>133.1836967364972</v>
      </c>
    </row>
    <row r="724">
      <c r="A724" s="117" t="n">
        <v>45464</v>
      </c>
      <c r="B724" s="118" t="n">
        <v>91.4366359291178</v>
      </c>
      <c r="C724" s="118" t="n">
        <v>92.62771341975829</v>
      </c>
      <c r="D724" s="118" t="n">
        <v>90.9220895807899</v>
      </c>
      <c r="E724" s="118" t="n">
        <v>92.59912872314453</v>
      </c>
      <c r="F724" s="119" t="n">
        <v>15124400</v>
      </c>
      <c r="G724" s="120" t="n">
        <v>0.01684624133142587</v>
      </c>
      <c r="H724" s="121" t="n">
        <v>58.20908485748368</v>
      </c>
      <c r="I724" s="118" t="n">
        <v>88.89600708007812</v>
      </c>
      <c r="J724" s="118" t="n">
        <v>94.98308307647704</v>
      </c>
      <c r="K724" s="120" t="n">
        <v>0.1763847785375099</v>
      </c>
      <c r="L724" s="120" t="n">
        <v>0</v>
      </c>
      <c r="M724" s="120" t="n">
        <v>-0.2016607641043525</v>
      </c>
      <c r="N724" t="n">
        <v>62.88367030944119</v>
      </c>
      <c r="O724" t="n">
        <v>0.1666021897510161</v>
      </c>
      <c r="P724" t="n">
        <v>128.6177306407402</v>
      </c>
      <c r="Q724" t="n">
        <v>132.8268466885322</v>
      </c>
    </row>
    <row r="725">
      <c r="A725" s="117" t="n">
        <v>45467</v>
      </c>
      <c r="B725" s="118" t="n">
        <v>92.71348396271269</v>
      </c>
      <c r="C725" s="118" t="n">
        <v>93.4185998714814</v>
      </c>
      <c r="D725" s="118" t="n">
        <v>92.12270685172439</v>
      </c>
      <c r="E725" s="118" t="n">
        <v>92.58960723876953</v>
      </c>
      <c r="F725" s="119" t="n">
        <v>9466900</v>
      </c>
      <c r="G725" s="120" t="n">
        <v>-0.0001028247728277476</v>
      </c>
      <c r="H725" s="121" t="n">
        <v>58.2030995215567</v>
      </c>
      <c r="I725" s="118" t="n">
        <v>89.00135803222656</v>
      </c>
      <c r="J725" s="118" t="n">
        <v>94.97388252258301</v>
      </c>
      <c r="K725" s="120" t="n">
        <v>0.1682016889036597</v>
      </c>
      <c r="L725" s="120" t="n">
        <v>-0.0001028247728277476</v>
      </c>
      <c r="M725" s="120" t="n">
        <v>-0.2017428531549229</v>
      </c>
      <c r="N725" t="n">
        <v>62.82905948161738</v>
      </c>
      <c r="O725" t="n">
        <v>0.2229333940275056</v>
      </c>
      <c r="P725" t="n">
        <v>128.1996278988909</v>
      </c>
      <c r="Q725" t="n">
        <v>131.314657551428</v>
      </c>
    </row>
    <row r="726">
      <c r="A726" s="117" t="n">
        <v>45468</v>
      </c>
      <c r="B726" s="118" t="n">
        <v>92.72302409223622</v>
      </c>
      <c r="C726" s="118" t="n">
        <v>93.03747038243309</v>
      </c>
      <c r="D726" s="118" t="n">
        <v>90.04548347090667</v>
      </c>
      <c r="E726" s="118" t="n">
        <v>90.28369903564453</v>
      </c>
      <c r="F726" s="119" t="n">
        <v>9006500</v>
      </c>
      <c r="G726" s="120" t="n">
        <v>-0.02490461156378532</v>
      </c>
      <c r="H726" s="121" t="n">
        <v>56.753573936164</v>
      </c>
      <c r="I726" s="118" t="n">
        <v>89.0605908203125</v>
      </c>
      <c r="J726" s="118" t="n">
        <v>94.96375671386718</v>
      </c>
      <c r="K726" s="120" t="n">
        <v>0.1957100047881242</v>
      </c>
      <c r="L726" s="120" t="n">
        <v>-0.02500487552558661</v>
      </c>
      <c r="M726" s="120" t="n">
        <v>-0.2216231373251152</v>
      </c>
      <c r="N726" t="n">
        <v>51.22641729243011</v>
      </c>
      <c r="O726" t="n">
        <v>0.09387868757569218</v>
      </c>
      <c r="P726" t="n">
        <v>128.6933079136315</v>
      </c>
      <c r="Q726" t="n">
        <v>132.8163206929114</v>
      </c>
    </row>
    <row r="727">
      <c r="A727" s="117" t="n">
        <v>45469</v>
      </c>
      <c r="B727" s="118" t="n">
        <v>89.65479014374193</v>
      </c>
      <c r="C727" s="118" t="n">
        <v>90.02641304530222</v>
      </c>
      <c r="D727" s="118" t="n">
        <v>88.75910472672403</v>
      </c>
      <c r="E727" s="118" t="n">
        <v>89.62620544433594</v>
      </c>
      <c r="F727" s="119" t="n">
        <v>10160400</v>
      </c>
      <c r="G727" s="120" t="n">
        <v>-0.007282528278432787</v>
      </c>
      <c r="H727" s="121" t="n">
        <v>56.34026442907175</v>
      </c>
      <c r="I727" s="118" t="n">
        <v>89.08579193115234</v>
      </c>
      <c r="J727" s="118" t="n">
        <v>94.95156883239746</v>
      </c>
      <c r="K727" s="120" t="n">
        <v>0.1983416220793985</v>
      </c>
      <c r="L727" s="120" t="n">
        <v>-0.03210530509090559</v>
      </c>
      <c r="M727" s="120" t="n">
        <v>-0.2272916888388228</v>
      </c>
      <c r="N727" t="n">
        <v>48.47744563683708</v>
      </c>
      <c r="O727" t="n">
        <v>-0.03962305422336698</v>
      </c>
      <c r="P727" t="n">
        <v>128.8539520486484</v>
      </c>
      <c r="Q727" t="n">
        <v>133.0906031908122</v>
      </c>
    </row>
    <row r="728">
      <c r="A728" s="117" t="n">
        <v>45470</v>
      </c>
      <c r="B728" s="118" t="n">
        <v>89.34987631454675</v>
      </c>
      <c r="C728" s="118" t="n">
        <v>90.27415371880741</v>
      </c>
      <c r="D728" s="118" t="n">
        <v>88.98779133205493</v>
      </c>
      <c r="E728" s="118" t="n">
        <v>89.75008392333984</v>
      </c>
      <c r="F728" s="119" t="n">
        <v>25772700</v>
      </c>
      <c r="G728" s="120" t="n">
        <v>0.001382168065575895</v>
      </c>
      <c r="H728" s="121" t="n">
        <v>56.41813614337171</v>
      </c>
      <c r="I728" s="118" t="n">
        <v>89.10796585083008</v>
      </c>
      <c r="J728" s="118" t="n">
        <v>94.94414783477784</v>
      </c>
      <c r="K728" s="120" t="n">
        <v>0.1974744657608052</v>
      </c>
      <c r="L728" s="120" t="n">
        <v>-0.03076751195276206</v>
      </c>
      <c r="M728" s="120" t="n">
        <v>-0.2262236760871307</v>
      </c>
      <c r="N728" t="n">
        <v>49.03240280128826</v>
      </c>
      <c r="O728" t="n">
        <v>-0.118958080663206</v>
      </c>
      <c r="P728" t="n">
        <v>129.05705582321</v>
      </c>
      <c r="Q728" t="n">
        <v>133.434167586837</v>
      </c>
    </row>
    <row r="729">
      <c r="A729" s="117" t="n">
        <v>45471</v>
      </c>
      <c r="B729" s="118" t="n">
        <v>73.49424693119107</v>
      </c>
      <c r="C729" s="118" t="n">
        <v>75.32374758304353</v>
      </c>
      <c r="D729" s="118" t="n">
        <v>71.03586837952517</v>
      </c>
      <c r="E729" s="118" t="n">
        <v>71.81721496582031</v>
      </c>
      <c r="F729" s="119" t="n">
        <v>129967000</v>
      </c>
      <c r="G729" s="120" t="n">
        <v>-0.1998089380377284</v>
      </c>
      <c r="H729" s="121" t="n">
        <v>45.14528827449663</v>
      </c>
      <c r="I729" s="118" t="n">
        <v>88.74395706176757</v>
      </c>
      <c r="J729" s="118" t="n">
        <v>94.84937175750733</v>
      </c>
      <c r="K729" s="120" t="n">
        <v>0.7355893371611895</v>
      </c>
      <c r="L729" s="120" t="n">
        <v>-0.2244288261011459</v>
      </c>
      <c r="M729" s="120" t="n">
        <v>-0.3808311016468984</v>
      </c>
      <c r="N729" t="n">
        <v>18.30118207357151</v>
      </c>
      <c r="O729" t="n">
        <v>-1.312251894134591</v>
      </c>
      <c r="P729" t="n">
        <v>128.5492225952879</v>
      </c>
      <c r="Q729" t="n">
        <v>132.7415023944932</v>
      </c>
    </row>
    <row r="730">
      <c r="A730" s="117" t="n">
        <v>45474</v>
      </c>
      <c r="B730" s="118" t="n">
        <v>71.94108857346512</v>
      </c>
      <c r="C730" s="118" t="n">
        <v>73.42755112362647</v>
      </c>
      <c r="D730" s="118" t="n">
        <v>70.78812630446036</v>
      </c>
      <c r="E730" s="118" t="n">
        <v>73.20839691162109</v>
      </c>
      <c r="F730" s="119" t="n">
        <v>44369000</v>
      </c>
      <c r="G730" s="120" t="n">
        <v>0.01937114863703471</v>
      </c>
      <c r="H730" s="121" t="n">
        <v>46.01980436392368</v>
      </c>
      <c r="I730" s="118" t="n">
        <v>88.3906867980957</v>
      </c>
      <c r="J730" s="118" t="n">
        <v>94.76235286712647</v>
      </c>
      <c r="K730" s="120" t="n">
        <v>0.736705014100172</v>
      </c>
      <c r="L730" s="120" t="n">
        <v>-0.2094051216129518</v>
      </c>
      <c r="M730" s="120" t="n">
        <v>-0.3688370888854714</v>
      </c>
      <c r="N730" t="n">
        <v>22.36623430128361</v>
      </c>
      <c r="O730" t="n">
        <v>-1.904992389171185</v>
      </c>
      <c r="P730" t="n">
        <v>128.8137799461664</v>
      </c>
      <c r="Q730" t="n">
        <v>133.5200501420156</v>
      </c>
    </row>
    <row r="731">
      <c r="A731" s="117" t="n">
        <v>45475</v>
      </c>
      <c r="B731" s="118" t="n">
        <v>73.19885093150303</v>
      </c>
      <c r="C731" s="118" t="n">
        <v>73.31319697671684</v>
      </c>
      <c r="D731" s="118" t="n">
        <v>71.83625812251584</v>
      </c>
      <c r="E731" s="118" t="n">
        <v>72.45561981201172</v>
      </c>
      <c r="F731" s="119" t="n">
        <v>26183400</v>
      </c>
      <c r="G731" s="120" t="n">
        <v>-0.01028266061498584</v>
      </c>
      <c r="H731" s="121" t="n">
        <v>45.54659833408141</v>
      </c>
      <c r="I731" s="118" t="n">
        <v>88.04533081054687</v>
      </c>
      <c r="J731" s="118" t="n">
        <v>94.6665742111206</v>
      </c>
      <c r="K731" s="120" t="n">
        <v>0.7363374817431664</v>
      </c>
      <c r="L731" s="120" t="n">
        <v>-0.2175345404313518</v>
      </c>
      <c r="M731" s="120" t="n">
        <v>-0.3753271228932286</v>
      </c>
      <c r="N731" t="n">
        <v>21.73600691727604</v>
      </c>
      <c r="O731" t="n">
        <v>-2.222725857260537</v>
      </c>
      <c r="P731" t="n">
        <v>129.680653184809</v>
      </c>
      <c r="Q731" t="n">
        <v>134.9219640961025</v>
      </c>
    </row>
    <row r="732">
      <c r="A732" s="117" t="n">
        <v>45476</v>
      </c>
      <c r="B732" s="118" t="n">
        <v>71.9410826480246</v>
      </c>
      <c r="C732" s="118" t="n">
        <v>72.34128295244996</v>
      </c>
      <c r="D732" s="118" t="n">
        <v>71.48370567885257</v>
      </c>
      <c r="E732" s="118" t="n">
        <v>71.69333648681641</v>
      </c>
      <c r="F732" s="119" t="n">
        <v>15952000</v>
      </c>
      <c r="G732" s="120" t="n">
        <v>-0.01052069290378133</v>
      </c>
      <c r="H732" s="121" t="n">
        <v>45.06741656019667</v>
      </c>
      <c r="I732" s="118" t="n">
        <v>87.69118331909179</v>
      </c>
      <c r="J732" s="118" t="n">
        <v>94.57136726379395</v>
      </c>
      <c r="K732" s="120" t="n">
        <v>0.7346865829497639</v>
      </c>
      <c r="L732" s="120" t="n">
        <v>-0.2257666192392895</v>
      </c>
      <c r="M732" s="120" t="n">
        <v>-0.3818991143985905</v>
      </c>
      <c r="N732" t="n">
        <v>21.08800744790108</v>
      </c>
      <c r="O732" t="n">
        <v>-2.346974758472613</v>
      </c>
      <c r="P732" t="n">
        <v>130.2593853033716</v>
      </c>
      <c r="Q732" t="n">
        <v>136.0468273521415</v>
      </c>
    </row>
    <row r="733">
      <c r="A733" s="117" t="n">
        <v>45478</v>
      </c>
      <c r="B733" s="118" t="n">
        <v>71.80768959115642</v>
      </c>
      <c r="C733" s="118" t="n">
        <v>72.50327486426474</v>
      </c>
      <c r="D733" s="118" t="n">
        <v>71.2550278195354</v>
      </c>
      <c r="E733" s="118" t="n">
        <v>71.8743896484375</v>
      </c>
      <c r="F733" s="119" t="n">
        <v>19603700</v>
      </c>
      <c r="G733" s="120" t="n">
        <v>0.002525383396745573</v>
      </c>
      <c r="H733" s="121" t="n">
        <v>45.181229065712</v>
      </c>
      <c r="I733" s="118" t="n">
        <v>87.34388397216797</v>
      </c>
      <c r="J733" s="118" t="n">
        <v>94.48060031890869</v>
      </c>
      <c r="K733" s="120" t="n">
        <v>0.7358373197265853</v>
      </c>
      <c r="L733" s="120" t="n">
        <v>-0.2238113831143103</v>
      </c>
      <c r="M733" s="120" t="n">
        <v>-0.380338172684579</v>
      </c>
      <c r="N733" t="n">
        <v>21.68519825821237</v>
      </c>
      <c r="O733" t="n">
        <v>-2.277887187870568</v>
      </c>
      <c r="P733" t="n">
        <v>131.0104944083374</v>
      </c>
      <c r="Q733" t="n">
        <v>137.4653505071105</v>
      </c>
    </row>
    <row r="734">
      <c r="A734" s="117" t="n">
        <v>45481</v>
      </c>
      <c r="B734" s="118" t="n">
        <v>71.8553300108468</v>
      </c>
      <c r="C734" s="118" t="n">
        <v>71.93155344911899</v>
      </c>
      <c r="D734" s="118" t="n">
        <v>69.55892900224651</v>
      </c>
      <c r="E734" s="118" t="n">
        <v>69.60657501220703</v>
      </c>
      <c r="F734" s="119" t="n">
        <v>29905000</v>
      </c>
      <c r="G734" s="120" t="n">
        <v>-0.03155247157329799</v>
      </c>
      <c r="H734" s="121" t="n">
        <v>43.75564961996946</v>
      </c>
      <c r="I734" s="118" t="n">
        <v>86.93945907592773</v>
      </c>
      <c r="J734" s="118" t="n">
        <v>94.3826889038086</v>
      </c>
      <c r="K734" s="120" t="n">
        <v>0.733531723338939</v>
      </c>
      <c r="L734" s="120" t="n">
        <v>-0.2483020523841135</v>
      </c>
      <c r="M734" s="120" t="n">
        <v>-0.3998900348760067</v>
      </c>
      <c r="N734" t="n">
        <v>19.67654457925801</v>
      </c>
      <c r="O734" t="n">
        <v>-2.242331003084876</v>
      </c>
      <c r="P734" t="n">
        <v>131.1617079873345</v>
      </c>
      <c r="Q734" t="n">
        <v>137.792288614598</v>
      </c>
    </row>
    <row r="735">
      <c r="A735" s="117" t="n">
        <v>45482</v>
      </c>
      <c r="B735" s="118" t="n">
        <v>69.84478805452775</v>
      </c>
      <c r="C735" s="118" t="n">
        <v>70.64518865130704</v>
      </c>
      <c r="D735" s="118" t="n">
        <v>68.96814948264925</v>
      </c>
      <c r="E735" s="118" t="n">
        <v>69.04438018798828</v>
      </c>
      <c r="F735" s="119" t="n">
        <v>23445500</v>
      </c>
      <c r="G735" s="120" t="n">
        <v>-0.008076748843340642</v>
      </c>
      <c r="H735" s="121" t="n">
        <v>43.40224622751175</v>
      </c>
      <c r="I735" s="118" t="n">
        <v>86.53707794189454</v>
      </c>
      <c r="J735" s="118" t="n">
        <v>94.28470008850098</v>
      </c>
      <c r="K735" s="120" t="n">
        <v>0.7295895385034785</v>
      </c>
      <c r="L735" s="120" t="n">
        <v>-0.2543733279130617</v>
      </c>
      <c r="M735" s="120" t="n">
        <v>-0.4047369723426991</v>
      </c>
      <c r="N735" t="n">
        <v>19.20170657726624</v>
      </c>
      <c r="O735" t="n">
        <v>-2.115696157581582</v>
      </c>
      <c r="P735" t="n">
        <v>131.2892197307011</v>
      </c>
      <c r="Q735" t="n">
        <v>137.9114152030237</v>
      </c>
    </row>
    <row r="736">
      <c r="A736" s="117" t="n">
        <v>45483</v>
      </c>
      <c r="B736" s="118" t="n">
        <v>68.85382049065333</v>
      </c>
      <c r="C736" s="118" t="n">
        <v>69.2159054878895</v>
      </c>
      <c r="D736" s="118" t="n">
        <v>68.29162804599166</v>
      </c>
      <c r="E736" s="118" t="n">
        <v>69.12062072753906</v>
      </c>
      <c r="F736" s="119" t="n">
        <v>21378200</v>
      </c>
      <c r="G736" s="120" t="n">
        <v>0.001104225128000236</v>
      </c>
      <c r="H736" s="121" t="n">
        <v>43.45017207840783</v>
      </c>
      <c r="I736" s="118" t="n">
        <v>86.13280487060547</v>
      </c>
      <c r="J736" s="118" t="n">
        <v>94.19863929748536</v>
      </c>
      <c r="K736" s="120" t="n">
        <v>0.7309036104973515</v>
      </c>
      <c r="L736" s="120" t="n">
        <v>-0.2535499882056359</v>
      </c>
      <c r="M736" s="120" t="n">
        <v>-0.4040796679497904</v>
      </c>
      <c r="N736" t="n">
        <v>19.48546888320142</v>
      </c>
      <c r="O736" t="n">
        <v>-1.893047826964017</v>
      </c>
      <c r="P736" t="n">
        <v>132.5883931992855</v>
      </c>
      <c r="Q736" t="n">
        <v>139.3493755658151</v>
      </c>
    </row>
    <row r="737">
      <c r="A737" s="117" t="n">
        <v>45484</v>
      </c>
      <c r="B737" s="118" t="n">
        <v>69.27307243982614</v>
      </c>
      <c r="C737" s="118" t="n">
        <v>70.27358056251893</v>
      </c>
      <c r="D737" s="118" t="n">
        <v>68.88240275527971</v>
      </c>
      <c r="E737" s="118" t="n">
        <v>69.93054962158203</v>
      </c>
      <c r="F737" s="119" t="n">
        <v>15876700</v>
      </c>
      <c r="G737" s="120" t="n">
        <v>0.01171761603871535</v>
      </c>
      <c r="H737" s="121" t="n">
        <v>43.95930451163872</v>
      </c>
      <c r="I737" s="118" t="n">
        <v>85.74586944580078</v>
      </c>
      <c r="J737" s="118" t="n">
        <v>94.12011577606201</v>
      </c>
      <c r="K737" s="120" t="n">
        <v>0.7350711452564513</v>
      </c>
      <c r="L737" s="120" t="n">
        <v>-0.2448033735753351</v>
      </c>
      <c r="M737" s="120" t="n">
        <v>-0.3970969023091624</v>
      </c>
      <c r="N737" t="n">
        <v>22.59549729389398</v>
      </c>
      <c r="O737" t="n">
        <v>-1.570754781691273</v>
      </c>
      <c r="P737" t="n">
        <v>131.4451264502527</v>
      </c>
      <c r="Q737" t="n">
        <v>136.2934107609168</v>
      </c>
    </row>
    <row r="738">
      <c r="A738" s="117" t="n">
        <v>45485</v>
      </c>
      <c r="B738" s="118" t="n">
        <v>70.10205244867358</v>
      </c>
      <c r="C738" s="118" t="n">
        <v>70.5594293773521</v>
      </c>
      <c r="D738" s="118" t="n">
        <v>69.72090621973476</v>
      </c>
      <c r="E738" s="118" t="n">
        <v>69.95912170410156</v>
      </c>
      <c r="F738" s="119" t="n">
        <v>14527500</v>
      </c>
      <c r="G738" s="120" t="n">
        <v>0.0004085779773523868</v>
      </c>
      <c r="H738" s="121" t="n">
        <v>43.9772653153619</v>
      </c>
      <c r="I738" s="118" t="n">
        <v>85.39367492675781</v>
      </c>
      <c r="J738" s="118" t="n">
        <v>94.0429133605957</v>
      </c>
      <c r="K738" s="120" t="n">
        <v>0.7352021459630546</v>
      </c>
      <c r="L738" s="120" t="n">
        <v>-0.2444948168652071</v>
      </c>
      <c r="M738" s="120" t="n">
        <v>-0.3968505693809683</v>
      </c>
      <c r="N738" t="n">
        <v>22.70891977725795</v>
      </c>
      <c r="O738" t="n">
        <v>-1.249185792149702</v>
      </c>
      <c r="P738" t="n">
        <v>132.2742331899051</v>
      </c>
      <c r="Q738" t="n">
        <v>137.0941041096154</v>
      </c>
    </row>
    <row r="739">
      <c r="A739" s="117" t="n">
        <v>45488</v>
      </c>
      <c r="B739" s="118" t="n">
        <v>69.5589245837909</v>
      </c>
      <c r="C739" s="118" t="n">
        <v>69.56845523912969</v>
      </c>
      <c r="D739" s="118" t="n">
        <v>67.88188546240232</v>
      </c>
      <c r="E739" s="118" t="n">
        <v>67.94858551025391</v>
      </c>
      <c r="F739" s="119" t="n">
        <v>20775800</v>
      </c>
      <c r="G739" s="120" t="n">
        <v>-0.02873872834412361</v>
      </c>
      <c r="H739" s="121" t="n">
        <v>42.71341463414627</v>
      </c>
      <c r="I739" s="118" t="n">
        <v>85.03771713256836</v>
      </c>
      <c r="J739" s="118" t="n">
        <v>93.95768493652344</v>
      </c>
      <c r="K739" s="120" t="n">
        <v>0.7351408794999251</v>
      </c>
      <c r="L739" s="120" t="n">
        <v>-0.2662070750858954</v>
      </c>
      <c r="M739" s="120" t="n">
        <v>-0.4141843170184415</v>
      </c>
      <c r="N739" t="n">
        <v>20.43929754805336</v>
      </c>
      <c r="O739" t="n">
        <v>-1.072211783876889</v>
      </c>
      <c r="P739" t="n">
        <v>132.6379810994836</v>
      </c>
      <c r="Q739" t="n">
        <v>137.4625993946187</v>
      </c>
    </row>
    <row r="740">
      <c r="A740" s="117" t="n">
        <v>45489</v>
      </c>
      <c r="B740" s="118" t="n">
        <v>68.13916760125871</v>
      </c>
      <c r="C740" s="118" t="n">
        <v>69.52081467336151</v>
      </c>
      <c r="D740" s="118" t="n">
        <v>68.13916760125871</v>
      </c>
      <c r="E740" s="118" t="n">
        <v>69.37788391113281</v>
      </c>
      <c r="F740" s="119" t="n">
        <v>20980700</v>
      </c>
      <c r="G740" s="120" t="n">
        <v>0.02103499859703795</v>
      </c>
      <c r="H740" s="121" t="n">
        <v>43.61189125105023</v>
      </c>
      <c r="I740" s="118" t="n">
        <v>84.67105041503906</v>
      </c>
      <c r="J740" s="118" t="n">
        <v>93.88313770294189</v>
      </c>
      <c r="K740" s="120" t="n">
        <v>0.7447605383835477</v>
      </c>
      <c r="L740" s="120" t="n">
        <v>-0.2507717419398109</v>
      </c>
      <c r="M740" s="120" t="n">
        <v>-0.4018616849488016</v>
      </c>
      <c r="N740" t="n">
        <v>26.09427499815037</v>
      </c>
      <c r="O740" t="n">
        <v>-0.7731783832461536</v>
      </c>
      <c r="P740" t="n">
        <v>133.4245544080732</v>
      </c>
      <c r="Q740" t="n">
        <v>137.5152379165502</v>
      </c>
    </row>
    <row r="741">
      <c r="A741" s="117" t="n">
        <v>45490</v>
      </c>
      <c r="B741" s="118" t="n">
        <v>69.11107926122359</v>
      </c>
      <c r="C741" s="118" t="n">
        <v>69.88289515003551</v>
      </c>
      <c r="D741" s="118" t="n">
        <v>69.08249456456538</v>
      </c>
      <c r="E741" s="118" t="n">
        <v>69.62562561035156</v>
      </c>
      <c r="F741" s="119" t="n">
        <v>11161600</v>
      </c>
      <c r="G741" s="120" t="n">
        <v>0.003570903078221388</v>
      </c>
      <c r="H741" s="121" t="n">
        <v>43.76762508776567</v>
      </c>
      <c r="I741" s="118" t="n">
        <v>84.3142739868164</v>
      </c>
      <c r="J741" s="118" t="n">
        <v>93.8088394165039</v>
      </c>
      <c r="K741" s="120" t="n">
        <v>0.7394035559300606</v>
      </c>
      <c r="L741" s="120" t="n">
        <v>-0.2480963204468133</v>
      </c>
      <c r="M741" s="120" t="n">
        <v>-0.3997257909983831</v>
      </c>
      <c r="N741" t="n">
        <v>27.06198910395611</v>
      </c>
      <c r="O741" t="n">
        <v>-0.4869583035939105</v>
      </c>
      <c r="P741" t="n">
        <v>131.5537918398834</v>
      </c>
      <c r="Q741" t="n">
        <v>133.4784929644998</v>
      </c>
    </row>
    <row r="742">
      <c r="A742" s="117" t="n">
        <v>45491</v>
      </c>
      <c r="B742" s="118" t="n">
        <v>69.53033962453465</v>
      </c>
      <c r="C742" s="118" t="n">
        <v>70.44508625007929</v>
      </c>
      <c r="D742" s="118" t="n">
        <v>68.93956258168376</v>
      </c>
      <c r="E742" s="118" t="n">
        <v>68.96814727783203</v>
      </c>
      <c r="F742" s="119" t="n">
        <v>14440100</v>
      </c>
      <c r="G742" s="120" t="n">
        <v>-0.0094430509852651</v>
      </c>
      <c r="H742" s="121" t="n">
        <v>43.35432517255793</v>
      </c>
      <c r="I742" s="118" t="n">
        <v>83.92137878417969</v>
      </c>
      <c r="J742" s="118" t="n">
        <v>93.7030228805542</v>
      </c>
      <c r="K742" s="120" t="n">
        <v>0.7386151934818906</v>
      </c>
      <c r="L742" s="120" t="n">
        <v>-0.2551965852288424</v>
      </c>
      <c r="M742" s="120" t="n">
        <v>-0.4053942109591251</v>
      </c>
      <c r="N742" t="n">
        <v>26.08578654349756</v>
      </c>
      <c r="O742" t="n">
        <v>-0.2804326460183928</v>
      </c>
      <c r="P742" t="n">
        <v>130.5428037662899</v>
      </c>
      <c r="Q742" t="n">
        <v>132.8468050698391</v>
      </c>
    </row>
    <row r="743">
      <c r="A743" s="117" t="n">
        <v>45492</v>
      </c>
      <c r="B743" s="118" t="n">
        <v>68.89192468005608</v>
      </c>
      <c r="C743" s="118" t="n">
        <v>69.38740971540756</v>
      </c>
      <c r="D743" s="118" t="n">
        <v>68.46313242335263</v>
      </c>
      <c r="E743" s="118" t="n">
        <v>69.27306365966797</v>
      </c>
      <c r="F743" s="119" t="n">
        <v>11913300</v>
      </c>
      <c r="G743" s="120" t="n">
        <v>0.004421118934913704</v>
      </c>
      <c r="H743" s="121" t="n">
        <v>43.54599980048873</v>
      </c>
      <c r="I743" s="118" t="n">
        <v>83.52660873413086</v>
      </c>
      <c r="J743" s="118" t="n">
        <v>93.60372673034668</v>
      </c>
      <c r="K743" s="120" t="n">
        <v>0.7372999948268137</v>
      </c>
      <c r="L743" s="120" t="n">
        <v>-0.2519037207490092</v>
      </c>
      <c r="M743" s="120" t="n">
        <v>-0.4027653880463872</v>
      </c>
      <c r="N743" t="n">
        <v>27.39387609329488</v>
      </c>
      <c r="O743" t="n">
        <v>-0.07262737943403508</v>
      </c>
      <c r="P743" t="n">
        <v>129.6759305276473</v>
      </c>
      <c r="Q743" t="n">
        <v>131.669294748041</v>
      </c>
    </row>
    <row r="744">
      <c r="A744" s="117" t="n">
        <v>45495</v>
      </c>
      <c r="B744" s="118" t="n">
        <v>69.67328258613173</v>
      </c>
      <c r="C744" s="118" t="n">
        <v>71.78863043920433</v>
      </c>
      <c r="D744" s="118" t="n">
        <v>69.62563657102741</v>
      </c>
      <c r="E744" s="118" t="n">
        <v>71.33126068115234</v>
      </c>
      <c r="F744" s="119" t="n">
        <v>19385500</v>
      </c>
      <c r="G744" s="120" t="n">
        <v>0.02971136128172569</v>
      </c>
      <c r="H744" s="121" t="n">
        <v>44.83981073293501</v>
      </c>
      <c r="I744" s="118" t="n">
        <v>83.1766096496582</v>
      </c>
      <c r="J744" s="118" t="n">
        <v>93.51222362518311</v>
      </c>
      <c r="K744" s="120" t="n">
        <v>0.7454415247617951</v>
      </c>
      <c r="L744" s="120" t="n">
        <v>-0.2296767619226683</v>
      </c>
      <c r="M744" s="120" t="n">
        <v>-0.3850207347206821</v>
      </c>
      <c r="N744" t="n">
        <v>35.66977974030658</v>
      </c>
      <c r="O744" t="n">
        <v>0.2371422327584956</v>
      </c>
      <c r="P744" t="n">
        <v>131.0129147701327</v>
      </c>
      <c r="Q744" t="n">
        <v>133.6308806738279</v>
      </c>
    </row>
    <row r="745">
      <c r="A745" s="117" t="n">
        <v>45496</v>
      </c>
      <c r="B745" s="118" t="n">
        <v>71.11209503289751</v>
      </c>
      <c r="C745" s="118" t="n">
        <v>71.50277197858671</v>
      </c>
      <c r="D745" s="118" t="n">
        <v>69.78761731173798</v>
      </c>
      <c r="E745" s="118" t="n">
        <v>69.94007873535156</v>
      </c>
      <c r="F745" s="119" t="n">
        <v>11041800</v>
      </c>
      <c r="G745" s="120" t="n">
        <v>-0.01950311732214161</v>
      </c>
      <c r="H745" s="121" t="n">
        <v>43.96529464350795</v>
      </c>
      <c r="I745" s="118" t="n">
        <v>82.80258346557618</v>
      </c>
      <c r="J745" s="118" t="n">
        <v>93.40999423980713</v>
      </c>
      <c r="K745" s="120" t="n">
        <v>0.7445935214642779</v>
      </c>
      <c r="L745" s="120" t="n">
        <v>-0.2447004664108626</v>
      </c>
      <c r="M745" s="120" t="n">
        <v>-0.3970147474821091</v>
      </c>
      <c r="N745" t="n">
        <v>32.93698108937986</v>
      </c>
      <c r="O745" t="n">
        <v>0.3739106840281199</v>
      </c>
      <c r="P745" t="n">
        <v>130.8073906337758</v>
      </c>
      <c r="Q745" t="n">
        <v>133.159868001281</v>
      </c>
    </row>
    <row r="746">
      <c r="A746" s="117" t="n">
        <v>45497</v>
      </c>
      <c r="B746" s="118" t="n">
        <v>69.79715366367644</v>
      </c>
      <c r="C746" s="118" t="n">
        <v>69.93055378534351</v>
      </c>
      <c r="D746" s="118" t="n">
        <v>67.72944450807545</v>
      </c>
      <c r="E746" s="118" t="n">
        <v>67.73896789550781</v>
      </c>
      <c r="F746" s="119" t="n">
        <v>18563300</v>
      </c>
      <c r="G746" s="120" t="n">
        <v>-0.03147138063959865</v>
      </c>
      <c r="H746" s="121" t="n">
        <v>42.58164612085</v>
      </c>
      <c r="I746" s="118" t="n">
        <v>82.43104354858399</v>
      </c>
      <c r="J746" s="118" t="n">
        <v>93.29723056793213</v>
      </c>
      <c r="K746" s="120" t="n">
        <v>0.7463787645950246</v>
      </c>
      <c r="L746" s="120" t="n">
        <v>-0.2684707855293578</v>
      </c>
      <c r="M746" s="120" t="n">
        <v>-0.4159915258841642</v>
      </c>
      <c r="N746" t="n">
        <v>29.13380000295004</v>
      </c>
      <c r="O746" t="n">
        <v>0.3425357430465068</v>
      </c>
      <c r="P746" t="n">
        <v>127.8429492167513</v>
      </c>
      <c r="Q746" t="n">
        <v>128.3833813667323</v>
      </c>
    </row>
    <row r="747">
      <c r="A747" s="117" t="n">
        <v>45498</v>
      </c>
      <c r="B747" s="118" t="n">
        <v>68.15822307371725</v>
      </c>
      <c r="C747" s="118" t="n">
        <v>69.015800395322</v>
      </c>
      <c r="D747" s="118" t="n">
        <v>67.56745323975898</v>
      </c>
      <c r="E747" s="118" t="n">
        <v>68.04388427734375</v>
      </c>
      <c r="F747" s="119" t="n">
        <v>13855400</v>
      </c>
      <c r="G747" s="120" t="n">
        <v>0.004501343780529687</v>
      </c>
      <c r="H747" s="121" t="n">
        <v>42.7733207487808</v>
      </c>
      <c r="I747" s="118" t="n">
        <v>82.03181213378906</v>
      </c>
      <c r="J747" s="118" t="n">
        <v>93.17977031707764</v>
      </c>
      <c r="K747" s="120" t="n">
        <v>0.7487592858900241</v>
      </c>
      <c r="L747" s="120" t="n">
        <v>-0.2651779210495244</v>
      </c>
      <c r="M747" s="120" t="n">
        <v>-0.4133627029714263</v>
      </c>
      <c r="N747" t="n">
        <v>30.33387502675151</v>
      </c>
      <c r="O747" t="n">
        <v>0.3665646020363251</v>
      </c>
      <c r="P747" t="n">
        <v>127.1768626990004</v>
      </c>
      <c r="Q747" t="n">
        <v>126.9676178680828</v>
      </c>
    </row>
    <row r="748">
      <c r="A748" s="117" t="n">
        <v>45499</v>
      </c>
      <c r="B748" s="118" t="n">
        <v>68.60606330799455</v>
      </c>
      <c r="C748" s="118" t="n">
        <v>69.34929449733622</v>
      </c>
      <c r="D748" s="118" t="n">
        <v>68.48219386635762</v>
      </c>
      <c r="E748" s="118" t="n">
        <v>69.13966369628906</v>
      </c>
      <c r="F748" s="119" t="n">
        <v>8892000</v>
      </c>
      <c r="G748" s="120" t="n">
        <v>0.01610401038363651</v>
      </c>
      <c r="H748" s="121" t="n">
        <v>43.46214275026178</v>
      </c>
      <c r="I748" s="118" t="n">
        <v>81.65316711425781</v>
      </c>
      <c r="J748" s="118" t="n">
        <v>93.06887298583985</v>
      </c>
      <c r="K748" s="120" t="n">
        <v>0.7541787963688502</v>
      </c>
      <c r="L748" s="120" t="n">
        <v>-0.2533443386599806</v>
      </c>
      <c r="M748" s="120" t="n">
        <v>-0.4039154898486497</v>
      </c>
      <c r="N748" t="n">
        <v>34.61885538863876</v>
      </c>
      <c r="O748" t="n">
        <v>0.4736954135558609</v>
      </c>
      <c r="P748" t="n">
        <v>128.6012013406742</v>
      </c>
      <c r="Q748" t="n">
        <v>128.2697997224283</v>
      </c>
    </row>
    <row r="749">
      <c r="A749" s="117" t="n">
        <v>45502</v>
      </c>
      <c r="B749" s="118" t="n">
        <v>69.08250725648229</v>
      </c>
      <c r="C749" s="118" t="n">
        <v>70.38793104520165</v>
      </c>
      <c r="D749" s="118" t="n">
        <v>68.79664569786124</v>
      </c>
      <c r="E749" s="118" t="n">
        <v>70.08301544189453</v>
      </c>
      <c r="F749" s="119" t="n">
        <v>10471800</v>
      </c>
      <c r="G749" s="120" t="n">
        <v>0.01364414715335238</v>
      </c>
      <c r="H749" s="121" t="n">
        <v>44.05514662154636</v>
      </c>
      <c r="I749" s="118" t="n">
        <v>81.31465057373048</v>
      </c>
      <c r="J749" s="118" t="n">
        <v>92.95920475006103</v>
      </c>
      <c r="K749" s="120" t="n">
        <v>0.2793491896415488</v>
      </c>
      <c r="L749" s="120" t="n">
        <v>-0.2431568589437738</v>
      </c>
      <c r="M749" s="120" t="n">
        <v>-0.3957824250763106</v>
      </c>
      <c r="N749" t="n">
        <v>38.14605307004767</v>
      </c>
      <c r="O749" t="n">
        <v>0.6164897191235941</v>
      </c>
      <c r="P749" t="n">
        <v>128.6767638552618</v>
      </c>
      <c r="Q749" t="n">
        <v>128.5274644756193</v>
      </c>
    </row>
    <row r="750">
      <c r="A750" s="117" t="n">
        <v>45503</v>
      </c>
      <c r="B750" s="118" t="n">
        <v>70.21641091612662</v>
      </c>
      <c r="C750" s="118" t="n">
        <v>70.97869623905554</v>
      </c>
      <c r="D750" s="118" t="n">
        <v>69.99724943305598</v>
      </c>
      <c r="E750" s="118" t="n">
        <v>70.81671142578125</v>
      </c>
      <c r="F750" s="119" t="n">
        <v>8515700</v>
      </c>
      <c r="G750" s="120" t="n">
        <v>0.0104689556986175</v>
      </c>
      <c r="H750" s="121" t="n">
        <v>44.51635799982343</v>
      </c>
      <c r="I750" s="118" t="n">
        <v>80.98890975952149</v>
      </c>
      <c r="J750" s="118" t="n">
        <v>92.84835063934327</v>
      </c>
      <c r="K750" s="120" t="n">
        <v>0.2724089062584822</v>
      </c>
      <c r="L750" s="120" t="n">
        <v>-0.2352335016292537</v>
      </c>
      <c r="M750" s="120" t="n">
        <v>-0.3894568980521084</v>
      </c>
      <c r="N750" t="n">
        <v>40.82015685359643</v>
      </c>
      <c r="O750" t="n">
        <v>0.7593668526980322</v>
      </c>
      <c r="P750" t="n">
        <v>128.0248305506924</v>
      </c>
      <c r="Q750" t="n">
        <v>126.7625830929956</v>
      </c>
    </row>
    <row r="751">
      <c r="A751" s="117" t="n">
        <v>45504</v>
      </c>
      <c r="B751" s="118" t="n">
        <v>70.98822972773273</v>
      </c>
      <c r="C751" s="118" t="n">
        <v>71.87439181243985</v>
      </c>
      <c r="D751" s="118" t="n">
        <v>70.43556793947212</v>
      </c>
      <c r="E751" s="118" t="n">
        <v>71.33126068115234</v>
      </c>
      <c r="F751" s="119" t="n">
        <v>14632900</v>
      </c>
      <c r="G751" s="120" t="n">
        <v>0.007265929820962747</v>
      </c>
      <c r="H751" s="121" t="n">
        <v>44.83981073293501</v>
      </c>
      <c r="I751" s="118" t="n">
        <v>80.66567672729492</v>
      </c>
      <c r="J751" s="118" t="n">
        <v>92.73724147796631</v>
      </c>
      <c r="K751" s="120" t="n">
        <v>0.2720427409670941</v>
      </c>
      <c r="L751" s="120" t="n">
        <v>-0.2296767619226683</v>
      </c>
      <c r="M751" s="120" t="n">
        <v>-0.3850207347206821</v>
      </c>
      <c r="N751" t="n">
        <v>42.69138294769861</v>
      </c>
      <c r="O751" t="n">
        <v>0.8790898629186326</v>
      </c>
      <c r="P751" t="n">
        <v>130.1058103957936</v>
      </c>
      <c r="Q751" t="n">
        <v>130.5139556589018</v>
      </c>
    </row>
    <row r="752">
      <c r="A752" s="117" t="n">
        <v>45505</v>
      </c>
      <c r="B752" s="118" t="n">
        <v>71.17879731321889</v>
      </c>
      <c r="C752" s="118" t="n">
        <v>71.26455868412249</v>
      </c>
      <c r="D752" s="118" t="n">
        <v>69.80668080661064</v>
      </c>
      <c r="E752" s="118" t="n">
        <v>70.36886596679688</v>
      </c>
      <c r="F752" s="119" t="n">
        <v>9563500</v>
      </c>
      <c r="G752" s="120" t="n">
        <v>-0.01349190670633638</v>
      </c>
      <c r="H752" s="121" t="n">
        <v>44.23483618979646</v>
      </c>
      <c r="I752" s="118" t="n">
        <v>80.33097900390625</v>
      </c>
      <c r="J752" s="118" t="n">
        <v>92.61820972442626</v>
      </c>
      <c r="K752" s="120" t="n">
        <v>0.2736733976854732</v>
      </c>
      <c r="L752" s="120" t="n">
        <v>-0.2400698911845307</v>
      </c>
      <c r="M752" s="120" t="n">
        <v>-0.393317977594162</v>
      </c>
      <c r="N752" t="n">
        <v>40.13521708783072</v>
      </c>
      <c r="O752" t="n">
        <v>0.8817655018055803</v>
      </c>
      <c r="P752" t="n">
        <v>128.2634132871815</v>
      </c>
      <c r="Q752" t="n">
        <v>127.3527308977958</v>
      </c>
    </row>
    <row r="753">
      <c r="A753" s="117" t="n">
        <v>45506</v>
      </c>
      <c r="B753" s="118" t="n">
        <v>69.39694661919879</v>
      </c>
      <c r="C753" s="118" t="n">
        <v>70.63566295398925</v>
      </c>
      <c r="D753" s="118" t="n">
        <v>68.52983864206082</v>
      </c>
      <c r="E753" s="118" t="n">
        <v>70.52132415771484</v>
      </c>
      <c r="F753" s="119" t="n">
        <v>11526600</v>
      </c>
      <c r="G753" s="120" t="n">
        <v>0.002166557451556805</v>
      </c>
      <c r="H753" s="121" t="n">
        <v>44.33067350376186</v>
      </c>
      <c r="I753" s="118" t="n">
        <v>79.97939804077149</v>
      </c>
      <c r="J753" s="118" t="n">
        <v>92.4899016571045</v>
      </c>
      <c r="K753" s="120" t="n">
        <v>0.2736187028841789</v>
      </c>
      <c r="L753" s="120" t="n">
        <v>-0.2384234589446141</v>
      </c>
      <c r="M753" s="120" t="n">
        <v>-0.3920035661377931</v>
      </c>
      <c r="N753" t="n">
        <v>40.74054220721486</v>
      </c>
      <c r="O753" t="n">
        <v>0.8800754404867055</v>
      </c>
      <c r="P753" t="n">
        <v>125.8753426601388</v>
      </c>
      <c r="Q753" t="n">
        <v>124.3300101261446</v>
      </c>
    </row>
    <row r="754">
      <c r="A754" s="117" t="n">
        <v>45509</v>
      </c>
      <c r="B754" s="118" t="n">
        <v>67.71036725172715</v>
      </c>
      <c r="C754" s="118" t="n">
        <v>69.19683682423435</v>
      </c>
      <c r="D754" s="118" t="n">
        <v>67.41498237611955</v>
      </c>
      <c r="E754" s="118" t="n">
        <v>68.05339813232422</v>
      </c>
      <c r="F754" s="119" t="n">
        <v>13191500</v>
      </c>
      <c r="G754" s="120" t="n">
        <v>-0.03499545782593816</v>
      </c>
      <c r="H754" s="121" t="n">
        <v>42.77930128876552</v>
      </c>
      <c r="I754" s="118" t="n">
        <v>79.58453308105469</v>
      </c>
      <c r="J754" s="118" t="n">
        <v>92.34468223571777</v>
      </c>
      <c r="K754" s="120" t="n">
        <v>0.2789703428967875</v>
      </c>
      <c r="L754" s="120" t="n">
        <v>-0.2650751786683418</v>
      </c>
      <c r="M754" s="120" t="n">
        <v>-0.4132806796973387</v>
      </c>
      <c r="N754" t="n">
        <v>34.63530717943826</v>
      </c>
      <c r="O754" t="n">
        <v>0.7065049697241985</v>
      </c>
      <c r="P754" t="n">
        <v>122.2094021758022</v>
      </c>
      <c r="Q754" t="n">
        <v>120.622988569384</v>
      </c>
    </row>
    <row r="755">
      <c r="A755" s="117" t="n">
        <v>45510</v>
      </c>
      <c r="B755" s="118" t="n">
        <v>68.28209603351445</v>
      </c>
      <c r="C755" s="118" t="n">
        <v>69.78761250430414</v>
      </c>
      <c r="D755" s="118" t="n">
        <v>68.13916527616294</v>
      </c>
      <c r="E755" s="118" t="n">
        <v>69.08249664306641</v>
      </c>
      <c r="F755" s="119" t="n">
        <v>13469700</v>
      </c>
      <c r="G755" s="120" t="n">
        <v>0.01512192688366842</v>
      </c>
      <c r="H755" s="121" t="n">
        <v>43.42620675498866</v>
      </c>
      <c r="I755" s="118" t="n">
        <v>79.23113128662109</v>
      </c>
      <c r="J755" s="118" t="n">
        <v>92.20102649688721</v>
      </c>
      <c r="K755" s="120" t="n">
        <v>0.2832637591112649</v>
      </c>
      <c r="L755" s="120" t="n">
        <v>-0.2539616992551713</v>
      </c>
      <c r="M755" s="120" t="n">
        <v>-0.4044083530344862</v>
      </c>
      <c r="N755" t="n">
        <v>38.75669690199287</v>
      </c>
      <c r="O755" t="n">
        <v>0.65586370756004</v>
      </c>
      <c r="P755" t="n">
        <v>123.3360879707062</v>
      </c>
      <c r="Q755" t="n">
        <v>121.7755338268933</v>
      </c>
    </row>
    <row r="756">
      <c r="A756" s="117" t="n">
        <v>45511</v>
      </c>
      <c r="B756" s="118" t="n">
        <v>69.44457725509042</v>
      </c>
      <c r="C756" s="118" t="n">
        <v>70.71188541078273</v>
      </c>
      <c r="D756" s="118" t="n">
        <v>69.11107702195031</v>
      </c>
      <c r="E756" s="118" t="n">
        <v>69.19683837890625</v>
      </c>
      <c r="F756" s="119" t="n">
        <v>9571200</v>
      </c>
      <c r="G756" s="120" t="n">
        <v>0.001655147705946769</v>
      </c>
      <c r="H756" s="121" t="n">
        <v>43.49808354147715</v>
      </c>
      <c r="I756" s="118" t="n">
        <v>78.8733723449707</v>
      </c>
      <c r="J756" s="118" t="n">
        <v>92.0613357925415</v>
      </c>
      <c r="K756" s="120" t="n">
        <v>0.2832943514069096</v>
      </c>
      <c r="L756" s="120" t="n">
        <v>-0.2527268956731451</v>
      </c>
      <c r="M756" s="120" t="n">
        <v>-0.4034225608863302</v>
      </c>
      <c r="N756" t="n">
        <v>39.21528979958792</v>
      </c>
      <c r="O756" t="n">
        <v>0.625054304061424</v>
      </c>
      <c r="P756" t="n">
        <v>122.5117481631265</v>
      </c>
      <c r="Q756" t="n">
        <v>120.4567427716656</v>
      </c>
    </row>
    <row r="757">
      <c r="A757" s="117" t="n">
        <v>45512</v>
      </c>
      <c r="B757" s="118" t="n">
        <v>69.77809384482495</v>
      </c>
      <c r="C757" s="118" t="n">
        <v>70.71189461922125</v>
      </c>
      <c r="D757" s="118" t="n">
        <v>69.60657837833736</v>
      </c>
      <c r="E757" s="118" t="n">
        <v>70.69284057617188</v>
      </c>
      <c r="F757" s="119" t="n">
        <v>8828000</v>
      </c>
      <c r="G757" s="120" t="n">
        <v>0.02161951661828621</v>
      </c>
      <c r="H757" s="121" t="n">
        <v>44.43849108146572</v>
      </c>
      <c r="I757" s="118" t="n">
        <v>78.54078796386719</v>
      </c>
      <c r="J757" s="118" t="n">
        <v>91.93091609954834</v>
      </c>
      <c r="K757" s="120" t="n">
        <v>0.2907135384010201</v>
      </c>
      <c r="L757" s="120" t="n">
        <v>-0.2365712123757523</v>
      </c>
      <c r="M757" s="120" t="n">
        <v>-0.3905248450273177</v>
      </c>
      <c r="N757" t="n">
        <v>45.0164351376451</v>
      </c>
      <c r="O757" t="n">
        <v>0.6950399228519153</v>
      </c>
      <c r="P757" t="n">
        <v>125.3438666298007</v>
      </c>
      <c r="Q757" t="n">
        <v>124.1416358149053</v>
      </c>
    </row>
    <row r="758">
      <c r="A758" s="117" t="n">
        <v>45513</v>
      </c>
      <c r="B758" s="118" t="n">
        <v>70.62613847740455</v>
      </c>
      <c r="C758" s="118" t="n">
        <v>71.06445415246627</v>
      </c>
      <c r="D758" s="118" t="n">
        <v>69.91149193267684</v>
      </c>
      <c r="E758" s="118" t="n">
        <v>70.83576202392578</v>
      </c>
      <c r="F758" s="119" t="n">
        <v>7186600</v>
      </c>
      <c r="G758" s="120" t="n">
        <v>0.002021724499808641</v>
      </c>
      <c r="H758" s="121" t="n">
        <v>44.52833346761965</v>
      </c>
      <c r="I758" s="118" t="n">
        <v>78.21732635498047</v>
      </c>
      <c r="J758" s="118" t="n">
        <v>91.80055114746094</v>
      </c>
      <c r="K758" s="120" t="n">
        <v>0.290748294337917</v>
      </c>
      <c r="L758" s="120" t="n">
        <v>-0.2350277696919532</v>
      </c>
      <c r="M758" s="120" t="n">
        <v>-0.3892926541744848</v>
      </c>
      <c r="N758" t="n">
        <v>45.55107162062669</v>
      </c>
      <c r="O758" t="n">
        <v>0.7365985581396073</v>
      </c>
      <c r="P758" t="n">
        <v>125.8965946173666</v>
      </c>
      <c r="Q758" t="n">
        <v>124.7899329104482</v>
      </c>
    </row>
    <row r="759">
      <c r="A759" s="117" t="n">
        <v>45516</v>
      </c>
      <c r="B759" s="118" t="n">
        <v>71.18832786499453</v>
      </c>
      <c r="C759" s="118" t="n">
        <v>71.46465875120384</v>
      </c>
      <c r="D759" s="118" t="n">
        <v>70.55944264825968</v>
      </c>
      <c r="E759" s="118" t="n">
        <v>71.12162780761719</v>
      </c>
      <c r="F759" s="119" t="n">
        <v>7067300</v>
      </c>
      <c r="G759" s="120" t="n">
        <v>0.004035613869656007</v>
      </c>
      <c r="H759" s="121" t="n">
        <v>44.70803262775424</v>
      </c>
      <c r="I759" s="118" t="n">
        <v>77.86579208374023</v>
      </c>
      <c r="J759" s="118" t="n">
        <v>91.66044574737549</v>
      </c>
      <c r="K759" s="120" t="n">
        <v>0.2690782523132143</v>
      </c>
      <c r="L759" s="120" t="n">
        <v>-0.2319406371494203</v>
      </c>
      <c r="M759" s="120" t="n">
        <v>-0.3868280751393705</v>
      </c>
      <c r="N759" t="n">
        <v>46.66809495919644</v>
      </c>
      <c r="O759" t="n">
        <v>0.7656046550186737</v>
      </c>
      <c r="P759" t="n">
        <v>125.9627708508453</v>
      </c>
      <c r="Q759" t="n">
        <v>125.0586790080549</v>
      </c>
    </row>
    <row r="760">
      <c r="A760" s="117" t="n">
        <v>45517</v>
      </c>
      <c r="B760" s="118" t="n">
        <v>71.70286584356029</v>
      </c>
      <c r="C760" s="118" t="n">
        <v>75.32374436881358</v>
      </c>
      <c r="D760" s="118" t="n">
        <v>71.53135039194808</v>
      </c>
      <c r="E760" s="118" t="n">
        <v>74.79966735839844</v>
      </c>
      <c r="F760" s="119" t="n">
        <v>22114800</v>
      </c>
      <c r="G760" s="120" t="n">
        <v>0.05171478302957699</v>
      </c>
      <c r="H760" s="121" t="n">
        <v>47.0200988347778</v>
      </c>
      <c r="I760" s="118" t="n">
        <v>77.55744567871093</v>
      </c>
      <c r="J760" s="118" t="n">
        <v>91.54645984649659</v>
      </c>
      <c r="K760" s="120" t="n">
        <v>0.3152944245203819</v>
      </c>
      <c r="L760" s="120" t="n">
        <v>-0.1922206138457675</v>
      </c>
      <c r="M760" s="120" t="n">
        <v>-0.355118022085375</v>
      </c>
      <c r="N760" t="n">
        <v>58.47257400414257</v>
      </c>
      <c r="O760" t="n">
        <v>0.9999581536821638</v>
      </c>
      <c r="P760" t="n">
        <v>128.0342611067122</v>
      </c>
      <c r="Q760" t="n">
        <v>128.161737390763</v>
      </c>
    </row>
    <row r="761">
      <c r="A761" s="117" t="n">
        <v>45518</v>
      </c>
      <c r="B761" s="118" t="n">
        <v>74.32324809340432</v>
      </c>
      <c r="C761" s="118" t="n">
        <v>75.36186435291646</v>
      </c>
      <c r="D761" s="118" t="n">
        <v>73.77058629873628</v>
      </c>
      <c r="E761" s="118" t="n">
        <v>74.81873321533203</v>
      </c>
      <c r="F761" s="119" t="n">
        <v>13613000</v>
      </c>
      <c r="G761" s="120" t="n">
        <v>0.000254892269002216</v>
      </c>
      <c r="H761" s="121" t="n">
        <v>47.0320838944585</v>
      </c>
      <c r="I761" s="118" t="n">
        <v>77.25481658935547</v>
      </c>
      <c r="J761" s="118" t="n">
        <v>91.4491590499878</v>
      </c>
      <c r="K761" s="120" t="n">
        <v>0.3155677238022292</v>
      </c>
      <c r="L761" s="120" t="n">
        <v>-0.1920147171251775</v>
      </c>
      <c r="M761" s="120" t="n">
        <v>-0.3549536466547857</v>
      </c>
      <c r="N761" t="n">
        <v>58.52382272954597</v>
      </c>
      <c r="O761" t="n">
        <v>1.114947967878497</v>
      </c>
      <c r="P761" t="n">
        <v>128.4381958770763</v>
      </c>
      <c r="Q761" t="n">
        <v>128.203311655934</v>
      </c>
    </row>
    <row r="762">
      <c r="A762" s="117" t="n">
        <v>45519</v>
      </c>
      <c r="B762" s="118" t="n">
        <v>78.22997584281927</v>
      </c>
      <c r="C762" s="118" t="n">
        <v>79.14472257343093</v>
      </c>
      <c r="D762" s="118" t="n">
        <v>76.86738276841881</v>
      </c>
      <c r="E762" s="118" t="n">
        <v>78.61112213134766</v>
      </c>
      <c r="F762" s="119" t="n">
        <v>23583600</v>
      </c>
      <c r="G762" s="120" t="n">
        <v>0.05068769214657709</v>
      </c>
      <c r="H762" s="121" t="n">
        <v>49.41603168391281</v>
      </c>
      <c r="I762" s="118" t="n">
        <v>77.0215560913086</v>
      </c>
      <c r="J762" s="118" t="n">
        <v>91.38043472290039</v>
      </c>
      <c r="K762" s="120" t="n">
        <v>0.3521837293345253</v>
      </c>
      <c r="L762" s="120" t="n">
        <v>-0.1510598078478533</v>
      </c>
      <c r="M762" s="120" t="n">
        <v>-0.3222577356761513</v>
      </c>
      <c r="N762" t="n">
        <v>67.19580944278563</v>
      </c>
      <c r="O762" t="n">
        <v>1.38735845154819</v>
      </c>
      <c r="P762" t="n">
        <v>130.6396625130162</v>
      </c>
      <c r="Q762" t="n">
        <v>131.4421229156052</v>
      </c>
    </row>
    <row r="763">
      <c r="A763" s="117" t="n">
        <v>45520</v>
      </c>
      <c r="B763" s="118" t="n">
        <v>78.9732017660434</v>
      </c>
      <c r="C763" s="118" t="n">
        <v>79.98324045279782</v>
      </c>
      <c r="D763" s="118" t="n">
        <v>78.55394741980149</v>
      </c>
      <c r="E763" s="118" t="n">
        <v>79.30670928955078</v>
      </c>
      <c r="F763" s="119" t="n">
        <v>13794200</v>
      </c>
      <c r="G763" s="120" t="n">
        <v>0.008848457309143853</v>
      </c>
      <c r="H763" s="121" t="n">
        <v>49.85328733065521</v>
      </c>
      <c r="I763" s="118" t="n">
        <v>76.81021133422851</v>
      </c>
      <c r="J763" s="118" t="n">
        <v>91.29718463897706</v>
      </c>
      <c r="K763" s="120" t="n">
        <v>0.352138285401294</v>
      </c>
      <c r="L763" s="120" t="n">
        <v>-0.1435479967995787</v>
      </c>
      <c r="M763" s="120" t="n">
        <v>-0.3162607621836793</v>
      </c>
      <c r="N763" t="n">
        <v>68.49686840733479</v>
      </c>
      <c r="O763" t="n">
        <v>1.543364229372806</v>
      </c>
      <c r="P763" t="n">
        <v>130.9325705651688</v>
      </c>
      <c r="Q763" t="n">
        <v>131.6111198258154</v>
      </c>
    </row>
    <row r="764">
      <c r="A764" s="117" t="n">
        <v>45523</v>
      </c>
      <c r="B764" s="118" t="n">
        <v>79.30671611505473</v>
      </c>
      <c r="C764" s="118" t="n">
        <v>80.03088607987088</v>
      </c>
      <c r="D764" s="118" t="n">
        <v>79.01132391937566</v>
      </c>
      <c r="E764" s="118" t="n">
        <v>79.35435485839844</v>
      </c>
      <c r="F764" s="119" t="n">
        <v>9627300</v>
      </c>
      <c r="G764" s="120" t="n">
        <v>0.0006007760159825182</v>
      </c>
      <c r="H764" s="121" t="n">
        <v>49.88323799000135</v>
      </c>
      <c r="I764" s="118" t="n">
        <v>76.57313919067383</v>
      </c>
      <c r="J764" s="118" t="n">
        <v>91.20960121154785</v>
      </c>
      <c r="K764" s="120" t="n">
        <v>0.3422794378146287</v>
      </c>
      <c r="L764" s="120" t="n">
        <v>-0.1430334609772158</v>
      </c>
      <c r="M764" s="120" t="n">
        <v>-0.315849988048413</v>
      </c>
      <c r="N764" t="n">
        <v>68.58876687790192</v>
      </c>
      <c r="O764" t="n">
        <v>1.573363954254541</v>
      </c>
      <c r="P764" t="n">
        <v>132.1844584289213</v>
      </c>
      <c r="Q764" t="n">
        <v>133.3399633435621</v>
      </c>
    </row>
    <row r="765">
      <c r="A765" s="117" t="n">
        <v>45524</v>
      </c>
      <c r="B765" s="118" t="n">
        <v>79.55444710591371</v>
      </c>
      <c r="C765" s="118" t="n">
        <v>79.94512401913789</v>
      </c>
      <c r="D765" s="118" t="n">
        <v>78.86838529618552</v>
      </c>
      <c r="E765" s="118" t="n">
        <v>79.62114715576172</v>
      </c>
      <c r="F765" s="119" t="n">
        <v>7863100</v>
      </c>
      <c r="G765" s="120" t="n">
        <v>0.003362037254784012</v>
      </c>
      <c r="H765" s="121" t="n">
        <v>50.05094729451299</v>
      </c>
      <c r="I765" s="118" t="n">
        <v>76.32558532714843</v>
      </c>
      <c r="J765" s="118" t="n">
        <v>91.13225933074951</v>
      </c>
      <c r="K765" s="120" t="n">
        <v>0.329453625688987</v>
      </c>
      <c r="L765" s="120" t="n">
        <v>-0.1401523075469178</v>
      </c>
      <c r="M765" s="120" t="n">
        <v>-0.313549850220371</v>
      </c>
      <c r="N765" t="n">
        <v>69.13176927622909</v>
      </c>
      <c r="O765" t="n">
        <v>1.533212308680693</v>
      </c>
      <c r="P765" t="n">
        <v>131.9695037365445</v>
      </c>
      <c r="Q765" t="n">
        <v>133.0601359015397</v>
      </c>
    </row>
    <row r="766">
      <c r="A766" s="117" t="n">
        <v>45525</v>
      </c>
      <c r="B766" s="118" t="n">
        <v>79.72596667882837</v>
      </c>
      <c r="C766" s="118" t="n">
        <v>80.26909776130717</v>
      </c>
      <c r="D766" s="118" t="n">
        <v>79.29718166046743</v>
      </c>
      <c r="E766" s="118" t="n">
        <v>80.04041290283203</v>
      </c>
      <c r="F766" s="119" t="n">
        <v>6915900</v>
      </c>
      <c r="G766" s="120" t="n">
        <v>0.00526575868406054</v>
      </c>
      <c r="H766" s="121" t="n">
        <v>50.31450350487453</v>
      </c>
      <c r="I766" s="118" t="n">
        <v>76.09689849853515</v>
      </c>
      <c r="J766" s="118" t="n">
        <v>91.03721916198731</v>
      </c>
      <c r="K766" s="120" t="n">
        <v>0.2972225289938355</v>
      </c>
      <c r="L766" s="120" t="n">
        <v>-0.1356245570934136</v>
      </c>
      <c r="M766" s="120" t="n">
        <v>-0.3099351693829943</v>
      </c>
      <c r="N766" t="n">
        <v>70.00918577814252</v>
      </c>
      <c r="O766" t="n">
        <v>1.457431957137684</v>
      </c>
      <c r="P766" t="n">
        <v>132.4230411654104</v>
      </c>
      <c r="Q766" t="n">
        <v>133.6807424517847</v>
      </c>
    </row>
    <row r="767">
      <c r="A767" s="117" t="n">
        <v>45526</v>
      </c>
      <c r="B767" s="118" t="n">
        <v>80.46920355003337</v>
      </c>
      <c r="C767" s="118" t="n">
        <v>80.68836503748285</v>
      </c>
      <c r="D767" s="118" t="n">
        <v>79.2876565505417</v>
      </c>
      <c r="E767" s="118" t="n">
        <v>79.47823333740234</v>
      </c>
      <c r="F767" s="119" t="n">
        <v>8485500</v>
      </c>
      <c r="G767" s="120" t="n">
        <v>-0.007023696468334895</v>
      </c>
      <c r="H767" s="121" t="n">
        <v>49.96110970430132</v>
      </c>
      <c r="I767" s="118" t="n">
        <v>75.85944549560547</v>
      </c>
      <c r="J767" s="118" t="n">
        <v>90.93003627777099</v>
      </c>
      <c r="K767" s="120" t="n">
        <v>0.3020766873163837</v>
      </c>
      <c r="L767" s="120" t="n">
        <v>-0.1416956678390719</v>
      </c>
      <c r="M767" s="120" t="n">
        <v>-0.314781975296721</v>
      </c>
      <c r="N767" t="n">
        <v>67.24892714844272</v>
      </c>
      <c r="O767" t="n">
        <v>1.297337424937869</v>
      </c>
      <c r="P767" t="n">
        <v>131.3837319071502</v>
      </c>
      <c r="Q767" t="n">
        <v>131.5612580478585</v>
      </c>
    </row>
    <row r="768">
      <c r="A768" s="117" t="n">
        <v>45527</v>
      </c>
      <c r="B768" s="118" t="n">
        <v>79.41152001658332</v>
      </c>
      <c r="C768" s="118" t="n">
        <v>80.26909731833315</v>
      </c>
      <c r="D768" s="118" t="n">
        <v>79.29718122285705</v>
      </c>
      <c r="E768" s="118" t="n">
        <v>80.08805847167969</v>
      </c>
      <c r="F768" s="119" t="n">
        <v>9219700</v>
      </c>
      <c r="G768" s="120" t="n">
        <v>0.007672857192088101</v>
      </c>
      <c r="H768" s="121" t="n">
        <v>50.34445416422068</v>
      </c>
      <c r="I768" s="118" t="n">
        <v>75.6759243774414</v>
      </c>
      <c r="J768" s="118" t="n">
        <v>90.82500717163086</v>
      </c>
      <c r="K768" s="120" t="n">
        <v>0.3005428744920348</v>
      </c>
      <c r="L768" s="120" t="n">
        <v>-0.1351100212710504</v>
      </c>
      <c r="M768" s="120" t="n">
        <v>-0.309524395247728</v>
      </c>
      <c r="N768" t="n">
        <v>68.69097363231738</v>
      </c>
      <c r="O768" t="n">
        <v>1.1646265251639</v>
      </c>
      <c r="P768" t="n">
        <v>132.7797050892463</v>
      </c>
      <c r="Q768" t="n">
        <v>132.9880858032685</v>
      </c>
    </row>
    <row r="769">
      <c r="A769" s="117" t="n">
        <v>45530</v>
      </c>
      <c r="B769" s="118" t="n">
        <v>79.53539689138867</v>
      </c>
      <c r="C769" s="118" t="n">
        <v>80.52637430092726</v>
      </c>
      <c r="D769" s="118" t="n">
        <v>79.44963552616602</v>
      </c>
      <c r="E769" s="118" t="n">
        <v>80.30721282958984</v>
      </c>
      <c r="F769" s="119" t="n">
        <v>7853300</v>
      </c>
      <c r="G769" s="120" t="n">
        <v>0.002736417414684222</v>
      </c>
      <c r="H769" s="121" t="n">
        <v>50.48221760532842</v>
      </c>
      <c r="I769" s="118" t="n">
        <v>75.4872575378418</v>
      </c>
      <c r="J769" s="118" t="n">
        <v>90.71112930297852</v>
      </c>
      <c r="K769" s="120" t="n">
        <v>0.3001005641673057</v>
      </c>
      <c r="L769" s="120" t="n">
        <v>-0.1327433212714708</v>
      </c>
      <c r="M769" s="120" t="n">
        <v>-0.3076349657784693</v>
      </c>
      <c r="N769" t="n">
        <v>69.21555698392559</v>
      </c>
      <c r="O769" t="n">
        <v>1.028449964645679</v>
      </c>
      <c r="P769" t="n">
        <v>132.4631689929815</v>
      </c>
      <c r="Q769" t="n">
        <v>131.697002380994</v>
      </c>
    </row>
    <row r="770">
      <c r="A770" s="117" t="n">
        <v>45531</v>
      </c>
      <c r="B770" s="118" t="n">
        <v>80.10711464506639</v>
      </c>
      <c r="C770" s="118" t="n">
        <v>81.36489229783884</v>
      </c>
      <c r="D770" s="118" t="n">
        <v>79.66879896134759</v>
      </c>
      <c r="E770" s="118" t="n">
        <v>81.26960754394531</v>
      </c>
      <c r="F770" s="119" t="n">
        <v>14954000</v>
      </c>
      <c r="G770" s="120" t="n">
        <v>0.01198391377867458</v>
      </c>
      <c r="H770" s="121" t="n">
        <v>51.08719214846696</v>
      </c>
      <c r="I770" s="118" t="n">
        <v>75.33289382934571</v>
      </c>
      <c r="J770" s="118" t="n">
        <v>90.60192203521729</v>
      </c>
      <c r="K770" s="120" t="n">
        <v>0.300380917066323</v>
      </c>
      <c r="L770" s="120" t="n">
        <v>-0.1223501920096084</v>
      </c>
      <c r="M770" s="120" t="n">
        <v>-0.2993377229049894</v>
      </c>
      <c r="N770" t="n">
        <v>71.47575698304638</v>
      </c>
      <c r="O770" t="n">
        <v>0.9423276131373015</v>
      </c>
      <c r="P770" t="n">
        <v>132.6450798435298</v>
      </c>
      <c r="Q770" t="n">
        <v>132.0904370988033</v>
      </c>
    </row>
    <row r="771">
      <c r="A771" s="117" t="n">
        <v>45532</v>
      </c>
      <c r="B771" s="118" t="n">
        <v>81.04092931028151</v>
      </c>
      <c r="C771" s="118" t="n">
        <v>81.40301431260191</v>
      </c>
      <c r="D771" s="118" t="n">
        <v>78.02035074945414</v>
      </c>
      <c r="E771" s="118" t="n">
        <v>78.88745880126953</v>
      </c>
      <c r="F771" s="119" t="n">
        <v>11088600</v>
      </c>
      <c r="G771" s="120" t="n">
        <v>-0.02931168015531105</v>
      </c>
      <c r="H771" s="121" t="n">
        <v>49.58974071217818</v>
      </c>
      <c r="I771" s="118" t="n">
        <v>75.10020492553711</v>
      </c>
      <c r="J771" s="118" t="n">
        <v>90.49206806182862</v>
      </c>
      <c r="K771" s="120" t="n">
        <v>0.3269577896791599</v>
      </c>
      <c r="L771" s="120" t="n">
        <v>-0.1480755824697929</v>
      </c>
      <c r="M771" s="120" t="n">
        <v>-0.3198753114680903</v>
      </c>
      <c r="N771" t="n">
        <v>59.77676804640487</v>
      </c>
      <c r="O771" t="n">
        <v>0.6765042408936379</v>
      </c>
      <c r="P771" t="n">
        <v>131.8750358350063</v>
      </c>
      <c r="Q771" t="n">
        <v>130.5915507012945</v>
      </c>
    </row>
    <row r="772">
      <c r="A772" s="117" t="n">
        <v>45533</v>
      </c>
      <c r="B772" s="118" t="n">
        <v>79.51632783083055</v>
      </c>
      <c r="C772" s="118" t="n">
        <v>79.93558942048554</v>
      </c>
      <c r="D772" s="118" t="n">
        <v>78.95414276266574</v>
      </c>
      <c r="E772" s="118" t="n">
        <v>79.33528900146484</v>
      </c>
      <c r="F772" s="119" t="n">
        <v>7477200</v>
      </c>
      <c r="G772" s="120" t="n">
        <v>0.005676823756276317</v>
      </c>
      <c r="H772" s="121" t="n">
        <v>49.87125293032066</v>
      </c>
      <c r="I772" s="118" t="n">
        <v>74.88066528320313</v>
      </c>
      <c r="J772" s="118" t="n">
        <v>90.38864784240722</v>
      </c>
      <c r="K772" s="120" t="n">
        <v>0.3193794537990164</v>
      </c>
      <c r="L772" s="120" t="n">
        <v>-0.1432393576978056</v>
      </c>
      <c r="M772" s="120" t="n">
        <v>-0.3160143634790024</v>
      </c>
      <c r="N772" t="n">
        <v>61.06691036725558</v>
      </c>
      <c r="O772" t="n">
        <v>0.491043405445182</v>
      </c>
      <c r="P772" t="n">
        <v>131.886827719607</v>
      </c>
      <c r="Q772" t="n">
        <v>130.4003740145977</v>
      </c>
    </row>
    <row r="773">
      <c r="A773" s="117" t="n">
        <v>45534</v>
      </c>
      <c r="B773" s="118" t="n">
        <v>79.6592638880947</v>
      </c>
      <c r="C773" s="118" t="n">
        <v>79.92606409210737</v>
      </c>
      <c r="D773" s="118" t="n">
        <v>78.18233211023592</v>
      </c>
      <c r="E773" s="118" t="n">
        <v>79.39246368408203</v>
      </c>
      <c r="F773" s="119" t="n">
        <v>13755300</v>
      </c>
      <c r="G773" s="120" t="n">
        <v>0.0007206715112126894</v>
      </c>
      <c r="H773" s="121" t="n">
        <v>49.90719372153603</v>
      </c>
      <c r="I773" s="118" t="n">
        <v>74.64721405029297</v>
      </c>
      <c r="J773" s="118" t="n">
        <v>90.2945153427124</v>
      </c>
      <c r="K773" s="120" t="n">
        <v>0.3196630351492261</v>
      </c>
      <c r="L773" s="120" t="n">
        <v>-0.1426219147109701</v>
      </c>
      <c r="M773" s="120" t="n">
        <v>-0.3155214345166829</v>
      </c>
      <c r="N773" t="n">
        <v>61.23785032048204</v>
      </c>
      <c r="O773" t="n">
        <v>0.3396245048944246</v>
      </c>
      <c r="P773" t="n">
        <v>133.1458290857094</v>
      </c>
      <c r="Q773" t="n">
        <v>131.9546671341849</v>
      </c>
    </row>
    <row r="774">
      <c r="A774" s="117" t="n">
        <v>45538</v>
      </c>
      <c r="B774" s="118" t="n">
        <v>79.16276789031704</v>
      </c>
      <c r="C774" s="118" t="n">
        <v>79.38290696129361</v>
      </c>
      <c r="D774" s="118" t="n">
        <v>77.53567968674326</v>
      </c>
      <c r="E774" s="118" t="n">
        <v>77.83238220214844</v>
      </c>
      <c r="F774" s="119" t="n">
        <v>10133700</v>
      </c>
      <c r="G774" s="120" t="n">
        <v>-0.01965024650376712</v>
      </c>
      <c r="H774" s="121" t="n">
        <v>48.92650506259658</v>
      </c>
      <c r="I774" s="118" t="n">
        <v>74.35187911987305</v>
      </c>
      <c r="J774" s="118" t="n">
        <v>90.18527732849121</v>
      </c>
      <c r="K774" s="120" t="n">
        <v>0.2973386459091625</v>
      </c>
      <c r="L774" s="120" t="n">
        <v>-0.1594696054338274</v>
      </c>
      <c r="M774" s="120" t="n">
        <v>-0.3289716070549751</v>
      </c>
      <c r="N774" t="n">
        <v>54.23988659788373</v>
      </c>
      <c r="O774" t="n">
        <v>0.1134964754484207</v>
      </c>
      <c r="P774" t="n">
        <v>130.4058171919925</v>
      </c>
      <c r="Q774" t="n">
        <v>127.9483980152347</v>
      </c>
    </row>
    <row r="775">
      <c r="A775" s="117" t="n">
        <v>45539</v>
      </c>
      <c r="B775" s="118" t="n">
        <v>76.66469312411412</v>
      </c>
      <c r="C775" s="118" t="n">
        <v>77.61223224852422</v>
      </c>
      <c r="D775" s="118" t="n">
        <v>76.25313454649158</v>
      </c>
      <c r="E775" s="118" t="n">
        <v>77.54523468017578</v>
      </c>
      <c r="F775" s="119" t="n">
        <v>12837400</v>
      </c>
      <c r="G775" s="120" t="n">
        <v>-0.003689306607972842</v>
      </c>
      <c r="H775" s="121" t="n">
        <v>48.74600018416413</v>
      </c>
      <c r="I775" s="118" t="n">
        <v>74.05099166870117</v>
      </c>
      <c r="J775" s="118" t="n">
        <v>90.06484756469726</v>
      </c>
      <c r="K775" s="120" t="n">
        <v>0.2979363879492423</v>
      </c>
      <c r="L775" s="120" t="n">
        <v>-0.1625705797727023</v>
      </c>
      <c r="M775" s="120" t="n">
        <v>-0.3314472365392046</v>
      </c>
      <c r="N775" t="n">
        <v>53.0384927655678</v>
      </c>
      <c r="O775" t="n">
        <v>-0.06662679357700174</v>
      </c>
      <c r="P775" t="n">
        <v>130.1389132708366</v>
      </c>
      <c r="Q775" t="n">
        <v>127.6159320512808</v>
      </c>
    </row>
    <row r="776">
      <c r="A776" s="117" t="n">
        <v>45540</v>
      </c>
      <c r="B776" s="118" t="n">
        <v>77.65051736687073</v>
      </c>
      <c r="C776" s="118" t="n">
        <v>77.75580030282092</v>
      </c>
      <c r="D776" s="118" t="n">
        <v>76.76997581363941</v>
      </c>
      <c r="E776" s="118" t="n">
        <v>77.36338806152344</v>
      </c>
      <c r="F776" s="119" t="n">
        <v>7596300</v>
      </c>
      <c r="G776" s="120" t="n">
        <v>-0.002345039245833069</v>
      </c>
      <c r="H776" s="121" t="n">
        <v>48.63168890065488</v>
      </c>
      <c r="I776" s="118" t="n">
        <v>73.79258544921875</v>
      </c>
      <c r="J776" s="118" t="n">
        <v>89.94449829101562</v>
      </c>
      <c r="K776" s="120" t="n">
        <v>0.2990391349933216</v>
      </c>
      <c r="L776" s="120" t="n">
        <v>-0.1645343846287506</v>
      </c>
      <c r="M776" s="120" t="n">
        <v>-0.3330150190074302</v>
      </c>
      <c r="N776" t="n">
        <v>52.24921255248848</v>
      </c>
      <c r="O776" t="n">
        <v>-0.2016008970416472</v>
      </c>
      <c r="P776" t="n">
        <v>129.8223771745718</v>
      </c>
      <c r="Q776" t="n">
        <v>127.7350842711893</v>
      </c>
    </row>
    <row r="777">
      <c r="A777" s="117" t="n">
        <v>45541</v>
      </c>
      <c r="B777" s="118" t="n">
        <v>77.41124464147778</v>
      </c>
      <c r="C777" s="118" t="n">
        <v>78.36835699645138</v>
      </c>
      <c r="D777" s="118" t="n">
        <v>76.90397626169181</v>
      </c>
      <c r="E777" s="118" t="n">
        <v>77.17196655273438</v>
      </c>
      <c r="F777" s="119" t="n">
        <v>8512200</v>
      </c>
      <c r="G777" s="120" t="n">
        <v>-0.002474316515673203</v>
      </c>
      <c r="H777" s="121" t="n">
        <v>48.51135870962291</v>
      </c>
      <c r="I777" s="118" t="n">
        <v>73.54350067138672</v>
      </c>
      <c r="J777" s="118" t="n">
        <v>89.83096847534179</v>
      </c>
      <c r="K777" s="120" t="n">
        <v>0.2942824238696919</v>
      </c>
      <c r="L777" s="120" t="n">
        <v>-0.1666015909991407</v>
      </c>
      <c r="M777" s="120" t="n">
        <v>-0.3346653509616061</v>
      </c>
      <c r="N777" t="n">
        <v>51.38240113101011</v>
      </c>
      <c r="O777" t="n">
        <v>-0.3013523705755603</v>
      </c>
      <c r="P777" t="n">
        <v>127.6374398386979</v>
      </c>
      <c r="Q777" t="n">
        <v>124.31340946909</v>
      </c>
    </row>
    <row r="778">
      <c r="A778" s="117" t="n">
        <v>45544</v>
      </c>
      <c r="B778" s="118" t="n">
        <v>77.28681214153529</v>
      </c>
      <c r="C778" s="118" t="n">
        <v>78.08121704053039</v>
      </c>
      <c r="D778" s="118" t="n">
        <v>75.63100477990618</v>
      </c>
      <c r="E778" s="118" t="n">
        <v>76.08084869384766</v>
      </c>
      <c r="F778" s="119" t="n">
        <v>8003300</v>
      </c>
      <c r="G778" s="120" t="n">
        <v>-0.01413878520435419</v>
      </c>
      <c r="H778" s="121" t="n">
        <v>47.82546702885617</v>
      </c>
      <c r="I778" s="118" t="n">
        <v>73.27011596679688</v>
      </c>
      <c r="J778" s="118" t="n">
        <v>89.71028633117676</v>
      </c>
      <c r="K778" s="120" t="n">
        <v>0.301626415021118</v>
      </c>
      <c r="L778" s="120" t="n">
        <v>-0.1783848320936544</v>
      </c>
      <c r="M778" s="120" t="n">
        <v>-0.3440723746533744</v>
      </c>
      <c r="N778" t="n">
        <v>46.63334744379385</v>
      </c>
      <c r="O778" t="n">
        <v>-0.4305275211691222</v>
      </c>
      <c r="P778" t="n">
        <v>129.0665158958371</v>
      </c>
      <c r="Q778" t="n">
        <v>125.9120279663401</v>
      </c>
    </row>
    <row r="779">
      <c r="A779" s="117" t="n">
        <v>45545</v>
      </c>
      <c r="B779" s="118" t="n">
        <v>76.14784664876363</v>
      </c>
      <c r="C779" s="118" t="n">
        <v>76.14784664876363</v>
      </c>
      <c r="D779" s="118" t="n">
        <v>74.22405632488035</v>
      </c>
      <c r="E779" s="118" t="n">
        <v>74.74089050292969</v>
      </c>
      <c r="F779" s="119" t="n">
        <v>9748400</v>
      </c>
      <c r="G779" s="120" t="n">
        <v>-0.01761229289528587</v>
      </c>
      <c r="H779" s="121" t="n">
        <v>46.98315089569012</v>
      </c>
      <c r="I779" s="118" t="n">
        <v>73.32858947753907</v>
      </c>
      <c r="J779" s="118" t="n">
        <v>89.5818204498291</v>
      </c>
      <c r="K779" s="120" t="n">
        <v>0.3109938375804406</v>
      </c>
      <c r="L779" s="120" t="n">
        <v>-0.1928553590780305</v>
      </c>
      <c r="M779" s="120" t="n">
        <v>-0.3556247641090885</v>
      </c>
      <c r="N779" t="n">
        <v>41.55398055857882</v>
      </c>
      <c r="O779" t="n">
        <v>-0.5862724370127441</v>
      </c>
      <c r="P779" t="n">
        <v>129.6286744394227</v>
      </c>
      <c r="Q779" t="n">
        <v>127.0756716559202</v>
      </c>
    </row>
    <row r="780">
      <c r="A780" s="117" t="n">
        <v>45546</v>
      </c>
      <c r="B780" s="118" t="n">
        <v>74.65475890773153</v>
      </c>
      <c r="C780" s="118" t="n">
        <v>75.21945165595805</v>
      </c>
      <c r="D780" s="118" t="n">
        <v>73.44879537307111</v>
      </c>
      <c r="E780" s="118" t="n">
        <v>75.03760528564453</v>
      </c>
      <c r="F780" s="119" t="n">
        <v>8265500</v>
      </c>
      <c r="G780" s="120" t="n">
        <v>0.003969912329358838</v>
      </c>
      <c r="H780" s="121" t="n">
        <v>47.16966988570304</v>
      </c>
      <c r="I780" s="118" t="n">
        <v>73.36517364501952</v>
      </c>
      <c r="J780" s="118" t="n">
        <v>89.44838130950927</v>
      </c>
      <c r="K780" s="120" t="n">
        <v>0.2516290285011697</v>
      </c>
      <c r="L780" s="120" t="n">
        <v>-0.1896510656164585</v>
      </c>
      <c r="M780" s="120" t="n">
        <v>-0.3530666509153916</v>
      </c>
      <c r="N780" t="n">
        <v>43.03364767786081</v>
      </c>
      <c r="O780" t="n">
        <v>-0.6447214820429784</v>
      </c>
      <c r="P780" t="n">
        <v>130.9585451795583</v>
      </c>
      <c r="Q780" t="n">
        <v>129.8351827302587</v>
      </c>
    </row>
    <row r="781">
      <c r="A781" s="117" t="n">
        <v>45547</v>
      </c>
      <c r="B781" s="118" t="n">
        <v>74.87489794824238</v>
      </c>
      <c r="C781" s="118" t="n">
        <v>75.67886876989112</v>
      </c>
      <c r="D781" s="118" t="n">
        <v>74.2049149613478</v>
      </c>
      <c r="E781" s="118" t="n">
        <v>75.03760528564453</v>
      </c>
      <c r="F781" s="119" t="n">
        <v>7176900</v>
      </c>
      <c r="G781" s="120" t="n">
        <v>0</v>
      </c>
      <c r="H781" s="121" t="n">
        <v>47.16966988570304</v>
      </c>
      <c r="I781" s="118" t="n">
        <v>73.41681335449219</v>
      </c>
      <c r="J781" s="118" t="n">
        <v>89.31626182556153</v>
      </c>
      <c r="K781" s="120" t="n">
        <v>0.2516309486988834</v>
      </c>
      <c r="L781" s="120" t="n">
        <v>-0.1896510656164585</v>
      </c>
      <c r="M781" s="120" t="n">
        <v>-0.3530666509153916</v>
      </c>
      <c r="N781" t="n">
        <v>43.03364767786081</v>
      </c>
      <c r="O781" t="n">
        <v>-0.6565895582403953</v>
      </c>
      <c r="P781" t="n">
        <v>132.0616545844127</v>
      </c>
      <c r="Q781" t="n">
        <v>131.1096484078236</v>
      </c>
    </row>
    <row r="782">
      <c r="A782" s="117" t="n">
        <v>45548</v>
      </c>
      <c r="B782" s="118" t="n">
        <v>74.94189584689781</v>
      </c>
      <c r="C782" s="118" t="n">
        <v>76.0808545159183</v>
      </c>
      <c r="D782" s="118" t="n">
        <v>74.76004217359576</v>
      </c>
      <c r="E782" s="118" t="n">
        <v>75.62144470214844</v>
      </c>
      <c r="F782" s="119" t="n">
        <v>5814200</v>
      </c>
      <c r="G782" s="120" t="n">
        <v>0.007780624318718843</v>
      </c>
      <c r="H782" s="121" t="n">
        <v>47.53667936632169</v>
      </c>
      <c r="I782" s="118" t="n">
        <v>73.49537551879882</v>
      </c>
      <c r="J782" s="118" t="n">
        <v>89.18555332183838</v>
      </c>
      <c r="K782" s="120" t="n">
        <v>0.1706586813266592</v>
      </c>
      <c r="L782" s="120" t="n">
        <v>-0.183346044990946</v>
      </c>
      <c r="M782" s="120" t="n">
        <v>-0.3480331055669137</v>
      </c>
      <c r="N782" t="n">
        <v>46.14506446187844</v>
      </c>
      <c r="O782" t="n">
        <v>-0.5998836734077918</v>
      </c>
      <c r="P782" t="n">
        <v>132.7513691462759</v>
      </c>
      <c r="Q782" t="n">
        <v>131.6970023809939</v>
      </c>
    </row>
    <row r="783">
      <c r="A783" s="117" t="n">
        <v>45551</v>
      </c>
      <c r="B783" s="118" t="n">
        <v>75.92771953300986</v>
      </c>
      <c r="C783" s="118" t="n">
        <v>76.55940984573157</v>
      </c>
      <c r="D783" s="118" t="n">
        <v>75.31516825307908</v>
      </c>
      <c r="E783" s="118" t="n">
        <v>76.3775634765625</v>
      </c>
      <c r="F783" s="119" t="n">
        <v>9547700</v>
      </c>
      <c r="G783" s="120" t="n">
        <v>0.009998734848192914</v>
      </c>
      <c r="H783" s="121" t="n">
        <v>48.0119860188691</v>
      </c>
      <c r="I783" s="118" t="n">
        <v>73.58543899536133</v>
      </c>
      <c r="J783" s="118" t="n">
        <v>89.05490215301514</v>
      </c>
      <c r="K783" s="120" t="n">
        <v>0.1716637755018979</v>
      </c>
      <c r="L783" s="120" t="n">
        <v>-0.1751805386320824</v>
      </c>
      <c r="M783" s="120" t="n">
        <v>-0.3415142614596774</v>
      </c>
      <c r="N783" t="n">
        <v>49.95715383290876</v>
      </c>
      <c r="O783" t="n">
        <v>-0.490807852103424</v>
      </c>
      <c r="P783" t="n">
        <v>132.9474184517022</v>
      </c>
      <c r="Q783" t="n">
        <v>131.1151848081176</v>
      </c>
    </row>
    <row r="784">
      <c r="A784" s="117" t="n">
        <v>45552</v>
      </c>
      <c r="B784" s="118" t="n">
        <v>76.5785557047823</v>
      </c>
      <c r="C784" s="118" t="n">
        <v>77.50695578639765</v>
      </c>
      <c r="D784" s="118" t="n">
        <v>76.43498740208733</v>
      </c>
      <c r="E784" s="118" t="n">
        <v>77.18153381347656</v>
      </c>
      <c r="F784" s="119" t="n">
        <v>7580600</v>
      </c>
      <c r="G784" s="120" t="n">
        <v>0.01052626321551586</v>
      </c>
      <c r="H784" s="121" t="n">
        <v>48.51737282120339</v>
      </c>
      <c r="I784" s="118" t="n">
        <v>73.73693817138673</v>
      </c>
      <c r="J784" s="118" t="n">
        <v>88.92063579559326</v>
      </c>
      <c r="K784" s="120" t="n">
        <v>0.1770539859973322</v>
      </c>
      <c r="L784" s="120" t="n">
        <v>-0.1664125584371329</v>
      </c>
      <c r="M784" s="120" t="n">
        <v>-0.3345828672521387</v>
      </c>
      <c r="N784" t="n">
        <v>53.70919011624781</v>
      </c>
      <c r="O784" t="n">
        <v>-0.3504530786808754</v>
      </c>
      <c r="P784" t="n">
        <v>133.0017437673657</v>
      </c>
      <c r="Q784" t="n">
        <v>131.184458162414</v>
      </c>
    </row>
    <row r="785">
      <c r="A785" s="117" t="n">
        <v>45553</v>
      </c>
      <c r="B785" s="118" t="n">
        <v>77.2006997019061</v>
      </c>
      <c r="C785" s="118" t="n">
        <v>78.25352201801851</v>
      </c>
      <c r="D785" s="118" t="n">
        <v>76.78914102443981</v>
      </c>
      <c r="E785" s="118" t="n">
        <v>77.43040466308594</v>
      </c>
      <c r="F785" s="119" t="n">
        <v>7637000</v>
      </c>
      <c r="G785" s="120" t="n">
        <v>0.003224486963563367</v>
      </c>
      <c r="H785" s="121" t="n">
        <v>48.6738164573717</v>
      </c>
      <c r="I785" s="118" t="n">
        <v>73.90465866088867</v>
      </c>
      <c r="J785" s="118" t="n">
        <v>88.78808513641357</v>
      </c>
      <c r="K785" s="120" t="n">
        <v>0.1770063314638761</v>
      </c>
      <c r="L785" s="120" t="n">
        <v>-0.1423656153862723</v>
      </c>
      <c r="M785" s="120" t="n">
        <v>-0.3324372383822616</v>
      </c>
      <c r="N785" t="n">
        <v>54.83799005670186</v>
      </c>
      <c r="O785" t="n">
        <v>-0.2324772922032284</v>
      </c>
      <c r="P785" t="n">
        <v>132.6072838279323</v>
      </c>
      <c r="Q785" t="n">
        <v>130.6164730464452</v>
      </c>
    </row>
    <row r="786">
      <c r="A786" s="117" t="n">
        <v>45554</v>
      </c>
      <c r="B786" s="118" t="n">
        <v>79.05747527523322</v>
      </c>
      <c r="C786" s="118" t="n">
        <v>79.55517776521542</v>
      </c>
      <c r="D786" s="118" t="n">
        <v>77.01882868553426</v>
      </c>
      <c r="E786" s="118" t="n">
        <v>77.5069580078125</v>
      </c>
      <c r="F786" s="119" t="n">
        <v>15067100</v>
      </c>
      <c r="G786" s="120" t="n">
        <v>0.0009886729258314908</v>
      </c>
      <c r="H786" s="121" t="n">
        <v>48.72193894189999</v>
      </c>
      <c r="I786" s="118" t="n">
        <v>74.07238540649413</v>
      </c>
      <c r="J786" s="118" t="n">
        <v>88.6389878463745</v>
      </c>
      <c r="K786" s="120" t="n">
        <v>0.1755360667748596</v>
      </c>
      <c r="L786" s="120" t="n">
        <v>-0.1364135316685025</v>
      </c>
      <c r="M786" s="120" t="n">
        <v>-0.3317772371535569</v>
      </c>
      <c r="N786" t="n">
        <v>55.19987973954465</v>
      </c>
      <c r="O786" t="n">
        <v>-0.1451797446847766</v>
      </c>
      <c r="P786" t="n">
        <v>134.8701450069747</v>
      </c>
      <c r="Q786" t="n">
        <v>133.9190127162912</v>
      </c>
    </row>
    <row r="787">
      <c r="A787" s="117" t="n">
        <v>45555</v>
      </c>
      <c r="B787" s="118" t="n">
        <v>84.10146419403569</v>
      </c>
      <c r="C787" s="118" t="n">
        <v>84.22588616981717</v>
      </c>
      <c r="D787" s="118" t="n">
        <v>81.17269545946124</v>
      </c>
      <c r="E787" s="118" t="n">
        <v>82.80935668945312</v>
      </c>
      <c r="F787" s="119" t="n">
        <v>52039300</v>
      </c>
      <c r="G787" s="120" t="n">
        <v>0.06841190543313735</v>
      </c>
      <c r="H787" s="121" t="n">
        <v>52.05509962131235</v>
      </c>
      <c r="I787" s="118" t="n">
        <v>74.32996154785157</v>
      </c>
      <c r="J787" s="118" t="n">
        <v>88.50850528717041</v>
      </c>
      <c r="K787" s="120" t="n">
        <v>0.3025841416634301</v>
      </c>
      <c r="L787" s="120" t="n">
        <v>-0.07733393586367088</v>
      </c>
      <c r="M787" s="120" t="n">
        <v>-0.2860628446934362</v>
      </c>
      <c r="N787" t="n">
        <v>71.95992054200833</v>
      </c>
      <c r="O787" t="n">
        <v>0.2521451301762838</v>
      </c>
      <c r="P787" t="n">
        <v>134.6370080845252</v>
      </c>
      <c r="Q787" t="n">
        <v>133.6641247070748</v>
      </c>
    </row>
    <row r="788">
      <c r="A788" s="117" t="n">
        <v>45558</v>
      </c>
      <c r="B788" s="118" t="n">
        <v>81.7373892123026</v>
      </c>
      <c r="C788" s="118" t="n">
        <v>82.81892344721088</v>
      </c>
      <c r="D788" s="118" t="n">
        <v>81.40240137867499</v>
      </c>
      <c r="E788" s="118" t="n">
        <v>82.50307464599609</v>
      </c>
      <c r="F788" s="119" t="n">
        <v>17712400</v>
      </c>
      <c r="G788" s="120" t="n">
        <v>-0.003698640536547448</v>
      </c>
      <c r="H788" s="121" t="n">
        <v>51.86256651971895</v>
      </c>
      <c r="I788" s="118" t="n">
        <v>74.58084060668945</v>
      </c>
      <c r="J788" s="118" t="n">
        <v>88.37526184082031</v>
      </c>
      <c r="K788" s="120" t="n">
        <v>0.3025602576909355</v>
      </c>
      <c r="L788" s="120" t="n">
        <v>-0.003698640536547559</v>
      </c>
      <c r="M788" s="120" t="n">
        <v>-0.2887034415966004</v>
      </c>
      <c r="N788" t="n">
        <v>70.32337005643225</v>
      </c>
      <c r="O788" t="n">
        <v>0.4644531103695578</v>
      </c>
      <c r="P788" t="n">
        <v>134.9734531323875</v>
      </c>
      <c r="Q788" t="n">
        <v>134.0184201505832</v>
      </c>
    </row>
    <row r="789">
      <c r="A789" s="117" t="n">
        <v>45559</v>
      </c>
      <c r="B789" s="118" t="n">
        <v>83.68989874843315</v>
      </c>
      <c r="C789" s="118" t="n">
        <v>84.49386954560036</v>
      </c>
      <c r="D789" s="118" t="n">
        <v>82.9433523504387</v>
      </c>
      <c r="E789" s="118" t="n">
        <v>83.70903778076172</v>
      </c>
      <c r="F789" s="119" t="n">
        <v>21123300</v>
      </c>
      <c r="G789" s="120" t="n">
        <v>0.01461719020703378</v>
      </c>
      <c r="H789" s="121" t="n">
        <v>52.62065151916262</v>
      </c>
      <c r="I789" s="118" t="n">
        <v>74.89604965209961</v>
      </c>
      <c r="J789" s="118" t="n">
        <v>88.24473804473877</v>
      </c>
      <c r="K789" s="120" t="n">
        <v>0.3060426049815582</v>
      </c>
      <c r="L789" s="120" t="n">
        <v>0</v>
      </c>
      <c r="M789" s="120" t="n">
        <v>-0.2783062845088096</v>
      </c>
      <c r="N789" t="n">
        <v>72.93353224721314</v>
      </c>
      <c r="O789" t="n">
        <v>0.6451159220198832</v>
      </c>
      <c r="P789" t="n">
        <v>135.3596484217879</v>
      </c>
      <c r="Q789" t="n">
        <v>134.6648717793614</v>
      </c>
    </row>
    <row r="790">
      <c r="A790" s="117" t="n">
        <v>45560</v>
      </c>
      <c r="B790" s="118" t="n">
        <v>84.0823151766017</v>
      </c>
      <c r="C790" s="118" t="n">
        <v>84.32159325468092</v>
      </c>
      <c r="D790" s="118" t="n">
        <v>83.4984760819134</v>
      </c>
      <c r="E790" s="118" t="n">
        <v>84.22588348388672</v>
      </c>
      <c r="F790" s="119" t="n">
        <v>12392800</v>
      </c>
      <c r="G790" s="120" t="n">
        <v>0.006174311840480673</v>
      </c>
      <c r="H790" s="121" t="n">
        <v>52.94554783089119</v>
      </c>
      <c r="I790" s="118" t="n">
        <v>75.19300964355469</v>
      </c>
      <c r="J790" s="118" t="n">
        <v>88.12294597625733</v>
      </c>
      <c r="K790" s="120" t="n">
        <v>0.3042813081335405</v>
      </c>
      <c r="L790" s="120" t="n">
        <v>0</v>
      </c>
      <c r="M790" s="120" t="n">
        <v>-0.2738503224560518</v>
      </c>
      <c r="N790" t="n">
        <v>73.989412426646</v>
      </c>
      <c r="O790" t="n">
        <v>0.7510252977152504</v>
      </c>
      <c r="P790" t="n">
        <v>135.0611174559521</v>
      </c>
      <c r="Q790" t="n">
        <v>134.7897227322887</v>
      </c>
    </row>
    <row r="791">
      <c r="A791" s="117" t="n">
        <v>45561</v>
      </c>
      <c r="B791" s="118" t="n">
        <v>86.06354280325877</v>
      </c>
      <c r="C791" s="118" t="n">
        <v>86.73352584548175</v>
      </c>
      <c r="D791" s="118" t="n">
        <v>85.23085971238487</v>
      </c>
      <c r="E791" s="118" t="n">
        <v>85.5562744140625</v>
      </c>
      <c r="F791" s="119" t="n">
        <v>13592800</v>
      </c>
      <c r="G791" s="120" t="n">
        <v>0.01579551172568339</v>
      </c>
      <c r="H791" s="121" t="n">
        <v>53.78184985247677</v>
      </c>
      <c r="I791" s="118" t="n">
        <v>75.51162261962891</v>
      </c>
      <c r="J791" s="118" t="n">
        <v>88.00260410308837</v>
      </c>
      <c r="K791" s="120" t="n">
        <v>0.2842678723028971</v>
      </c>
      <c r="L791" s="120" t="n">
        <v>0</v>
      </c>
      <c r="M791" s="120" t="n">
        <v>-0.2623804167098051</v>
      </c>
      <c r="N791" t="n">
        <v>76.52770488986431</v>
      </c>
      <c r="O791" t="n">
        <v>0.8547355407179724</v>
      </c>
      <c r="P791" t="n">
        <v>135.5965782282703</v>
      </c>
      <c r="Q791" t="n">
        <v>135.8024140755801</v>
      </c>
    </row>
    <row r="792">
      <c r="A792" s="117" t="n">
        <v>45562</v>
      </c>
      <c r="B792" s="118" t="n">
        <v>85.61369947218193</v>
      </c>
      <c r="C792" s="118" t="n">
        <v>86.38896546548837</v>
      </c>
      <c r="D792" s="118" t="n">
        <v>85.38399454558905</v>
      </c>
      <c r="E792" s="118" t="n">
        <v>85.60413360595703</v>
      </c>
      <c r="F792" s="119" t="n">
        <v>9181000</v>
      </c>
      <c r="G792" s="120" t="n">
        <v>0.0005593884518966252</v>
      </c>
      <c r="H792" s="121" t="n">
        <v>53.81193479820588</v>
      </c>
      <c r="I792" s="118" t="n">
        <v>75.84434234619141</v>
      </c>
      <c r="J792" s="118" t="n">
        <v>87.86973354339599</v>
      </c>
      <c r="K792" s="120" t="n">
        <v>0.2844988514100284</v>
      </c>
      <c r="L792" s="120" t="n">
        <v>0</v>
      </c>
      <c r="M792" s="120" t="n">
        <v>-0.2619678008330197</v>
      </c>
      <c r="N792" t="n">
        <v>76.61611033589824</v>
      </c>
      <c r="O792" t="n">
        <v>0.8678344531403617</v>
      </c>
      <c r="P792" t="n">
        <v>135.3999238323952</v>
      </c>
      <c r="Q792" t="n">
        <v>135.0477548700671</v>
      </c>
    </row>
    <row r="793">
      <c r="A793" s="117" t="n">
        <v>45565</v>
      </c>
      <c r="B793" s="118" t="n">
        <v>85.85299130141159</v>
      </c>
      <c r="C793" s="118" t="n">
        <v>85.90084984894403</v>
      </c>
      <c r="D793" s="118" t="n">
        <v>83.96748574497279</v>
      </c>
      <c r="E793" s="118" t="n">
        <v>84.60874938964844</v>
      </c>
      <c r="F793" s="119" t="n">
        <v>12027100</v>
      </c>
      <c r="G793" s="120" t="n">
        <v>-0.01162775878195821</v>
      </c>
      <c r="H793" s="121" t="n">
        <v>53.18622260078188</v>
      </c>
      <c r="I793" s="118" t="n">
        <v>76.15105606079102</v>
      </c>
      <c r="J793" s="118" t="n">
        <v>87.72701549530029</v>
      </c>
      <c r="K793" s="120" t="n">
        <v>0.2896917152000626</v>
      </c>
      <c r="L793" s="120" t="n">
        <v>-0.01162775878195821</v>
      </c>
      <c r="M793" s="120" t="n">
        <v>-0.2705494612182515</v>
      </c>
      <c r="N793" t="n">
        <v>70.65564204329478</v>
      </c>
      <c r="O793" t="n">
        <v>0.7548979449857829</v>
      </c>
      <c r="P793" t="n">
        <v>135.9425276236706</v>
      </c>
      <c r="Q793" t="n">
        <v>135.4139689530974</v>
      </c>
    </row>
    <row r="794">
      <c r="A794" s="117" t="n">
        <v>45566</v>
      </c>
      <c r="B794" s="118" t="n">
        <v>84.22589205840181</v>
      </c>
      <c r="C794" s="118" t="n">
        <v>85.79555582622424</v>
      </c>
      <c r="D794" s="118" t="n">
        <v>83.9483285833104</v>
      </c>
      <c r="E794" s="118" t="n">
        <v>85.30742645263672</v>
      </c>
      <c r="F794" s="119" t="n">
        <v>20623400</v>
      </c>
      <c r="G794" s="120" t="n">
        <v>0.00825774010404845</v>
      </c>
      <c r="H794" s="121" t="n">
        <v>53.62542060413521</v>
      </c>
      <c r="I794" s="118" t="n">
        <v>76.43057937622071</v>
      </c>
      <c r="J794" s="118" t="n">
        <v>87.58055553436279</v>
      </c>
      <c r="K794" s="120" t="n">
        <v>0.2769745293286591</v>
      </c>
      <c r="L794" s="120" t="n">
        <v>-0.003466037687923751</v>
      </c>
      <c r="M794" s="120" t="n">
        <v>-0.2645258482502337</v>
      </c>
      <c r="N794" t="n">
        <v>72.28545744056262</v>
      </c>
      <c r="O794" t="n">
        <v>0.6752756633935273</v>
      </c>
      <c r="P794" t="n">
        <v>134.7246724080898</v>
      </c>
      <c r="Q794" t="n">
        <v>133.5273294831428</v>
      </c>
    </row>
    <row r="795">
      <c r="A795" s="117" t="n">
        <v>45567</v>
      </c>
      <c r="B795" s="118" t="n">
        <v>79.33504091615143</v>
      </c>
      <c r="C795" s="118" t="n">
        <v>81.57468757866194</v>
      </c>
      <c r="D795" s="118" t="n">
        <v>78.26307247145888</v>
      </c>
      <c r="E795" s="118" t="n">
        <v>79.53603363037109</v>
      </c>
      <c r="F795" s="119" t="n">
        <v>33208800</v>
      </c>
      <c r="G795" s="120" t="n">
        <v>-0.0676540491520975</v>
      </c>
      <c r="H795" s="121" t="n">
        <v>49.99744376278115</v>
      </c>
      <c r="I795" s="118" t="n">
        <v>76.62249847412109</v>
      </c>
      <c r="J795" s="118" t="n">
        <v>87.40594795227051</v>
      </c>
      <c r="K795" s="120" t="n">
        <v>0.3775753620229474</v>
      </c>
      <c r="L795" s="120" t="n">
        <v>-0.07088559535591932</v>
      </c>
      <c r="M795" s="120" t="n">
        <v>-0.3142836526628097</v>
      </c>
      <c r="N795" t="n">
        <v>48.38105206407987</v>
      </c>
      <c r="O795" t="n">
        <v>0.2062641905323455</v>
      </c>
      <c r="P795" t="n">
        <v>134.7815509102814</v>
      </c>
      <c r="Q795" t="n">
        <v>133.7160028283486</v>
      </c>
    </row>
    <row r="796">
      <c r="A796" s="117" t="n">
        <v>45568</v>
      </c>
      <c r="B796" s="118" t="n">
        <v>78.86606272549905</v>
      </c>
      <c r="C796" s="118" t="n">
        <v>80.18687520042232</v>
      </c>
      <c r="D796" s="118" t="n">
        <v>78.46407727254693</v>
      </c>
      <c r="E796" s="118" t="n">
        <v>78.57892608642578</v>
      </c>
      <c r="F796" s="119" t="n">
        <v>18143800</v>
      </c>
      <c r="G796" s="120" t="n">
        <v>-0.01203363431967563</v>
      </c>
      <c r="H796" s="121" t="n">
        <v>49.39579280762129</v>
      </c>
      <c r="I796" s="118" t="n">
        <v>76.83929763793945</v>
      </c>
      <c r="J796" s="118" t="n">
        <v>87.22404850006103</v>
      </c>
      <c r="K796" s="120" t="n">
        <v>0.3804520661300395</v>
      </c>
      <c r="L796" s="120" t="n">
        <v>-0.08206621834254935</v>
      </c>
      <c r="M796" s="120" t="n">
        <v>-0.322535312433689</v>
      </c>
      <c r="N796" t="n">
        <v>45.6830229395482</v>
      </c>
      <c r="O796" t="n">
        <v>-0.1754562056808873</v>
      </c>
      <c r="P796" t="n">
        <v>134.5351167562609</v>
      </c>
      <c r="Q796" t="n">
        <v>133.6161254835379</v>
      </c>
    </row>
    <row r="797">
      <c r="A797" s="117" t="n">
        <v>45569</v>
      </c>
      <c r="B797" s="118" t="n">
        <v>79.0861961211603</v>
      </c>
      <c r="C797" s="118" t="n">
        <v>79.9571719227428</v>
      </c>
      <c r="D797" s="118" t="n">
        <v>78.57892771021146</v>
      </c>
      <c r="E797" s="118" t="n">
        <v>78.72249603271484</v>
      </c>
      <c r="F797" s="119" t="n">
        <v>10322600</v>
      </c>
      <c r="G797" s="120" t="n">
        <v>0.001827079516601549</v>
      </c>
      <c r="H797" s="121" t="n">
        <v>49.48604284886639</v>
      </c>
      <c r="I797" s="118" t="n">
        <v>77.05286987304687</v>
      </c>
      <c r="J797" s="118" t="n">
        <v>87.04480575561523</v>
      </c>
      <c r="K797" s="120" t="n">
        <v>0.3802294075972734</v>
      </c>
      <c r="L797" s="120" t="n">
        <v>-0.08038908033248637</v>
      </c>
      <c r="M797" s="120" t="n">
        <v>-0.3212975305798158</v>
      </c>
      <c r="N797" t="n">
        <v>46.16797579176511</v>
      </c>
      <c r="O797" t="n">
        <v>-0.4118112660004836</v>
      </c>
      <c r="P797" t="n">
        <v>135.7576946290035</v>
      </c>
      <c r="Q797" t="n">
        <v>135.2059011192072</v>
      </c>
    </row>
    <row r="798">
      <c r="A798" s="117" t="n">
        <v>45572</v>
      </c>
      <c r="B798" s="118" t="n">
        <v>78.61720282323732</v>
      </c>
      <c r="C798" s="118" t="n">
        <v>78.93305163108788</v>
      </c>
      <c r="D798" s="118" t="n">
        <v>76.65511971018813</v>
      </c>
      <c r="E798" s="118" t="n">
        <v>77.36338806152344</v>
      </c>
      <c r="F798" s="119" t="n">
        <v>12767400</v>
      </c>
      <c r="G798" s="120" t="n">
        <v>-0.01726454367791641</v>
      </c>
      <c r="H798" s="121" t="n">
        <v>48.63168890065489</v>
      </c>
      <c r="I798" s="118" t="n">
        <v>77.21734436035156</v>
      </c>
      <c r="J798" s="118" t="n">
        <v>86.85167419433594</v>
      </c>
      <c r="K798" s="120" t="n">
        <v>0.3820667324049845</v>
      </c>
      <c r="L798" s="120" t="n">
        <v>-0.09626574322177506</v>
      </c>
      <c r="M798" s="120" t="n">
        <v>-0.3330150190074302</v>
      </c>
      <c r="N798" t="n">
        <v>42.31632443081844</v>
      </c>
      <c r="O798" t="n">
        <v>-0.6396228201442453</v>
      </c>
      <c r="P798" t="n">
        <v>134.5303940990992</v>
      </c>
      <c r="Q798" t="n">
        <v>133.7576283564854</v>
      </c>
    </row>
    <row r="799">
      <c r="A799" s="117" t="n">
        <v>45573</v>
      </c>
      <c r="B799" s="118" t="n">
        <v>77.28683020227767</v>
      </c>
      <c r="C799" s="118" t="n">
        <v>77.92809379013048</v>
      </c>
      <c r="D799" s="118" t="n">
        <v>76.50199828673837</v>
      </c>
      <c r="E799" s="118" t="n">
        <v>77.30596923828125</v>
      </c>
      <c r="F799" s="119" t="n">
        <v>10569600</v>
      </c>
      <c r="G799" s="120" t="n">
        <v>-0.0007421963370648488</v>
      </c>
      <c r="H799" s="121" t="n">
        <v>48.59559463928755</v>
      </c>
      <c r="I799" s="118" t="n">
        <v>77.3618034362793</v>
      </c>
      <c r="J799" s="118" t="n">
        <v>86.66397743225097</v>
      </c>
      <c r="K799" s="120" t="n">
        <v>0.3757416406070215</v>
      </c>
      <c r="L799" s="120" t="n">
        <v>-0.09693649147683581</v>
      </c>
      <c r="M799" s="120" t="n">
        <v>-0.3335100528172001</v>
      </c>
      <c r="N799" t="n">
        <v>42.15631198736649</v>
      </c>
      <c r="O799" t="n">
        <v>-0.7656086217948133</v>
      </c>
      <c r="P799" t="n">
        <v>135.8027074550762</v>
      </c>
      <c r="Q799" t="n">
        <v>135.7552436033217</v>
      </c>
    </row>
    <row r="800">
      <c r="A800" s="117" t="n">
        <v>45574</v>
      </c>
      <c r="B800" s="118" t="n">
        <v>77.66010258523006</v>
      </c>
      <c r="C800" s="118" t="n">
        <v>79.37333472441152</v>
      </c>
      <c r="D800" s="118" t="n">
        <v>77.59310500670067</v>
      </c>
      <c r="E800" s="118" t="n">
        <v>78.91391754150391</v>
      </c>
      <c r="F800" s="119" t="n">
        <v>11750600</v>
      </c>
      <c r="G800" s="120" t="n">
        <v>0.02079979488086425</v>
      </c>
      <c r="H800" s="121" t="n">
        <v>49.60637303989836</v>
      </c>
      <c r="I800" s="118" t="n">
        <v>77.52374755859375</v>
      </c>
      <c r="J800" s="118" t="n">
        <v>86.47911865234374</v>
      </c>
      <c r="K800" s="120" t="n">
        <v>0.3816411249288462</v>
      </c>
      <c r="L800" s="120" t="n">
        <v>-0.07815295573516046</v>
      </c>
      <c r="M800" s="120" t="n">
        <v>-0.3196471986256398</v>
      </c>
      <c r="N800" t="n">
        <v>48.07743929978066</v>
      </c>
      <c r="O800" t="n">
        <v>-0.7131428142456244</v>
      </c>
      <c r="P800" t="n">
        <v>136.7433279369599</v>
      </c>
      <c r="Q800" t="n">
        <v>136.8234185631401</v>
      </c>
    </row>
    <row r="801">
      <c r="A801" s="117" t="n">
        <v>45575</v>
      </c>
      <c r="B801" s="118" t="n">
        <v>79.82317511949252</v>
      </c>
      <c r="C801" s="118" t="n">
        <v>79.87102635787934</v>
      </c>
      <c r="D801" s="118" t="n">
        <v>78.51192851093377</v>
      </c>
      <c r="E801" s="118" t="n">
        <v>78.57892608642578</v>
      </c>
      <c r="F801" s="119" t="n">
        <v>8370200</v>
      </c>
      <c r="G801" s="120" t="n">
        <v>-0.004245023761517586</v>
      </c>
      <c r="H801" s="121" t="n">
        <v>49.39579280762128</v>
      </c>
      <c r="I801" s="118" t="n">
        <v>77.66870086669923</v>
      </c>
      <c r="J801" s="118" t="n">
        <v>86.36110622406005</v>
      </c>
      <c r="K801" s="120" t="n">
        <v>0.382350577085223</v>
      </c>
      <c r="L801" s="120" t="n">
        <v>-0.08206621834254946</v>
      </c>
      <c r="M801" s="120" t="n">
        <v>-0.322535312433689</v>
      </c>
      <c r="N801" t="n">
        <v>46.99805853890616</v>
      </c>
      <c r="O801" t="n">
        <v>-0.6739458191451343</v>
      </c>
      <c r="P801" t="n">
        <v>136.5040220435929</v>
      </c>
      <c r="Q801" t="n">
        <v>136.668040514147</v>
      </c>
    </row>
    <row r="802">
      <c r="A802" s="117" t="n">
        <v>45576</v>
      </c>
      <c r="B802" s="118" t="n">
        <v>78.52148709157663</v>
      </c>
      <c r="C802" s="118" t="n">
        <v>78.74161881207321</v>
      </c>
      <c r="D802" s="118" t="n">
        <v>77.69837000148787</v>
      </c>
      <c r="E802" s="118" t="n">
        <v>78.62677001953125</v>
      </c>
      <c r="F802" s="119" t="n">
        <v>10171100</v>
      </c>
      <c r="G802" s="120" t="n">
        <v>0.000608864685333721</v>
      </c>
      <c r="H802" s="121" t="n">
        <v>49.42586816146591</v>
      </c>
      <c r="I802" s="118" t="n">
        <v>77.83385894775391</v>
      </c>
      <c r="J802" s="118" t="n">
        <v>86.2434275817871</v>
      </c>
      <c r="K802" s="120" t="n">
        <v>0.3819051938229811</v>
      </c>
      <c r="L802" s="120" t="n">
        <v>-0.08150732087942336</v>
      </c>
      <c r="M802" s="120" t="n">
        <v>-0.3221228281098694</v>
      </c>
      <c r="N802" t="n">
        <v>47.18045057243365</v>
      </c>
      <c r="O802" t="n">
        <v>-0.6191525109333517</v>
      </c>
      <c r="P802" t="n">
        <v>137.3214844816809</v>
      </c>
      <c r="Q802" t="n">
        <v>136.8816789236418</v>
      </c>
    </row>
    <row r="803">
      <c r="A803" s="117" t="n">
        <v>45579</v>
      </c>
      <c r="B803" s="118" t="n">
        <v>78.48321874437555</v>
      </c>
      <c r="C803" s="118" t="n">
        <v>78.52150411758662</v>
      </c>
      <c r="D803" s="118" t="n">
        <v>77.33468675679659</v>
      </c>
      <c r="E803" s="118" t="n">
        <v>78.10037231445312</v>
      </c>
      <c r="F803" s="119" t="n">
        <v>8177700</v>
      </c>
      <c r="G803" s="120" t="n">
        <v>-0.006694891637382128</v>
      </c>
      <c r="H803" s="121" t="n">
        <v>49.09496733004136</v>
      </c>
      <c r="I803" s="118" t="n">
        <v>77.98543991088867</v>
      </c>
      <c r="J803" s="118" t="n">
        <v>86.12732566833496</v>
      </c>
      <c r="K803" s="120" t="n">
        <v>0.381996170759082</v>
      </c>
      <c r="L803" s="120" t="n">
        <v>-0.08765652983586447</v>
      </c>
      <c r="M803" s="120" t="n">
        <v>-0.3266611423191288</v>
      </c>
      <c r="N803" t="n">
        <v>45.33206984071003</v>
      </c>
      <c r="O803" t="n">
        <v>-0.5926916775739226</v>
      </c>
      <c r="P803" t="n">
        <v>138.4445175964364</v>
      </c>
      <c r="Q803" t="n">
        <v>138.0303196519313</v>
      </c>
    </row>
    <row r="804">
      <c r="A804" s="117" t="n">
        <v>45580</v>
      </c>
      <c r="B804" s="118" t="n">
        <v>77.57395832236452</v>
      </c>
      <c r="C804" s="118" t="n">
        <v>79.17233418267708</v>
      </c>
      <c r="D804" s="118" t="n">
        <v>77.57395832236452</v>
      </c>
      <c r="E804" s="118" t="n">
        <v>78.59806823730469</v>
      </c>
      <c r="F804" s="119" t="n">
        <v>11804400</v>
      </c>
      <c r="G804" s="120" t="n">
        <v>0.006372516648802895</v>
      </c>
      <c r="H804" s="121" t="n">
        <v>49.40782582672448</v>
      </c>
      <c r="I804" s="118" t="n">
        <v>78.19633331298829</v>
      </c>
      <c r="J804" s="118" t="n">
        <v>86.00572048187256</v>
      </c>
      <c r="K804" s="120" t="n">
        <v>0.3809619029939783</v>
      </c>
      <c r="L804" s="120" t="n">
        <v>-0.08184260588281689</v>
      </c>
      <c r="M804" s="120" t="n">
        <v>-0.3223702792382714</v>
      </c>
      <c r="N804" t="n">
        <v>47.42912258207779</v>
      </c>
      <c r="O804" t="n">
        <v>-0.5186700840824514</v>
      </c>
      <c r="P804" t="n">
        <v>137.3688586363345</v>
      </c>
      <c r="Q804" t="n">
        <v>136.1852886224582</v>
      </c>
    </row>
    <row r="805">
      <c r="A805" s="117" t="n">
        <v>45581</v>
      </c>
      <c r="B805" s="118" t="n">
        <v>78.61720647580509</v>
      </c>
      <c r="C805" s="118" t="n">
        <v>80.48357260492958</v>
      </c>
      <c r="D805" s="118" t="n">
        <v>78.53106987085516</v>
      </c>
      <c r="E805" s="118" t="n">
        <v>80.34001159667969</v>
      </c>
      <c r="F805" s="119" t="n">
        <v>11220600</v>
      </c>
      <c r="G805" s="120" t="n">
        <v>0.02216267394913185</v>
      </c>
      <c r="H805" s="121" t="n">
        <v>50.50283536105766</v>
      </c>
      <c r="I805" s="118" t="n">
        <v>78.42148361206054</v>
      </c>
      <c r="J805" s="118" t="n">
        <v>85.89400718688965</v>
      </c>
      <c r="K805" s="120" t="n">
        <v>0.3881702790817647</v>
      </c>
      <c r="L805" s="120" t="n">
        <v>-0.06149378292301333</v>
      </c>
      <c r="M805" s="120" t="n">
        <v>-0.307352192678788</v>
      </c>
      <c r="N805" t="n">
        <v>54.07003117827528</v>
      </c>
      <c r="O805" t="n">
        <v>-0.338131543143112</v>
      </c>
      <c r="P805" t="n">
        <v>137.9659058097024</v>
      </c>
      <c r="Q805" t="n">
        <v>136.2019405424784</v>
      </c>
    </row>
    <row r="806">
      <c r="A806" s="117" t="n">
        <v>45582</v>
      </c>
      <c r="B806" s="118" t="n">
        <v>80.50271473848542</v>
      </c>
      <c r="C806" s="118" t="n">
        <v>81.12483918311382</v>
      </c>
      <c r="D806" s="118" t="n">
        <v>79.80401955866243</v>
      </c>
      <c r="E806" s="118" t="n">
        <v>79.82316589355469</v>
      </c>
      <c r="F806" s="119" t="n">
        <v>9204500</v>
      </c>
      <c r="G806" s="120" t="n">
        <v>-0.006433229132697282</v>
      </c>
      <c r="H806" s="121" t="n">
        <v>50.17793904932909</v>
      </c>
      <c r="I806" s="118" t="n">
        <v>78.63401016235352</v>
      </c>
      <c r="J806" s="118" t="n">
        <v>85.78926204681396</v>
      </c>
      <c r="K806" s="120" t="n">
        <v>0.3893521263350148</v>
      </c>
      <c r="L806" s="120" t="n">
        <v>-0.06753140845993055</v>
      </c>
      <c r="M806" s="120" t="n">
        <v>-0.3118081547315458</v>
      </c>
      <c r="N806" t="n">
        <v>51.97222597045209</v>
      </c>
      <c r="O806" t="n">
        <v>-0.2436743426033264</v>
      </c>
      <c r="P806" t="n">
        <v>137.977741969214</v>
      </c>
      <c r="Q806" t="n">
        <v>136.2962729431675</v>
      </c>
    </row>
    <row r="807">
      <c r="A807" s="117" t="n">
        <v>45583</v>
      </c>
      <c r="B807" s="118" t="n">
        <v>80.18686376872965</v>
      </c>
      <c r="C807" s="118" t="n">
        <v>80.34957109998734</v>
      </c>
      <c r="D807" s="118" t="n">
        <v>79.08618321211605</v>
      </c>
      <c r="E807" s="118" t="n">
        <v>79.36374664306641</v>
      </c>
      <c r="F807" s="119" t="n">
        <v>7214800</v>
      </c>
      <c r="G807" s="120" t="n">
        <v>-0.005755462657305865</v>
      </c>
      <c r="H807" s="121" t="n">
        <v>49.88914179491011</v>
      </c>
      <c r="I807" s="118" t="n">
        <v>78.80742828369141</v>
      </c>
      <c r="J807" s="118" t="n">
        <v>85.69408916473388</v>
      </c>
      <c r="K807" s="120" t="n">
        <v>0.2996236932678184</v>
      </c>
      <c r="L807" s="120" t="n">
        <v>-0.07289819661764996</v>
      </c>
      <c r="M807" s="120" t="n">
        <v>-0.3157690171980507</v>
      </c>
      <c r="N807" t="n">
        <v>50.1111013707571</v>
      </c>
      <c r="O807" t="n">
        <v>-0.2039026559230357</v>
      </c>
      <c r="P807" t="n">
        <v>138.5084948426741</v>
      </c>
      <c r="Q807" t="n">
        <v>137.1896497338256</v>
      </c>
    </row>
    <row r="808">
      <c r="A808" s="117" t="n">
        <v>45586</v>
      </c>
      <c r="B808" s="118" t="n">
        <v>79.29675868753222</v>
      </c>
      <c r="C808" s="118" t="n">
        <v>79.52646361256973</v>
      </c>
      <c r="D808" s="118" t="n">
        <v>77.94723403797545</v>
      </c>
      <c r="E808" s="118" t="n">
        <v>77.98551940917969</v>
      </c>
      <c r="F808" s="119" t="n">
        <v>7550200</v>
      </c>
      <c r="G808" s="120" t="n">
        <v>-0.01736595476124903</v>
      </c>
      <c r="H808" s="121" t="n">
        <v>49.02276921542217</v>
      </c>
      <c r="I808" s="118" t="n">
        <v>78.95042343139649</v>
      </c>
      <c r="J808" s="118" t="n">
        <v>85.60025341033935</v>
      </c>
      <c r="K808" s="120" t="n">
        <v>0.3045692099627673</v>
      </c>
      <c r="L808" s="120" t="n">
        <v>-0.08899820459426022</v>
      </c>
      <c r="M808" s="120" t="n">
        <v>-0.3276513414916343</v>
      </c>
      <c r="N808" t="n">
        <v>44.91484726769467</v>
      </c>
      <c r="O808" t="n">
        <v>-0.2586631310301908</v>
      </c>
      <c r="P808" t="n">
        <v>138.281054625426</v>
      </c>
      <c r="Q808" t="n">
        <v>137.4532268157257</v>
      </c>
    </row>
    <row r="809">
      <c r="A809" s="117" t="n">
        <v>45587</v>
      </c>
      <c r="B809" s="118" t="n">
        <v>77.86108775512913</v>
      </c>
      <c r="C809" s="118" t="n">
        <v>78.88519767153156</v>
      </c>
      <c r="D809" s="118" t="n">
        <v>77.74623894720327</v>
      </c>
      <c r="E809" s="118" t="n">
        <v>77.92808532714844</v>
      </c>
      <c r="F809" s="119" t="n">
        <v>7308800</v>
      </c>
      <c r="G809" s="120" t="n">
        <v>-0.0007364711098466481</v>
      </c>
      <c r="H809" s="121" t="n">
        <v>48.98666536217032</v>
      </c>
      <c r="I809" s="118" t="n">
        <v>79.0865525817871</v>
      </c>
      <c r="J809" s="118" t="n">
        <v>85.50717086791992</v>
      </c>
      <c r="K809" s="120" t="n">
        <v>0.2978379545490755</v>
      </c>
      <c r="L809" s="120" t="n">
        <v>-0.08966913109759511</v>
      </c>
      <c r="M809" s="120" t="n">
        <v>-0.32814650685437</v>
      </c>
      <c r="N809" t="n">
        <v>44.70679926506171</v>
      </c>
      <c r="O809" t="n">
        <v>-0.2849244202253326</v>
      </c>
      <c r="P809" t="n">
        <v>138.2075730316502</v>
      </c>
      <c r="Q809" t="n">
        <v>137.6030428329419</v>
      </c>
    </row>
    <row r="810">
      <c r="A810" s="117" t="n">
        <v>45588</v>
      </c>
      <c r="B810" s="118" t="n">
        <v>77.52609796085021</v>
      </c>
      <c r="C810" s="118" t="n">
        <v>77.56438332993288</v>
      </c>
      <c r="D810" s="118" t="n">
        <v>76.36799292930247</v>
      </c>
      <c r="E810" s="118" t="n">
        <v>76.61684417724609</v>
      </c>
      <c r="F810" s="119" t="n">
        <v>7253100</v>
      </c>
      <c r="G810" s="120" t="n">
        <v>-0.01682629753313769</v>
      </c>
      <c r="H810" s="121" t="n">
        <v>48.1624011556302</v>
      </c>
      <c r="I810" s="118" t="n">
        <v>79.12289611816406</v>
      </c>
      <c r="J810" s="118" t="n">
        <v>85.40024967193604</v>
      </c>
      <c r="K810" s="120" t="n">
        <v>0.2992187325603882</v>
      </c>
      <c r="L810" s="120" t="n">
        <v>-0.1049866291513466</v>
      </c>
      <c r="M810" s="120" t="n">
        <v>-0.3394513136287163</v>
      </c>
      <c r="N810" t="n">
        <v>40.13587592059879</v>
      </c>
      <c r="O810" t="n">
        <v>-0.3713119491990899</v>
      </c>
      <c r="P810" t="n">
        <v>136.9447345066039</v>
      </c>
      <c r="Q810" t="n">
        <v>135.4944347215686</v>
      </c>
    </row>
    <row r="811">
      <c r="A811" s="117" t="n">
        <v>45589</v>
      </c>
      <c r="B811" s="118" t="n">
        <v>77.04753714093269</v>
      </c>
      <c r="C811" s="118" t="n">
        <v>77.3346737405936</v>
      </c>
      <c r="D811" s="118" t="n">
        <v>75.64058094653095</v>
      </c>
      <c r="E811" s="118" t="n">
        <v>75.65015411376953</v>
      </c>
      <c r="F811" s="119" t="n">
        <v>7424500</v>
      </c>
      <c r="G811" s="120" t="n">
        <v>-0.01261720022349411</v>
      </c>
      <c r="H811" s="121" t="n">
        <v>47.55472649700537</v>
      </c>
      <c r="I811" s="118" t="n">
        <v>79.13952453613281</v>
      </c>
      <c r="J811" s="118" t="n">
        <v>85.29265632629395</v>
      </c>
      <c r="K811" s="120" t="n">
        <v>0.2904645594205381</v>
      </c>
      <c r="L811" s="120" t="n">
        <v>-0.1162791920540485</v>
      </c>
      <c r="M811" s="120" t="n">
        <v>-0.3477855886620287</v>
      </c>
      <c r="N811" t="n">
        <v>37.12247670228646</v>
      </c>
      <c r="O811" t="n">
        <v>-0.4680221229673922</v>
      </c>
      <c r="P811" t="n">
        <v>137.2409041438588</v>
      </c>
      <c r="Q811" t="n">
        <v>136.5931367774528</v>
      </c>
    </row>
    <row r="812">
      <c r="A812" s="117" t="n">
        <v>45590</v>
      </c>
      <c r="B812" s="118" t="n">
        <v>75.82244169414643</v>
      </c>
      <c r="C812" s="118" t="n">
        <v>76.16700272504308</v>
      </c>
      <c r="D812" s="118" t="n">
        <v>75.15245866643065</v>
      </c>
      <c r="E812" s="118" t="n">
        <v>75.46830749511719</v>
      </c>
      <c r="F812" s="119" t="n">
        <v>9385400</v>
      </c>
      <c r="G812" s="120" t="n">
        <v>-0.002403783849255214</v>
      </c>
      <c r="H812" s="121" t="n">
        <v>47.44041521349612</v>
      </c>
      <c r="I812" s="118" t="n">
        <v>79.07666824340821</v>
      </c>
      <c r="J812" s="118" t="n">
        <v>85.17928310394286</v>
      </c>
      <c r="K812" s="120" t="n">
        <v>0.2897706608687752</v>
      </c>
      <c r="L812" s="120" t="n">
        <v>-0.1184034658594397</v>
      </c>
      <c r="M812" s="120" t="n">
        <v>-0.3493533711302544</v>
      </c>
      <c r="N812" t="n">
        <v>36.56630654697451</v>
      </c>
      <c r="O812" t="n">
        <v>-0.5149790311944642</v>
      </c>
      <c r="P812" t="n">
        <v>137.193500472598</v>
      </c>
      <c r="Q812" t="n">
        <v>137.4254764636346</v>
      </c>
    </row>
    <row r="813">
      <c r="A813" s="117" t="n">
        <v>45593</v>
      </c>
      <c r="B813" s="118" t="n">
        <v>75.91813851860495</v>
      </c>
      <c r="C813" s="118" t="n">
        <v>76.22441412691363</v>
      </c>
      <c r="D813" s="118" t="n">
        <v>75.43958242423598</v>
      </c>
      <c r="E813" s="118" t="n">
        <v>75.52572631835938</v>
      </c>
      <c r="F813" s="119" t="n">
        <v>6617200</v>
      </c>
      <c r="G813" s="120" t="n">
        <v>0.0007608335889326412</v>
      </c>
      <c r="H813" s="121" t="n">
        <v>47.47650947486346</v>
      </c>
      <c r="I813" s="118" t="n">
        <v>79.00104858398437</v>
      </c>
      <c r="J813" s="118" t="n">
        <v>85.05612445831299</v>
      </c>
      <c r="K813" s="120" t="n">
        <v>0.2899834578509694</v>
      </c>
      <c r="L813" s="120" t="n">
        <v>-0.117732717604379</v>
      </c>
      <c r="M813" s="120" t="n">
        <v>-0.3488583373204844</v>
      </c>
      <c r="N813" t="n">
        <v>36.88783363410135</v>
      </c>
      <c r="O813" t="n">
        <v>-0.5118468948236852</v>
      </c>
      <c r="P813" t="n">
        <v>137.6176246023285</v>
      </c>
      <c r="Q813" t="n">
        <v>137.4476818716041</v>
      </c>
    </row>
    <row r="814">
      <c r="A814" s="117" t="n">
        <v>45594</v>
      </c>
      <c r="B814" s="118" t="n">
        <v>75.4970150973903</v>
      </c>
      <c r="C814" s="118" t="n">
        <v>76.06171514780412</v>
      </c>
      <c r="D814" s="118" t="n">
        <v>74.84617844559438</v>
      </c>
      <c r="E814" s="118" t="n">
        <v>75.03760528564453</v>
      </c>
      <c r="F814" s="119" t="n">
        <v>7241100</v>
      </c>
      <c r="G814" s="120" t="n">
        <v>-0.006462977008089843</v>
      </c>
      <c r="H814" s="121" t="n">
        <v>47.16966988570305</v>
      </c>
      <c r="I814" s="118" t="n">
        <v>78.9147135925293</v>
      </c>
      <c r="J814" s="118" t="n">
        <v>84.9344974899292</v>
      </c>
      <c r="K814" s="120" t="n">
        <v>0.2853926010487354</v>
      </c>
      <c r="L814" s="120" t="n">
        <v>-0.1234347907654918</v>
      </c>
      <c r="M814" s="120" t="n">
        <v>-0.3530666509153916</v>
      </c>
      <c r="N814" t="n">
        <v>35.25199959651016</v>
      </c>
      <c r="O814" t="n">
        <v>-0.5111325839665095</v>
      </c>
      <c r="P814" t="n">
        <v>137.8403421624149</v>
      </c>
      <c r="Q814" t="n">
        <v>138.768326937424</v>
      </c>
    </row>
    <row r="815">
      <c r="A815" s="117" t="n">
        <v>45595</v>
      </c>
      <c r="B815" s="118" t="n">
        <v>74.65476115154064</v>
      </c>
      <c r="C815" s="118" t="n">
        <v>74.76004409118576</v>
      </c>
      <c r="D815" s="118" t="n">
        <v>73.14252192953572</v>
      </c>
      <c r="E815" s="118" t="n">
        <v>73.17123413085938</v>
      </c>
      <c r="F815" s="119" t="n">
        <v>15691300</v>
      </c>
      <c r="G815" s="120" t="n">
        <v>-0.02487247757548328</v>
      </c>
      <c r="H815" s="121" t="n">
        <v>45.99644332922795</v>
      </c>
      <c r="I815" s="118" t="n">
        <v>78.78571533203124</v>
      </c>
      <c r="J815" s="118" t="n">
        <v>84.81933303833007</v>
      </c>
      <c r="K815" s="120" t="n">
        <v>0.1865739378175269</v>
      </c>
      <c r="L815" s="120" t="n">
        <v>-0.145237139275626</v>
      </c>
      <c r="M815" s="120" t="n">
        <v>-0.3691574861333308</v>
      </c>
      <c r="N815" t="n">
        <v>29.80878411242252</v>
      </c>
      <c r="O815" t="n">
        <v>-0.5987628930522609</v>
      </c>
      <c r="P815" t="n">
        <v>137.4233315350342</v>
      </c>
      <c r="Q815" t="n">
        <v>137.7195891854281</v>
      </c>
    </row>
    <row r="816">
      <c r="A816" s="117" t="n">
        <v>45596</v>
      </c>
      <c r="B816" s="118" t="n">
        <v>72.93196762627767</v>
      </c>
      <c r="C816" s="118" t="n">
        <v>74.02307526288675</v>
      </c>
      <c r="D816" s="118" t="n">
        <v>71.97485515190557</v>
      </c>
      <c r="E816" s="118" t="n">
        <v>73.82208251953125</v>
      </c>
      <c r="F816" s="119" t="n">
        <v>13990100</v>
      </c>
      <c r="G816" s="120" t="n">
        <v>0.008894866902311671</v>
      </c>
      <c r="H816" s="121" t="n">
        <v>46.40557557062116</v>
      </c>
      <c r="I816" s="118" t="n">
        <v>78.66134872436524</v>
      </c>
      <c r="J816" s="118" t="n">
        <v>84.71167881011962</v>
      </c>
      <c r="K816" s="120" t="n">
        <v>0.1895312692623244</v>
      </c>
      <c r="L816" s="120" t="n">
        <v>-0.1376341373964434</v>
      </c>
      <c r="M816" s="120" t="n">
        <v>-0.363546225936167</v>
      </c>
      <c r="N816" t="n">
        <v>33.65594448195122</v>
      </c>
      <c r="O816" t="n">
        <v>-0.5751644004638994</v>
      </c>
      <c r="P816" t="n">
        <v>134.7294393401623</v>
      </c>
      <c r="Q816" t="n">
        <v>134.243156992149</v>
      </c>
    </row>
    <row r="817">
      <c r="A817" s="117" t="n">
        <v>45597</v>
      </c>
      <c r="B817" s="118" t="n">
        <v>73.74551049162736</v>
      </c>
      <c r="C817" s="118" t="n">
        <v>74.77918629402707</v>
      </c>
      <c r="D817" s="118" t="n">
        <v>73.65936658181781</v>
      </c>
      <c r="E817" s="118" t="n">
        <v>74.71218872070312</v>
      </c>
      <c r="F817" s="119" t="n">
        <v>9623700</v>
      </c>
      <c r="G817" s="120" t="n">
        <v>0.0120574517921026</v>
      </c>
      <c r="H817" s="121" t="n">
        <v>46.9651085609487</v>
      </c>
      <c r="I817" s="118" t="n">
        <v>78.56602783203125</v>
      </c>
      <c r="J817" s="118" t="n">
        <v>84.60790767669678</v>
      </c>
      <c r="K817" s="120" t="n">
        <v>0.1963778360269231</v>
      </c>
      <c r="L817" s="120" t="n">
        <v>-0.127236202580946</v>
      </c>
      <c r="M817" s="120" t="n">
        <v>-0.3558722152374906</v>
      </c>
      <c r="N817" t="n">
        <v>38.61148813860931</v>
      </c>
      <c r="O817" t="n">
        <v>-0.466507131165993</v>
      </c>
      <c r="P817" t="n">
        <v>135.2980472624345</v>
      </c>
      <c r="Q817" t="n">
        <v>135.2364196714454</v>
      </c>
    </row>
    <row r="818">
      <c r="A818" s="117" t="n">
        <v>45600</v>
      </c>
      <c r="B818" s="118" t="n">
        <v>74.6451868073589</v>
      </c>
      <c r="C818" s="118" t="n">
        <v>75.18117466497486</v>
      </c>
      <c r="D818" s="118" t="n">
        <v>73.80293060565867</v>
      </c>
      <c r="E818" s="118" t="n">
        <v>73.87950134277344</v>
      </c>
      <c r="F818" s="119" t="n">
        <v>6593800</v>
      </c>
      <c r="G818" s="120" t="n">
        <v>-0.01114526815754957</v>
      </c>
      <c r="H818" s="121" t="n">
        <v>46.4416698319885</v>
      </c>
      <c r="I818" s="118" t="n">
        <v>78.44185668945312</v>
      </c>
      <c r="J818" s="118" t="n">
        <v>84.49600086212158</v>
      </c>
      <c r="K818" s="120" t="n">
        <v>0.1914305541648056</v>
      </c>
      <c r="L818" s="120" t="n">
        <v>-0.1369633891413826</v>
      </c>
      <c r="M818" s="120" t="n">
        <v>-0.3630511921263971</v>
      </c>
      <c r="N818" t="n">
        <v>35.90926826097933</v>
      </c>
      <c r="O818" t="n">
        <v>-0.4191140594348177</v>
      </c>
      <c r="P818" t="n">
        <v>135.0066150406449</v>
      </c>
      <c r="Q818" t="n">
        <v>134.8424466924964</v>
      </c>
    </row>
    <row r="819">
      <c r="A819" s="117" t="n">
        <v>45601</v>
      </c>
      <c r="B819" s="118" t="n">
        <v>73.93692492756331</v>
      </c>
      <c r="C819" s="118" t="n">
        <v>74.65475915016101</v>
      </c>
      <c r="D819" s="118" t="n">
        <v>73.69764685336408</v>
      </c>
      <c r="E819" s="118" t="n">
        <v>74.6356201171875</v>
      </c>
      <c r="F819" s="119" t="n">
        <v>5629200</v>
      </c>
      <c r="G819" s="120" t="n">
        <v>0.01023448670702254</v>
      </c>
      <c r="H819" s="121" t="n">
        <v>46.91697648453591</v>
      </c>
      <c r="I819" s="118" t="n">
        <v>78.32842483520508</v>
      </c>
      <c r="J819" s="118" t="n">
        <v>84.39364387512207</v>
      </c>
      <c r="K819" s="120" t="n">
        <v>0.1964628454019668</v>
      </c>
      <c r="L819" s="120" t="n">
        <v>-0.1281306524198765</v>
      </c>
      <c r="M819" s="120" t="n">
        <v>-0.356532348019161</v>
      </c>
      <c r="N819" t="n">
        <v>40.0145484198822</v>
      </c>
      <c r="O819" t="n">
        <v>-0.3102554803660036</v>
      </c>
      <c r="P819" t="n">
        <v>136.6390900384182</v>
      </c>
      <c r="Q819" t="n">
        <v>136.5626011375594</v>
      </c>
    </row>
    <row r="820">
      <c r="A820" s="117" t="n">
        <v>45602</v>
      </c>
      <c r="B820" s="118" t="n">
        <v>73.57322579070556</v>
      </c>
      <c r="C820" s="118" t="n">
        <v>73.64978922573096</v>
      </c>
      <c r="D820" s="118" t="n">
        <v>71.8982792506593</v>
      </c>
      <c r="E820" s="118" t="n">
        <v>72.08969879150391</v>
      </c>
      <c r="F820" s="119" t="n">
        <v>16193700</v>
      </c>
      <c r="G820" s="120" t="n">
        <v>-0.03411134417703199</v>
      </c>
      <c r="H820" s="121" t="n">
        <v>45.31657535192619</v>
      </c>
      <c r="I820" s="118" t="n">
        <v>78.14482666015626</v>
      </c>
      <c r="J820" s="118" t="n">
        <v>84.27222061157227</v>
      </c>
      <c r="K820" s="120" t="n">
        <v>0.2093819932219036</v>
      </c>
      <c r="L820" s="120" t="n">
        <v>-0.1578712878125864</v>
      </c>
      <c r="M820" s="120" t="n">
        <v>-0.378481894562666</v>
      </c>
      <c r="N820" t="n">
        <v>32.47230805170798</v>
      </c>
      <c r="O820" t="n">
        <v>-0.3785994087002627</v>
      </c>
      <c r="P820" t="n">
        <v>140.0367171836022</v>
      </c>
      <c r="Q820" t="n">
        <v>140.2720918605005</v>
      </c>
    </row>
    <row r="821">
      <c r="A821" s="117" t="n">
        <v>45603</v>
      </c>
      <c r="B821" s="118" t="n">
        <v>72.45339744568173</v>
      </c>
      <c r="C821" s="118" t="n">
        <v>73.09466822976404</v>
      </c>
      <c r="D821" s="118" t="n">
        <v>71.98441446810641</v>
      </c>
      <c r="E821" s="118" t="n">
        <v>72.66396331787109</v>
      </c>
      <c r="F821" s="119" t="n">
        <v>11831100</v>
      </c>
      <c r="G821" s="120" t="n">
        <v>0.007965972059726045</v>
      </c>
      <c r="H821" s="121" t="n">
        <v>45.67756592502211</v>
      </c>
      <c r="I821" s="118" t="n">
        <v>78.02035675048828</v>
      </c>
      <c r="J821" s="118" t="n">
        <v>84.15905956268311</v>
      </c>
      <c r="K821" s="120" t="n">
        <v>0.2139606415917472</v>
      </c>
      <c r="L821" s="120" t="n">
        <v>-0.1511629140206083</v>
      </c>
      <c r="M821" s="120" t="n">
        <v>-0.3735308987001383</v>
      </c>
      <c r="N821" t="n">
        <v>35.42877591552346</v>
      </c>
      <c r="O821" t="n">
        <v>-0.3544418576454365</v>
      </c>
      <c r="P821" t="n">
        <v>141.119489646054</v>
      </c>
      <c r="Q821" t="n">
        <v>142.4805602290293</v>
      </c>
    </row>
    <row r="822">
      <c r="A822" s="117" t="n">
        <v>45604</v>
      </c>
      <c r="B822" s="118" t="n">
        <v>72.26197896929369</v>
      </c>
      <c r="C822" s="118" t="n">
        <v>73.27651567507654</v>
      </c>
      <c r="D822" s="118" t="n">
        <v>72.02270089323643</v>
      </c>
      <c r="E822" s="118" t="n">
        <v>72.62567901611328</v>
      </c>
      <c r="F822" s="119" t="n">
        <v>8140800</v>
      </c>
      <c r="G822" s="120" t="n">
        <v>-0.0005268677898883078</v>
      </c>
      <c r="H822" s="121" t="n">
        <v>45.65349988681572</v>
      </c>
      <c r="I822" s="118" t="n">
        <v>77.88616455078125</v>
      </c>
      <c r="J822" s="118" t="n">
        <v>84.04565982818603</v>
      </c>
      <c r="K822" s="120" t="n">
        <v>0.2136867564846704</v>
      </c>
      <c r="L822" s="120" t="n">
        <v>-0.1516101389400735</v>
      </c>
      <c r="M822" s="120" t="n">
        <v>-0.3738609650909734</v>
      </c>
      <c r="N822" t="n">
        <v>35.31776188895641</v>
      </c>
      <c r="O822" t="n">
        <v>-0.3118561406011136</v>
      </c>
      <c r="P822" t="n">
        <v>141.7307785824252</v>
      </c>
      <c r="Q822" t="n">
        <v>142.6470537977485</v>
      </c>
    </row>
    <row r="823">
      <c r="A823" s="117" t="n">
        <v>45607</v>
      </c>
      <c r="B823" s="118" t="n">
        <v>72.88410644329879</v>
      </c>
      <c r="C823" s="118" t="n">
        <v>74.08049687308969</v>
      </c>
      <c r="D823" s="118" t="n">
        <v>72.83624790523209</v>
      </c>
      <c r="E823" s="118" t="n">
        <v>73.31480407714844</v>
      </c>
      <c r="F823" s="119" t="n">
        <v>9877200</v>
      </c>
      <c r="G823" s="120" t="n">
        <v>0.009488724516878655</v>
      </c>
      <c r="H823" s="121" t="n">
        <v>46.08669337047306</v>
      </c>
      <c r="I823" s="118" t="n">
        <v>77.76461135864258</v>
      </c>
      <c r="J823" s="118" t="n">
        <v>83.92634250640869</v>
      </c>
      <c r="K823" s="120" t="n">
        <v>0.2185214088396086</v>
      </c>
      <c r="L823" s="120" t="n">
        <v>-0.1435600012655629</v>
      </c>
      <c r="M823" s="120" t="n">
        <v>-0.3679197042794574</v>
      </c>
      <c r="N823" t="n">
        <v>39.02166217440994</v>
      </c>
      <c r="O823" t="n">
        <v>-0.212820070385537</v>
      </c>
      <c r="P823" t="n">
        <v>141.8658465772507</v>
      </c>
      <c r="Q823" t="n">
        <v>142.5638283729579</v>
      </c>
    </row>
    <row r="824">
      <c r="A824" s="117" t="n">
        <v>45608</v>
      </c>
      <c r="B824" s="118" t="n">
        <v>73.18080369341224</v>
      </c>
      <c r="C824" s="118" t="n">
        <v>74.10920376880618</v>
      </c>
      <c r="D824" s="118" t="n">
        <v>72.87452805740274</v>
      </c>
      <c r="E824" s="118" t="n">
        <v>73.37223052978516</v>
      </c>
      <c r="F824" s="119" t="n">
        <v>9013900</v>
      </c>
      <c r="G824" s="120" t="n">
        <v>0.0007832859046623675</v>
      </c>
      <c r="H824" s="121" t="n">
        <v>46.12279242778264</v>
      </c>
      <c r="I824" s="118" t="n">
        <v>77.67540832519531</v>
      </c>
      <c r="J824" s="118" t="n">
        <v>83.80196876525879</v>
      </c>
      <c r="K824" s="120" t="n">
        <v>0.2162078970077636</v>
      </c>
      <c r="L824" s="120" t="n">
        <v>-0.1428891638863652</v>
      </c>
      <c r="M824" s="120" t="n">
        <v>-0.3674246046932047</v>
      </c>
      <c r="N824" t="n">
        <v>39.33342358933677</v>
      </c>
      <c r="O824" t="n">
        <v>-0.1234221163127049</v>
      </c>
      <c r="P824" t="n">
        <v>141.4251341142396</v>
      </c>
      <c r="Q824" t="n">
        <v>142.3057706036966</v>
      </c>
    </row>
    <row r="825">
      <c r="A825" s="117" t="n">
        <v>45609</v>
      </c>
      <c r="B825" s="118" t="n">
        <v>73.61151601662964</v>
      </c>
      <c r="C825" s="118" t="n">
        <v>73.9752160891084</v>
      </c>
      <c r="D825" s="118" t="n">
        <v>73.19038423635786</v>
      </c>
      <c r="E825" s="118" t="n">
        <v>73.23823547363281</v>
      </c>
      <c r="F825" s="119" t="n">
        <v>6835300</v>
      </c>
      <c r="G825" s="120" t="n">
        <v>-0.001826236645456114</v>
      </c>
      <c r="H825" s="121" t="n">
        <v>46.03856129406026</v>
      </c>
      <c r="I825" s="118" t="n">
        <v>77.58926834106445</v>
      </c>
      <c r="J825" s="118" t="n">
        <v>83.67550632476807</v>
      </c>
      <c r="K825" s="120" t="n">
        <v>0.1943321240820594</v>
      </c>
      <c r="L825" s="120" t="n">
        <v>-0.1444544511044935</v>
      </c>
      <c r="M825" s="120" t="n">
        <v>-0.3685798370611278</v>
      </c>
      <c r="N825" t="n">
        <v>38.83450915285282</v>
      </c>
      <c r="O825" t="n">
        <v>-0.05668630471900116</v>
      </c>
      <c r="P825" t="n">
        <v>141.4938340176391</v>
      </c>
      <c r="Q825" t="n">
        <v>142.1226678340953</v>
      </c>
    </row>
    <row r="826">
      <c r="A826" s="117" t="n">
        <v>45610</v>
      </c>
      <c r="B826" s="118" t="n">
        <v>73.39137751574401</v>
      </c>
      <c r="C826" s="118" t="n">
        <v>73.67851415032676</v>
      </c>
      <c r="D826" s="118" t="n">
        <v>72.42469196831587</v>
      </c>
      <c r="E826" s="118" t="n">
        <v>72.43426513671875</v>
      </c>
      <c r="F826" s="119" t="n">
        <v>6991600</v>
      </c>
      <c r="G826" s="120" t="n">
        <v>-0.01097746732584115</v>
      </c>
      <c r="H826" s="121" t="n">
        <v>45.53317449172598</v>
      </c>
      <c r="I826" s="118" t="n">
        <v>77.49068588256836</v>
      </c>
      <c r="J826" s="118" t="n">
        <v>83.55755558013917</v>
      </c>
      <c r="K826" s="120" t="n">
        <v>0.1955832017395713</v>
      </c>
      <c r="L826" s="120" t="n">
        <v>-0.1538461744132628</v>
      </c>
      <c r="M826" s="120" t="n">
        <v>-0.3755112312686666</v>
      </c>
      <c r="N826" t="n">
        <v>35.89275077609865</v>
      </c>
      <c r="O826" t="n">
        <v>-0.0502801441908729</v>
      </c>
      <c r="P826" t="n">
        <v>140.5839993571284</v>
      </c>
      <c r="Q826" t="n">
        <v>141.1349586427481</v>
      </c>
    </row>
    <row r="827">
      <c r="A827" s="117" t="n">
        <v>45611</v>
      </c>
      <c r="B827" s="118" t="n">
        <v>72.74053292303527</v>
      </c>
      <c r="C827" s="118" t="n">
        <v>74.31976963772281</v>
      </c>
      <c r="D827" s="118" t="n">
        <v>72.36725971984204</v>
      </c>
      <c r="E827" s="118" t="n">
        <v>73.37223052978516</v>
      </c>
      <c r="F827" s="119" t="n">
        <v>13584900</v>
      </c>
      <c r="G827" s="120" t="n">
        <v>0.01294919457381138</v>
      </c>
      <c r="H827" s="121" t="n">
        <v>46.12279242778264</v>
      </c>
      <c r="I827" s="118" t="n">
        <v>77.41469116210938</v>
      </c>
      <c r="J827" s="118" t="n">
        <v>83.44320701599121</v>
      </c>
      <c r="K827" s="120" t="n">
        <v>0.2053610762306998</v>
      </c>
      <c r="L827" s="120" t="n">
        <v>-0.1428891638863652</v>
      </c>
      <c r="M827" s="120" t="n">
        <v>-0.3674246046932047</v>
      </c>
      <c r="N827" t="n">
        <v>41.46389583273196</v>
      </c>
      <c r="O827" t="n">
        <v>0.02925760573547698</v>
      </c>
      <c r="P827" t="n">
        <v>138.783338731183</v>
      </c>
      <c r="Q827" t="n">
        <v>137.7722960579805</v>
      </c>
    </row>
    <row r="828">
      <c r="A828" s="117" t="n">
        <v>45614</v>
      </c>
      <c r="B828" s="118" t="n">
        <v>72.89367542906116</v>
      </c>
      <c r="C828" s="118" t="n">
        <v>72.93195349469309</v>
      </c>
      <c r="D828" s="118" t="n">
        <v>71.06558745217748</v>
      </c>
      <c r="E828" s="118" t="n">
        <v>71.67813873291016</v>
      </c>
      <c r="F828" s="119" t="n">
        <v>12595100</v>
      </c>
      <c r="G828" s="120" t="n">
        <v>-0.02308900499061817</v>
      </c>
      <c r="H828" s="121" t="n">
        <v>45.05786304323632</v>
      </c>
      <c r="I828" s="118" t="n">
        <v>77.32663696289063</v>
      </c>
      <c r="J828" s="118" t="n">
        <v>83.32535327911377</v>
      </c>
      <c r="K828" s="120" t="n">
        <v>0.2112811683051286</v>
      </c>
      <c r="L828" s="120" t="n">
        <v>-0.1626790002589058</v>
      </c>
      <c r="M828" s="120" t="n">
        <v>-0.3820301411523855</v>
      </c>
      <c r="N828" t="n">
        <v>35.46853433460612</v>
      </c>
      <c r="O828" t="n">
        <v>-0.01757510607696156</v>
      </c>
      <c r="P828" t="n">
        <v>139.3519761700624</v>
      </c>
      <c r="Q828" t="n">
        <v>138.7294866970896</v>
      </c>
    </row>
    <row r="829">
      <c r="A829" s="117" t="n">
        <v>45615</v>
      </c>
      <c r="B829" s="118" t="n">
        <v>71.30487378002984</v>
      </c>
      <c r="C829" s="118" t="n">
        <v>71.52501284493094</v>
      </c>
      <c r="D829" s="118" t="n">
        <v>70.44347115983346</v>
      </c>
      <c r="E829" s="118" t="n">
        <v>70.74018096923828</v>
      </c>
      <c r="F829" s="119" t="n">
        <v>12028400</v>
      </c>
      <c r="G829" s="120" t="n">
        <v>-0.01308568805290733</v>
      </c>
      <c r="H829" s="121" t="n">
        <v>44.46824990312191</v>
      </c>
      <c r="I829" s="118" t="n">
        <v>77.2466227722168</v>
      </c>
      <c r="J829" s="118" t="n">
        <v>83.20768051147461</v>
      </c>
      <c r="K829" s="120" t="n">
        <v>0.2131945258655045</v>
      </c>
      <c r="L829" s="120" t="n">
        <v>-0.1736359216616664</v>
      </c>
      <c r="M829" s="120" t="n">
        <v>-0.3901167019513646</v>
      </c>
      <c r="N829" t="n">
        <v>32.65336669527041</v>
      </c>
      <c r="O829" t="n">
        <v>-0.09286456221013872</v>
      </c>
      <c r="P829" t="n">
        <v>139.8613590198658</v>
      </c>
      <c r="Q829" t="n">
        <v>139.683900592224</v>
      </c>
    </row>
    <row r="830">
      <c r="A830" s="117" t="n">
        <v>45616</v>
      </c>
      <c r="B830" s="118" t="n">
        <v>70.50089699283767</v>
      </c>
      <c r="C830" s="118" t="n">
        <v>70.67317020032932</v>
      </c>
      <c r="D830" s="118" t="n">
        <v>69.59163590756917</v>
      </c>
      <c r="E830" s="118" t="n">
        <v>70.21376037597656</v>
      </c>
      <c r="F830" s="119" t="n">
        <v>12290300</v>
      </c>
      <c r="G830" s="120" t="n">
        <v>-0.007441606538872603</v>
      </c>
      <c r="H830" s="121" t="n">
        <v>44.13733468387061</v>
      </c>
      <c r="I830" s="118" t="n">
        <v>77.15014587402344</v>
      </c>
      <c r="J830" s="118" t="n">
        <v>83.07352001190185</v>
      </c>
      <c r="K830" s="120" t="n">
        <v>0.2086934642514186</v>
      </c>
      <c r="L830" s="120" t="n">
        <v>-0.1797853979905184</v>
      </c>
      <c r="M830" s="120" t="n">
        <v>-0.3946552134900726</v>
      </c>
      <c r="N830" t="n">
        <v>31.15860061284461</v>
      </c>
      <c r="O830" t="n">
        <v>-0.1555683587728027</v>
      </c>
      <c r="P830" t="n">
        <v>139.9087626911266</v>
      </c>
      <c r="Q830" t="n">
        <v>139.603451911408</v>
      </c>
    </row>
    <row r="831">
      <c r="A831" s="117" t="n">
        <v>45617</v>
      </c>
      <c r="B831" s="118" t="n">
        <v>70.21376170813215</v>
      </c>
      <c r="C831" s="118" t="n">
        <v>72.31940593110532</v>
      </c>
      <c r="D831" s="118" t="n">
        <v>70.06062022898404</v>
      </c>
      <c r="E831" s="118" t="n">
        <v>71.87913513183594</v>
      </c>
      <c r="F831" s="119" t="n">
        <v>12818600</v>
      </c>
      <c r="G831" s="120" t="n">
        <v>0.02371863787015149</v>
      </c>
      <c r="H831" s="121" t="n">
        <v>45.18421214179102</v>
      </c>
      <c r="I831" s="118" t="n">
        <v>77.08697647094726</v>
      </c>
      <c r="J831" s="118" t="n">
        <v>82.94210632324219</v>
      </c>
      <c r="K831" s="120" t="n">
        <v>0.2283514113943014</v>
      </c>
      <c r="L831" s="120" t="n">
        <v>-0.160331024869645</v>
      </c>
      <c r="M831" s="120" t="n">
        <v>-0.3802972597122595</v>
      </c>
      <c r="N831" t="n">
        <v>40.44647868346469</v>
      </c>
      <c r="O831" t="n">
        <v>-0.066866840607263</v>
      </c>
      <c r="P831" t="n">
        <v>140.6598422794851</v>
      </c>
      <c r="Q831" t="n">
        <v>140.1056324670918</v>
      </c>
    </row>
    <row r="832">
      <c r="A832" s="117" t="n">
        <v>45618</v>
      </c>
      <c r="B832" s="118" t="n">
        <v>72.86495345734518</v>
      </c>
      <c r="C832" s="118" t="n">
        <v>74.17619987751569</v>
      </c>
      <c r="D832" s="118" t="n">
        <v>72.57782416171217</v>
      </c>
      <c r="E832" s="118" t="n">
        <v>74.08049011230469</v>
      </c>
      <c r="F832" s="119" t="n">
        <v>12248600</v>
      </c>
      <c r="G832" s="120" t="n">
        <v>0.03062578558341267</v>
      </c>
      <c r="H832" s="121" t="n">
        <v>46.56801413460094</v>
      </c>
      <c r="I832" s="118" t="n">
        <v>77.05615737915039</v>
      </c>
      <c r="J832" s="118" t="n">
        <v>82.82179401397705</v>
      </c>
      <c r="K832" s="120" t="n">
        <v>0.2567776685794567</v>
      </c>
      <c r="L832" s="120" t="n">
        <v>-0.1346155028762589</v>
      </c>
      <c r="M832" s="120" t="n">
        <v>-0.3613183764627539</v>
      </c>
      <c r="N832" t="n">
        <v>50.04137116325376</v>
      </c>
      <c r="O832" t="n">
        <v>0.1464401243095368</v>
      </c>
      <c r="P832" t="n">
        <v>141.0957878104235</v>
      </c>
      <c r="Q832" t="n">
        <v>140.3303607648298</v>
      </c>
    </row>
    <row r="833">
      <c r="A833" s="117" t="n">
        <v>45621</v>
      </c>
      <c r="B833" s="118" t="n">
        <v>75.1333255428676</v>
      </c>
      <c r="C833" s="118" t="n">
        <v>76.43499902816751</v>
      </c>
      <c r="D833" s="118" t="n">
        <v>75.0471889294612</v>
      </c>
      <c r="E833" s="118" t="n">
        <v>75.86073303222656</v>
      </c>
      <c r="F833" s="119" t="n">
        <v>18328900</v>
      </c>
      <c r="G833" s="120" t="n">
        <v>0.02403119792030339</v>
      </c>
      <c r="H833" s="121" t="n">
        <v>47.68709929902503</v>
      </c>
      <c r="I833" s="118" t="n">
        <v>77.04582077026367</v>
      </c>
      <c r="J833" s="118" t="n">
        <v>82.70693084716797</v>
      </c>
      <c r="K833" s="120" t="n">
        <v>0.2715199891874595</v>
      </c>
      <c r="L833" s="120" t="n">
        <v>-0.1138192767487159</v>
      </c>
      <c r="M833" s="120" t="n">
        <v>-0.3459700919594696</v>
      </c>
      <c r="N833" t="n">
        <v>56.18877735138619</v>
      </c>
      <c r="O833" t="n">
        <v>0.3994573110927389</v>
      </c>
      <c r="P833" t="n">
        <v>141.5743995971575</v>
      </c>
      <c r="Q833" t="n">
        <v>140.5523123185932</v>
      </c>
    </row>
    <row r="834">
      <c r="A834" s="117" t="n">
        <v>45622</v>
      </c>
      <c r="B834" s="118" t="n">
        <v>75.51616225987927</v>
      </c>
      <c r="C834" s="118" t="n">
        <v>75.51616225987927</v>
      </c>
      <c r="D834" s="118" t="n">
        <v>74.24320114280097</v>
      </c>
      <c r="E834" s="118" t="n">
        <v>74.28148651123047</v>
      </c>
      <c r="F834" s="119" t="n">
        <v>9495600</v>
      </c>
      <c r="G834" s="120" t="n">
        <v>-0.02081770710448061</v>
      </c>
      <c r="H834" s="121" t="n">
        <v>46.69436323315564</v>
      </c>
      <c r="I834" s="118" t="n">
        <v>76.98781982421875</v>
      </c>
      <c r="J834" s="118" t="n">
        <v>82.57149806976318</v>
      </c>
      <c r="K834" s="120" t="n">
        <v>0.2809229113379451</v>
      </c>
      <c r="L834" s="120" t="n">
        <v>-0.132267527486998</v>
      </c>
      <c r="M834" s="120" t="n">
        <v>-0.3595854950226278</v>
      </c>
      <c r="N834" t="n">
        <v>50.27836366296035</v>
      </c>
      <c r="O834" t="n">
        <v>0.448795304851336</v>
      </c>
      <c r="P834" t="n">
        <v>142.3136282677007</v>
      </c>
      <c r="Q834" t="n">
        <v>141.3069800679337</v>
      </c>
    </row>
    <row r="835">
      <c r="A835" s="117" t="n">
        <v>45623</v>
      </c>
      <c r="B835" s="118" t="n">
        <v>74.28149089891434</v>
      </c>
      <c r="C835" s="118" t="n">
        <v>75.65973503503751</v>
      </c>
      <c r="D835" s="118" t="n">
        <v>74.26234456247496</v>
      </c>
      <c r="E835" s="118" t="n">
        <v>74.98017883300781</v>
      </c>
      <c r="F835" s="119" t="n">
        <v>8713500</v>
      </c>
      <c r="G835" s="120" t="n">
        <v>0.009406008880445738</v>
      </c>
      <c r="H835" s="121" t="n">
        <v>47.13357082839346</v>
      </c>
      <c r="I835" s="118" t="n">
        <v>76.93881530761719</v>
      </c>
      <c r="J835" s="118" t="n">
        <v>82.44986766815185</v>
      </c>
      <c r="K835" s="120" t="n">
        <v>0.2672668514325563</v>
      </c>
      <c r="L835" s="120" t="n">
        <v>-0.1241056281446896</v>
      </c>
      <c r="M835" s="120" t="n">
        <v>-0.3535617505016444</v>
      </c>
      <c r="N835" t="n">
        <v>52.65135721129027</v>
      </c>
      <c r="O835" t="n">
        <v>0.5122345871673974</v>
      </c>
      <c r="P835" t="n">
        <v>141.882405393924</v>
      </c>
      <c r="Q835" t="n">
        <v>140.1944113798316</v>
      </c>
    </row>
    <row r="836">
      <c r="A836" s="117" t="n">
        <v>45625</v>
      </c>
      <c r="B836" s="118" t="n">
        <v>74.84617755339511</v>
      </c>
      <c r="C836" s="118" t="n">
        <v>75.78415080299156</v>
      </c>
      <c r="D836" s="118" t="n">
        <v>74.68347021793249</v>
      </c>
      <c r="E836" s="118" t="n">
        <v>75.39173126220703</v>
      </c>
      <c r="F836" s="119" t="n">
        <v>7123500</v>
      </c>
      <c r="G836" s="120" t="n">
        <v>0.005488816319254353</v>
      </c>
      <c r="H836" s="121" t="n">
        <v>47.39227834114108</v>
      </c>
      <c r="I836" s="118" t="n">
        <v>76.89651077270508</v>
      </c>
      <c r="J836" s="118" t="n">
        <v>82.32400566101074</v>
      </c>
      <c r="K836" s="120" t="n">
        <v>0.2662642925312245</v>
      </c>
      <c r="L836" s="120" t="n">
        <v>-0.1192980048225071</v>
      </c>
      <c r="M836" s="120" t="n">
        <v>-0.3500135696884076</v>
      </c>
      <c r="N836" t="n">
        <v>54.04268566912571</v>
      </c>
      <c r="O836" t="n">
        <v>0.5616946085847181</v>
      </c>
      <c r="P836" t="n">
        <v>142.7637860450353</v>
      </c>
      <c r="Q836" t="n">
        <v>141.4262775329117</v>
      </c>
    </row>
    <row r="837">
      <c r="A837" s="117" t="n">
        <v>45628</v>
      </c>
      <c r="B837" s="118" t="n">
        <v>74.958838238669</v>
      </c>
      <c r="C837" s="118" t="n">
        <v>76.09399550350199</v>
      </c>
      <c r="D837" s="118" t="n">
        <v>74.26619891240372</v>
      </c>
      <c r="E837" s="118" t="n">
        <v>76.08437347412109</v>
      </c>
      <c r="F837" s="119" t="n">
        <v>11221000</v>
      </c>
      <c r="G837" s="120" t="n">
        <v>0.009187243750977236</v>
      </c>
      <c r="H837" s="121" t="n">
        <v>47.82768275417531</v>
      </c>
      <c r="I837" s="118" t="n">
        <v>76.76201110839844</v>
      </c>
      <c r="J837" s="118" t="n">
        <v>82.20293090820313</v>
      </c>
      <c r="K837" s="120" t="n">
        <v>0.2649014835567408</v>
      </c>
      <c r="L837" s="120" t="n">
        <v>-0.1112067809208394</v>
      </c>
      <c r="M837" s="120" t="n">
        <v>-0.3440419859183075</v>
      </c>
      <c r="N837" t="n">
        <v>56.36654687902961</v>
      </c>
      <c r="O837" t="n">
        <v>0.6164582016662637</v>
      </c>
      <c r="P837" t="n">
        <v>143.0196950299864</v>
      </c>
      <c r="Q837" t="n">
        <v>142.966105952348</v>
      </c>
    </row>
    <row r="838">
      <c r="A838" s="117" t="n">
        <v>45629</v>
      </c>
      <c r="B838" s="118" t="n">
        <v>75.9978077342285</v>
      </c>
      <c r="C838" s="118" t="n">
        <v>76.38260822862273</v>
      </c>
      <c r="D838" s="118" t="n">
        <v>74.6606317042893</v>
      </c>
      <c r="E838" s="118" t="n">
        <v>75.86312866210938</v>
      </c>
      <c r="F838" s="119" t="n">
        <v>9414500</v>
      </c>
      <c r="G838" s="120" t="n">
        <v>-0.00290788767665906</v>
      </c>
      <c r="H838" s="121" t="n">
        <v>47.68860522489128</v>
      </c>
      <c r="I838" s="118" t="n">
        <v>76.6292121887207</v>
      </c>
      <c r="J838" s="118" t="n">
        <v>82.09276123046875</v>
      </c>
      <c r="K838" s="120" t="n">
        <v>0.261466165530874</v>
      </c>
      <c r="L838" s="120" t="n">
        <v>-0.1137912917696979</v>
      </c>
      <c r="M838" s="120" t="n">
        <v>-0.3459494381438614</v>
      </c>
      <c r="N838" t="n">
        <v>55.40285867486499</v>
      </c>
      <c r="O838" t="n">
        <v>0.6119480048793334</v>
      </c>
      <c r="P838" t="n">
        <v>143.0860188465014</v>
      </c>
      <c r="Q838" t="n">
        <v>143.404489747236</v>
      </c>
    </row>
    <row r="839">
      <c r="A839" s="117" t="n">
        <v>45630</v>
      </c>
      <c r="B839" s="118" t="n">
        <v>74.86264496158971</v>
      </c>
      <c r="C839" s="118" t="n">
        <v>75.52642558348892</v>
      </c>
      <c r="D839" s="118" t="n">
        <v>74.17000558907897</v>
      </c>
      <c r="E839" s="118" t="n">
        <v>75.39174652099609</v>
      </c>
      <c r="F839" s="119" t="n">
        <v>15042600</v>
      </c>
      <c r="G839" s="120" t="n">
        <v>-0.006213586882407585</v>
      </c>
      <c r="H839" s="121" t="n">
        <v>47.39228793302558</v>
      </c>
      <c r="I839" s="118" t="n">
        <v>76.46286636352539</v>
      </c>
      <c r="J839" s="118" t="n">
        <v>81.98122779846192</v>
      </c>
      <c r="K839" s="120" t="n">
        <v>0.2606582087266143</v>
      </c>
      <c r="L839" s="120" t="n">
        <v>-0.119297826574233</v>
      </c>
      <c r="M839" s="120" t="n">
        <v>-0.3500134381354419</v>
      </c>
      <c r="N839" t="n">
        <v>53.31153611657335</v>
      </c>
      <c r="O839" t="n">
        <v>0.5531646436309609</v>
      </c>
      <c r="P839" t="n">
        <v>143.9744982416589</v>
      </c>
      <c r="Q839" t="n">
        <v>145.1773852401619</v>
      </c>
    </row>
    <row r="840">
      <c r="A840" s="117" t="n">
        <v>45631</v>
      </c>
      <c r="B840" s="118" t="n">
        <v>75.28591875425643</v>
      </c>
      <c r="C840" s="118" t="n">
        <v>75.90159650453263</v>
      </c>
      <c r="D840" s="118" t="n">
        <v>75.13199564695852</v>
      </c>
      <c r="E840" s="118" t="n">
        <v>75.59375762939453</v>
      </c>
      <c r="F840" s="119" t="n">
        <v>8316500</v>
      </c>
      <c r="G840" s="120" t="n">
        <v>0.00267948572251453</v>
      </c>
      <c r="H840" s="121" t="n">
        <v>47.51927489189941</v>
      </c>
      <c r="I840" s="118" t="n">
        <v>76.29022384643555</v>
      </c>
      <c r="J840" s="118" t="n">
        <v>81.86138854980469</v>
      </c>
      <c r="K840" s="120" t="n">
        <v>0.2260317548262445</v>
      </c>
      <c r="L840" s="120" t="n">
        <v>-0.1169379976747513</v>
      </c>
      <c r="M840" s="120" t="n">
        <v>-0.3482718084230996</v>
      </c>
      <c r="N840" t="n">
        <v>54.11097359017633</v>
      </c>
      <c r="O840" t="n">
        <v>0.5051590451734882</v>
      </c>
      <c r="P840" t="n">
        <v>143.7375831934801</v>
      </c>
      <c r="Q840" t="n">
        <v>144.7750734854614</v>
      </c>
    </row>
    <row r="841">
      <c r="A841" s="117" t="n">
        <v>45632</v>
      </c>
      <c r="B841" s="118" t="n">
        <v>76.20943631091993</v>
      </c>
      <c r="C841" s="118" t="n">
        <v>78.09495036161329</v>
      </c>
      <c r="D841" s="118" t="n">
        <v>75.8438725963492</v>
      </c>
      <c r="E841" s="118" t="n">
        <v>75.89197540283203</v>
      </c>
      <c r="F841" s="119" t="n">
        <v>13931100</v>
      </c>
      <c r="G841" s="120" t="n">
        <v>0.003945005286012382</v>
      </c>
      <c r="H841" s="121" t="n">
        <v>47.70673868253543</v>
      </c>
      <c r="I841" s="118" t="n">
        <v>76.09693786621094</v>
      </c>
      <c r="J841" s="118" t="n">
        <v>81.74393886566162</v>
      </c>
      <c r="K841" s="120" t="n">
        <v>0.2251845224996415</v>
      </c>
      <c r="L841" s="120" t="n">
        <v>-0.1134543134077015</v>
      </c>
      <c r="M841" s="120" t="n">
        <v>-0.3457007372622855</v>
      </c>
      <c r="N841" t="n">
        <v>55.32705447121853</v>
      </c>
      <c r="O841" t="n">
        <v>0.4714135973893941</v>
      </c>
      <c r="P841" t="n">
        <v>144.0100657534082</v>
      </c>
      <c r="Q841" t="n">
        <v>146.07076203082</v>
      </c>
    </row>
    <row r="842">
      <c r="A842" s="117" t="n">
        <v>45635</v>
      </c>
      <c r="B842" s="118" t="n">
        <v>76.42108203963815</v>
      </c>
      <c r="C842" s="118" t="n">
        <v>76.43069673001304</v>
      </c>
      <c r="D842" s="118" t="n">
        <v>74.5740413029547</v>
      </c>
      <c r="E842" s="118" t="n">
        <v>74.68948364257812</v>
      </c>
      <c r="F842" s="119" t="n">
        <v>12043400</v>
      </c>
      <c r="G842" s="120" t="n">
        <v>-0.01584478139976087</v>
      </c>
      <c r="H842" s="121" t="n">
        <v>46.95083583681514</v>
      </c>
      <c r="I842" s="118" t="n">
        <v>75.87864486694336</v>
      </c>
      <c r="J842" s="118" t="n">
        <v>81.61787582397461</v>
      </c>
      <c r="K842" s="120" t="n">
        <v>0.2340967990229383</v>
      </c>
      <c r="L842" s="120" t="n">
        <v>-0.1275014360126574</v>
      </c>
      <c r="M842" s="120" t="n">
        <v>-0.3560679660503893</v>
      </c>
      <c r="N842" t="n">
        <v>49.61726957307491</v>
      </c>
      <c r="O842" t="n">
        <v>0.3515289044622087</v>
      </c>
      <c r="P842" t="n">
        <v>143.2684757542841</v>
      </c>
      <c r="Q842" t="n">
        <v>144.9332368222566</v>
      </c>
    </row>
    <row r="843">
      <c r="A843" s="117" t="n">
        <v>45636</v>
      </c>
      <c r="B843" s="118" t="n">
        <v>74.5548048335407</v>
      </c>
      <c r="C843" s="118" t="n">
        <v>75.1127651344101</v>
      </c>
      <c r="D843" s="118" t="n">
        <v>73.70824969182937</v>
      </c>
      <c r="E843" s="118" t="n">
        <v>73.82368469238281</v>
      </c>
      <c r="F843" s="119" t="n">
        <v>12193100</v>
      </c>
      <c r="G843" s="120" t="n">
        <v>-0.01159197932520917</v>
      </c>
      <c r="H843" s="121" t="n">
        <v>46.40658271849349</v>
      </c>
      <c r="I843" s="118" t="n">
        <v>75.66294357299805</v>
      </c>
      <c r="J843" s="118" t="n">
        <v>81.49263824462891</v>
      </c>
      <c r="K843" s="120" t="n">
        <v>0.2365084343357599</v>
      </c>
      <c r="L843" s="120" t="n">
        <v>-0.1376154213276735</v>
      </c>
      <c r="M843" s="120" t="n">
        <v>-0.363532412874773</v>
      </c>
      <c r="N843" t="n">
        <v>45.9410398035453</v>
      </c>
      <c r="O843" t="n">
        <v>0.2046240982590081</v>
      </c>
      <c r="P843" t="n">
        <v>142.8230258758077</v>
      </c>
      <c r="Q843" t="n">
        <v>144.4393352355312</v>
      </c>
    </row>
    <row r="844">
      <c r="A844" s="117" t="n">
        <v>45637</v>
      </c>
      <c r="B844" s="118" t="n">
        <v>73.87178046195903</v>
      </c>
      <c r="C844" s="118" t="n">
        <v>75.97855709477457</v>
      </c>
      <c r="D844" s="118" t="n">
        <v>73.41001848537815</v>
      </c>
      <c r="E844" s="118" t="n">
        <v>75.85349273681641</v>
      </c>
      <c r="F844" s="119" t="n">
        <v>12033200</v>
      </c>
      <c r="G844" s="120" t="n">
        <v>0.02749534993940816</v>
      </c>
      <c r="H844" s="121" t="n">
        <v>47.68254794983056</v>
      </c>
      <c r="I844" s="118" t="n">
        <v>75.47386489868164</v>
      </c>
      <c r="J844" s="118" t="n">
        <v>81.37466510772705</v>
      </c>
      <c r="K844" s="120" t="n">
        <v>0.2552690085156958</v>
      </c>
      <c r="L844" s="120" t="n">
        <v>-0.1139038555547288</v>
      </c>
      <c r="M844" s="120" t="n">
        <v>-0.3460325138416742</v>
      </c>
      <c r="N844" t="n">
        <v>54.45998052017088</v>
      </c>
      <c r="O844" t="n">
        <v>0.2328090952309858</v>
      </c>
      <c r="P844" t="n">
        <v>143.9271536036126</v>
      </c>
      <c r="Q844" t="n">
        <v>147.0251759259545</v>
      </c>
    </row>
    <row r="845">
      <c r="A845" s="117" t="n">
        <v>45638</v>
      </c>
      <c r="B845" s="118" t="n">
        <v>75.71881248417162</v>
      </c>
      <c r="C845" s="118" t="n">
        <v>76.35373427443227</v>
      </c>
      <c r="D845" s="118" t="n">
        <v>74.90111618354362</v>
      </c>
      <c r="E845" s="118" t="n">
        <v>74.997314453125</v>
      </c>
      <c r="F845" s="119" t="n">
        <v>6983200</v>
      </c>
      <c r="G845" s="120" t="n">
        <v>-0.01128726249511047</v>
      </c>
      <c r="H845" s="121" t="n">
        <v>47.14434251468513</v>
      </c>
      <c r="I845" s="118" t="n">
        <v>75.38309051513671</v>
      </c>
      <c r="J845" s="118" t="n">
        <v>81.25619411468506</v>
      </c>
      <c r="K845" s="120" t="n">
        <v>0.2592234361770482</v>
      </c>
      <c r="L845" s="120" t="n">
        <v>-0.1239054553329879</v>
      </c>
      <c r="M845" s="120" t="n">
        <v>-0.3534140165212107</v>
      </c>
      <c r="N845" t="n">
        <v>50.82197488534739</v>
      </c>
      <c r="O845" t="n">
        <v>0.1845519603741498</v>
      </c>
      <c r="P845" t="n">
        <v>143.1855340878813</v>
      </c>
      <c r="Q845" t="n">
        <v>146.0762984311141</v>
      </c>
    </row>
    <row r="846">
      <c r="A846" s="117" t="n">
        <v>45639</v>
      </c>
      <c r="B846" s="118" t="n">
        <v>74.41050645028405</v>
      </c>
      <c r="C846" s="118" t="n">
        <v>74.87226848767069</v>
      </c>
      <c r="D846" s="118" t="n">
        <v>73.85254612911724</v>
      </c>
      <c r="E846" s="118" t="n">
        <v>74.31430816650391</v>
      </c>
      <c r="F846" s="119" t="n">
        <v>8037300</v>
      </c>
      <c r="G846" s="120" t="n">
        <v>-0.009107076588028895</v>
      </c>
      <c r="H846" s="121" t="n">
        <v>46.71499537671162</v>
      </c>
      <c r="I846" s="118" t="n">
        <v>75.29779815673828</v>
      </c>
      <c r="J846" s="118" t="n">
        <v>81.13629425048828</v>
      </c>
      <c r="K846" s="120" t="n">
        <v>0.2581299260139482</v>
      </c>
      <c r="L846" s="120" t="n">
        <v>-0.1318841154496248</v>
      </c>
      <c r="M846" s="120" t="n">
        <v>-0.3593025245934981</v>
      </c>
      <c r="N846" t="n">
        <v>48.06363562644835</v>
      </c>
      <c r="O846" t="n">
        <v>0.1015428980104494</v>
      </c>
      <c r="P846" t="n">
        <v>143.1570948367855</v>
      </c>
      <c r="Q846" t="n">
        <v>147.1944120633378</v>
      </c>
    </row>
    <row r="847">
      <c r="A847" s="117" t="n">
        <v>45642</v>
      </c>
      <c r="B847" s="118" t="n">
        <v>73.84292333451747</v>
      </c>
      <c r="C847" s="118" t="n">
        <v>76.01703219929495</v>
      </c>
      <c r="D847" s="118" t="n">
        <v>73.74672506129454</v>
      </c>
      <c r="E847" s="118" t="n">
        <v>74.26619720458984</v>
      </c>
      <c r="F847" s="119" t="n">
        <v>13034000</v>
      </c>
      <c r="G847" s="120" t="n">
        <v>-0.000647398369184371</v>
      </c>
      <c r="H847" s="121" t="n">
        <v>46.68475216488828</v>
      </c>
      <c r="I847" s="118" t="n">
        <v>75.20867218017578</v>
      </c>
      <c r="J847" s="118" t="n">
        <v>81.02412677764893</v>
      </c>
      <c r="K847" s="120" t="n">
        <v>0.2545535211399813</v>
      </c>
      <c r="L847" s="120" t="n">
        <v>-0.1324461322575458</v>
      </c>
      <c r="M847" s="120" t="n">
        <v>-0.3597173110942168</v>
      </c>
      <c r="N847" t="n">
        <v>47.86656024064104</v>
      </c>
      <c r="O847" t="n">
        <v>0.041389572544221</v>
      </c>
      <c r="P847" t="n">
        <v>143.7683837731568</v>
      </c>
      <c r="Q847" t="n">
        <v>149.314118606782</v>
      </c>
    </row>
    <row r="848">
      <c r="A848" s="117" t="n">
        <v>45643</v>
      </c>
      <c r="B848" s="118" t="n">
        <v>74.42011937096071</v>
      </c>
      <c r="C848" s="118" t="n">
        <v>75.77653188698102</v>
      </c>
      <c r="D848" s="118" t="n">
        <v>74.31429906991812</v>
      </c>
      <c r="E848" s="118" t="n">
        <v>75.03579711914062</v>
      </c>
      <c r="F848" s="119" t="n">
        <v>12452400</v>
      </c>
      <c r="G848" s="120" t="n">
        <v>0.01036272144688755</v>
      </c>
      <c r="H848" s="121" t="n">
        <v>47.16853324739</v>
      </c>
      <c r="I848" s="118" t="n">
        <v>75.16212036132812</v>
      </c>
      <c r="J848" s="118" t="n">
        <v>80.92691234588624</v>
      </c>
      <c r="K848" s="120" t="n">
        <v>0.2403410225174325</v>
      </c>
      <c r="L848" s="120" t="n">
        <v>-0.1234559131859606</v>
      </c>
      <c r="M848" s="120" t="n">
        <v>-0.353082239941822</v>
      </c>
      <c r="N848" t="n">
        <v>51.30606779513231</v>
      </c>
      <c r="O848" t="n">
        <v>0.0508051795019259</v>
      </c>
      <c r="P848" t="n">
        <v>143.1760592569505</v>
      </c>
      <c r="Q848" t="n">
        <v>148.6565685459329</v>
      </c>
    </row>
    <row r="849">
      <c r="A849" s="117" t="n">
        <v>45644</v>
      </c>
      <c r="B849" s="118" t="n">
        <v>75.01656676758309</v>
      </c>
      <c r="C849" s="118" t="n">
        <v>75.99780096844695</v>
      </c>
      <c r="D849" s="118" t="n">
        <v>73.91988288738233</v>
      </c>
      <c r="E849" s="118" t="n">
        <v>73.97760772705078</v>
      </c>
      <c r="F849" s="119" t="n">
        <v>14376900</v>
      </c>
      <c r="G849" s="120" t="n">
        <v>-0.01410246086157607</v>
      </c>
      <c r="H849" s="121" t="n">
        <v>46.50334085337073</v>
      </c>
      <c r="I849" s="118" t="n">
        <v>75.09555313110351</v>
      </c>
      <c r="J849" s="118" t="n">
        <v>80.83024425506592</v>
      </c>
      <c r="K849" s="120" t="n">
        <v>0.2412353521215937</v>
      </c>
      <c r="L849" s="120" t="n">
        <v>-0.1358173418637016</v>
      </c>
      <c r="M849" s="120" t="n">
        <v>-0.362205372333701</v>
      </c>
      <c r="N849" t="n">
        <v>46.73991077118272</v>
      </c>
      <c r="O849" t="n">
        <v>-0.01342937492814459</v>
      </c>
      <c r="P849" t="n">
        <v>138.9089171367741</v>
      </c>
      <c r="Q849" t="n">
        <v>143.2935054265267</v>
      </c>
    </row>
    <row r="850">
      <c r="A850" s="117" t="n">
        <v>45645</v>
      </c>
      <c r="B850" s="118" t="n">
        <v>74.01609001482456</v>
      </c>
      <c r="C850" s="118" t="n">
        <v>74.97808751503509</v>
      </c>
      <c r="D850" s="118" t="n">
        <v>73.52546923466882</v>
      </c>
      <c r="E850" s="118" t="n">
        <v>74.17000579833984</v>
      </c>
      <c r="F850" s="119" t="n">
        <v>27067600</v>
      </c>
      <c r="G850" s="120" t="n">
        <v>0.002600760922128575</v>
      </c>
      <c r="H850" s="121" t="n">
        <v>46.62428492501061</v>
      </c>
      <c r="I850" s="118" t="n">
        <v>75.00067489624024</v>
      </c>
      <c r="J850" s="118" t="n">
        <v>80.73776527404785</v>
      </c>
      <c r="K850" s="120" t="n">
        <v>0.2384473187712073</v>
      </c>
      <c r="L850" s="120" t="n">
        <v>-0.1335698093768395</v>
      </c>
      <c r="M850" s="120" t="n">
        <v>-0.3599726045199909</v>
      </c>
      <c r="N850" t="n">
        <v>47.65213804751284</v>
      </c>
      <c r="O850" t="n">
        <v>-0.04061896361508322</v>
      </c>
      <c r="P850" t="n">
        <v>138.8662656392822</v>
      </c>
      <c r="Q850" t="n">
        <v>142.6553669420172</v>
      </c>
    </row>
    <row r="851">
      <c r="A851" s="117" t="n">
        <v>45646</v>
      </c>
      <c r="B851" s="118" t="n">
        <v>73.07332960868061</v>
      </c>
      <c r="C851" s="118" t="n">
        <v>75.03580539987387</v>
      </c>
      <c r="D851" s="118" t="n">
        <v>72.01513382093306</v>
      </c>
      <c r="E851" s="118" t="n">
        <v>74.01609039306641</v>
      </c>
      <c r="F851" s="119" t="n">
        <v>49883400</v>
      </c>
      <c r="G851" s="120" t="n">
        <v>-0.002075170463002429</v>
      </c>
      <c r="H851" s="121" t="n">
        <v>46.52753158607562</v>
      </c>
      <c r="I851" s="118" t="n">
        <v>74.90941818237305</v>
      </c>
      <c r="J851" s="118" t="n">
        <v>80.64185905456543</v>
      </c>
      <c r="K851" s="120" t="n">
        <v>0.2257481958006022</v>
      </c>
      <c r="L851" s="120" t="n">
        <v>-0.1353677997166742</v>
      </c>
      <c r="M851" s="120" t="n">
        <v>-0.3613007704666034</v>
      </c>
      <c r="N851" t="n">
        <v>46.95921021193627</v>
      </c>
      <c r="O851" t="n">
        <v>-0.06517250047520103</v>
      </c>
      <c r="P851" t="n">
        <v>140.5341753240722</v>
      </c>
      <c r="Q851" t="n">
        <v>143.9010911834876</v>
      </c>
    </row>
    <row r="852">
      <c r="A852" s="117" t="n">
        <v>45649</v>
      </c>
      <c r="B852" s="118" t="n">
        <v>73.42927441660171</v>
      </c>
      <c r="C852" s="118" t="n">
        <v>75.43023107290576</v>
      </c>
      <c r="D852" s="118" t="n">
        <v>72.86169204818312</v>
      </c>
      <c r="E852" s="118" t="n">
        <v>73.84293365478516</v>
      </c>
      <c r="F852" s="119" t="n">
        <v>14203800</v>
      </c>
      <c r="G852" s="120" t="n">
        <v>-0.002339447238589476</v>
      </c>
      <c r="H852" s="121" t="n">
        <v>46.41868288078819</v>
      </c>
      <c r="I852" s="118" t="n">
        <v>74.81374145507813</v>
      </c>
      <c r="J852" s="118" t="n">
        <v>80.54048370361328</v>
      </c>
      <c r="K852" s="120" t="n">
        <v>0.1980895479982776</v>
      </c>
      <c r="L852" s="120" t="n">
        <v>-0.13439032537474</v>
      </c>
      <c r="M852" s="120" t="n">
        <v>-0.2825148132149793</v>
      </c>
      <c r="N852" t="n">
        <v>46.14622290386431</v>
      </c>
      <c r="O852" t="n">
        <v>-0.08786606975373965</v>
      </c>
      <c r="P852" t="n">
        <v>141.3757380719886</v>
      </c>
      <c r="Q852" t="n">
        <v>145.3030991196782</v>
      </c>
    </row>
    <row r="853">
      <c r="A853" s="117" t="n">
        <v>45650</v>
      </c>
      <c r="B853" s="118" t="n">
        <v>73.83330724462616</v>
      </c>
      <c r="C853" s="118" t="n">
        <v>74.17962692765339</v>
      </c>
      <c r="D853" s="118" t="n">
        <v>73.45812881125639</v>
      </c>
      <c r="E853" s="118" t="n">
        <v>73.87178802490234</v>
      </c>
      <c r="F853" s="119" t="n">
        <v>4919100</v>
      </c>
      <c r="G853" s="120" t="n">
        <v>0.0003907533014881892</v>
      </c>
      <c r="H853" s="121" t="n">
        <v>46.43682113437459</v>
      </c>
      <c r="I853" s="118" t="n">
        <v>74.72916976928711</v>
      </c>
      <c r="J853" s="118" t="n">
        <v>80.43014080047607</v>
      </c>
      <c r="K853" s="120" t="n">
        <v>0.1765132332606333</v>
      </c>
      <c r="L853" s="120" t="n">
        <v>-0.1340520855365801</v>
      </c>
      <c r="M853" s="120" t="n">
        <v>-0.2822344535094742</v>
      </c>
      <c r="N853" t="n">
        <v>46.31302013627025</v>
      </c>
      <c r="O853" t="n">
        <v>-0.09511207143511552</v>
      </c>
      <c r="P853" t="n">
        <v>142.9471284510358</v>
      </c>
      <c r="Q853" t="n">
        <v>147.2734082934593</v>
      </c>
    </row>
    <row r="854">
      <c r="A854" s="117" t="n">
        <v>45652</v>
      </c>
      <c r="B854" s="118" t="n">
        <v>73.68900742480494</v>
      </c>
      <c r="C854" s="118" t="n">
        <v>74.51632586637049</v>
      </c>
      <c r="D854" s="118" t="n">
        <v>73.63128992312407</v>
      </c>
      <c r="E854" s="118" t="n">
        <v>74.01609039306641</v>
      </c>
      <c r="F854" s="119" t="n">
        <v>6363500</v>
      </c>
      <c r="G854" s="120" t="n">
        <v>0.00195341648039471</v>
      </c>
      <c r="H854" s="121" t="n">
        <v>46.52753158607562</v>
      </c>
      <c r="I854" s="118" t="n">
        <v>74.63753021240234</v>
      </c>
      <c r="J854" s="118" t="n">
        <v>80.32479053497315</v>
      </c>
      <c r="K854" s="120" t="n">
        <v>0.1608794544140827</v>
      </c>
      <c r="L854" s="120" t="n">
        <v>-0.07871446714944985</v>
      </c>
      <c r="M854" s="120" t="n">
        <v>-0.2808323584619001</v>
      </c>
      <c r="N854" t="n">
        <v>47.19387332055462</v>
      </c>
      <c r="O854" t="n">
        <v>-0.08471158845637032</v>
      </c>
      <c r="P854" t="n">
        <v>142.9566475568774</v>
      </c>
      <c r="Q854" t="n">
        <v>147.1733258967858</v>
      </c>
    </row>
    <row r="855">
      <c r="A855" s="117" t="n">
        <v>45653</v>
      </c>
      <c r="B855" s="118" t="n">
        <v>73.61204453332481</v>
      </c>
      <c r="C855" s="118" t="n">
        <v>74.00646702624263</v>
      </c>
      <c r="D855" s="118" t="n">
        <v>72.91941250728931</v>
      </c>
      <c r="E855" s="118" t="n">
        <v>73.51584625244141</v>
      </c>
      <c r="F855" s="119" t="n">
        <v>6334400</v>
      </c>
      <c r="G855" s="120" t="n">
        <v>-0.006758586382615284</v>
      </c>
      <c r="H855" s="121" t="n">
        <v>46.21307124468127</v>
      </c>
      <c r="I855" s="118" t="n">
        <v>74.50104690551758</v>
      </c>
      <c r="J855" s="118" t="n">
        <v>80.21133903503419</v>
      </c>
      <c r="K855" s="120" t="n">
        <v>0.158383794310765</v>
      </c>
      <c r="L855" s="120" t="n">
        <v>-0.08494105500627391</v>
      </c>
      <c r="M855" s="120" t="n">
        <v>-0.2856929150908171</v>
      </c>
      <c r="N855" t="n">
        <v>44.46995263757069</v>
      </c>
      <c r="O855" t="n">
        <v>-0.104736218832862</v>
      </c>
      <c r="P855" t="n">
        <v>141.4518171272034</v>
      </c>
      <c r="Q855" t="n">
        <v>145.2169260743607</v>
      </c>
    </row>
    <row r="856">
      <c r="A856" s="117" t="n">
        <v>45656</v>
      </c>
      <c r="B856" s="118" t="n">
        <v>72.72700498362239</v>
      </c>
      <c r="C856" s="118" t="n">
        <v>72.8905427869244</v>
      </c>
      <c r="D856" s="118" t="n">
        <v>71.71691207547062</v>
      </c>
      <c r="E856" s="118" t="n">
        <v>71.8131103515625</v>
      </c>
      <c r="F856" s="119" t="n">
        <v>9042900</v>
      </c>
      <c r="G856" s="120" t="n">
        <v>-0.02316148133603724</v>
      </c>
      <c r="H856" s="121" t="n">
        <v>45.14270805756662</v>
      </c>
      <c r="I856" s="118" t="n">
        <v>74.34084579467773</v>
      </c>
      <c r="J856" s="118" t="n">
        <v>80.09459419250489</v>
      </c>
      <c r="K856" s="120" t="n">
        <v>0.1747662714987412</v>
      </c>
      <c r="L856" s="120" t="n">
        <v>-0.1061351756821201</v>
      </c>
      <c r="M856" s="120" t="n">
        <v>-0.3006306717905421</v>
      </c>
      <c r="N856" t="n">
        <v>36.70433267185025</v>
      </c>
      <c r="O856" t="n">
        <v>-0.2192824964852605</v>
      </c>
      <c r="P856" t="n">
        <v>139.8376276676281</v>
      </c>
      <c r="Q856" t="n">
        <v>143.2855596668455</v>
      </c>
    </row>
    <row r="857">
      <c r="A857" s="117" t="n">
        <v>45657</v>
      </c>
      <c r="B857" s="118" t="n">
        <v>72.05361481859644</v>
      </c>
      <c r="C857" s="118" t="n">
        <v>73.48698905049798</v>
      </c>
      <c r="D857" s="118" t="n">
        <v>71.93817247542896</v>
      </c>
      <c r="E857" s="118" t="n">
        <v>72.79434967041016</v>
      </c>
      <c r="F857" s="119" t="n">
        <v>9425600</v>
      </c>
      <c r="G857" s="120" t="n">
        <v>0.01366379083211933</v>
      </c>
      <c r="H857" s="121" t="n">
        <v>45.75952857806064</v>
      </c>
      <c r="I857" s="118" t="n">
        <v>74.20945785522461</v>
      </c>
      <c r="J857" s="118" t="n">
        <v>79.98569801330567</v>
      </c>
      <c r="K857" s="120" t="n">
        <v>0.1793551222136089</v>
      </c>
      <c r="L857" s="120" t="n">
        <v>-0.0939215936904515</v>
      </c>
      <c r="M857" s="120" t="n">
        <v>-0.2818806771860064</v>
      </c>
      <c r="N857" t="n">
        <v>42.89318008907967</v>
      </c>
      <c r="O857" t="n">
        <v>-0.2152835888750792</v>
      </c>
      <c r="P857" t="n">
        <v>139.3288941831845</v>
      </c>
      <c r="Q857" t="n">
        <v>142.0683974410895</v>
      </c>
    </row>
    <row r="858">
      <c r="A858" s="117" t="n">
        <v>45659</v>
      </c>
      <c r="B858" s="118" t="n">
        <v>73.35230110084078</v>
      </c>
      <c r="C858" s="118" t="n">
        <v>73.77558230172124</v>
      </c>
      <c r="D858" s="118" t="n">
        <v>70.45668689741846</v>
      </c>
      <c r="E858" s="118" t="n">
        <v>70.87034606933594</v>
      </c>
      <c r="F858" s="119" t="n">
        <v>10883400</v>
      </c>
      <c r="G858" s="120" t="n">
        <v>-0.02643067229510943</v>
      </c>
      <c r="H858" s="121" t="n">
        <v>44.55007347383522</v>
      </c>
      <c r="I858" s="118" t="n">
        <v>74.06715438842774</v>
      </c>
      <c r="J858" s="118" t="n">
        <v>79.87145298004151</v>
      </c>
      <c r="K858" s="120" t="n">
        <v>0.19903442072585</v>
      </c>
      <c r="L858" s="120" t="n">
        <v>-0.1178698551212942</v>
      </c>
      <c r="M858" s="120" t="n">
        <v>-0.300861053676089</v>
      </c>
      <c r="N858" t="n">
        <v>35.55270648170935</v>
      </c>
      <c r="O858" t="n">
        <v>-0.3221076262147772</v>
      </c>
      <c r="P858" t="n">
        <v>138.9865605721737</v>
      </c>
      <c r="Q858" t="n">
        <v>141.7904923602803</v>
      </c>
    </row>
    <row r="859">
      <c r="A859" s="117" t="n">
        <v>45660</v>
      </c>
      <c r="B859" s="118" t="n">
        <v>71.11085164008907</v>
      </c>
      <c r="C859" s="118" t="n">
        <v>71.37059506861672</v>
      </c>
      <c r="D859" s="118" t="n">
        <v>70.23543775374728</v>
      </c>
      <c r="E859" s="118" t="n">
        <v>70.52403259277344</v>
      </c>
      <c r="F859" s="119" t="n">
        <v>10083500</v>
      </c>
      <c r="G859" s="120" t="n">
        <v>-0.004886578036795264</v>
      </c>
      <c r="H859" s="121" t="n">
        <v>44.33237606326036</v>
      </c>
      <c r="I859" s="118" t="n">
        <v>73.91907333374023</v>
      </c>
      <c r="J859" s="118" t="n">
        <v>79.74968654632568</v>
      </c>
      <c r="K859" s="120" t="n">
        <v>0.19883448707968</v>
      </c>
      <c r="L859" s="120" t="n">
        <v>-0.1221804529128535</v>
      </c>
      <c r="M859" s="120" t="n">
        <v>-0.3042774506958636</v>
      </c>
      <c r="N859" t="n">
        <v>34.41118609304347</v>
      </c>
      <c r="O859" t="n">
        <v>-0.3913747994857803</v>
      </c>
      <c r="P859" t="n">
        <v>140.7243508246536</v>
      </c>
      <c r="Q859" t="n">
        <v>144.110927589694</v>
      </c>
    </row>
    <row r="860">
      <c r="A860" s="117" t="n">
        <v>45663</v>
      </c>
      <c r="B860" s="118" t="n">
        <v>70.94731238153246</v>
      </c>
      <c r="C860" s="118" t="n">
        <v>71.49565063788597</v>
      </c>
      <c r="D860" s="118" t="n">
        <v>69.23495808412878</v>
      </c>
      <c r="E860" s="118" t="n">
        <v>69.26381683349609</v>
      </c>
      <c r="F860" s="119" t="n">
        <v>14947300</v>
      </c>
      <c r="G860" s="120" t="n">
        <v>-0.01786930941051257</v>
      </c>
      <c r="H860" s="121" t="n">
        <v>43.54018711848276</v>
      </c>
      <c r="I860" s="118" t="n">
        <v>73.77201278686523</v>
      </c>
      <c r="J860" s="118" t="n">
        <v>79.62014781951905</v>
      </c>
      <c r="K860" s="120" t="n">
        <v>0.2040088589944936</v>
      </c>
      <c r="L860" s="120" t="n">
        <v>-0.1378664820063498</v>
      </c>
      <c r="M860" s="120" t="n">
        <v>-0.3167095321932498</v>
      </c>
      <c r="N860" t="n">
        <v>30.56527287513312</v>
      </c>
      <c r="O860" t="n">
        <v>-0.4909020445799503</v>
      </c>
      <c r="P860" t="n">
        <v>141.5350096847679</v>
      </c>
      <c r="Q860" t="n">
        <v>145.7671998356851</v>
      </c>
    </row>
    <row r="861">
      <c r="A861" s="117" t="n">
        <v>45664</v>
      </c>
      <c r="B861" s="118" t="n">
        <v>69.64861941395569</v>
      </c>
      <c r="C861" s="118" t="n">
        <v>70.64909767955129</v>
      </c>
      <c r="D861" s="118" t="n">
        <v>69.2445822315397</v>
      </c>
      <c r="E861" s="118" t="n">
        <v>69.35039520263672</v>
      </c>
      <c r="F861" s="119" t="n">
        <v>10463500</v>
      </c>
      <c r="G861" s="120" t="n">
        <v>0.001249979759976982</v>
      </c>
      <c r="H861" s="121" t="n">
        <v>43.59461147112648</v>
      </c>
      <c r="I861" s="118" t="n">
        <v>73.64601760864258</v>
      </c>
      <c r="J861" s="118" t="n">
        <v>79.4884317779541</v>
      </c>
      <c r="K861" s="120" t="n">
        <v>0.2027875958592614</v>
      </c>
      <c r="L861" s="120" t="n">
        <v>-0.13678883255846</v>
      </c>
      <c r="M861" s="120" t="n">
        <v>-0.3158554329383062</v>
      </c>
      <c r="N861" t="n">
        <v>31.13471470596676</v>
      </c>
      <c r="O861" t="n">
        <v>-0.5171102138311849</v>
      </c>
      <c r="P861" t="n">
        <v>139.9350915048033</v>
      </c>
      <c r="Q861" t="n">
        <v>143.16607423766</v>
      </c>
    </row>
    <row r="862">
      <c r="A862" s="117" t="n">
        <v>45665</v>
      </c>
      <c r="B862" s="118" t="n">
        <v>68.84053901411005</v>
      </c>
      <c r="C862" s="118" t="n">
        <v>69.09066042011304</v>
      </c>
      <c r="D862" s="118" t="n">
        <v>68.31144479076579</v>
      </c>
      <c r="E862" s="118" t="n">
        <v>68.58080291748047</v>
      </c>
      <c r="F862" s="119" t="n">
        <v>11855000</v>
      </c>
      <c r="G862" s="120" t="n">
        <v>-0.01109715788796239</v>
      </c>
      <c r="H862" s="121" t="n">
        <v>43.11083518456701</v>
      </c>
      <c r="I862" s="118" t="n">
        <v>73.50826751708985</v>
      </c>
      <c r="J862" s="118" t="n">
        <v>79.38589832305908</v>
      </c>
      <c r="K862" s="120" t="n">
        <v>0.1999197793122559</v>
      </c>
      <c r="L862" s="120" t="n">
        <v>-0.146368023174211</v>
      </c>
      <c r="M862" s="120" t="n">
        <v>-0.3234474932171815</v>
      </c>
      <c r="N862" t="n">
        <v>28.86834619879718</v>
      </c>
      <c r="O862" t="n">
        <v>-0.5494497434400247</v>
      </c>
      <c r="P862" t="n">
        <v>140.1395382849953</v>
      </c>
      <c r="Q862" t="n">
        <v>143.1910991087421</v>
      </c>
    </row>
    <row r="863">
      <c r="A863" s="117" t="n">
        <v>45667</v>
      </c>
      <c r="B863" s="118" t="n">
        <v>69.11951674225232</v>
      </c>
      <c r="C863" s="118" t="n">
        <v>69.63899625671699</v>
      </c>
      <c r="D863" s="118" t="n">
        <v>68.38839661010299</v>
      </c>
      <c r="E863" s="118" t="n">
        <v>68.49421691894531</v>
      </c>
      <c r="F863" s="119" t="n">
        <v>15677400</v>
      </c>
      <c r="G863" s="120" t="n">
        <v>-0.001262539877804336</v>
      </c>
      <c r="H863" s="121" t="n">
        <v>43.05640603598104</v>
      </c>
      <c r="I863" s="118" t="n">
        <v>73.36763732910157</v>
      </c>
      <c r="J863" s="118" t="n">
        <v>79.28345394134521</v>
      </c>
      <c r="K863" s="120" t="n">
        <v>0.1981966836252481</v>
      </c>
      <c r="L863" s="120" t="n">
        <v>-0.1474457675859226</v>
      </c>
      <c r="M863" s="120" t="n">
        <v>-0.3243016677364232</v>
      </c>
      <c r="N863" t="n">
        <v>28.61595999932786</v>
      </c>
      <c r="O863" t="n">
        <v>-0.5390968266636971</v>
      </c>
      <c r="P863" t="n">
        <v>137.9999679744813</v>
      </c>
      <c r="Q863" t="n">
        <v>140.9457043172645</v>
      </c>
    </row>
    <row r="864">
      <c r="A864" s="117" t="n">
        <v>45670</v>
      </c>
      <c r="B864" s="118" t="n">
        <v>68.46534584381291</v>
      </c>
      <c r="C864" s="118" t="n">
        <v>69.84100227165497</v>
      </c>
      <c r="D864" s="118" t="n">
        <v>68.09016748526116</v>
      </c>
      <c r="E864" s="118" t="n">
        <v>69.34076690673828</v>
      </c>
      <c r="F864" s="119" t="n">
        <v>14584300</v>
      </c>
      <c r="G864" s="120" t="n">
        <v>0.0123594374222098</v>
      </c>
      <c r="H864" s="121" t="n">
        <v>43.58855899200801</v>
      </c>
      <c r="I864" s="118" t="n">
        <v>73.25370056152343</v>
      </c>
      <c r="J864" s="118" t="n">
        <v>79.1907949066162</v>
      </c>
      <c r="K864" s="120" t="n">
        <v>0.1722134859170396</v>
      </c>
      <c r="L864" s="120" t="n">
        <v>-0.1369086769013605</v>
      </c>
      <c r="M864" s="120" t="n">
        <v>-0.31595041648252</v>
      </c>
      <c r="N864" t="n">
        <v>34.63311387153954</v>
      </c>
      <c r="O864" t="n">
        <v>-0.441748559200382</v>
      </c>
      <c r="P864" t="n">
        <v>138.2139338605149</v>
      </c>
      <c r="Q864" t="n">
        <v>140.4927276648113</v>
      </c>
    </row>
    <row r="865">
      <c r="A865" s="117" t="n">
        <v>45671</v>
      </c>
      <c r="B865" s="118" t="n">
        <v>69.33115406911263</v>
      </c>
      <c r="C865" s="118" t="n">
        <v>69.46583312134516</v>
      </c>
      <c r="D865" s="118" t="n">
        <v>67.84967715509693</v>
      </c>
      <c r="E865" s="118" t="n">
        <v>68.46535491943359</v>
      </c>
      <c r="F865" s="119" t="n">
        <v>16732900</v>
      </c>
      <c r="G865" s="120" t="n">
        <v>-0.01262478086638552</v>
      </c>
      <c r="H865" s="121" t="n">
        <v>43.03826298645239</v>
      </c>
      <c r="I865" s="118" t="n">
        <v>73.15958297729492</v>
      </c>
      <c r="J865" s="118" t="n">
        <v>79.08640289306641</v>
      </c>
      <c r="K865" s="120" t="n">
        <v>0.1729843738823718</v>
      </c>
      <c r="L865" s="120" t="n">
        <v>-0.1422871524447785</v>
      </c>
      <c r="M865" s="120" t="n">
        <v>-0.3245863925761705</v>
      </c>
      <c r="N865" t="n">
        <v>31.66103915066155</v>
      </c>
      <c r="O865" t="n">
        <v>-0.4038612044578977</v>
      </c>
      <c r="P865" t="n">
        <v>138.4041241193999</v>
      </c>
      <c r="Q865" t="n">
        <v>140.3593328842698</v>
      </c>
    </row>
    <row r="866">
      <c r="A866" s="117" t="n">
        <v>45672</v>
      </c>
      <c r="B866" s="118" t="n">
        <v>69.2541994708949</v>
      </c>
      <c r="C866" s="118" t="n">
        <v>69.50432088136415</v>
      </c>
      <c r="D866" s="118" t="n">
        <v>68.14790085402645</v>
      </c>
      <c r="E866" s="118" t="n">
        <v>68.36916351318359</v>
      </c>
      <c r="F866" s="119" t="n">
        <v>13468100</v>
      </c>
      <c r="G866" s="120" t="n">
        <v>-0.001404964691458788</v>
      </c>
      <c r="H866" s="121" t="n">
        <v>42.97779574657471</v>
      </c>
      <c r="I866" s="118" t="n">
        <v>73.05052459716796</v>
      </c>
      <c r="J866" s="118" t="n">
        <v>78.98224174499512</v>
      </c>
      <c r="K866" s="120" t="n">
        <v>0.1724168287429674</v>
      </c>
      <c r="L866" s="120" t="n">
        <v>-0.1385340737418844</v>
      </c>
      <c r="M866" s="120" t="n">
        <v>-0.3255353248467318</v>
      </c>
      <c r="N866" t="n">
        <v>31.34275586631377</v>
      </c>
      <c r="O866" t="n">
        <v>-0.354580397141786</v>
      </c>
      <c r="P866" t="n">
        <v>140.9216841024957</v>
      </c>
      <c r="Q866" t="n">
        <v>143.5884725310816</v>
      </c>
    </row>
    <row r="867">
      <c r="A867" s="117" t="n">
        <v>45673</v>
      </c>
      <c r="B867" s="118" t="n">
        <v>68.20561996812711</v>
      </c>
      <c r="C867" s="118" t="n">
        <v>68.52308088481674</v>
      </c>
      <c r="D867" s="118" t="n">
        <v>67.64765969142253</v>
      </c>
      <c r="E867" s="118" t="n">
        <v>68.40763854980469</v>
      </c>
      <c r="F867" s="119" t="n">
        <v>13694600</v>
      </c>
      <c r="G867" s="120" t="n">
        <v>0.0005627542395436613</v>
      </c>
      <c r="H867" s="121" t="n">
        <v>43.00198168333733</v>
      </c>
      <c r="I867" s="118" t="n">
        <v>72.92443359375</v>
      </c>
      <c r="J867" s="118" t="n">
        <v>78.88501197814941</v>
      </c>
      <c r="K867" s="120" t="n">
        <v>0.172791708815918</v>
      </c>
      <c r="L867" s="120" t="n">
        <v>-0.1228161449963692</v>
      </c>
      <c r="M867" s="120" t="n">
        <v>-0.3251557669913668</v>
      </c>
      <c r="N867" t="n">
        <v>31.63877918785019</v>
      </c>
      <c r="O867" t="n">
        <v>-0.2913395176045679</v>
      </c>
      <c r="P867" t="n">
        <v>140.650662614627</v>
      </c>
      <c r="Q867" t="n">
        <v>142.5825051801228</v>
      </c>
    </row>
    <row r="868">
      <c r="A868" s="117" t="n">
        <v>45674</v>
      </c>
      <c r="B868" s="118" t="n">
        <v>68.71547043188531</v>
      </c>
      <c r="C868" s="118" t="n">
        <v>68.80204666972487</v>
      </c>
      <c r="D868" s="118" t="n">
        <v>68.14788818359375</v>
      </c>
      <c r="E868" s="118" t="n">
        <v>68.14788818359375</v>
      </c>
      <c r="F868" s="119" t="n">
        <v>9711300</v>
      </c>
      <c r="G868" s="120" t="n">
        <v>-0.003797095934276795</v>
      </c>
      <c r="H868" s="121" t="n">
        <v>42.83869903352169</v>
      </c>
      <c r="I868" s="118" t="n">
        <v>72.8098013305664</v>
      </c>
      <c r="J868" s="118" t="n">
        <v>78.79412418365479</v>
      </c>
      <c r="K868" s="120" t="n">
        <v>0.164232152161398</v>
      </c>
      <c r="L868" s="120" t="n">
        <v>-0.125502854362411</v>
      </c>
      <c r="M868" s="120" t="n">
        <v>-0.3277182152847941</v>
      </c>
      <c r="N868" t="n">
        <v>30.6771312283971</v>
      </c>
      <c r="O868" t="n">
        <v>-0.2410319534639243</v>
      </c>
      <c r="P868" t="n">
        <v>142.0627813808948</v>
      </c>
      <c r="Q868" t="n">
        <v>144.9890621918883</v>
      </c>
    </row>
    <row r="869">
      <c r="A869" s="117" t="n">
        <v>45678</v>
      </c>
      <c r="B869" s="118" t="n">
        <v>68.59042037638977</v>
      </c>
      <c r="C869" s="118" t="n">
        <v>70.48554916717765</v>
      </c>
      <c r="D869" s="118" t="n">
        <v>68.43649726312037</v>
      </c>
      <c r="E869" s="118" t="n">
        <v>70.38935089111328</v>
      </c>
      <c r="F869" s="119" t="n">
        <v>14199900</v>
      </c>
      <c r="G869" s="120" t="n">
        <v>0.03289115433013734</v>
      </c>
      <c r="H869" s="121" t="n">
        <v>44.24771329473556</v>
      </c>
      <c r="I869" s="118" t="n">
        <v>72.72487594604492</v>
      </c>
      <c r="J869" s="118" t="n">
        <v>78.71738605499267</v>
      </c>
      <c r="K869" s="120" t="n">
        <v>0.2077050651671762</v>
      </c>
      <c r="L869" s="120" t="n">
        <v>-0.08128099444720083</v>
      </c>
      <c r="M869" s="120" t="n">
        <v>-0.305606091350386</v>
      </c>
      <c r="N869" t="n">
        <v>45.94538056446381</v>
      </c>
      <c r="O869" t="n">
        <v>-0.04129701084206649</v>
      </c>
      <c r="P869" t="n">
        <v>143.3631502720732</v>
      </c>
      <c r="Q869" t="n">
        <v>145.839412266681</v>
      </c>
    </row>
    <row r="870">
      <c r="A870" s="117" t="n">
        <v>45679</v>
      </c>
      <c r="B870" s="118" t="n">
        <v>70.5913660396257</v>
      </c>
      <c r="C870" s="118" t="n">
        <v>71.86120230451041</v>
      </c>
      <c r="D870" s="118" t="n">
        <v>70.23543170155183</v>
      </c>
      <c r="E870" s="118" t="n">
        <v>71.22628784179688</v>
      </c>
      <c r="F870" s="119" t="n">
        <v>13029300</v>
      </c>
      <c r="G870" s="120" t="n">
        <v>0.01189010752462072</v>
      </c>
      <c r="H870" s="121" t="n">
        <v>44.77382336352856</v>
      </c>
      <c r="I870" s="118" t="n">
        <v>72.70760772705079</v>
      </c>
      <c r="J870" s="118" t="n">
        <v>78.6508122253418</v>
      </c>
      <c r="K870" s="120" t="n">
        <v>0.2132167003468387</v>
      </c>
      <c r="L870" s="120" t="n">
        <v>-0.06385129311706306</v>
      </c>
      <c r="M870" s="120" t="n">
        <v>-0.2973496731121005</v>
      </c>
      <c r="N870" t="n">
        <v>50.34319962585528</v>
      </c>
      <c r="O870" t="n">
        <v>0.1520862536520713</v>
      </c>
      <c r="P870" t="n">
        <v>144.1690717167222</v>
      </c>
      <c r="Q870" t="n">
        <v>147.7041026434945</v>
      </c>
    </row>
    <row r="871">
      <c r="A871" s="117" t="n">
        <v>45680</v>
      </c>
      <c r="B871" s="118" t="n">
        <v>70.55288729250786</v>
      </c>
      <c r="C871" s="118" t="n">
        <v>71.668807823164</v>
      </c>
      <c r="D871" s="118" t="n">
        <v>69.61975595982065</v>
      </c>
      <c r="E871" s="118" t="n">
        <v>71.46678924560547</v>
      </c>
      <c r="F871" s="119" t="n">
        <v>10677400</v>
      </c>
      <c r="G871" s="120" t="n">
        <v>0.003376582033066011</v>
      </c>
      <c r="H871" s="121" t="n">
        <v>44.92500585104952</v>
      </c>
      <c r="I871" s="118" t="n">
        <v>72.68366424560547</v>
      </c>
      <c r="J871" s="118" t="n">
        <v>78.58653255462646</v>
      </c>
      <c r="K871" s="120" t="n">
        <v>0.2140465328678744</v>
      </c>
      <c r="L871" s="120" t="n">
        <v>-0.0606903102131241</v>
      </c>
      <c r="M871" s="120" t="n">
        <v>-0.2949771166428029</v>
      </c>
      <c r="N871" t="n">
        <v>51.56273311181096</v>
      </c>
      <c r="O871" t="n">
        <v>0.2929411805173905</v>
      </c>
      <c r="P871" t="n">
        <v>144.955954949688</v>
      </c>
      <c r="Q871" t="n">
        <v>148.0181395712845</v>
      </c>
    </row>
    <row r="872">
      <c r="A872" s="117" t="n">
        <v>45681</v>
      </c>
      <c r="B872" s="118" t="n">
        <v>71.25514572423965</v>
      </c>
      <c r="C872" s="118" t="n">
        <v>71.42830554641533</v>
      </c>
      <c r="D872" s="118" t="n">
        <v>70.46630816531884</v>
      </c>
      <c r="E872" s="118" t="n">
        <v>70.77414703369141</v>
      </c>
      <c r="F872" s="119" t="n">
        <v>8106700</v>
      </c>
      <c r="G872" s="120" t="n">
        <v>-0.009691805371774831</v>
      </c>
      <c r="H872" s="121" t="n">
        <v>44.4896014380153</v>
      </c>
      <c r="I872" s="118" t="n">
        <v>72.64663360595704</v>
      </c>
      <c r="J872" s="118" t="n">
        <v>78.51328449249267</v>
      </c>
      <c r="K872" s="120" t="n">
        <v>0.2159366318282632</v>
      </c>
      <c r="L872" s="120" t="n">
        <v>-0.06979391691036074</v>
      </c>
      <c r="M872" s="120" t="n">
        <v>-0.3018100612109483</v>
      </c>
      <c r="N872" t="n">
        <v>47.91313058730375</v>
      </c>
      <c r="O872" t="n">
        <v>0.3332697972138721</v>
      </c>
      <c r="P872" t="n">
        <v>144.5327901096935</v>
      </c>
      <c r="Q872" t="n">
        <v>147.1816475848821</v>
      </c>
    </row>
    <row r="873">
      <c r="A873" s="117" t="n">
        <v>45684</v>
      </c>
      <c r="B873" s="118" t="n">
        <v>70.64908986781346</v>
      </c>
      <c r="C873" s="118" t="n">
        <v>72.96749973486364</v>
      </c>
      <c r="D873" s="118" t="n">
        <v>70.62984581013576</v>
      </c>
      <c r="E873" s="118" t="n">
        <v>72.707763671875</v>
      </c>
      <c r="F873" s="119" t="n">
        <v>11665400</v>
      </c>
      <c r="G873" s="120" t="n">
        <v>0.02732094584288114</v>
      </c>
      <c r="H873" s="121" t="n">
        <v>45.70509942947469</v>
      </c>
      <c r="I873" s="118" t="n">
        <v>72.63449279785156</v>
      </c>
      <c r="J873" s="118" t="n">
        <v>78.44495872497559</v>
      </c>
      <c r="K873" s="120" t="n">
        <v>0.2397864849837333</v>
      </c>
      <c r="L873" s="120" t="n">
        <v>-0.04437980689155008</v>
      </c>
      <c r="M873" s="120" t="n">
        <v>-0.2827348517052481</v>
      </c>
      <c r="N873" t="n">
        <v>57.05210782294353</v>
      </c>
      <c r="O873" t="n">
        <v>0.4753184925999894</v>
      </c>
      <c r="P873" t="n">
        <v>142.4883075494702</v>
      </c>
      <c r="Q873" t="n">
        <v>142.8965335640851</v>
      </c>
    </row>
    <row r="874">
      <c r="A874" s="117" t="n">
        <v>45685</v>
      </c>
      <c r="B874" s="118" t="n">
        <v>72.46726821471728</v>
      </c>
      <c r="C874" s="118" t="n">
        <v>72.72700429163983</v>
      </c>
      <c r="D874" s="118" t="n">
        <v>71.34173298228967</v>
      </c>
      <c r="E874" s="118" t="n">
        <v>71.56298828125</v>
      </c>
      <c r="F874" s="119" t="n">
        <v>8694400</v>
      </c>
      <c r="G874" s="120" t="n">
        <v>-0.01574488517885508</v>
      </c>
      <c r="H874" s="121" t="n">
        <v>44.98547788686945</v>
      </c>
      <c r="I874" s="118" t="n">
        <v>72.59830795288086</v>
      </c>
      <c r="J874" s="118" t="n">
        <v>78.38040061950683</v>
      </c>
      <c r="K874" s="120" t="n">
        <v>0.2453674817790158</v>
      </c>
      <c r="L874" s="120" t="n">
        <v>-0.0594259371066379</v>
      </c>
      <c r="M874" s="120" t="n">
        <v>-0.2940281091079434</v>
      </c>
      <c r="N874" t="n">
        <v>51.31196640845688</v>
      </c>
      <c r="O874" t="n">
        <v>0.476137800741714</v>
      </c>
      <c r="P874" t="n">
        <v>143.7126269020411</v>
      </c>
      <c r="Q874" t="n">
        <v>145.0085250311936</v>
      </c>
    </row>
    <row r="875">
      <c r="A875" s="117" t="n">
        <v>45686</v>
      </c>
      <c r="B875" s="118" t="n">
        <v>71.62069510896828</v>
      </c>
      <c r="C875" s="118" t="n">
        <v>74.1796114163137</v>
      </c>
      <c r="D875" s="118" t="n">
        <v>71.49563810381454</v>
      </c>
      <c r="E875" s="118" t="n">
        <v>73.66975402832031</v>
      </c>
      <c r="F875" s="119" t="n">
        <v>11764800</v>
      </c>
      <c r="G875" s="120" t="n">
        <v>0.02943932048771503</v>
      </c>
      <c r="H875" s="121" t="n">
        <v>46.30981978767402</v>
      </c>
      <c r="I875" s="118" t="n">
        <v>72.6069383239746</v>
      </c>
      <c r="J875" s="118" t="n">
        <v>78.3121390914917</v>
      </c>
      <c r="K875" s="120" t="n">
        <v>0.2678310947101114</v>
      </c>
      <c r="L875" s="120" t="n">
        <v>-0.03173607582668814</v>
      </c>
      <c r="M875" s="120" t="n">
        <v>-0.273244776356654</v>
      </c>
      <c r="N875" t="n">
        <v>59.40644115605187</v>
      </c>
      <c r="O875" t="n">
        <v>0.5948148603939925</v>
      </c>
      <c r="P875" t="n">
        <v>143.0683826736631</v>
      </c>
      <c r="Q875" t="n">
        <v>144.7362161574717</v>
      </c>
    </row>
    <row r="876">
      <c r="A876" s="117" t="n">
        <v>45687</v>
      </c>
      <c r="B876" s="118" t="n">
        <v>73.92951185018859</v>
      </c>
      <c r="C876" s="118" t="n">
        <v>75.77654542470691</v>
      </c>
      <c r="D876" s="118" t="n">
        <v>73.92951185018859</v>
      </c>
      <c r="E876" s="118" t="n">
        <v>75.353271484375</v>
      </c>
      <c r="F876" s="119" t="n">
        <v>10902100</v>
      </c>
      <c r="G876" s="120" t="n">
        <v>0.022852220402521</v>
      </c>
      <c r="H876" s="121" t="n">
        <v>47.36810199626297</v>
      </c>
      <c r="I876" s="118" t="n">
        <v>72.66531845092773</v>
      </c>
      <c r="J876" s="118" t="n">
        <v>78.25229515075684</v>
      </c>
      <c r="K876" s="120" t="n">
        <v>0.2642892185274333</v>
      </c>
      <c r="L876" s="120" t="n">
        <v>-0.009609095223669706</v>
      </c>
      <c r="M876" s="120" t="n">
        <v>-0.2566368058072728</v>
      </c>
      <c r="N876" t="n">
        <v>64.4872903733141</v>
      </c>
      <c r="O876" t="n">
        <v>0.7527752073045666</v>
      </c>
      <c r="P876" t="n">
        <v>143.8362276949457</v>
      </c>
      <c r="Q876" t="n">
        <v>145.3531146865322</v>
      </c>
    </row>
    <row r="877">
      <c r="A877" s="117" t="n">
        <v>45688</v>
      </c>
      <c r="B877" s="118" t="n">
        <v>75.14162379785782</v>
      </c>
      <c r="C877" s="118" t="n">
        <v>75.86312190831777</v>
      </c>
      <c r="D877" s="118" t="n">
        <v>73.84292866692159</v>
      </c>
      <c r="E877" s="118" t="n">
        <v>73.97760772705078</v>
      </c>
      <c r="F877" s="119" t="n">
        <v>13098000</v>
      </c>
      <c r="G877" s="120" t="n">
        <v>-0.01825619153920177</v>
      </c>
      <c r="H877" s="121" t="n">
        <v>46.50334085337075</v>
      </c>
      <c r="I877" s="118" t="n">
        <v>72.67742599487305</v>
      </c>
      <c r="J877" s="118" t="n">
        <v>78.18035243988037</v>
      </c>
      <c r="K877" s="120" t="n">
        <v>0.2706803769814077</v>
      </c>
      <c r="L877" s="120" t="n">
        <v>-0.02768986127994966</v>
      </c>
      <c r="M877" s="120" t="n">
        <v>-0.2702077866636481</v>
      </c>
      <c r="N877" t="n">
        <v>58.08915276414109</v>
      </c>
      <c r="O877" t="n">
        <v>0.7301314900217908</v>
      </c>
      <c r="P877" t="n">
        <v>143.070744002244</v>
      </c>
      <c r="Q877" t="n">
        <v>145.1418941802523</v>
      </c>
    </row>
    <row r="878">
      <c r="A878" s="117" t="n">
        <v>45691</v>
      </c>
      <c r="B878" s="118" t="n">
        <v>72.05361159913835</v>
      </c>
      <c r="C878" s="118" t="n">
        <v>73.77558794228898</v>
      </c>
      <c r="D878" s="118" t="n">
        <v>70.43745556429842</v>
      </c>
      <c r="E878" s="118" t="n">
        <v>73.67938232421875</v>
      </c>
      <c r="F878" s="119" t="n">
        <v>18539200</v>
      </c>
      <c r="G878" s="120" t="n">
        <v>-0.004031292873545866</v>
      </c>
      <c r="H878" s="121" t="n">
        <v>46.31587226679248</v>
      </c>
      <c r="I878" s="118" t="n">
        <v>72.71745086669922</v>
      </c>
      <c r="J878" s="118" t="n">
        <v>78.10554241180419</v>
      </c>
      <c r="K878" s="120" t="n">
        <v>0.2516436052248632</v>
      </c>
      <c r="L878" s="120" t="n">
        <v>-0.03160952821304819</v>
      </c>
      <c r="M878" s="120" t="n">
        <v>-0.2731497928124401</v>
      </c>
      <c r="N878" t="n">
        <v>56.77408949717912</v>
      </c>
      <c r="O878" t="n">
        <v>0.6625711465967701</v>
      </c>
      <c r="P878" t="n">
        <v>142.1079565483074</v>
      </c>
      <c r="Q878" t="n">
        <v>143.9803266407824</v>
      </c>
    </row>
    <row r="879">
      <c r="A879" s="117" t="n">
        <v>45692</v>
      </c>
      <c r="B879" s="118" t="n">
        <v>74.60290298077192</v>
      </c>
      <c r="C879" s="118" t="n">
        <v>75.18972199510382</v>
      </c>
      <c r="D879" s="118" t="n">
        <v>73.15028481910949</v>
      </c>
      <c r="E879" s="118" t="n">
        <v>73.804443359375</v>
      </c>
      <c r="F879" s="119" t="n">
        <v>11943700</v>
      </c>
      <c r="G879" s="120" t="n">
        <v>0.001697368126756693</v>
      </c>
      <c r="H879" s="121" t="n">
        <v>46.39448735214107</v>
      </c>
      <c r="I879" s="118" t="n">
        <v>72.77873611450195</v>
      </c>
      <c r="J879" s="118" t="n">
        <v>78.02447635650634</v>
      </c>
      <c r="K879" s="120" t="n">
        <v>0.2503134547257169</v>
      </c>
      <c r="L879" s="120" t="n">
        <v>-0.02996581309198221</v>
      </c>
      <c r="M879" s="120" t="n">
        <v>-0.2719160604378335</v>
      </c>
      <c r="N879" t="n">
        <v>57.21155137605232</v>
      </c>
      <c r="O879" t="n">
        <v>0.5959025748566389</v>
      </c>
      <c r="P879" t="n">
        <v>143.061239654706</v>
      </c>
      <c r="Q879" t="n">
        <v>145.7477028210694</v>
      </c>
    </row>
    <row r="880">
      <c r="A880" s="117" t="n">
        <v>45693</v>
      </c>
      <c r="B880" s="118" t="n">
        <v>73.4004037322194</v>
      </c>
      <c r="C880" s="118" t="n">
        <v>73.87178039788233</v>
      </c>
      <c r="D880" s="118" t="n">
        <v>71.57260722483602</v>
      </c>
      <c r="E880" s="118" t="n">
        <v>71.73614501953125</v>
      </c>
      <c r="F880" s="119" t="n">
        <v>9807400</v>
      </c>
      <c r="G880" s="120" t="n">
        <v>-0.02802403548757371</v>
      </c>
      <c r="H880" s="121" t="n">
        <v>45.09432659215688</v>
      </c>
      <c r="I880" s="118" t="n">
        <v>72.80918380737305</v>
      </c>
      <c r="J880" s="118" t="n">
        <v>77.92879753112793</v>
      </c>
      <c r="K880" s="120" t="n">
        <v>0.2634656015559068</v>
      </c>
      <c r="L880" s="120" t="n">
        <v>-0.05715008557005208</v>
      </c>
      <c r="M880" s="120" t="n">
        <v>-0.2923199105980562</v>
      </c>
      <c r="N880" t="n">
        <v>48.47415294334044</v>
      </c>
      <c r="O880" t="n">
        <v>0.3919545712954356</v>
      </c>
      <c r="P880" t="n">
        <v>143.6413000205954</v>
      </c>
      <c r="Q880" t="n">
        <v>146.4091146920002</v>
      </c>
    </row>
    <row r="881">
      <c r="A881" s="117" t="n">
        <v>45694</v>
      </c>
      <c r="B881" s="118" t="n">
        <v>72.38068582624201</v>
      </c>
      <c r="C881" s="118" t="n">
        <v>72.53460894063599</v>
      </c>
      <c r="D881" s="118" t="n">
        <v>68.90787445690226</v>
      </c>
      <c r="E881" s="118" t="n">
        <v>69.01369476318359</v>
      </c>
      <c r="F881" s="119" t="n">
        <v>16059400</v>
      </c>
      <c r="G881" s="120" t="n">
        <v>-0.0379508859251696</v>
      </c>
      <c r="H881" s="121" t="n">
        <v>43.38295694778559</v>
      </c>
      <c r="I881" s="118" t="n">
        <v>72.751875</v>
      </c>
      <c r="J881" s="118" t="n">
        <v>77.82524890899658</v>
      </c>
      <c r="K881" s="120" t="n">
        <v>0.2990605913170074</v>
      </c>
      <c r="L881" s="120" t="n">
        <v>-0.09293207511713897</v>
      </c>
      <c r="M881" s="120" t="n">
        <v>-0.3191769969424632</v>
      </c>
      <c r="N881" t="n">
        <v>39.84768578470337</v>
      </c>
      <c r="O881" t="n">
        <v>0.0700139799227313</v>
      </c>
      <c r="P881" t="n">
        <v>144.1405439158046</v>
      </c>
      <c r="Q881" t="n">
        <v>147.1733258967859</v>
      </c>
    </row>
    <row r="882">
      <c r="A882" s="117" t="n">
        <v>45695</v>
      </c>
      <c r="B882" s="118" t="n">
        <v>67.87854481826062</v>
      </c>
      <c r="C882" s="118" t="n">
        <v>68.1190442058984</v>
      </c>
      <c r="D882" s="118" t="n">
        <v>66.01227456102346</v>
      </c>
      <c r="E882" s="118" t="n">
        <v>66.06999206542969</v>
      </c>
      <c r="F882" s="119" t="n">
        <v>27428700</v>
      </c>
      <c r="G882" s="120" t="n">
        <v>-0.04265389221450966</v>
      </c>
      <c r="H882" s="121" t="n">
        <v>41.53250497818804</v>
      </c>
      <c r="I882" s="118" t="n">
        <v>72.59166503906251</v>
      </c>
      <c r="J882" s="118" t="n">
        <v>77.70859531402589</v>
      </c>
      <c r="K882" s="120" t="n">
        <v>0.3334836015995031</v>
      </c>
      <c r="L882" s="120" t="n">
        <v>-0.1316220526163314</v>
      </c>
      <c r="M882" s="120" t="n">
        <v>-0.3482167479320382</v>
      </c>
      <c r="N882" t="n">
        <v>33.00768062897981</v>
      </c>
      <c r="O882" t="n">
        <v>-0.3232848117596884</v>
      </c>
      <c r="P882" t="n">
        <v>142.821136812943</v>
      </c>
      <c r="Q882" t="n">
        <v>145.3169913833791</v>
      </c>
    </row>
    <row r="883">
      <c r="A883" s="117" t="n">
        <v>45698</v>
      </c>
      <c r="B883" s="118" t="n">
        <v>66.72415218216688</v>
      </c>
      <c r="C883" s="118" t="n">
        <v>68.25372479873154</v>
      </c>
      <c r="D883" s="118" t="n">
        <v>66.49327481993163</v>
      </c>
      <c r="E883" s="118" t="n">
        <v>68.24411010742188</v>
      </c>
      <c r="F883" s="119" t="n">
        <v>16201300</v>
      </c>
      <c r="G883" s="120" t="n">
        <v>0.03290628580428989</v>
      </c>
      <c r="H883" s="121" t="n">
        <v>42.89918545716838</v>
      </c>
      <c r="I883" s="118" t="n">
        <v>72.4393325805664</v>
      </c>
      <c r="J883" s="118" t="n">
        <v>77.60361907958985</v>
      </c>
      <c r="K883" s="120" t="n">
        <v>0.3553526181499417</v>
      </c>
      <c r="L883" s="120" t="n">
        <v>-0.1030469596935819</v>
      </c>
      <c r="M883" s="120" t="n">
        <v>-0.3267689819570403</v>
      </c>
      <c r="N883" t="n">
        <v>41.05537364448055</v>
      </c>
      <c r="O883" t="n">
        <v>-0.4133479734747627</v>
      </c>
      <c r="P883" t="n">
        <v>143.7910672858367</v>
      </c>
      <c r="Q883" t="n">
        <v>147.0760458755698</v>
      </c>
    </row>
    <row r="884">
      <c r="A884" s="117" t="n">
        <v>45699</v>
      </c>
      <c r="B884" s="118" t="n">
        <v>67.88815622259229</v>
      </c>
      <c r="C884" s="118" t="n">
        <v>69.25419076908562</v>
      </c>
      <c r="D884" s="118" t="n">
        <v>67.83043872722031</v>
      </c>
      <c r="E884" s="118" t="n">
        <v>68.62889099121094</v>
      </c>
      <c r="F884" s="119" t="n">
        <v>9636600</v>
      </c>
      <c r="G884" s="120" t="n">
        <v>0.005638301725722439</v>
      </c>
      <c r="H884" s="121" t="n">
        <v>43.14106400856362</v>
      </c>
      <c r="I884" s="118" t="n">
        <v>72.32628067016601</v>
      </c>
      <c r="J884" s="118" t="n">
        <v>77.49762443542481</v>
      </c>
      <c r="K884" s="120" t="n">
        <v>0.3530596214245397</v>
      </c>
      <c r="L884" s="120" t="n">
        <v>-0.09798966781853014</v>
      </c>
      <c r="M884" s="120" t="n">
        <v>-0.3229731023461989</v>
      </c>
      <c r="N884" t="n">
        <v>42.3747665263739</v>
      </c>
      <c r="O884" t="n">
        <v>-0.4218768707926576</v>
      </c>
      <c r="P884" t="n">
        <v>143.9004115574343</v>
      </c>
      <c r="Q884" t="n">
        <v>146.7259198199372</v>
      </c>
    </row>
    <row r="885">
      <c r="A885" s="117" t="n">
        <v>45700</v>
      </c>
      <c r="B885" s="118" t="n">
        <v>67.91702704245576</v>
      </c>
      <c r="C885" s="118" t="n">
        <v>69.69672108085494</v>
      </c>
      <c r="D885" s="118" t="n">
        <v>67.65729092765633</v>
      </c>
      <c r="E885" s="118" t="n">
        <v>69.51394653320312</v>
      </c>
      <c r="F885" s="119" t="n">
        <v>10810900</v>
      </c>
      <c r="G885" s="120" t="n">
        <v>0.01289625300961861</v>
      </c>
      <c r="H885" s="121" t="n">
        <v>43.69742208512221</v>
      </c>
      <c r="I885" s="118" t="n">
        <v>72.21695602416992</v>
      </c>
      <c r="J885" s="118" t="n">
        <v>77.39937698364258</v>
      </c>
      <c r="K885" s="120" t="n">
        <v>0.3528466705122235</v>
      </c>
      <c r="L885" s="120" t="n">
        <v>-0.08635711435742777</v>
      </c>
      <c r="M885" s="120" t="n">
        <v>-0.3142419921797384</v>
      </c>
      <c r="N885" t="n">
        <v>45.40201622213369</v>
      </c>
      <c r="O885" t="n">
        <v>-0.3459666691977069</v>
      </c>
      <c r="P885" t="n">
        <v>143.4368384820997</v>
      </c>
      <c r="Q885" t="n">
        <v>146.812041602289</v>
      </c>
    </row>
    <row r="886">
      <c r="A886" s="117" t="n">
        <v>45701</v>
      </c>
      <c r="B886" s="118" t="n">
        <v>69.69671342841886</v>
      </c>
      <c r="C886" s="118" t="n">
        <v>70.80301198145656</v>
      </c>
      <c r="D886" s="118" t="n">
        <v>68.90787580041477</v>
      </c>
      <c r="E886" s="118" t="n">
        <v>70.42783355712891</v>
      </c>
      <c r="F886" s="119" t="n">
        <v>9739600</v>
      </c>
      <c r="G886" s="120" t="n">
        <v>0.01314681541623108</v>
      </c>
      <c r="H886" s="121" t="n">
        <v>44.27190402744045</v>
      </c>
      <c r="I886" s="118" t="n">
        <v>72.11767807006837</v>
      </c>
      <c r="J886" s="118" t="n">
        <v>77.30484477996826</v>
      </c>
      <c r="K886" s="120" t="n">
        <v>0.3553057344894101</v>
      </c>
      <c r="L886" s="120" t="n">
        <v>-0.07434561998353229</v>
      </c>
      <c r="M886" s="120" t="n">
        <v>-0.2996724411283939</v>
      </c>
      <c r="N886" t="n">
        <v>48.41545136989778</v>
      </c>
      <c r="O886" t="n">
        <v>-0.2184825286222797</v>
      </c>
      <c r="P886" t="n">
        <v>144.951202775919</v>
      </c>
      <c r="Q886" t="n">
        <v>148.9240928761908</v>
      </c>
    </row>
    <row r="887">
      <c r="A887" s="117" t="n">
        <v>45702</v>
      </c>
      <c r="B887" s="118" t="n">
        <v>70.38934687375749</v>
      </c>
      <c r="C887" s="118" t="n">
        <v>70.70680777216354</v>
      </c>
      <c r="D887" s="118" t="n">
        <v>69.59088728302378</v>
      </c>
      <c r="E887" s="118" t="n">
        <v>70.26428985595703</v>
      </c>
      <c r="F887" s="119" t="n">
        <v>9254400</v>
      </c>
      <c r="G887" s="120" t="n">
        <v>-0.002322145846488599</v>
      </c>
      <c r="H887" s="121" t="n">
        <v>44.16909820938699</v>
      </c>
      <c r="I887" s="118" t="n">
        <v>72.00127639770508</v>
      </c>
      <c r="J887" s="118" t="n">
        <v>77.20977962493896</v>
      </c>
      <c r="K887" s="120" t="n">
        <v>0.3555781907499432</v>
      </c>
      <c r="L887" s="120" t="n">
        <v>-0.0764951244573715</v>
      </c>
      <c r="M887" s="120" t="n">
        <v>-0.301298703860409</v>
      </c>
      <c r="N887" t="n">
        <v>47.90588575636728</v>
      </c>
      <c r="O887" t="n">
        <v>-0.1336169174775404</v>
      </c>
      <c r="P887" t="n">
        <v>144.9440597569619</v>
      </c>
      <c r="Q887" t="n">
        <v>149.5493301810028</v>
      </c>
    </row>
    <row r="888">
      <c r="A888" s="117" t="n">
        <v>45706</v>
      </c>
      <c r="B888" s="118" t="n">
        <v>71.66880431973802</v>
      </c>
      <c r="C888" s="118" t="n">
        <v>74.7279562607897</v>
      </c>
      <c r="D888" s="118" t="n">
        <v>71.66880431973802</v>
      </c>
      <c r="E888" s="118" t="n">
        <v>74.64137268066406</v>
      </c>
      <c r="F888" s="119" t="n">
        <v>28252400</v>
      </c>
      <c r="G888" s="120" t="n">
        <v>0.06229455721647681</v>
      </c>
      <c r="H888" s="121" t="n">
        <v>46.92059262499183</v>
      </c>
      <c r="I888" s="118" t="n">
        <v>71.97684127807617</v>
      </c>
      <c r="J888" s="118" t="n">
        <v>77.14514225006104</v>
      </c>
      <c r="K888" s="120" t="n">
        <v>0.4147873184345233</v>
      </c>
      <c r="L888" s="120" t="n">
        <v>-0.0189657971481858</v>
      </c>
      <c r="M888" s="120" t="n">
        <v>-0.2558138013558506</v>
      </c>
      <c r="N888" t="n">
        <v>60.0307686017663</v>
      </c>
      <c r="O888" t="n">
        <v>0.210164146641147</v>
      </c>
      <c r="P888" t="n">
        <v>145.3696006838409</v>
      </c>
      <c r="Q888" t="n">
        <v>149.8883834360474</v>
      </c>
    </row>
    <row r="889">
      <c r="A889" s="117" t="n">
        <v>45707</v>
      </c>
      <c r="B889" s="118" t="n">
        <v>73.90064050601563</v>
      </c>
      <c r="C889" s="118" t="n">
        <v>74.72795886312346</v>
      </c>
      <c r="D889" s="118" t="n">
        <v>73.19837916960263</v>
      </c>
      <c r="E889" s="118" t="n">
        <v>73.86215972900391</v>
      </c>
      <c r="F889" s="119" t="n">
        <v>14184100</v>
      </c>
      <c r="G889" s="120" t="n">
        <v>-0.01043942419164556</v>
      </c>
      <c r="H889" s="121" t="n">
        <v>46.43076865525614</v>
      </c>
      <c r="I889" s="118" t="n">
        <v>71.94624954223633</v>
      </c>
      <c r="J889" s="118" t="n">
        <v>77.08572067260742</v>
      </c>
      <c r="K889" s="120" t="n">
        <v>0.4043683605179979</v>
      </c>
      <c r="L889" s="120" t="n">
        <v>-0.0292072293382688</v>
      </c>
      <c r="M889" s="120" t="n">
        <v>-0.2606545241934948</v>
      </c>
      <c r="N889" t="n">
        <v>57.46652144011809</v>
      </c>
      <c r="O889" t="n">
        <v>0.368665072202986</v>
      </c>
      <c r="P889" t="n">
        <v>145.7119342948517</v>
      </c>
      <c r="Q889" t="n">
        <v>149.9300602271498</v>
      </c>
    </row>
    <row r="890">
      <c r="A890" s="117" t="n">
        <v>45708</v>
      </c>
      <c r="B890" s="118" t="n">
        <v>73.98722794083432</v>
      </c>
      <c r="C890" s="118" t="n">
        <v>74.33354027305295</v>
      </c>
      <c r="D890" s="118" t="n">
        <v>73.43888234446432</v>
      </c>
      <c r="E890" s="118" t="n">
        <v>74.29506683349609</v>
      </c>
      <c r="F890" s="119" t="n">
        <v>10689600</v>
      </c>
      <c r="G890" s="120" t="n">
        <v>0.005861013353529065</v>
      </c>
      <c r="H890" s="121" t="n">
        <v>46.70290001035922</v>
      </c>
      <c r="I890" s="118" t="n">
        <v>71.92027572631837</v>
      </c>
      <c r="J890" s="118" t="n">
        <v>77.01863990783691</v>
      </c>
      <c r="K890" s="120" t="n">
        <v>0.4031187943263448</v>
      </c>
      <c r="L890" s="120" t="n">
        <v>-0.02351739994591096</v>
      </c>
      <c r="M890" s="120" t="n">
        <v>-0.2563212104869216</v>
      </c>
      <c r="N890" t="n">
        <v>58.52645911519052</v>
      </c>
      <c r="O890" t="n">
        <v>0.4792415239392079</v>
      </c>
      <c r="P890" t="n">
        <v>145.1057222149293</v>
      </c>
      <c r="Q890" t="n">
        <v>149.2936817711288</v>
      </c>
    </row>
    <row r="891">
      <c r="A891" s="117" t="n">
        <v>45709</v>
      </c>
      <c r="B891" s="118" t="n">
        <v>74.45859539740661</v>
      </c>
      <c r="C891" s="118" t="n">
        <v>75.02617030364561</v>
      </c>
      <c r="D891" s="118" t="n">
        <v>72.97711861678216</v>
      </c>
      <c r="E891" s="118" t="n">
        <v>73.59279632568359</v>
      </c>
      <c r="F891" s="119" t="n">
        <v>12823400</v>
      </c>
      <c r="G891" s="120" t="n">
        <v>-0.009452451390700944</v>
      </c>
      <c r="H891" s="121" t="n">
        <v>46.26144311820653</v>
      </c>
      <c r="I891" s="118" t="n">
        <v>71.8742921447754</v>
      </c>
      <c r="J891" s="118" t="n">
        <v>76.9492816543579</v>
      </c>
      <c r="K891" s="120" t="n">
        <v>0.4052795897963627</v>
      </c>
      <c r="L891" s="120" t="n">
        <v>-0.03274755425678755</v>
      </c>
      <c r="M891" s="120" t="n">
        <v>-0.2633507980950893</v>
      </c>
      <c r="N891" t="n">
        <v>56.08477860188688</v>
      </c>
      <c r="O891" t="n">
        <v>0.480446572004882</v>
      </c>
      <c r="P891" t="n">
        <v>142.6238330517081</v>
      </c>
      <c r="Q891" t="n">
        <v>146.1951259855734</v>
      </c>
    </row>
    <row r="892">
      <c r="A892" s="117" t="n">
        <v>45712</v>
      </c>
      <c r="B892" s="118" t="n">
        <v>75.88235855470144</v>
      </c>
      <c r="C892" s="118" t="n">
        <v>78.00837210405217</v>
      </c>
      <c r="D892" s="118" t="n">
        <v>75.75730152454844</v>
      </c>
      <c r="E892" s="118" t="n">
        <v>77.22915649414062</v>
      </c>
      <c r="F892" s="119" t="n">
        <v>24553500</v>
      </c>
      <c r="G892" s="120" t="n">
        <v>0.04941190374618176</v>
      </c>
      <c r="H892" s="121" t="n">
        <v>48.54730909272281</v>
      </c>
      <c r="I892" s="118" t="n">
        <v>71.92508560180664</v>
      </c>
      <c r="J892" s="118" t="n">
        <v>76.89236289978027</v>
      </c>
      <c r="K892" s="120" t="n">
        <v>0.4362222697976475</v>
      </c>
      <c r="L892" s="120" t="n">
        <v>0</v>
      </c>
      <c r="M892" s="120" t="n">
        <v>-0.2269515586358622</v>
      </c>
      <c r="N892" t="n">
        <v>64.37302542984196</v>
      </c>
      <c r="O892" t="n">
        <v>0.6888228115204376</v>
      </c>
      <c r="P892" t="n">
        <v>141.9748366495612</v>
      </c>
      <c r="Q892" t="n">
        <v>144.4694095087334</v>
      </c>
    </row>
    <row r="893">
      <c r="A893" s="117" t="n">
        <v>45713</v>
      </c>
      <c r="B893" s="118" t="n">
        <v>77.2580133525028</v>
      </c>
      <c r="C893" s="118" t="n">
        <v>78.84531062299514</v>
      </c>
      <c r="D893" s="118" t="n">
        <v>77.00789929832102</v>
      </c>
      <c r="E893" s="118" t="n">
        <v>78.61443328857422</v>
      </c>
      <c r="F893" s="119" t="n">
        <v>15522500</v>
      </c>
      <c r="G893" s="120" t="n">
        <v>0.01793722548994436</v>
      </c>
      <c r="H893" s="121" t="n">
        <v>49.41811312284901</v>
      </c>
      <c r="I893" s="118" t="n">
        <v>72.02090057373047</v>
      </c>
      <c r="J893" s="118" t="n">
        <v>76.8403772354126</v>
      </c>
      <c r="K893" s="120" t="n">
        <v>0.431017386251267</v>
      </c>
      <c r="L893" s="120" t="n">
        <v>0</v>
      </c>
      <c r="M893" s="120" t="n">
        <v>-0.2130852144284637</v>
      </c>
      <c r="N893" t="n">
        <v>66.93333426696668</v>
      </c>
      <c r="O893" t="n">
        <v>0.8708976649520757</v>
      </c>
      <c r="P893" t="n">
        <v>141.2687551289718</v>
      </c>
      <c r="Q893" t="n">
        <v>142.6491812108245</v>
      </c>
    </row>
    <row r="894">
      <c r="A894" s="117" t="n">
        <v>45714</v>
      </c>
      <c r="B894" s="118" t="n">
        <v>78.97999274027264</v>
      </c>
      <c r="C894" s="118" t="n">
        <v>79.30707570454712</v>
      </c>
      <c r="D894" s="118" t="n">
        <v>77.76787384353992</v>
      </c>
      <c r="E894" s="118" t="n">
        <v>78.08533477783203</v>
      </c>
      <c r="F894" s="119" t="n">
        <v>16058100</v>
      </c>
      <c r="G894" s="120" t="n">
        <v>-0.006730297333569779</v>
      </c>
      <c r="H894" s="121" t="n">
        <v>49.08551452786825</v>
      </c>
      <c r="I894" s="118" t="n">
        <v>72.06553741455077</v>
      </c>
      <c r="J894" s="118" t="n">
        <v>76.78664783477784</v>
      </c>
      <c r="K894" s="120" t="n">
        <v>0.4266335450465396</v>
      </c>
      <c r="L894" s="120" t="n">
        <v>-0.006730297333569779</v>
      </c>
      <c r="M894" s="120" t="n">
        <v>-0.2148133651413624</v>
      </c>
      <c r="N894" t="n">
        <v>65.0116189316951</v>
      </c>
      <c r="O894" t="n">
        <v>0.9027867428580697</v>
      </c>
      <c r="P894" t="n">
        <v>141.3400820104176</v>
      </c>
      <c r="Q894" t="n">
        <v>142.9937794099907</v>
      </c>
    </row>
    <row r="895">
      <c r="A895" s="117" t="n">
        <v>45715</v>
      </c>
      <c r="B895" s="118" t="n">
        <v>78.3931718809481</v>
      </c>
      <c r="C895" s="118" t="n">
        <v>78.3931718809481</v>
      </c>
      <c r="D895" s="118" t="n">
        <v>76.44031818852841</v>
      </c>
      <c r="E895" s="118" t="n">
        <v>76.97903442382812</v>
      </c>
      <c r="F895" s="119" t="n">
        <v>11651900</v>
      </c>
      <c r="G895" s="120" t="n">
        <v>-0.01416783775278097</v>
      </c>
      <c r="H895" s="121" t="n">
        <v>48.39007892202564</v>
      </c>
      <c r="I895" s="118" t="n">
        <v>72.10517181396484</v>
      </c>
      <c r="J895" s="118" t="n">
        <v>76.72833606719971</v>
      </c>
      <c r="K895" s="120" t="n">
        <v>0.4211555666749297</v>
      </c>
      <c r="L895" s="120" t="n">
        <v>-0.02080278132570079</v>
      </c>
      <c r="M895" s="120" t="n">
        <v>-0.2259377619896916</v>
      </c>
      <c r="N895" t="n">
        <v>61.0638478716051</v>
      </c>
      <c r="O895" t="n">
        <v>0.79997730129835</v>
      </c>
      <c r="P895" t="n">
        <v>139.0840244093488</v>
      </c>
      <c r="Q895" t="n">
        <v>139.0226595978456</v>
      </c>
    </row>
    <row r="896">
      <c r="A896" s="117" t="n">
        <v>45716</v>
      </c>
      <c r="B896" s="118" t="n">
        <v>76.23830103479486</v>
      </c>
      <c r="C896" s="118" t="n">
        <v>76.97903587226966</v>
      </c>
      <c r="D896" s="118" t="n">
        <v>75.2089640147173</v>
      </c>
      <c r="E896" s="118" t="n">
        <v>76.41146087646484</v>
      </c>
      <c r="F896" s="119" t="n">
        <v>14113800</v>
      </c>
      <c r="G896" s="120" t="n">
        <v>-0.007373092577887652</v>
      </c>
      <c r="H896" s="121" t="n">
        <v>48.03329439028225</v>
      </c>
      <c r="I896" s="118" t="n">
        <v>72.14711486816407</v>
      </c>
      <c r="J896" s="118" t="n">
        <v>76.67881355285644</v>
      </c>
      <c r="K896" s="120" t="n">
        <v>0.4154393566096418</v>
      </c>
      <c r="L896" s="120" t="n">
        <v>-0.02802249307099647</v>
      </c>
      <c r="M896" s="120" t="n">
        <v>-0.2257544898634739</v>
      </c>
      <c r="N896" t="n">
        <v>59.08164838215328</v>
      </c>
      <c r="O896" t="n">
        <v>0.6506878542399206</v>
      </c>
      <c r="P896" t="n">
        <v>141.2544838493612</v>
      </c>
      <c r="Q896" t="n">
        <v>141.2180388224693</v>
      </c>
    </row>
    <row r="897">
      <c r="A897" s="117" t="n">
        <v>45719</v>
      </c>
      <c r="B897" s="118" t="n">
        <v>77.33965530167843</v>
      </c>
      <c r="C897" s="118" t="n">
        <v>78.27751706008419</v>
      </c>
      <c r="D897" s="118" t="n">
        <v>75.30923696863658</v>
      </c>
      <c r="E897" s="118" t="n">
        <v>75.81201171875</v>
      </c>
      <c r="F897" s="119" t="n">
        <v>8628800</v>
      </c>
      <c r="G897" s="120" t="n">
        <v>-0.007845016321360254</v>
      </c>
      <c r="H897" s="121" t="n">
        <v>47.65647241182178</v>
      </c>
      <c r="I897" s="118" t="n">
        <v>72.17803115844727</v>
      </c>
      <c r="J897" s="118" t="n">
        <v>76.61784633636475</v>
      </c>
      <c r="K897" s="120" t="n">
        <v>0.4106485851619043</v>
      </c>
      <c r="L897" s="120" t="n">
        <v>-0.03564767247684963</v>
      </c>
      <c r="M897" s="120" t="n">
        <v>-0.2287240829989814</v>
      </c>
      <c r="N897" t="n">
        <v>56.97794331638377</v>
      </c>
      <c r="O897" t="n">
        <v>0.4765743634803368</v>
      </c>
      <c r="P897" t="n">
        <v>138.7797377050972</v>
      </c>
      <c r="Q897" t="n">
        <v>138.1278303564931</v>
      </c>
    </row>
    <row r="898">
      <c r="A898" s="117" t="n">
        <v>45720</v>
      </c>
      <c r="B898" s="118" t="n">
        <v>75.12552429114103</v>
      </c>
      <c r="C898" s="118" t="n">
        <v>76.04405189444948</v>
      </c>
      <c r="D898" s="118" t="n">
        <v>74.23600887925568</v>
      </c>
      <c r="E898" s="118" t="n">
        <v>74.75811767578125</v>
      </c>
      <c r="F898" s="119" t="n">
        <v>10034100</v>
      </c>
      <c r="G898" s="120" t="n">
        <v>-0.0139014124421144</v>
      </c>
      <c r="H898" s="121" t="n">
        <v>46.9939801332888</v>
      </c>
      <c r="I898" s="118" t="n">
        <v>72.17247756958008</v>
      </c>
      <c r="J898" s="118" t="n">
        <v>76.5512773513794</v>
      </c>
      <c r="K898" s="120" t="n">
        <v>0.4139062683024778</v>
      </c>
      <c r="L898" s="120" t="n">
        <v>-0.04905353192126194</v>
      </c>
      <c r="M898" s="120" t="n">
        <v>-0.2269042816424821</v>
      </c>
      <c r="N898" t="n">
        <v>53.37933416450398</v>
      </c>
      <c r="O898" t="n">
        <v>0.2659411396587856</v>
      </c>
      <c r="P898" t="n">
        <v>137.1369909279971</v>
      </c>
      <c r="Q898" t="n">
        <v>137.7109855510207</v>
      </c>
    </row>
    <row r="899">
      <c r="A899" s="117" t="n">
        <v>45721</v>
      </c>
      <c r="B899" s="118" t="n">
        <v>74.76778839775565</v>
      </c>
      <c r="C899" s="118" t="n">
        <v>75.71531343916745</v>
      </c>
      <c r="D899" s="118" t="n">
        <v>73.92661188512572</v>
      </c>
      <c r="E899" s="118" t="n">
        <v>75.23188018798828</v>
      </c>
      <c r="F899" s="119" t="n">
        <v>9853600</v>
      </c>
      <c r="G899" s="120" t="n">
        <v>0.006337271816576395</v>
      </c>
      <c r="H899" s="121" t="n">
        <v>47.29179375913624</v>
      </c>
      <c r="I899" s="118" t="n">
        <v>72.19756301879883</v>
      </c>
      <c r="J899" s="118" t="n">
        <v>76.49239253997803</v>
      </c>
      <c r="K899" s="120" t="n">
        <v>0.4143305128989263</v>
      </c>
      <c r="L899" s="120" t="n">
        <v>-0.04302712567003375</v>
      </c>
      <c r="M899" s="120" t="n">
        <v>-0.2180137846897192</v>
      </c>
      <c r="N899" t="n">
        <v>54.76250210390194</v>
      </c>
      <c r="O899" t="n">
        <v>0.1403451351218279</v>
      </c>
      <c r="P899" t="n">
        <v>138.610917469869</v>
      </c>
      <c r="Q899" t="n">
        <v>139.506197521675</v>
      </c>
    </row>
    <row r="900">
      <c r="A900" s="117" t="n">
        <v>45722</v>
      </c>
      <c r="B900" s="118" t="n">
        <v>74.19733874444806</v>
      </c>
      <c r="C900" s="118" t="n">
        <v>75.73466043130949</v>
      </c>
      <c r="D900" s="118" t="n">
        <v>74.19733874444806</v>
      </c>
      <c r="E900" s="118" t="n">
        <v>75.13520050048828</v>
      </c>
      <c r="F900" s="119" t="n">
        <v>9623700</v>
      </c>
      <c r="G900" s="120" t="n">
        <v>-0.001285089343220136</v>
      </c>
      <c r="H900" s="121" t="n">
        <v>47.23101957895461</v>
      </c>
      <c r="I900" s="118" t="n">
        <v>72.21686691284179</v>
      </c>
      <c r="J900" s="118" t="n">
        <v>76.43254978179931</v>
      </c>
      <c r="K900" s="120" t="n">
        <v>0.3998681932069835</v>
      </c>
      <c r="L900" s="120" t="n">
        <v>-0.04425692131258596</v>
      </c>
      <c r="M900" s="120" t="n">
        <v>-0.2190187068415594</v>
      </c>
      <c r="N900" t="n">
        <v>54.40775693314899</v>
      </c>
      <c r="O900" t="n">
        <v>0.03790859880300079</v>
      </c>
      <c r="P900" t="n">
        <v>136.1504278469119</v>
      </c>
      <c r="Q900" t="n">
        <v>135.6684639462438</v>
      </c>
    </row>
    <row r="901">
      <c r="A901" s="117" t="n">
        <v>45723</v>
      </c>
      <c r="B901" s="118" t="n">
        <v>74.91282312985726</v>
      </c>
      <c r="C901" s="118" t="n">
        <v>76.38245703211005</v>
      </c>
      <c r="D901" s="118" t="n">
        <v>74.41971912660526</v>
      </c>
      <c r="E901" s="118" t="n">
        <v>75.98603820800781</v>
      </c>
      <c r="F901" s="119" t="n">
        <v>9294300</v>
      </c>
      <c r="G901" s="120" t="n">
        <v>0.01132408913334837</v>
      </c>
      <c r="H901" s="121" t="n">
        <v>47.76586785452561</v>
      </c>
      <c r="I901" s="118" t="n">
        <v>72.25626586914062</v>
      </c>
      <c r="J901" s="118" t="n">
        <v>76.37501541137695</v>
      </c>
      <c r="K901" s="120" t="n">
        <v>0.3707615588147814</v>
      </c>
      <c r="L901" s="120" t="n">
        <v>-0.03343400150094888</v>
      </c>
      <c r="M901" s="120" t="n">
        <v>-0.2101748050663557</v>
      </c>
      <c r="N901" t="n">
        <v>57.04495965086377</v>
      </c>
      <c r="O901" t="n">
        <v>0.01573980620395399</v>
      </c>
      <c r="P901" t="n">
        <v>136.9135502110328</v>
      </c>
      <c r="Q901" t="n">
        <v>136.666118152934</v>
      </c>
    </row>
    <row r="902">
      <c r="A902" s="117" t="n">
        <v>45726</v>
      </c>
      <c r="B902" s="118" t="n">
        <v>74.94182903777558</v>
      </c>
      <c r="C902" s="118" t="n">
        <v>77.53303171041476</v>
      </c>
      <c r="D902" s="118" t="n">
        <v>73.53986810155662</v>
      </c>
      <c r="E902" s="118" t="n">
        <v>73.86860656738281</v>
      </c>
      <c r="F902" s="119" t="n">
        <v>15822600</v>
      </c>
      <c r="G902" s="120" t="n">
        <v>-0.02786606185242402</v>
      </c>
      <c r="H902" s="121" t="n">
        <v>46.43482122645669</v>
      </c>
      <c r="I902" s="118" t="n">
        <v>72.25677932739258</v>
      </c>
      <c r="J902" s="118" t="n">
        <v>76.30883968353271</v>
      </c>
      <c r="K902" s="120" t="n">
        <v>0.3485619292205918</v>
      </c>
      <c r="L902" s="120" t="n">
        <v>-0.06036838939957334</v>
      </c>
      <c r="M902" s="120" t="n">
        <v>-0.2321841228009794</v>
      </c>
      <c r="N902" t="n">
        <v>49.38853439801538</v>
      </c>
      <c r="O902" t="n">
        <v>-0.1444204845182409</v>
      </c>
      <c r="P902" t="n">
        <v>133.2667733839603</v>
      </c>
      <c r="Q902" t="n">
        <v>131.3694234864355</v>
      </c>
    </row>
    <row r="903">
      <c r="A903" s="117" t="n">
        <v>45727</v>
      </c>
      <c r="B903" s="118" t="n">
        <v>73.39484709034791</v>
      </c>
      <c r="C903" s="118" t="n">
        <v>73.55921264183593</v>
      </c>
      <c r="D903" s="118" t="n">
        <v>71.18072169285723</v>
      </c>
      <c r="E903" s="118" t="n">
        <v>71.71249389648438</v>
      </c>
      <c r="F903" s="119" t="n">
        <v>12837000</v>
      </c>
      <c r="G903" s="120" t="n">
        <v>-0.02918848440618182</v>
      </c>
      <c r="H903" s="121" t="n">
        <v>45.07945917118442</v>
      </c>
      <c r="I903" s="118" t="n">
        <v>72.21359344482421</v>
      </c>
      <c r="J903" s="118" t="n">
        <v>76.22690029144287</v>
      </c>
      <c r="K903" s="120" t="n">
        <v>0.3542041074079422</v>
      </c>
      <c r="L903" s="120" t="n">
        <v>-0.08779481201313943</v>
      </c>
      <c r="M903" s="120" t="n">
        <v>-0.2545955045594219</v>
      </c>
      <c r="N903" t="n">
        <v>43.05203762998498</v>
      </c>
      <c r="O903" t="n">
        <v>-0.3848146753210969</v>
      </c>
      <c r="P903" t="n">
        <v>132.1589413219442</v>
      </c>
      <c r="Q903" t="n">
        <v>131.0554036463008</v>
      </c>
    </row>
    <row r="904">
      <c r="A904" s="117" t="n">
        <v>45728</v>
      </c>
      <c r="B904" s="118" t="n">
        <v>71.89619110226425</v>
      </c>
      <c r="C904" s="118" t="n">
        <v>72.03155181756478</v>
      </c>
      <c r="D904" s="118" t="n">
        <v>70.80363464973698</v>
      </c>
      <c r="E904" s="118" t="n">
        <v>71.14203643798828</v>
      </c>
      <c r="F904" s="119" t="n">
        <v>12304900</v>
      </c>
      <c r="G904" s="120" t="n">
        <v>-0.007954784828980266</v>
      </c>
      <c r="H904" s="121" t="n">
        <v>44.72086177327084</v>
      </c>
      <c r="I904" s="118" t="n">
        <v>72.15611236572266</v>
      </c>
      <c r="J904" s="118" t="n">
        <v>76.14362724304199</v>
      </c>
      <c r="K904" s="120" t="n">
        <v>0.3559974413978979</v>
      </c>
      <c r="L904" s="120" t="n">
        <v>-0.09505120800345457</v>
      </c>
      <c r="M904" s="120" t="n">
        <v>-0.2605250369312063</v>
      </c>
      <c r="N904" t="n">
        <v>41.5337275240056</v>
      </c>
      <c r="O904" t="n">
        <v>-0.5608261778302347</v>
      </c>
      <c r="P904" t="n">
        <v>132.8602559104609</v>
      </c>
      <c r="Q904" t="n">
        <v>132.5338104890181</v>
      </c>
    </row>
    <row r="905">
      <c r="A905" s="117" t="n">
        <v>45729</v>
      </c>
      <c r="B905" s="118" t="n">
        <v>70.75529363079227</v>
      </c>
      <c r="C905" s="118" t="n">
        <v>71.49011426600362</v>
      </c>
      <c r="D905" s="118" t="n">
        <v>69.29532309121093</v>
      </c>
      <c r="E905" s="118" t="n">
        <v>70.23318481445312</v>
      </c>
      <c r="F905" s="119" t="n">
        <v>10195900</v>
      </c>
      <c r="G905" s="120" t="n">
        <v>-0.01277517019529473</v>
      </c>
      <c r="H905" s="121" t="n">
        <v>44.14954515283706</v>
      </c>
      <c r="I905" s="118" t="n">
        <v>72.09045913696289</v>
      </c>
      <c r="J905" s="118" t="n">
        <v>76.06103023529053</v>
      </c>
      <c r="K905" s="120" t="n">
        <v>0.3572689582908936</v>
      </c>
      <c r="L905" s="120" t="n">
        <v>-0.1066120828392367</v>
      </c>
      <c r="M905" s="120" t="n">
        <v>-0.2699719554395694</v>
      </c>
      <c r="N905" t="n">
        <v>39.16394953254876</v>
      </c>
      <c r="O905" t="n">
        <v>-0.7075743335696629</v>
      </c>
      <c r="P905" t="n">
        <v>131.0891414083835</v>
      </c>
      <c r="Q905" t="n">
        <v>130.1494674290497</v>
      </c>
    </row>
    <row r="906">
      <c r="A906" s="117" t="n">
        <v>45730</v>
      </c>
      <c r="B906" s="118" t="n">
        <v>70.85196325991011</v>
      </c>
      <c r="C906" s="118" t="n">
        <v>71.10335057037092</v>
      </c>
      <c r="D906" s="118" t="n">
        <v>68.95690614424667</v>
      </c>
      <c r="E906" s="118" t="n">
        <v>69.28564453125</v>
      </c>
      <c r="F906" s="119" t="n">
        <v>12183000</v>
      </c>
      <c r="G906" s="120" t="n">
        <v>-0.01349134722718903</v>
      </c>
      <c r="H906" s="121" t="n">
        <v>43.55390830925767</v>
      </c>
      <c r="I906" s="118" t="n">
        <v>72.03990982055664</v>
      </c>
      <c r="J906" s="118" t="n">
        <v>75.97203453063965</v>
      </c>
      <c r="K906" s="120" t="n">
        <v>0.3575229108282524</v>
      </c>
      <c r="L906" s="120" t="n">
        <v>-0.1186650894382277</v>
      </c>
      <c r="M906" s="120" t="n">
        <v>-0.27982101727432</v>
      </c>
      <c r="N906" t="n">
        <v>36.80610078792224</v>
      </c>
      <c r="O906" t="n">
        <v>-0.8291443245078278</v>
      </c>
      <c r="P906" t="n">
        <v>133.7968916503644</v>
      </c>
      <c r="Q906" t="n">
        <v>133.2952364060015</v>
      </c>
    </row>
    <row r="907">
      <c r="A907" s="117" t="n">
        <v>45733</v>
      </c>
      <c r="B907" s="118" t="n">
        <v>69.74974729201571</v>
      </c>
      <c r="C907" s="118" t="n">
        <v>71.49977326067679</v>
      </c>
      <c r="D907" s="118" t="n">
        <v>69.64339138906445</v>
      </c>
      <c r="E907" s="118" t="n">
        <v>71.258056640625</v>
      </c>
      <c r="F907" s="119" t="n">
        <v>15996900</v>
      </c>
      <c r="G907" s="120" t="n">
        <v>0.02846783230089422</v>
      </c>
      <c r="H907" s="121" t="n">
        <v>44.79379366705415</v>
      </c>
      <c r="I907" s="118" t="n">
        <v>72.00918395996094</v>
      </c>
      <c r="J907" s="118" t="n">
        <v>75.89171451568603</v>
      </c>
      <c r="K907" s="120" t="n">
        <v>0.3719488063489074</v>
      </c>
      <c r="L907" s="120" t="n">
        <v>-0.09357539500343159</v>
      </c>
      <c r="M907" s="120" t="n">
        <v>-0.2553519355241975</v>
      </c>
      <c r="N907" t="n">
        <v>44.32073147771278</v>
      </c>
      <c r="O907" t="n">
        <v>-0.7403259019334809</v>
      </c>
      <c r="P907" t="n">
        <v>134.8286594154694</v>
      </c>
      <c r="Q907" t="n">
        <v>134.1594872883226</v>
      </c>
    </row>
    <row r="908">
      <c r="A908" s="117" t="n">
        <v>45734</v>
      </c>
      <c r="B908" s="118" t="n">
        <v>71.441758101408</v>
      </c>
      <c r="C908" s="118" t="n">
        <v>71.70281616175227</v>
      </c>
      <c r="D908" s="118" t="n">
        <v>70.31052617753021</v>
      </c>
      <c r="E908" s="118" t="n">
        <v>70.88097381591797</v>
      </c>
      <c r="F908" s="119" t="n">
        <v>8972300</v>
      </c>
      <c r="G908" s="120" t="n">
        <v>-0.005291792149325181</v>
      </c>
      <c r="H908" s="121" t="n">
        <v>44.55675422138833</v>
      </c>
      <c r="I908" s="118" t="n">
        <v>72.00939651489257</v>
      </c>
      <c r="J908" s="118" t="n">
        <v>75.81107517242431</v>
      </c>
      <c r="K908" s="120" t="n">
        <v>0.2931496760154441</v>
      </c>
      <c r="L908" s="120" t="n">
        <v>-0.09837200561210768</v>
      </c>
      <c r="M908" s="120" t="n">
        <v>-0.2592924583058008</v>
      </c>
      <c r="N908" t="n">
        <v>43.26157865790173</v>
      </c>
      <c r="O908" t="n">
        <v>-0.6725480315087167</v>
      </c>
      <c r="P908" t="n">
        <v>133.371365481789</v>
      </c>
      <c r="Q908" t="n">
        <v>131.8724242495701</v>
      </c>
    </row>
    <row r="909">
      <c r="A909" s="117" t="n">
        <v>45735</v>
      </c>
      <c r="B909" s="118" t="n">
        <v>70.23318479559285</v>
      </c>
      <c r="C909" s="118" t="n">
        <v>70.99701024651688</v>
      </c>
      <c r="D909" s="118" t="n">
        <v>69.89478298229898</v>
      </c>
      <c r="E909" s="118" t="n">
        <v>70.57158660888672</v>
      </c>
      <c r="F909" s="119" t="n">
        <v>10830500</v>
      </c>
      <c r="G909" s="120" t="n">
        <v>-0.004364883696924782</v>
      </c>
      <c r="H909" s="121" t="n">
        <v>44.36226917129951</v>
      </c>
      <c r="I909" s="118" t="n">
        <v>72.01034759521484</v>
      </c>
      <c r="J909" s="118" t="n">
        <v>75.72044139862061</v>
      </c>
      <c r="K909" s="120" t="n">
        <v>0.2917355762235438</v>
      </c>
      <c r="L909" s="120" t="n">
        <v>-0.1023075069455024</v>
      </c>
      <c r="M909" s="120" t="n">
        <v>-0.262525560578731</v>
      </c>
      <c r="N909" t="n">
        <v>42.36697746549392</v>
      </c>
      <c r="O909" t="n">
        <v>-0.6156579503363149</v>
      </c>
      <c r="P909" t="n">
        <v>134.8238924833968</v>
      </c>
      <c r="Q909" t="n">
        <v>133.6370493173654</v>
      </c>
    </row>
    <row r="910">
      <c r="A910" s="117" t="n">
        <v>45736</v>
      </c>
      <c r="B910" s="118" t="n">
        <v>70.50389517482051</v>
      </c>
      <c r="C910" s="118" t="n">
        <v>71.20971088308849</v>
      </c>
      <c r="D910" s="118" t="n">
        <v>69.15028075760031</v>
      </c>
      <c r="E910" s="118" t="n">
        <v>69.47901916503906</v>
      </c>
      <c r="F910" s="119" t="n">
        <v>25202300</v>
      </c>
      <c r="G910" s="120" t="n">
        <v>-0.01548169024316759</v>
      </c>
      <c r="H910" s="121" t="n">
        <v>43.67546626150543</v>
      </c>
      <c r="I910" s="118" t="n">
        <v>72.0146516418457</v>
      </c>
      <c r="J910" s="118" t="n">
        <v>75.61675155639648</v>
      </c>
      <c r="K910" s="120" t="n">
        <v>0.2938233293134624</v>
      </c>
      <c r="L910" s="120" t="n">
        <v>-0.116205304056589</v>
      </c>
      <c r="M910" s="120" t="n">
        <v>-0.2739429114121048</v>
      </c>
      <c r="N910" t="n">
        <v>39.27805062890592</v>
      </c>
      <c r="O910" t="n">
        <v>-0.6171519206553979</v>
      </c>
      <c r="P910" t="n">
        <v>134.4340223763925</v>
      </c>
      <c r="Q910" t="n">
        <v>133.1840812087399</v>
      </c>
    </row>
    <row r="911">
      <c r="A911" s="117" t="n">
        <v>45737</v>
      </c>
      <c r="B911" s="118" t="n">
        <v>64.38362830243913</v>
      </c>
      <c r="C911" s="118" t="n">
        <v>66.45272912922914</v>
      </c>
      <c r="D911" s="118" t="n">
        <v>63.01067982177527</v>
      </c>
      <c r="E911" s="118" t="n">
        <v>65.68890380859375</v>
      </c>
      <c r="F911" s="119" t="n">
        <v>77287000</v>
      </c>
      <c r="G911" s="120" t="n">
        <v>-0.05455050174848253</v>
      </c>
      <c r="H911" s="121" t="n">
        <v>41.29294766284139</v>
      </c>
      <c r="I911" s="118" t="n">
        <v>71.94142181396484</v>
      </c>
      <c r="J911" s="118" t="n">
        <v>75.49544513702392</v>
      </c>
      <c r="K911" s="120" t="n">
        <v>0.3456250149365881</v>
      </c>
      <c r="L911" s="120" t="n">
        <v>-0.1644167481629495</v>
      </c>
      <c r="M911" s="120" t="n">
        <v>-0.3135496898926169</v>
      </c>
      <c r="N911" t="n">
        <v>30.86984315514896</v>
      </c>
      <c r="O911" t="n">
        <v>-0.8259061587235315</v>
      </c>
      <c r="P911" t="n">
        <v>134.4783710788018</v>
      </c>
      <c r="Q911" t="n">
        <v>133.6231655974923</v>
      </c>
    </row>
    <row r="912">
      <c r="A912" s="117" t="n">
        <v>45740</v>
      </c>
      <c r="B912" s="118" t="n">
        <v>66.28836708196621</v>
      </c>
      <c r="C912" s="118" t="n">
        <v>66.60743480795291</v>
      </c>
      <c r="D912" s="118" t="n">
        <v>64.48033138792071</v>
      </c>
      <c r="E912" s="118" t="n">
        <v>65.15713500976562</v>
      </c>
      <c r="F912" s="119" t="n">
        <v>26552500</v>
      </c>
      <c r="G912" s="120" t="n">
        <v>-0.008095260660424652</v>
      </c>
      <c r="H912" s="121" t="n">
        <v>40.95867048807342</v>
      </c>
      <c r="I912" s="118" t="n">
        <v>71.87294845581054</v>
      </c>
      <c r="J912" s="118" t="n">
        <v>75.3698600769043</v>
      </c>
      <c r="K912" s="120" t="n">
        <v>0.278303070229897</v>
      </c>
      <c r="L912" s="120" t="n">
        <v>-0.1711810123900557</v>
      </c>
      <c r="M912" s="120" t="n">
        <v>-0.3191066840833654</v>
      </c>
      <c r="N912" t="n">
        <v>29.90263907584861</v>
      </c>
      <c r="O912" t="n">
        <v>-0.9438014027937622</v>
      </c>
      <c r="P912" t="n">
        <v>136.8866753401218</v>
      </c>
      <c r="Q912" t="n">
        <v>136.5554243223636</v>
      </c>
    </row>
    <row r="913">
      <c r="A913" s="117" t="n">
        <v>45741</v>
      </c>
      <c r="B913" s="118" t="n">
        <v>65.3214894509585</v>
      </c>
      <c r="C913" s="118" t="n">
        <v>65.79525928235715</v>
      </c>
      <c r="D913" s="118" t="n">
        <v>64.04522614046996</v>
      </c>
      <c r="E913" s="118" t="n">
        <v>64.33528900146484</v>
      </c>
      <c r="F913" s="119" t="n">
        <v>17394100</v>
      </c>
      <c r="G913" s="120" t="n">
        <v>-0.0126132925914807</v>
      </c>
      <c r="H913" s="121" t="n">
        <v>40.4420467930493</v>
      </c>
      <c r="I913" s="118" t="n">
        <v>71.78976989746094</v>
      </c>
      <c r="J913" s="118" t="n">
        <v>75.24216678619385</v>
      </c>
      <c r="K913" s="120" t="n">
        <v>0.2606494722313108</v>
      </c>
      <c r="L913" s="120" t="n">
        <v>-0.1816351487861547</v>
      </c>
      <c r="M913" s="120" t="n">
        <v>-0.3052279228909778</v>
      </c>
      <c r="N913" t="n">
        <v>28.42056897315716</v>
      </c>
      <c r="O913" t="n">
        <v>-1.014928661677432</v>
      </c>
      <c r="P913" t="n">
        <v>137.2157412361689</v>
      </c>
      <c r="Q913" t="n">
        <v>137.3346897514055</v>
      </c>
    </row>
    <row r="914">
      <c r="A914" s="117" t="n">
        <v>45742</v>
      </c>
      <c r="B914" s="118" t="n">
        <v>64.18059203102551</v>
      </c>
      <c r="C914" s="118" t="n">
        <v>64.38363309949639</v>
      </c>
      <c r="D914" s="118" t="n">
        <v>62.79797271815708</v>
      </c>
      <c r="E914" s="118" t="n">
        <v>63.56179809570312</v>
      </c>
      <c r="F914" s="119" t="n">
        <v>18688300</v>
      </c>
      <c r="G914" s="120" t="n">
        <v>-0.01202280921974419</v>
      </c>
      <c r="H914" s="121" t="n">
        <v>39.9558197800005</v>
      </c>
      <c r="I914" s="118" t="n">
        <v>71.67419052124023</v>
      </c>
      <c r="J914" s="118" t="n">
        <v>75.1039359664917</v>
      </c>
      <c r="K914" s="120" t="n">
        <v>0.2604883481542662</v>
      </c>
      <c r="L914" s="120" t="n">
        <v>-0.1914741932644431</v>
      </c>
      <c r="M914" s="120" t="n">
        <v>-0.313581035025265</v>
      </c>
      <c r="N914" t="n">
        <v>27.06114524836337</v>
      </c>
      <c r="O914" t="n">
        <v>-1.047614907653089</v>
      </c>
      <c r="P914" t="n">
        <v>135.5776138081051</v>
      </c>
      <c r="Q914" t="n">
        <v>134.8076476826236</v>
      </c>
    </row>
    <row r="915">
      <c r="A915" s="117" t="n">
        <v>45743</v>
      </c>
      <c r="B915" s="118" t="n">
        <v>63.32975673595502</v>
      </c>
      <c r="C915" s="118" t="n">
        <v>64.8767416847182</v>
      </c>
      <c r="D915" s="118" t="n">
        <v>63.12671565298667</v>
      </c>
      <c r="E915" s="118" t="n">
        <v>63.61981964111328</v>
      </c>
      <c r="F915" s="119" t="n">
        <v>16435800</v>
      </c>
      <c r="G915" s="120" t="n">
        <v>0.000912836753340418</v>
      </c>
      <c r="H915" s="121" t="n">
        <v>39.99229292080553</v>
      </c>
      <c r="I915" s="118" t="n">
        <v>71.57727981567383</v>
      </c>
      <c r="J915" s="118" t="n">
        <v>74.9620408630371</v>
      </c>
      <c r="K915" s="120" t="n">
        <v>0.2628597858566765</v>
      </c>
      <c r="L915" s="120" t="n">
        <v>-0.1907361411920308</v>
      </c>
      <c r="M915" s="120" t="n">
        <v>-0.3129544465658463</v>
      </c>
      <c r="N915" t="n">
        <v>27.34189855888224</v>
      </c>
      <c r="O915" t="n">
        <v>-0.9990406960843223</v>
      </c>
      <c r="P915" t="n">
        <v>135.2175554744342</v>
      </c>
      <c r="Q915" t="n">
        <v>134.0395063171354</v>
      </c>
    </row>
    <row r="916">
      <c r="A916" s="117" t="n">
        <v>45744</v>
      </c>
      <c r="B916" s="118" t="n">
        <v>63.67782436232815</v>
      </c>
      <c r="C916" s="118" t="n">
        <v>63.67782436232815</v>
      </c>
      <c r="D916" s="118" t="n">
        <v>61.04794646387535</v>
      </c>
      <c r="E916" s="118" t="n">
        <v>61.19297790527344</v>
      </c>
      <c r="F916" s="119" t="n">
        <v>19600300</v>
      </c>
      <c r="G916" s="120" t="n">
        <v>-0.03814600150597625</v>
      </c>
      <c r="H916" s="121" t="n">
        <v>38.46674685482105</v>
      </c>
      <c r="I916" s="118" t="n">
        <v>71.43375610351562</v>
      </c>
      <c r="J916" s="118" t="n">
        <v>74.81063198089599</v>
      </c>
      <c r="K916" s="120" t="n">
        <v>0.2817995485842391</v>
      </c>
      <c r="L916" s="120" t="n">
        <v>-0.2216063215688515</v>
      </c>
      <c r="M916" s="120" t="n">
        <v>-0.3391624872818197</v>
      </c>
      <c r="N916" t="n">
        <v>23.30179759869125</v>
      </c>
      <c r="O916" t="n">
        <v>-1.058381498123038</v>
      </c>
      <c r="P916" t="n">
        <v>132.4945008715886</v>
      </c>
      <c r="Q916" t="n">
        <v>130.5105381278562</v>
      </c>
    </row>
    <row r="917">
      <c r="A917" s="117" t="n">
        <v>45747</v>
      </c>
      <c r="B917" s="118" t="n">
        <v>60.75788833880252</v>
      </c>
      <c r="C917" s="118" t="n">
        <v>61.86978624028472</v>
      </c>
      <c r="D917" s="118" t="n">
        <v>60.57418503966059</v>
      </c>
      <c r="E917" s="118" t="n">
        <v>61.37668228149414</v>
      </c>
      <c r="F917" s="119" t="n">
        <v>17400000</v>
      </c>
      <c r="G917" s="120" t="n">
        <v>0.003002049949343499</v>
      </c>
      <c r="H917" s="121" t="n">
        <v>38.58222595026797</v>
      </c>
      <c r="I917" s="118" t="n">
        <v>71.29313697814942</v>
      </c>
      <c r="J917" s="118" t="n">
        <v>74.66076097488403</v>
      </c>
      <c r="K917" s="120" t="n">
        <v>0.285954686279715</v>
      </c>
      <c r="L917" s="120" t="n">
        <v>-0.2192695448659481</v>
      </c>
      <c r="M917" s="120" t="n">
        <v>-0.3371786200602398</v>
      </c>
      <c r="N917" t="n">
        <v>24.21467280287727</v>
      </c>
      <c r="O917" t="n">
        <v>-1.013239377448017</v>
      </c>
      <c r="P917" t="n">
        <v>133.3838952815712</v>
      </c>
      <c r="Q917" t="n">
        <v>130.5049846399069</v>
      </c>
    </row>
    <row r="918">
      <c r="A918" s="117" t="n">
        <v>45748</v>
      </c>
      <c r="B918" s="118" t="n">
        <v>61.71509074189338</v>
      </c>
      <c r="C918" s="118" t="n">
        <v>63.00102496304031</v>
      </c>
      <c r="D918" s="118" t="n">
        <v>61.2026489865514</v>
      </c>
      <c r="E918" s="118" t="n">
        <v>62.61427688598633</v>
      </c>
      <c r="F918" s="119" t="n">
        <v>13489500</v>
      </c>
      <c r="G918" s="120" t="n">
        <v>0.02016392151690716</v>
      </c>
      <c r="H918" s="121" t="n">
        <v>39.36019492627675</v>
      </c>
      <c r="I918" s="118" t="n">
        <v>71.18246475219726</v>
      </c>
      <c r="J918" s="118" t="n">
        <v>74.52751178741455</v>
      </c>
      <c r="K918" s="120" t="n">
        <v>0.3052570380470452</v>
      </c>
      <c r="L918" s="120" t="n">
        <v>-0.2035269572427659</v>
      </c>
      <c r="M918" s="120" t="n">
        <v>-0.3238135417754064</v>
      </c>
      <c r="N918" t="n">
        <v>30.23866750477939</v>
      </c>
      <c r="O918" t="n">
        <v>-0.8354096197592078</v>
      </c>
      <c r="P918" t="n">
        <v>133.7606452566481</v>
      </c>
      <c r="Q918" t="n">
        <v>131.5569861340515</v>
      </c>
    </row>
    <row r="919">
      <c r="A919" s="117" t="n">
        <v>45749</v>
      </c>
      <c r="B919" s="118" t="n">
        <v>62.16951209141086</v>
      </c>
      <c r="C919" s="118" t="n">
        <v>63.2330636496022</v>
      </c>
      <c r="D919" s="118" t="n">
        <v>62.03415138636498</v>
      </c>
      <c r="E919" s="118" t="n">
        <v>62.80764007568359</v>
      </c>
      <c r="F919" s="119" t="n">
        <v>11161400</v>
      </c>
      <c r="G919" s="120" t="n">
        <v>0.003088164541920069</v>
      </c>
      <c r="H919" s="121" t="n">
        <v>39.48174568461113</v>
      </c>
      <c r="I919" s="118" t="n">
        <v>71.03083053588867</v>
      </c>
      <c r="J919" s="118" t="n">
        <v>74.39284721374511</v>
      </c>
      <c r="K919" s="120" t="n">
        <v>0.303353780795542</v>
      </c>
      <c r="L919" s="120" t="n">
        <v>-0.2010673174335279</v>
      </c>
      <c r="M919" s="120" t="n">
        <v>-0.3217253667313908</v>
      </c>
      <c r="N919" t="n">
        <v>31.15938055395085</v>
      </c>
      <c r="O919" t="n">
        <v>-0.6484722933924472</v>
      </c>
      <c r="P919" t="n">
        <v>134.6071225196735</v>
      </c>
      <c r="Q919" t="n">
        <v>132.5171500251703</v>
      </c>
    </row>
    <row r="920">
      <c r="A920" s="117" t="n">
        <v>45750</v>
      </c>
      <c r="B920" s="118" t="n">
        <v>54.50226319387175</v>
      </c>
      <c r="C920" s="118" t="n">
        <v>56.73572612115413</v>
      </c>
      <c r="D920" s="118" t="n">
        <v>53.56440520342923</v>
      </c>
      <c r="E920" s="118" t="n">
        <v>53.73844146728516</v>
      </c>
      <c r="F920" s="119" t="n">
        <v>71499500</v>
      </c>
      <c r="G920" s="120" t="n">
        <v>-0.144396423706893</v>
      </c>
      <c r="H920" s="121" t="n">
        <v>33.78072280604823</v>
      </c>
      <c r="I920" s="118" t="n">
        <v>70.68107360839844</v>
      </c>
      <c r="J920" s="118" t="n">
        <v>74.2166004562378</v>
      </c>
      <c r="K920" s="120" t="n">
        <v>0.5670291959571704</v>
      </c>
      <c r="L920" s="120" t="n">
        <v>-0.3164303395786808</v>
      </c>
      <c r="M920" s="120" t="n">
        <v>-0.4196657980664823</v>
      </c>
      <c r="N920" t="n">
        <v>18.69596264977152</v>
      </c>
      <c r="O920" t="n">
        <v>-1.055263138360797</v>
      </c>
      <c r="P920" t="n">
        <v>127.9735897204874</v>
      </c>
      <c r="Q920" t="n">
        <v>125.4230305366653</v>
      </c>
    </row>
    <row r="921">
      <c r="A921" s="117" t="n">
        <v>45751</v>
      </c>
      <c r="B921" s="118" t="n">
        <v>51.45663306843408</v>
      </c>
      <c r="C921" s="118" t="n">
        <v>57.25783170295237</v>
      </c>
      <c r="D921" s="118" t="n">
        <v>50.760488052035</v>
      </c>
      <c r="E921" s="118" t="n">
        <v>55.35310363769531</v>
      </c>
      <c r="F921" s="119" t="n">
        <v>67775700</v>
      </c>
      <c r="G921" s="120" t="n">
        <v>0.03004668774015573</v>
      </c>
      <c r="H921" s="121" t="n">
        <v>34.79572163583832</v>
      </c>
      <c r="I921" s="118" t="n">
        <v>70.35879989624023</v>
      </c>
      <c r="J921" s="118" t="n">
        <v>74.04075645446777</v>
      </c>
      <c r="K921" s="120" t="n">
        <v>0.5826587752889231</v>
      </c>
      <c r="L921" s="120" t="n">
        <v>-0.2958913354433572</v>
      </c>
      <c r="M921" s="120" t="n">
        <v>-0.4022286775160534</v>
      </c>
      <c r="N921" t="n">
        <v>24.48713798383416</v>
      </c>
      <c r="O921" t="n">
        <v>-1.128642456805821</v>
      </c>
      <c r="P921" t="n">
        <v>120.4816328114872</v>
      </c>
      <c r="Q921" t="n">
        <v>117.6331529902202</v>
      </c>
    </row>
    <row r="922">
      <c r="A922" s="117" t="n">
        <v>45754</v>
      </c>
      <c r="B922" s="118" t="n">
        <v>53.56440353850915</v>
      </c>
      <c r="C922" s="118" t="n">
        <v>55.28542466280955</v>
      </c>
      <c r="D922" s="118" t="n">
        <v>51.63067061204028</v>
      </c>
      <c r="E922" s="118" t="n">
        <v>53.7674446105957</v>
      </c>
      <c r="F922" s="119" t="n">
        <v>45374400</v>
      </c>
      <c r="G922" s="120" t="n">
        <v>-0.02864625328831205</v>
      </c>
      <c r="H922" s="121" t="n">
        <v>33.79895458050849</v>
      </c>
      <c r="I922" s="118" t="n">
        <v>70.01866584777832</v>
      </c>
      <c r="J922" s="118" t="n">
        <v>73.85803232192993</v>
      </c>
      <c r="K922" s="120" t="n">
        <v>0.5828933114787415</v>
      </c>
      <c r="L922" s="120" t="n">
        <v>-0.316061410590742</v>
      </c>
      <c r="M922" s="120" t="n">
        <v>-0.4193525862284179</v>
      </c>
      <c r="N922" t="n">
        <v>22.77174462702783</v>
      </c>
      <c r="O922" t="n">
        <v>-1.190863842385465</v>
      </c>
      <c r="P922" t="n">
        <v>120.2670323183975</v>
      </c>
      <c r="Q922" t="n">
        <v>117.9170302065318</v>
      </c>
    </row>
    <row r="923">
      <c r="A923" s="117" t="n">
        <v>45755</v>
      </c>
      <c r="B923" s="118" t="n">
        <v>56.82274385583447</v>
      </c>
      <c r="C923" s="118" t="n">
        <v>56.82274385583447</v>
      </c>
      <c r="D923" s="118" t="n">
        <v>50.63479686673546</v>
      </c>
      <c r="E923" s="118" t="n">
        <v>51.50497817993164</v>
      </c>
      <c r="F923" s="119" t="n">
        <v>30404300</v>
      </c>
      <c r="G923" s="120" t="n">
        <v>-0.0420787420166554</v>
      </c>
      <c r="H923" s="121" t="n">
        <v>32.37673709028262</v>
      </c>
      <c r="I923" s="118" t="n">
        <v>69.59461013793945</v>
      </c>
      <c r="J923" s="118" t="n">
        <v>73.66023208618164</v>
      </c>
      <c r="K923" s="120" t="n">
        <v>0.5888011841334482</v>
      </c>
      <c r="L923" s="120" t="n">
        <v>-0.3448406860497293</v>
      </c>
      <c r="M923" s="120" t="n">
        <v>-0.4437854989551504</v>
      </c>
      <c r="N923" t="n">
        <v>20.55875430386411</v>
      </c>
      <c r="O923" t="n">
        <v>-1.283307951728315</v>
      </c>
      <c r="P923" t="n">
        <v>118.383319338772</v>
      </c>
      <c r="Q923" t="n">
        <v>115.7935216597993</v>
      </c>
    </row>
    <row r="924">
      <c r="A924" s="117" t="n">
        <v>45756</v>
      </c>
      <c r="B924" s="118" t="n">
        <v>51.51464108126444</v>
      </c>
      <c r="C924" s="118" t="n">
        <v>57.57689390711411</v>
      </c>
      <c r="D924" s="118" t="n">
        <v>50.7411486918751</v>
      </c>
      <c r="E924" s="118" t="n">
        <v>57.35451507568359</v>
      </c>
      <c r="F924" s="119" t="n">
        <v>44732500</v>
      </c>
      <c r="G924" s="120" t="n">
        <v>0.1135722623804774</v>
      </c>
      <c r="H924" s="121" t="n">
        <v>36.05383637012394</v>
      </c>
      <c r="I924" s="118" t="n">
        <v>69.31044067382813</v>
      </c>
      <c r="J924" s="118" t="n">
        <v>73.48400901794433</v>
      </c>
      <c r="K924" s="120" t="n">
        <v>0.7468457989051568</v>
      </c>
      <c r="L924" s="120" t="n">
        <v>-0.2704327605447555</v>
      </c>
      <c r="M924" s="120" t="n">
        <v>-0.3806149597026585</v>
      </c>
      <c r="N924" t="n">
        <v>37.47674597445683</v>
      </c>
      <c r="O924" t="n">
        <v>-0.8692349862646016</v>
      </c>
      <c r="P924" t="n">
        <v>130.8158471417557</v>
      </c>
      <c r="Q924" t="n">
        <v>129.6923128448931</v>
      </c>
    </row>
    <row r="925">
      <c r="A925" s="117" t="n">
        <v>45757</v>
      </c>
      <c r="B925" s="118" t="n">
        <v>55.33376420208918</v>
      </c>
      <c r="C925" s="118" t="n">
        <v>55.35310197288564</v>
      </c>
      <c r="D925" s="118" t="n">
        <v>50.54777473489531</v>
      </c>
      <c r="E925" s="118" t="n">
        <v>52.5975341796875</v>
      </c>
      <c r="F925" s="119" t="n">
        <v>53919800</v>
      </c>
      <c r="G925" s="120" t="n">
        <v>-0.08293995494023265</v>
      </c>
      <c r="H925" s="121" t="n">
        <v>33.06353280616334</v>
      </c>
      <c r="I925" s="118" t="n">
        <v>68.88899627685547</v>
      </c>
      <c r="J925" s="118" t="n">
        <v>73.28404865264892</v>
      </c>
      <c r="K925" s="120" t="n">
        <v>0.7909830324779065</v>
      </c>
      <c r="L925" s="120" t="n">
        <v>-0.3309430345110435</v>
      </c>
      <c r="M925" s="120" t="n">
        <v>-0.4319867270355742</v>
      </c>
      <c r="N925" t="n">
        <v>31.5857518871761</v>
      </c>
      <c r="O925" t="n">
        <v>-0.8342953445992749</v>
      </c>
      <c r="P925" t="n">
        <v>125.0836334618856</v>
      </c>
      <c r="Q925" t="n">
        <v>124.1762126852602</v>
      </c>
    </row>
    <row r="926">
      <c r="A926" s="117" t="n">
        <v>45758</v>
      </c>
      <c r="B926" s="118" t="n">
        <v>52.59753846715427</v>
      </c>
      <c r="C926" s="118" t="n">
        <v>53.20666169953303</v>
      </c>
      <c r="D926" s="118" t="n">
        <v>51.10856318917805</v>
      </c>
      <c r="E926" s="118" t="n">
        <v>52.58786773681641</v>
      </c>
      <c r="F926" s="119" t="n">
        <v>22617100</v>
      </c>
      <c r="G926" s="120" t="n">
        <v>-0.0001837812935882033</v>
      </c>
      <c r="H926" s="121" t="n">
        <v>33.05745634733363</v>
      </c>
      <c r="I926" s="118" t="n">
        <v>68.4336882019043</v>
      </c>
      <c r="J926" s="118" t="n">
        <v>73.09556949615478</v>
      </c>
      <c r="K926" s="120" t="n">
        <v>0.7923147310982601</v>
      </c>
      <c r="L926" s="120" t="n">
        <v>-0.3310659946656452</v>
      </c>
      <c r="M926" s="120" t="n">
        <v>-0.4320911172496549</v>
      </c>
      <c r="N926" t="n">
        <v>31.57489041913858</v>
      </c>
      <c r="O926" t="n">
        <v>-0.7339566733516261</v>
      </c>
      <c r="P926" t="n">
        <v>127.3154874450005</v>
      </c>
      <c r="Q926" t="n">
        <v>126.4639165110837</v>
      </c>
    </row>
    <row r="927">
      <c r="A927" s="117" t="n">
        <v>45761</v>
      </c>
      <c r="B927" s="118" t="n">
        <v>53.79644881824925</v>
      </c>
      <c r="C927" s="118" t="n">
        <v>54.81165785554909</v>
      </c>
      <c r="D927" s="118" t="n">
        <v>52.85858717921941</v>
      </c>
      <c r="E927" s="118" t="n">
        <v>53.57406997680664</v>
      </c>
      <c r="F927" s="119" t="n">
        <v>28346600</v>
      </c>
      <c r="G927" s="120" t="n">
        <v>0.01875341751686577</v>
      </c>
      <c r="H927" s="121" t="n">
        <v>33.67739662826074</v>
      </c>
      <c r="I927" s="118" t="n">
        <v>68.02561744689942</v>
      </c>
      <c r="J927" s="118" t="n">
        <v>72.91530881881714</v>
      </c>
      <c r="K927" s="120" t="n">
        <v>0.7863844410567441</v>
      </c>
      <c r="L927" s="120" t="n">
        <v>-0.3185211959723807</v>
      </c>
      <c r="M927" s="120" t="n">
        <v>-0.4214408848599008</v>
      </c>
      <c r="N927" t="n">
        <v>34.06598828285121</v>
      </c>
      <c r="O927" t="n">
        <v>-0.5326602277680061</v>
      </c>
      <c r="P927" t="n">
        <v>128.5506246341325</v>
      </c>
      <c r="Q927" t="n">
        <v>127.321118735623</v>
      </c>
    </row>
    <row r="928">
      <c r="A928" s="117" t="n">
        <v>45762</v>
      </c>
      <c r="B928" s="118" t="n">
        <v>52.86825895922033</v>
      </c>
      <c r="C928" s="118" t="n">
        <v>53.55473326882557</v>
      </c>
      <c r="D928" s="118" t="n">
        <v>52.37515499328206</v>
      </c>
      <c r="E928" s="118" t="n">
        <v>53.01329040527344</v>
      </c>
      <c r="F928" s="119" t="n">
        <v>15977100</v>
      </c>
      <c r="G928" s="120" t="n">
        <v>-0.01046736922873281</v>
      </c>
      <c r="H928" s="121" t="n">
        <v>33.32488288309025</v>
      </c>
      <c r="I928" s="118" t="n">
        <v>67.61229560852051</v>
      </c>
      <c r="J928" s="118" t="n">
        <v>72.73162485122681</v>
      </c>
      <c r="K928" s="120" t="n">
        <v>0.7859292240305699</v>
      </c>
      <c r="L928" s="120" t="n">
        <v>-0.325654486235693</v>
      </c>
      <c r="M928" s="120" t="n">
        <v>-0.4274968767387212</v>
      </c>
      <c r="N928" t="n">
        <v>33.32308651541734</v>
      </c>
      <c r="O928" t="n">
        <v>-0.3761484221864748</v>
      </c>
      <c r="P928" t="n">
        <v>128.1905663004616</v>
      </c>
      <c r="Q928" t="n">
        <v>127.4630487999512</v>
      </c>
    </row>
    <row r="929">
      <c r="A929" s="117" t="n">
        <v>45763</v>
      </c>
      <c r="B929" s="118" t="n">
        <v>52.90693532262429</v>
      </c>
      <c r="C929" s="118" t="n">
        <v>53.32268820689207</v>
      </c>
      <c r="D929" s="118" t="n">
        <v>51.57265853850205</v>
      </c>
      <c r="E929" s="118" t="n">
        <v>51.77569961547852</v>
      </c>
      <c r="F929" s="119" t="n">
        <v>19094900</v>
      </c>
      <c r="G929" s="120" t="n">
        <v>-0.02334491559255891</v>
      </c>
      <c r="H929" s="121" t="n">
        <v>32.5469163050526</v>
      </c>
      <c r="I929" s="118" t="n">
        <v>67.17172073364257</v>
      </c>
      <c r="J929" s="118" t="n">
        <v>72.6314172744751</v>
      </c>
      <c r="K929" s="120" t="n">
        <v>0.7859798358655504</v>
      </c>
      <c r="L929" s="120" t="n">
        <v>-0.3413970253347416</v>
      </c>
      <c r="M929" s="120" t="n">
        <v>-0.4408619138277321</v>
      </c>
      <c r="N929" t="n">
        <v>31.68106178071056</v>
      </c>
      <c r="O929" t="n">
        <v>-0.2982465612615668</v>
      </c>
      <c r="P929" t="n">
        <v>125.3411363436289</v>
      </c>
      <c r="Q929" t="n">
        <v>123.6195908600184</v>
      </c>
    </row>
    <row r="930">
      <c r="A930" s="117" t="n">
        <v>45764</v>
      </c>
      <c r="B930" s="118" t="n">
        <v>52.03675218108553</v>
      </c>
      <c r="C930" s="118" t="n">
        <v>54.16385911435237</v>
      </c>
      <c r="D930" s="118" t="n">
        <v>51.87238665453767</v>
      </c>
      <c r="E930" s="118" t="n">
        <v>53.91247177124023</v>
      </c>
      <c r="F930" s="119" t="n">
        <v>18935100</v>
      </c>
      <c r="G930" s="120" t="n">
        <v>0.0412697881753572</v>
      </c>
      <c r="H930" s="121" t="n">
        <v>33.8901206467232</v>
      </c>
      <c r="I930" s="118" t="n">
        <v>66.81524726867676</v>
      </c>
      <c r="J930" s="118" t="n">
        <v>72.53493764877319</v>
      </c>
      <c r="K930" s="120" t="n">
        <v>0.810168474664787</v>
      </c>
      <c r="L930" s="120" t="n">
        <v>-0.3142166200786463</v>
      </c>
      <c r="M930" s="120" t="n">
        <v>-0.417786403450628</v>
      </c>
      <c r="N930" t="n">
        <v>37.41521229017621</v>
      </c>
      <c r="O930" t="n">
        <v>-0.0576759106956235</v>
      </c>
      <c r="P930" t="n">
        <v>125.5199627087185</v>
      </c>
      <c r="Q930" t="n">
        <v>123.5973256452556</v>
      </c>
    </row>
    <row r="931">
      <c r="A931" s="117" t="n">
        <v>45768</v>
      </c>
      <c r="B931" s="118" t="n">
        <v>53.40003327791428</v>
      </c>
      <c r="C931" s="118" t="n">
        <v>54.49259339273533</v>
      </c>
      <c r="D931" s="118" t="n">
        <v>51.72735477181455</v>
      </c>
      <c r="E931" s="118" t="n">
        <v>54.26054382324219</v>
      </c>
      <c r="F931" s="119" t="n">
        <v>17280900</v>
      </c>
      <c r="G931" s="120" t="n">
        <v>0.006456243621677737</v>
      </c>
      <c r="H931" s="121" t="n">
        <v>34.1089235219865</v>
      </c>
      <c r="I931" s="118" t="n">
        <v>66.52018424987793</v>
      </c>
      <c r="J931" s="118" t="n">
        <v>72.44396226882935</v>
      </c>
      <c r="K931" s="120" t="n">
        <v>0.795820982334799</v>
      </c>
      <c r="L931" s="120" t="n">
        <v>-0.3097890355061763</v>
      </c>
      <c r="M931" s="120" t="n">
        <v>-0.4140274906314521</v>
      </c>
      <c r="N931" t="n">
        <v>38.32333489096002</v>
      </c>
      <c r="O931" t="n">
        <v>0.1582220679471043</v>
      </c>
      <c r="P931" t="n">
        <v>122.5322622051725</v>
      </c>
      <c r="Q931" t="n">
        <v>120.5386951661417</v>
      </c>
    </row>
    <row r="932">
      <c r="A932" s="117" t="n">
        <v>45769</v>
      </c>
      <c r="B932" s="118" t="n">
        <v>54.77298796403282</v>
      </c>
      <c r="C932" s="118" t="n">
        <v>56.16527437752787</v>
      </c>
      <c r="D932" s="118" t="n">
        <v>54.37657285189377</v>
      </c>
      <c r="E932" s="118" t="n">
        <v>55.16940307617188</v>
      </c>
      <c r="F932" s="119" t="n">
        <v>16852200</v>
      </c>
      <c r="G932" s="120" t="n">
        <v>0.01674991050385266</v>
      </c>
      <c r="H932" s="121" t="n">
        <v>34.68024493836253</v>
      </c>
      <c r="I932" s="118" t="n">
        <v>66.30217247009277</v>
      </c>
      <c r="J932" s="118" t="n">
        <v>72.36134260177613</v>
      </c>
      <c r="K932" s="120" t="n">
        <v>0.8007701520289663</v>
      </c>
      <c r="L932" s="120" t="n">
        <v>-0.2982280636221269</v>
      </c>
      <c r="M932" s="120" t="n">
        <v>-0.4042125035418108</v>
      </c>
      <c r="N932" t="n">
        <v>40.74124626021057</v>
      </c>
      <c r="O932" t="n">
        <v>0.3827654739866695</v>
      </c>
      <c r="P932" t="n">
        <v>125.7202624055903</v>
      </c>
      <c r="Q932" t="n">
        <v>123.7030896872926</v>
      </c>
    </row>
    <row r="933">
      <c r="A933" s="117" t="n">
        <v>45770</v>
      </c>
      <c r="B933" s="118" t="n">
        <v>57.04511991270665</v>
      </c>
      <c r="C933" s="118" t="n">
        <v>57.23849393820689</v>
      </c>
      <c r="D933" s="118" t="n">
        <v>54.82132784021084</v>
      </c>
      <c r="E933" s="118" t="n">
        <v>55.48846435546875</v>
      </c>
      <c r="F933" s="119" t="n">
        <v>21660300</v>
      </c>
      <c r="G933" s="120" t="n">
        <v>0.00578330127763671</v>
      </c>
      <c r="H933" s="121" t="n">
        <v>34.88081124322331</v>
      </c>
      <c r="I933" s="118" t="n">
        <v>66.04705955505371</v>
      </c>
      <c r="J933" s="118" t="n">
        <v>72.27941297531127</v>
      </c>
      <c r="K933" s="120" t="n">
        <v>0.8017343528684034</v>
      </c>
      <c r="L933" s="120" t="n">
        <v>-0.2941695050858633</v>
      </c>
      <c r="M933" s="120" t="n">
        <v>-0.4007668849523442</v>
      </c>
      <c r="N933" t="n">
        <v>41.60670158503166</v>
      </c>
      <c r="O933" t="n">
        <v>0.5624448013014876</v>
      </c>
      <c r="P933" t="n">
        <v>127.6683584848034</v>
      </c>
      <c r="Q933" t="n">
        <v>126.5084469406092</v>
      </c>
    </row>
    <row r="934">
      <c r="A934" s="117" t="n">
        <v>45771</v>
      </c>
      <c r="B934" s="118" t="n">
        <v>55.89455200400089</v>
      </c>
      <c r="C934" s="118" t="n">
        <v>56.75506257287309</v>
      </c>
      <c r="D934" s="118" t="n">
        <v>55.23708250880131</v>
      </c>
      <c r="E934" s="118" t="n">
        <v>56.54235076904297</v>
      </c>
      <c r="F934" s="119" t="n">
        <v>14508500</v>
      </c>
      <c r="G934" s="120" t="n">
        <v>0.01899289205091059</v>
      </c>
      <c r="H934" s="121" t="n">
        <v>35.54329872581404</v>
      </c>
      <c r="I934" s="118" t="n">
        <v>65.80532875061036</v>
      </c>
      <c r="J934" s="118" t="n">
        <v>72.21409185409546</v>
      </c>
      <c r="K934" s="120" t="n">
        <v>0.8062527816399525</v>
      </c>
      <c r="L934" s="120" t="n">
        <v>-0.2807637426897183</v>
      </c>
      <c r="M934" s="120" t="n">
        <v>-0.3893857150849133</v>
      </c>
      <c r="N934" t="n">
        <v>44.49049333571254</v>
      </c>
      <c r="O934" t="n">
        <v>0.7501980039004477</v>
      </c>
      <c r="P934" t="n">
        <v>130.3556537179525</v>
      </c>
      <c r="Q934" t="n">
        <v>130.0680276642305</v>
      </c>
    </row>
    <row r="935">
      <c r="A935" s="117" t="n">
        <v>45772</v>
      </c>
      <c r="B935" s="118" t="n">
        <v>56.28129732211802</v>
      </c>
      <c r="C935" s="118" t="n">
        <v>56.31997286679007</v>
      </c>
      <c r="D935" s="118" t="n">
        <v>54.73431241826557</v>
      </c>
      <c r="E935" s="118" t="n">
        <v>55.71084594726562</v>
      </c>
      <c r="F935" s="119" t="n">
        <v>17156000</v>
      </c>
      <c r="G935" s="120" t="n">
        <v>-0.01470587640004162</v>
      </c>
      <c r="H935" s="121" t="n">
        <v>35.02060336790247</v>
      </c>
      <c r="I935" s="118" t="n">
        <v>65.52926673889161</v>
      </c>
      <c r="J935" s="118" t="n">
        <v>72.14742418289184</v>
      </c>
      <c r="K935" s="120" t="n">
        <v>0.8067499115372807</v>
      </c>
      <c r="L935" s="120" t="n">
        <v>-0.2913407421921517</v>
      </c>
      <c r="M935" s="120" t="n">
        <v>-0.3983653332869743</v>
      </c>
      <c r="N935" t="n">
        <v>42.69876623117837</v>
      </c>
      <c r="O935" t="n">
        <v>0.8111383049600738</v>
      </c>
      <c r="P935" t="n">
        <v>131.2975138973412</v>
      </c>
      <c r="Q935" t="n">
        <v>131.5180091924751</v>
      </c>
    </row>
    <row r="936">
      <c r="A936" s="117" t="n">
        <v>45775</v>
      </c>
      <c r="B936" s="118" t="n">
        <v>55.8171996921528</v>
      </c>
      <c r="C936" s="118" t="n">
        <v>56.15560516249049</v>
      </c>
      <c r="D936" s="118" t="n">
        <v>54.91801359897119</v>
      </c>
      <c r="E936" s="118" t="n">
        <v>55.41111755371094</v>
      </c>
      <c r="F936" s="119" t="n">
        <v>13321200</v>
      </c>
      <c r="G936" s="120" t="n">
        <v>-0.005380072559630578</v>
      </c>
      <c r="H936" s="121" t="n">
        <v>34.83218998070111</v>
      </c>
      <c r="I936" s="118" t="n">
        <v>65.22893241882325</v>
      </c>
      <c r="J936" s="118" t="n">
        <v>72.07887666702271</v>
      </c>
      <c r="K936" s="120" t="n">
        <v>0.7974140941655792</v>
      </c>
      <c r="L936" s="120" t="n">
        <v>-0.2951533804192118</v>
      </c>
      <c r="M936" s="120" t="n">
        <v>-0.4016021714482795</v>
      </c>
      <c r="N936" t="n">
        <v>42.04151591044344</v>
      </c>
      <c r="O936" t="n">
        <v>0.8214881258774476</v>
      </c>
      <c r="P936" t="n">
        <v>131.3475740632555</v>
      </c>
      <c r="Q936" t="n">
        <v>131.4762725945795</v>
      </c>
    </row>
    <row r="937">
      <c r="A937" s="117" t="n">
        <v>45776</v>
      </c>
      <c r="B937" s="118" t="n">
        <v>55.11139035171986</v>
      </c>
      <c r="C937" s="118" t="n">
        <v>55.82687318264813</v>
      </c>
      <c r="D937" s="118" t="n">
        <v>54.86000668524954</v>
      </c>
      <c r="E937" s="118" t="n">
        <v>55.63349914550781</v>
      </c>
      <c r="F937" s="119" t="n">
        <v>12968000</v>
      </c>
      <c r="G937" s="120" t="n">
        <v>0.004013302774146688</v>
      </c>
      <c r="H937" s="121" t="n">
        <v>34.97198210538026</v>
      </c>
      <c r="I937" s="118" t="n">
        <v>64.93631660461426</v>
      </c>
      <c r="J937" s="118" t="n">
        <v>72.00739141464233</v>
      </c>
      <c r="K937" s="120" t="n">
        <v>0.7975351146263634</v>
      </c>
      <c r="L937" s="120" t="n">
        <v>-0.2923246175255004</v>
      </c>
      <c r="M937" s="120" t="n">
        <v>-0.3992006197829095</v>
      </c>
      <c r="N937" t="n">
        <v>42.74568880901484</v>
      </c>
      <c r="O937" t="n">
        <v>0.8310337611395457</v>
      </c>
      <c r="P937" t="n">
        <v>132.174998356294</v>
      </c>
      <c r="Q937" t="n">
        <v>132.3445988826726</v>
      </c>
    </row>
    <row r="938">
      <c r="A938" s="117" t="n">
        <v>45777</v>
      </c>
      <c r="B938" s="118" t="n">
        <v>54.00916030703463</v>
      </c>
      <c r="C938" s="118" t="n">
        <v>54.71497237058475</v>
      </c>
      <c r="D938" s="118" t="n">
        <v>52.93593796098484</v>
      </c>
      <c r="E938" s="118" t="n">
        <v>54.53126907348633</v>
      </c>
      <c r="F938" s="119" t="n">
        <v>17205900</v>
      </c>
      <c r="G938" s="120" t="n">
        <v>-0.01981234488124917</v>
      </c>
      <c r="H938" s="121" t="n">
        <v>34.27910513472759</v>
      </c>
      <c r="I938" s="118" t="n">
        <v>64.53411453247071</v>
      </c>
      <c r="J938" s="118" t="n">
        <v>71.93025215148926</v>
      </c>
      <c r="K938" s="120" t="n">
        <v>0.7943123254158705</v>
      </c>
      <c r="L938" s="120" t="n">
        <v>-0.3063453262670552</v>
      </c>
      <c r="M938" s="120" t="n">
        <v>-0.4111038643082113</v>
      </c>
      <c r="N938" t="n">
        <v>40.14239225602613</v>
      </c>
      <c r="O938" t="n">
        <v>0.7531472345457262</v>
      </c>
      <c r="P938" t="n">
        <v>132.2274493673965</v>
      </c>
      <c r="Q938" t="n">
        <v>132.3279042435143</v>
      </c>
    </row>
    <row r="939">
      <c r="A939" s="117" t="n">
        <v>45778</v>
      </c>
      <c r="B939" s="118" t="n">
        <v>54.8019899137914</v>
      </c>
      <c r="C939" s="118" t="n">
        <v>55.31442794485995</v>
      </c>
      <c r="D939" s="118" t="n">
        <v>54.39590409255948</v>
      </c>
      <c r="E939" s="118" t="n">
        <v>54.87933731079102</v>
      </c>
      <c r="F939" s="119" t="n">
        <v>10527000</v>
      </c>
      <c r="G939" s="120" t="n">
        <v>0.006382911001679314</v>
      </c>
      <c r="H939" s="121" t="n">
        <v>34.49790561201976</v>
      </c>
      <c r="I939" s="118" t="n">
        <v>64.15445808410645</v>
      </c>
      <c r="J939" s="118" t="n">
        <v>71.86490591049194</v>
      </c>
      <c r="K939" s="120" t="n">
        <v>0.7948795791895558</v>
      </c>
      <c r="L939" s="120" t="n">
        <v>-0.3019177902187189</v>
      </c>
      <c r="M939" s="120" t="n">
        <v>-0.4073449926848578</v>
      </c>
      <c r="N939" t="n">
        <v>41.35696788463889</v>
      </c>
      <c r="O939" t="n">
        <v>0.715380938214853</v>
      </c>
      <c r="P939" t="n">
        <v>133.1645278564089</v>
      </c>
      <c r="Q939" t="n">
        <v>134.0562009562937</v>
      </c>
    </row>
    <row r="940">
      <c r="A940" s="117" t="n">
        <v>45779</v>
      </c>
      <c r="B940" s="118" t="n">
        <v>55.9525595159093</v>
      </c>
      <c r="C940" s="118" t="n">
        <v>56.75506042670185</v>
      </c>
      <c r="D940" s="118" t="n">
        <v>55.41111667325674</v>
      </c>
      <c r="E940" s="118" t="n">
        <v>56.64870452880859</v>
      </c>
      <c r="F940" s="119" t="n">
        <v>14723900</v>
      </c>
      <c r="G940" s="120" t="n">
        <v>0.03224104562337105</v>
      </c>
      <c r="H940" s="121" t="n">
        <v>35.61015416076764</v>
      </c>
      <c r="I940" s="118" t="n">
        <v>63.8015308380127</v>
      </c>
      <c r="J940" s="118" t="n">
        <v>71.80126001358032</v>
      </c>
      <c r="K940" s="120" t="n">
        <v>0.6116726387577721</v>
      </c>
      <c r="L940" s="120" t="n">
        <v>-0.2794108898442969</v>
      </c>
      <c r="M940" s="120" t="n">
        <v>-0.3882371755550911</v>
      </c>
      <c r="N940" t="n">
        <v>47.21988560955952</v>
      </c>
      <c r="O940" t="n">
        <v>0.7938144792849271</v>
      </c>
      <c r="P940" t="n">
        <v>135.1412402863614</v>
      </c>
      <c r="Q940" t="n">
        <v>136.046109670622</v>
      </c>
    </row>
    <row r="941">
      <c r="A941" s="117" t="n">
        <v>45782</v>
      </c>
      <c r="B941" s="118" t="n">
        <v>56.19428245004126</v>
      </c>
      <c r="C941" s="118" t="n">
        <v>56.40699426977192</v>
      </c>
      <c r="D941" s="118" t="n">
        <v>55.3917851372174</v>
      </c>
      <c r="E941" s="118" t="n">
        <v>55.44979476928711</v>
      </c>
      <c r="F941" s="119" t="n">
        <v>15971000</v>
      </c>
      <c r="G941" s="120" t="n">
        <v>-0.0211639395727361</v>
      </c>
      <c r="H941" s="121" t="n">
        <v>34.85650300993333</v>
      </c>
      <c r="I941" s="118" t="n">
        <v>63.43867080688477</v>
      </c>
      <c r="J941" s="118" t="n">
        <v>71.730380859375</v>
      </c>
      <c r="K941" s="120" t="n">
        <v>0.6090168324928547</v>
      </c>
      <c r="L941" s="120" t="n">
        <v>-0.294661394228404</v>
      </c>
      <c r="M941" s="120" t="n">
        <v>-0.4011844870044894</v>
      </c>
      <c r="N941" t="n">
        <v>44.00922565040487</v>
      </c>
      <c r="O941" t="n">
        <v>0.7497304454040616</v>
      </c>
      <c r="P941" t="n">
        <v>134.3662965210326</v>
      </c>
      <c r="Q941" t="n">
        <v>135.2390169950403</v>
      </c>
    </row>
    <row r="942">
      <c r="A942" s="117" t="n">
        <v>45783</v>
      </c>
      <c r="B942" s="118" t="n">
        <v>55.25642228149835</v>
      </c>
      <c r="C942" s="118" t="n">
        <v>55.80753589473718</v>
      </c>
      <c r="D942" s="118" t="n">
        <v>54.90834974928371</v>
      </c>
      <c r="E942" s="118" t="n">
        <v>55.15006637573242</v>
      </c>
      <c r="F942" s="119" t="n">
        <v>11440300</v>
      </c>
      <c r="G942" s="120" t="n">
        <v>-0.005405401314861225</v>
      </c>
      <c r="H942" s="121" t="n">
        <v>34.66808962273198</v>
      </c>
      <c r="I942" s="118" t="n">
        <v>62.9970890045166</v>
      </c>
      <c r="J942" s="118" t="n">
        <v>71.6612904548645</v>
      </c>
      <c r="K942" s="120" t="n">
        <v>0.5996411023198607</v>
      </c>
      <c r="L942" s="120" t="n">
        <v>-0.2984740324554641</v>
      </c>
      <c r="M942" s="120" t="n">
        <v>-0.4044213251657947</v>
      </c>
      <c r="N942" t="n">
        <v>43.21807198653816</v>
      </c>
      <c r="O942" t="n">
        <v>0.6868405937896629</v>
      </c>
      <c r="P942" t="n">
        <v>133.2432191313662</v>
      </c>
      <c r="Q942" t="n">
        <v>133.9810665362538</v>
      </c>
    </row>
    <row r="943">
      <c r="A943" s="117" t="n">
        <v>45784</v>
      </c>
      <c r="B943" s="118" t="n">
        <v>55.95256163370048</v>
      </c>
      <c r="C943" s="118" t="n">
        <v>56.86141847678628</v>
      </c>
      <c r="D943" s="118" t="n">
        <v>55.65283538825973</v>
      </c>
      <c r="E943" s="118" t="n">
        <v>56.67771148681641</v>
      </c>
      <c r="F943" s="119" t="n">
        <v>11883500</v>
      </c>
      <c r="G943" s="120" t="n">
        <v>0.02769978735249889</v>
      </c>
      <c r="H943" s="121" t="n">
        <v>35.62838833319903</v>
      </c>
      <c r="I943" s="118" t="n">
        <v>62.55835456848145</v>
      </c>
      <c r="J943" s="118" t="n">
        <v>71.59831369400024</v>
      </c>
      <c r="K943" s="120" t="n">
        <v>0.5826219818583536</v>
      </c>
      <c r="L943" s="120" t="n">
        <v>-0.2790419123322244</v>
      </c>
      <c r="M943" s="120" t="n">
        <v>-0.3879239225212041</v>
      </c>
      <c r="N943" t="n">
        <v>48.31769703874455</v>
      </c>
      <c r="O943" t="n">
        <v>0.7305136692328307</v>
      </c>
      <c r="P943" t="n">
        <v>133.8035771619089</v>
      </c>
      <c r="Q943" t="n">
        <v>134.5070587394985</v>
      </c>
    </row>
    <row r="944">
      <c r="A944" s="117" t="n">
        <v>45785</v>
      </c>
      <c r="B944" s="118" t="n">
        <v>57.7122617059164</v>
      </c>
      <c r="C944" s="118" t="n">
        <v>58.38906901291181</v>
      </c>
      <c r="D944" s="118" t="n">
        <v>56.85175108646209</v>
      </c>
      <c r="E944" s="118" t="n">
        <v>56.95810699462891</v>
      </c>
      <c r="F944" s="119" t="n">
        <v>19009000</v>
      </c>
      <c r="G944" s="120" t="n">
        <v>0.004947191770043879</v>
      </c>
      <c r="H944" s="121" t="n">
        <v>35.80464880274096</v>
      </c>
      <c r="I944" s="118" t="n">
        <v>62.13581001281738</v>
      </c>
      <c r="J944" s="118" t="n">
        <v>71.52644792556762</v>
      </c>
      <c r="K944" s="120" t="n">
        <v>0.4201243890403143</v>
      </c>
      <c r="L944" s="120" t="n">
        <v>-0.2754751944143677</v>
      </c>
      <c r="M944" s="120" t="n">
        <v>-0.3848958647880603</v>
      </c>
      <c r="N944" t="n">
        <v>49.21918725763243</v>
      </c>
      <c r="O944" t="n">
        <v>0.7574273638094409</v>
      </c>
      <c r="P944" t="n">
        <v>134.7358887188487</v>
      </c>
      <c r="Q944" t="n">
        <v>135.8958322867147</v>
      </c>
    </row>
    <row r="945">
      <c r="A945" s="117" t="n">
        <v>45786</v>
      </c>
      <c r="B945" s="118" t="n">
        <v>57.18048079457397</v>
      </c>
      <c r="C945" s="118" t="n">
        <v>57.41253036352676</v>
      </c>
      <c r="D945" s="118" t="n">
        <v>56.29096543824428</v>
      </c>
      <c r="E945" s="118" t="n">
        <v>56.36831283569336</v>
      </c>
      <c r="F945" s="119" t="n">
        <v>13954400</v>
      </c>
      <c r="G945" s="120" t="n">
        <v>-0.01035487641805166</v>
      </c>
      <c r="H945" s="121" t="n">
        <v>35.43389608919683</v>
      </c>
      <c r="I945" s="118" t="n">
        <v>61.72359558105469</v>
      </c>
      <c r="J945" s="118" t="n">
        <v>71.45858909606933</v>
      </c>
      <c r="K945" s="120" t="n">
        <v>0.2884543881647219</v>
      </c>
      <c r="L945" s="120" t="n">
        <v>-0.28297755923802</v>
      </c>
      <c r="M945" s="120" t="n">
        <v>-0.3912651920924124</v>
      </c>
      <c r="N945" t="n">
        <v>47.348341299913</v>
      </c>
      <c r="O945" t="n">
        <v>0.7151659410155218</v>
      </c>
      <c r="P945" t="n">
        <v>134.5642201310199</v>
      </c>
      <c r="Q945" t="n">
        <v>135.8067799714912</v>
      </c>
    </row>
    <row r="946">
      <c r="A946" s="117" t="n">
        <v>45789</v>
      </c>
      <c r="B946" s="118" t="n">
        <v>60.31313003166486</v>
      </c>
      <c r="C946" s="118" t="n">
        <v>61.36701460703994</v>
      </c>
      <c r="D946" s="118" t="n">
        <v>59.76201645161854</v>
      </c>
      <c r="E946" s="118" t="n">
        <v>60.50650405883789</v>
      </c>
      <c r="F946" s="119" t="n">
        <v>29776600</v>
      </c>
      <c r="G946" s="120" t="n">
        <v>0.07341343061316818</v>
      </c>
      <c r="H946" s="121" t="n">
        <v>38.03521996109529</v>
      </c>
      <c r="I946" s="118" t="n">
        <v>61.40549644470215</v>
      </c>
      <c r="J946" s="118" t="n">
        <v>71.42242677688598</v>
      </c>
      <c r="K946" s="120" t="n">
        <v>0.3795016818350883</v>
      </c>
      <c r="L946" s="120" t="n">
        <v>-0.2303384820350558</v>
      </c>
      <c r="M946" s="120" t="n">
        <v>-0.3465758815102685</v>
      </c>
      <c r="N946" t="n">
        <v>59.09626945912215</v>
      </c>
      <c r="O946" t="n">
        <v>0.9318612822206784</v>
      </c>
      <c r="P946" t="n">
        <v>139.0111921809328</v>
      </c>
      <c r="Q946" t="n">
        <v>141.3395662264547</v>
      </c>
    </row>
    <row r="947">
      <c r="A947" s="117" t="n">
        <v>45790</v>
      </c>
      <c r="B947" s="118" t="n">
        <v>60.53551149053889</v>
      </c>
      <c r="C947" s="118" t="n">
        <v>60.69987702334896</v>
      </c>
      <c r="D947" s="118" t="n">
        <v>59.9167175274608</v>
      </c>
      <c r="E947" s="118" t="n">
        <v>60.32279968261719</v>
      </c>
      <c r="F947" s="119" t="n">
        <v>17003100</v>
      </c>
      <c r="G947" s="120" t="n">
        <v>-0.003036109573312351</v>
      </c>
      <c r="H947" s="121" t="n">
        <v>37.91974086564837</v>
      </c>
      <c r="I947" s="118" t="n">
        <v>61.0957122039795</v>
      </c>
      <c r="J947" s="118" t="n">
        <v>71.38382135391235</v>
      </c>
      <c r="K947" s="120" t="n">
        <v>0.3786631060846949</v>
      </c>
      <c r="L947" s="120" t="n">
        <v>-0.2326752587379594</v>
      </c>
      <c r="M947" s="120" t="n">
        <v>-0.3485597487318484</v>
      </c>
      <c r="N947" t="n">
        <v>58.47254204900165</v>
      </c>
      <c r="O947" t="n">
        <v>1.021568997642548</v>
      </c>
      <c r="P947" t="n">
        <v>139.929232458262</v>
      </c>
      <c r="Q947" t="n">
        <v>143.4936873075292</v>
      </c>
    </row>
    <row r="948">
      <c r="A948" s="117" t="n">
        <v>45791</v>
      </c>
      <c r="B948" s="118" t="n">
        <v>59.99406264971772</v>
      </c>
      <c r="C948" s="118" t="n">
        <v>60.78689284583238</v>
      </c>
      <c r="D948" s="118" t="n">
        <v>59.48162461006631</v>
      </c>
      <c r="E948" s="118" t="n">
        <v>59.68466567993164</v>
      </c>
      <c r="F948" s="119" t="n">
        <v>13736300</v>
      </c>
      <c r="G948" s="120" t="n">
        <v>-0.01057865361095689</v>
      </c>
      <c r="H948" s="121" t="n">
        <v>37.51860106201343</v>
      </c>
      <c r="I948" s="118" t="n">
        <v>60.7942431640625</v>
      </c>
      <c r="J948" s="118" t="n">
        <v>71.33654636383056</v>
      </c>
      <c r="K948" s="120" t="n">
        <v>0.3787283282260008</v>
      </c>
      <c r="L948" s="120" t="n">
        <v>-0.2407925213828875</v>
      </c>
      <c r="M948" s="120" t="n">
        <v>-0.3554511094982489</v>
      </c>
      <c r="N948" t="n">
        <v>56.25155333960557</v>
      </c>
      <c r="O948" t="n">
        <v>0.9956517031868726</v>
      </c>
      <c r="P948" t="n">
        <v>140.1080735816552</v>
      </c>
      <c r="Q948" t="n">
        <v>144.3536577322155</v>
      </c>
    </row>
    <row r="949">
      <c r="A949" s="117" t="n">
        <v>45792</v>
      </c>
      <c r="B949" s="118" t="n">
        <v>58.63078286675255</v>
      </c>
      <c r="C949" s="118" t="n">
        <v>60.60319137483506</v>
      </c>
      <c r="D949" s="118" t="n">
        <v>58.4180710604977</v>
      </c>
      <c r="E949" s="118" t="n">
        <v>60.33246994018555</v>
      </c>
      <c r="F949" s="119" t="n">
        <v>14371100</v>
      </c>
      <c r="G949" s="120" t="n">
        <v>0.01085378049577845</v>
      </c>
      <c r="H949" s="121" t="n">
        <v>37.92581972244921</v>
      </c>
      <c r="I949" s="118" t="n">
        <v>60.49625495910644</v>
      </c>
      <c r="J949" s="118" t="n">
        <v>71.28779363632202</v>
      </c>
      <c r="K949" s="120" t="n">
        <v>0.3624386273742127</v>
      </c>
      <c r="L949" s="120" t="n">
        <v>-0.232552250059224</v>
      </c>
      <c r="M949" s="120" t="n">
        <v>-0.3484553173219452</v>
      </c>
      <c r="N949" t="n">
        <v>57.99578376644465</v>
      </c>
      <c r="O949" t="n">
        <v>0.9784178040936636</v>
      </c>
      <c r="P949" t="n">
        <v>140.792416120997</v>
      </c>
      <c r="Q949" t="n">
        <v>144.5122995233572</v>
      </c>
    </row>
    <row r="950">
      <c r="A950" s="117" t="n">
        <v>45793</v>
      </c>
      <c r="B950" s="118" t="n">
        <v>60.42915086931093</v>
      </c>
      <c r="C950" s="118" t="n">
        <v>61.63773388669715</v>
      </c>
      <c r="D950" s="118" t="n">
        <v>60.42915086931093</v>
      </c>
      <c r="E950" s="118" t="n">
        <v>61.01893997192383</v>
      </c>
      <c r="F950" s="119" t="n">
        <v>12950600</v>
      </c>
      <c r="G950" s="120" t="n">
        <v>0.01137811915240428</v>
      </c>
      <c r="H950" s="121" t="n">
        <v>38.35734421820383</v>
      </c>
      <c r="I950" s="118" t="n">
        <v>60.21392974853516</v>
      </c>
      <c r="J950" s="118" t="n">
        <v>71.23880477905273</v>
      </c>
      <c r="K950" s="120" t="n">
        <v>0.3408446815319077</v>
      </c>
      <c r="L950" s="120" t="n">
        <v>-0.2238201381171533</v>
      </c>
      <c r="M950" s="120" t="n">
        <v>-0.3410419642893189</v>
      </c>
      <c r="N950" t="n">
        <v>59.82376978941586</v>
      </c>
      <c r="O950" t="n">
        <v>0.9677674655731811</v>
      </c>
      <c r="P950" t="n">
        <v>141.6841718595604</v>
      </c>
      <c r="Q950" t="n">
        <v>145.1412790246642</v>
      </c>
    </row>
    <row r="951">
      <c r="A951" s="117" t="n">
        <v>45796</v>
      </c>
      <c r="B951" s="118" t="n">
        <v>60.09075546483817</v>
      </c>
      <c r="C951" s="118" t="n">
        <v>60.36147690915183</v>
      </c>
      <c r="D951" s="118" t="n">
        <v>59.71367442529738</v>
      </c>
      <c r="E951" s="118" t="n">
        <v>60.02307510375977</v>
      </c>
      <c r="F951" s="119" t="n">
        <v>15105300</v>
      </c>
      <c r="G951" s="120" t="n">
        <v>-0.01632058617573962</v>
      </c>
      <c r="H951" s="121" t="n">
        <v>37.73132987641814</v>
      </c>
      <c r="I951" s="118" t="n">
        <v>59.8946704864502</v>
      </c>
      <c r="J951" s="118" t="n">
        <v>71.18226385116577</v>
      </c>
      <c r="K951" s="120" t="n">
        <v>0.3502743667933764</v>
      </c>
      <c r="L951" s="120" t="n">
        <v>-0.2364878484408859</v>
      </c>
      <c r="M951" s="120" t="n">
        <v>-0.3517965456973312</v>
      </c>
      <c r="N951" t="n">
        <v>56.01530288161645</v>
      </c>
      <c r="O951" t="n">
        <v>0.8522334627350566</v>
      </c>
      <c r="P951" t="n">
        <v>141.8391635642869</v>
      </c>
      <c r="Q951" t="n">
        <v>145.2804408888454</v>
      </c>
    </row>
    <row r="952">
      <c r="A952" s="117" t="n">
        <v>45797</v>
      </c>
      <c r="B952" s="118" t="n">
        <v>60.42915785376697</v>
      </c>
      <c r="C952" s="118" t="n">
        <v>61.09629442868344</v>
      </c>
      <c r="D952" s="118" t="n">
        <v>60.21644603786472</v>
      </c>
      <c r="E952" s="118" t="n">
        <v>60.4871711730957</v>
      </c>
      <c r="F952" s="119" t="n">
        <v>10771800</v>
      </c>
      <c r="G952" s="120" t="n">
        <v>0.00773196089226813</v>
      </c>
      <c r="H952" s="121" t="n">
        <v>38.02306704343587</v>
      </c>
      <c r="I952" s="118" t="n">
        <v>59.62704177856445</v>
      </c>
      <c r="J952" s="118" t="n">
        <v>71.13285537719726</v>
      </c>
      <c r="K952" s="120" t="n">
        <v>0.3478134924033819</v>
      </c>
      <c r="L952" s="120" t="n">
        <v>-0.2305844023442594</v>
      </c>
      <c r="M952" s="120" t="n">
        <v>-0.3467846619384298</v>
      </c>
      <c r="N952" t="n">
        <v>57.3770974349523</v>
      </c>
      <c r="O952" t="n">
        <v>0.7682457782221485</v>
      </c>
      <c r="P952" t="n">
        <v>141.3622637407741</v>
      </c>
      <c r="Q952" t="n">
        <v>144.7961767396688</v>
      </c>
    </row>
    <row r="953">
      <c r="A953" s="117" t="n">
        <v>45798</v>
      </c>
      <c r="B953" s="118" t="n">
        <v>59.14322271348403</v>
      </c>
      <c r="C953" s="118" t="n">
        <v>59.71367410256401</v>
      </c>
      <c r="D953" s="118" t="n">
        <v>57.89596771727781</v>
      </c>
      <c r="E953" s="118" t="n">
        <v>57.99265289306641</v>
      </c>
      <c r="F953" s="119" t="n">
        <v>17354700</v>
      </c>
      <c r="G953" s="120" t="n">
        <v>-0.04124045201073712</v>
      </c>
      <c r="H953" s="121" t="n">
        <v>36.45497857173001</v>
      </c>
      <c r="I953" s="118" t="n">
        <v>59.35264495849609</v>
      </c>
      <c r="J953" s="118" t="n">
        <v>71.07021202087402</v>
      </c>
      <c r="K953" s="120" t="n">
        <v>0.3842546426606067</v>
      </c>
      <c r="L953" s="120" t="n">
        <v>-0.2573169717711172</v>
      </c>
      <c r="M953" s="120" t="n">
        <v>-0.3737235577404355</v>
      </c>
      <c r="N953" t="n">
        <v>48.65704321412153</v>
      </c>
      <c r="O953" t="n">
        <v>0.5178706446443671</v>
      </c>
      <c r="P953" t="n">
        <v>138.9802145016126</v>
      </c>
      <c r="Q953" t="n">
        <v>142.7839942667501</v>
      </c>
    </row>
    <row r="954">
      <c r="A954" s="117" t="n">
        <v>45799</v>
      </c>
      <c r="B954" s="118" t="n">
        <v>58.57277086735591</v>
      </c>
      <c r="C954" s="118" t="n">
        <v>59.57830916462297</v>
      </c>
      <c r="D954" s="118" t="n">
        <v>58.16668504351691</v>
      </c>
      <c r="E954" s="118" t="n">
        <v>59.28824996948242</v>
      </c>
      <c r="F954" s="119" t="n">
        <v>16764500</v>
      </c>
      <c r="G954" s="120" t="n">
        <v>0.02234071062079179</v>
      </c>
      <c r="H954" s="121" t="n">
        <v>37.2694086986882</v>
      </c>
      <c r="I954" s="118" t="n">
        <v>59.11556922912597</v>
      </c>
      <c r="J954" s="118" t="n">
        <v>71.02638628005981</v>
      </c>
      <c r="K954" s="120" t="n">
        <v>0.3863405659262562</v>
      </c>
      <c r="L954" s="120" t="n">
        <v>-0.2298130209966586</v>
      </c>
      <c r="M954" s="120" t="n">
        <v>-0.3597320969752956</v>
      </c>
      <c r="N954" t="n">
        <v>52.67955549056154</v>
      </c>
      <c r="O954" t="n">
        <v>0.4170281353748965</v>
      </c>
      <c r="P954" t="n">
        <v>139.0350711162068</v>
      </c>
      <c r="Q954" t="n">
        <v>143.0511683000758</v>
      </c>
    </row>
    <row r="955">
      <c r="A955" s="117" t="n">
        <v>45800</v>
      </c>
      <c r="B955" s="118" t="n">
        <v>57.87662400089104</v>
      </c>
      <c r="C955" s="118" t="n">
        <v>58.37939497762697</v>
      </c>
      <c r="D955" s="118" t="n">
        <v>57.51888446124723</v>
      </c>
      <c r="E955" s="118" t="n">
        <v>58.03132247924805</v>
      </c>
      <c r="F955" s="119" t="n">
        <v>14282400</v>
      </c>
      <c r="G955" s="120" t="n">
        <v>-0.02120027983422279</v>
      </c>
      <c r="H955" s="121" t="n">
        <v>36.47928680501999</v>
      </c>
      <c r="I955" s="118" t="n">
        <v>58.87153198242188</v>
      </c>
      <c r="J955" s="118" t="n">
        <v>70.97113040924073</v>
      </c>
      <c r="K955" s="120" t="n">
        <v>0.3908713884122883</v>
      </c>
      <c r="L955" s="120" t="n">
        <v>-0.2405416437061995</v>
      </c>
      <c r="M955" s="120" t="n">
        <v>-0.3733059556882903</v>
      </c>
      <c r="N955" t="n">
        <v>48.69376211374906</v>
      </c>
      <c r="O955" t="n">
        <v>0.2513494629063282</v>
      </c>
      <c r="P955" t="n">
        <v>138.0860236429502</v>
      </c>
      <c r="Q955" t="n">
        <v>141.7264221970011</v>
      </c>
    </row>
    <row r="956">
      <c r="A956" s="117" t="n">
        <v>45804</v>
      </c>
      <c r="B956" s="118" t="n">
        <v>59.10454860709228</v>
      </c>
      <c r="C956" s="118" t="n">
        <v>60.75788939296401</v>
      </c>
      <c r="D956" s="118" t="n">
        <v>58.82415644435064</v>
      </c>
      <c r="E956" s="118" t="n">
        <v>60.74822235107422</v>
      </c>
      <c r="F956" s="119" t="n">
        <v>16642100</v>
      </c>
      <c r="G956" s="120" t="n">
        <v>0.04681781761561155</v>
      </c>
      <c r="H956" s="121" t="n">
        <v>38.187167401405</v>
      </c>
      <c r="I956" s="118" t="n">
        <v>58.70078353881836</v>
      </c>
      <c r="J956" s="118" t="n">
        <v>70.92888732910156</v>
      </c>
      <c r="K956" s="120" t="n">
        <v>0.4200492966565181</v>
      </c>
      <c r="L956" s="120" t="n">
        <v>-0.2005344167993186</v>
      </c>
      <c r="M956" s="120" t="n">
        <v>-0.3439655082209148</v>
      </c>
      <c r="N956" t="n">
        <v>56.3768799743018</v>
      </c>
      <c r="O956" t="n">
        <v>0.3067453916042912</v>
      </c>
      <c r="P956" t="n">
        <v>140.9569416898688</v>
      </c>
      <c r="Q956" t="n">
        <v>145.0605740290198</v>
      </c>
    </row>
    <row r="957">
      <c r="A957" s="117" t="n">
        <v>45805</v>
      </c>
      <c r="B957" s="118" t="n">
        <v>60.66120007874667</v>
      </c>
      <c r="C957" s="118" t="n">
        <v>61.01893961708792</v>
      </c>
      <c r="D957" s="118" t="n">
        <v>59.52029742190441</v>
      </c>
      <c r="E957" s="118" t="n">
        <v>59.73300552368164</v>
      </c>
      <c r="F957" s="119" t="n">
        <v>10015600</v>
      </c>
      <c r="G957" s="120" t="n">
        <v>-0.01671187712334143</v>
      </c>
      <c r="H957" s="121" t="n">
        <v>37.54898815210424</v>
      </c>
      <c r="I957" s="118" t="n">
        <v>58.47028251647949</v>
      </c>
      <c r="J957" s="118" t="n">
        <v>70.87408815383911</v>
      </c>
      <c r="K957" s="120" t="n">
        <v>0.4270368215836209</v>
      </c>
      <c r="L957" s="120" t="n">
        <v>-0.2138949873901089</v>
      </c>
      <c r="M957" s="120" t="n">
        <v>-0.3549290760362006</v>
      </c>
      <c r="N957" t="n">
        <v>53.17263741191591</v>
      </c>
      <c r="O957" t="n">
        <v>0.2589285476321916</v>
      </c>
      <c r="P957" t="n">
        <v>140.1414421061636</v>
      </c>
      <c r="Q957" t="n">
        <v>144.4176510010463</v>
      </c>
    </row>
    <row r="958">
      <c r="A958" s="117" t="n">
        <v>45806</v>
      </c>
      <c r="B958" s="118" t="n">
        <v>60.41948672066727</v>
      </c>
      <c r="C958" s="118" t="n">
        <v>60.8159018218166</v>
      </c>
      <c r="D958" s="118" t="n">
        <v>59.10454774466864</v>
      </c>
      <c r="E958" s="118" t="n">
        <v>59.40427398681641</v>
      </c>
      <c r="F958" s="119" t="n">
        <v>12218000</v>
      </c>
      <c r="G958" s="120" t="n">
        <v>-0.005503348341226677</v>
      </c>
      <c r="H958" s="121" t="n">
        <v>37.34234299044262</v>
      </c>
      <c r="I958" s="118" t="n">
        <v>58.24074851989746</v>
      </c>
      <c r="J958" s="118" t="n">
        <v>70.81693071365356</v>
      </c>
      <c r="K958" s="120" t="n">
        <v>0.4194522927585711</v>
      </c>
      <c r="L958" s="120" t="n">
        <v>-0.2182211971072855</v>
      </c>
      <c r="M958" s="120" t="n">
        <v>-0.3584791260355703</v>
      </c>
      <c r="N958" t="n">
        <v>52.13926585125139</v>
      </c>
      <c r="O958" t="n">
        <v>0.1921463122395355</v>
      </c>
      <c r="P958" t="n">
        <v>140.6946276011419</v>
      </c>
      <c r="Q958" t="n">
        <v>144.7015623926684</v>
      </c>
    </row>
    <row r="959">
      <c r="A959" s="117" t="n">
        <v>45807</v>
      </c>
      <c r="B959" s="118" t="n">
        <v>58.97885068630238</v>
      </c>
      <c r="C959" s="118" t="n">
        <v>59.09487362214086</v>
      </c>
      <c r="D959" s="118" t="n">
        <v>58.10866944675719</v>
      </c>
      <c r="E959" s="118" t="n">
        <v>58.58243560791016</v>
      </c>
      <c r="F959" s="119" t="n">
        <v>18155100</v>
      </c>
      <c r="G959" s="120" t="n">
        <v>-0.01383466750369911</v>
      </c>
      <c r="H959" s="121" t="n">
        <v>36.82572409136076</v>
      </c>
      <c r="I959" s="118" t="n">
        <v>58.00096549987793</v>
      </c>
      <c r="J959" s="118" t="n">
        <v>70.75423475265502</v>
      </c>
      <c r="K959" s="120" t="n">
        <v>0.4244315255878572</v>
      </c>
      <c r="L959" s="120" t="n">
        <v>-0.2290368469067461</v>
      </c>
      <c r="M959" s="120" t="n">
        <v>-0.3673543540235507</v>
      </c>
      <c r="N959" t="n">
        <v>49.54679659173238</v>
      </c>
      <c r="O959" t="n">
        <v>0.08507090507248927</v>
      </c>
      <c r="P959" t="n">
        <v>140.5372745678346</v>
      </c>
      <c r="Q959" t="n">
        <v>144.4733396694361</v>
      </c>
    </row>
    <row r="960">
      <c r="A960" s="117" t="n">
        <v>45810</v>
      </c>
      <c r="B960" s="118" t="n">
        <v>58.44617500946916</v>
      </c>
      <c r="C960" s="118" t="n">
        <v>59.95477663852422</v>
      </c>
      <c r="D960" s="118" t="n">
        <v>58.00819293321091</v>
      </c>
      <c r="E960" s="118" t="n">
        <v>59.92557907104492</v>
      </c>
      <c r="F960" s="119" t="n">
        <v>14065300</v>
      </c>
      <c r="G960" s="120" t="n">
        <v>0.0229274090296343</v>
      </c>
      <c r="H960" s="121" t="n">
        <v>37.67004253041585</v>
      </c>
      <c r="I960" s="118" t="n">
        <v>57.80989669799805</v>
      </c>
      <c r="J960" s="118" t="n">
        <v>70.67986431121827</v>
      </c>
      <c r="K960" s="120" t="n">
        <v>0.4173248691945095</v>
      </c>
      <c r="L960" s="120" t="n">
        <v>-0.2113606593490005</v>
      </c>
      <c r="M960" s="120" t="n">
        <v>-0.3528494285274314</v>
      </c>
      <c r="N960" t="n">
        <v>53.60677681132842</v>
      </c>
      <c r="O960" t="n">
        <v>0.09632377778910761</v>
      </c>
      <c r="P960" t="n">
        <v>141.3288952162657</v>
      </c>
      <c r="Q960" t="n">
        <v>145.614419110287</v>
      </c>
    </row>
    <row r="961">
      <c r="A961" s="117" t="n">
        <v>45811</v>
      </c>
      <c r="B961" s="118" t="n">
        <v>59.60439506159408</v>
      </c>
      <c r="C961" s="118" t="n">
        <v>60.78207731956885</v>
      </c>
      <c r="D961" s="118" t="n">
        <v>58.84522488707983</v>
      </c>
      <c r="E961" s="118" t="n">
        <v>60.7042121887207</v>
      </c>
      <c r="F961" s="119" t="n">
        <v>10286100</v>
      </c>
      <c r="G961" s="120" t="n">
        <v>0.01299333489548204</v>
      </c>
      <c r="H961" s="121" t="n">
        <v>38.15950200854059</v>
      </c>
      <c r="I961" s="118" t="n">
        <v>57.71020286560059</v>
      </c>
      <c r="J961" s="118" t="n">
        <v>70.6092917060852</v>
      </c>
      <c r="K961" s="120" t="n">
        <v>0.4084624012011288</v>
      </c>
      <c r="L961" s="120" t="n">
        <v>-0.17821365516965</v>
      </c>
      <c r="M961" s="120" t="n">
        <v>-0.3444407844244857</v>
      </c>
      <c r="N961" t="n">
        <v>55.82598087429572</v>
      </c>
      <c r="O961" t="n">
        <v>0.1449073569328319</v>
      </c>
      <c r="P961" t="n">
        <v>142.134846177522</v>
      </c>
      <c r="Q961" t="n">
        <v>146.7526961756805</v>
      </c>
    </row>
    <row r="962">
      <c r="A962" s="117" t="n">
        <v>45812</v>
      </c>
      <c r="B962" s="118" t="n">
        <v>60.71394931807891</v>
      </c>
      <c r="C962" s="118" t="n">
        <v>61.35632181887389</v>
      </c>
      <c r="D962" s="118" t="n">
        <v>60.60688661581076</v>
      </c>
      <c r="E962" s="118" t="n">
        <v>61.09353256225586</v>
      </c>
      <c r="F962" s="119" t="n">
        <v>10242300</v>
      </c>
      <c r="G962" s="120" t="n">
        <v>0.006413399655444296</v>
      </c>
      <c r="H962" s="121" t="n">
        <v>38.40423414557409</v>
      </c>
      <c r="I962" s="118" t="n">
        <v>57.62893081665039</v>
      </c>
      <c r="J962" s="118" t="n">
        <v>70.52170375823975</v>
      </c>
      <c r="K962" s="120" t="n">
        <v>0.4066788483222596</v>
      </c>
      <c r="L962" s="120" t="n">
        <v>-0.1480768657907336</v>
      </c>
      <c r="M962" s="120" t="n">
        <v>-0.3402364211771904</v>
      </c>
      <c r="N962" t="n">
        <v>56.93521673478906</v>
      </c>
      <c r="O962" t="n">
        <v>0.1891669651461244</v>
      </c>
      <c r="P962" t="n">
        <v>142.0966959626374</v>
      </c>
      <c r="Q962" t="n">
        <v>147.1618259048172</v>
      </c>
    </row>
    <row r="963">
      <c r="A963" s="117" t="n">
        <v>45813</v>
      </c>
      <c r="B963" s="118" t="n">
        <v>61.25899364675856</v>
      </c>
      <c r="C963" s="118" t="n">
        <v>61.95976503485952</v>
      </c>
      <c r="D963" s="118" t="n">
        <v>60.56795725727797</v>
      </c>
      <c r="E963" s="118" t="n">
        <v>60.9962043762207</v>
      </c>
      <c r="F963" s="119" t="n">
        <v>12336300</v>
      </c>
      <c r="G963" s="120" t="n">
        <v>-0.001593101298177135</v>
      </c>
      <c r="H963" s="121" t="n">
        <v>38.34305231030128</v>
      </c>
      <c r="I963" s="118" t="n">
        <v>57.56214912414551</v>
      </c>
      <c r="J963" s="118" t="n">
        <v>70.4301512336731</v>
      </c>
      <c r="K963" s="120" t="n">
        <v>0.3986230679568445</v>
      </c>
      <c r="L963" s="120" t="n">
        <v>-0.1440097127003866</v>
      </c>
      <c r="M963" s="120" t="n">
        <v>-0.341287491391103</v>
      </c>
      <c r="N963" t="n">
        <v>56.55289585564917</v>
      </c>
      <c r="O963" t="n">
        <v>0.1969083064012603</v>
      </c>
      <c r="P963" t="n">
        <v>141.4099625781076</v>
      </c>
      <c r="Q963" t="n">
        <v>146.0541357422828</v>
      </c>
    </row>
    <row r="964">
      <c r="A964" s="117" t="n">
        <v>45814</v>
      </c>
      <c r="B964" s="118" t="n">
        <v>60.99620126920625</v>
      </c>
      <c r="C964" s="118" t="n">
        <v>61.40498579571392</v>
      </c>
      <c r="D964" s="118" t="n">
        <v>60.46089146959182</v>
      </c>
      <c r="E964" s="118" t="n">
        <v>61.12273025512695</v>
      </c>
      <c r="F964" s="119" t="n">
        <v>13299600</v>
      </c>
      <c r="G964" s="120" t="n">
        <v>0.002074323807524925</v>
      </c>
      <c r="H964" s="121" t="n">
        <v>38.42258821656171</v>
      </c>
      <c r="I964" s="118" t="n">
        <v>57.51336776733398</v>
      </c>
      <c r="J964" s="118" t="n">
        <v>70.33899311065674</v>
      </c>
      <c r="K964" s="120" t="n">
        <v>0.3986603051791553</v>
      </c>
      <c r="L964" s="120" t="n">
        <v>-0.142234111668431</v>
      </c>
      <c r="M964" s="120" t="n">
        <v>-0.3399211083521811</v>
      </c>
      <c r="N964" t="n">
        <v>56.95753656569005</v>
      </c>
      <c r="O964" t="n">
        <v>0.1951919411027787</v>
      </c>
      <c r="P964" t="n">
        <v>142.8621206221246</v>
      </c>
      <c r="Q964" t="n">
        <v>147.4818605995924</v>
      </c>
    </row>
    <row r="965">
      <c r="A965" s="117" t="n">
        <v>45817</v>
      </c>
      <c r="B965" s="118" t="n">
        <v>61.60937926592181</v>
      </c>
      <c r="C965" s="118" t="n">
        <v>61.79430711134263</v>
      </c>
      <c r="D965" s="118" t="n">
        <v>60.22730648864054</v>
      </c>
      <c r="E965" s="118" t="n">
        <v>60.25650405883789</v>
      </c>
      <c r="F965" s="119" t="n">
        <v>11640000</v>
      </c>
      <c r="G965" s="120" t="n">
        <v>-0.01417191595783474</v>
      </c>
      <c r="H965" s="121" t="n">
        <v>37.87806652547411</v>
      </c>
      <c r="I965" s="118" t="n">
        <v>57.44610145568848</v>
      </c>
      <c r="J965" s="118" t="n">
        <v>70.24216989517213</v>
      </c>
      <c r="K965" s="120" t="n">
        <v>0.4006865547544658</v>
      </c>
      <c r="L965" s="120" t="n">
        <v>-0.1543902977493633</v>
      </c>
      <c r="M965" s="120" t="n">
        <v>-0.3492756909301548</v>
      </c>
      <c r="N965" t="n">
        <v>53.29776190763512</v>
      </c>
      <c r="O965" t="n">
        <v>0.123837643161671</v>
      </c>
      <c r="P965" t="n">
        <v>142.9908720629963</v>
      </c>
      <c r="Q965" t="n">
        <v>147.6989421716156</v>
      </c>
    </row>
    <row r="966">
      <c r="A966" s="117" t="n">
        <v>45818</v>
      </c>
      <c r="B966" s="118" t="n">
        <v>60.71395116733281</v>
      </c>
      <c r="C966" s="118" t="n">
        <v>62.44641331415898</v>
      </c>
      <c r="D966" s="118" t="n">
        <v>60.58742217781531</v>
      </c>
      <c r="E966" s="118" t="n">
        <v>62.16415405273438</v>
      </c>
      <c r="F966" s="119" t="n">
        <v>15287000</v>
      </c>
      <c r="G966" s="120" t="n">
        <v>0.03165882295517419</v>
      </c>
      <c r="H966" s="121" t="n">
        <v>39.0772415274884</v>
      </c>
      <c r="I966" s="118" t="n">
        <v>57.4655249786377</v>
      </c>
      <c r="J966" s="118" t="n">
        <v>70.15278860092162</v>
      </c>
      <c r="K966" s="120" t="n">
        <v>0.3243975922986719</v>
      </c>
      <c r="L966" s="120" t="n">
        <v>-0.127619289896633</v>
      </c>
      <c r="M966" s="120" t="n">
        <v>-0.3286745252366844</v>
      </c>
      <c r="N966" t="n">
        <v>59.47356715237073</v>
      </c>
      <c r="O966" t="n">
        <v>0.189316195495115</v>
      </c>
      <c r="P966" t="n">
        <v>143.8015899563252</v>
      </c>
      <c r="Q966" t="n">
        <v>148.6758092457204</v>
      </c>
    </row>
    <row r="967">
      <c r="A967" s="117" t="n">
        <v>45819</v>
      </c>
      <c r="B967" s="118" t="n">
        <v>62.6799973119882</v>
      </c>
      <c r="C967" s="118" t="n">
        <v>63.11797567903666</v>
      </c>
      <c r="D967" s="118" t="n">
        <v>60.90860642260196</v>
      </c>
      <c r="E967" s="118" t="n">
        <v>61.4244499206543</v>
      </c>
      <c r="F967" s="119" t="n">
        <v>10238700</v>
      </c>
      <c r="G967" s="120" t="n">
        <v>-0.01189920691999735</v>
      </c>
      <c r="H967" s="121" t="n">
        <v>38.6122533446901</v>
      </c>
      <c r="I967" s="118" t="n">
        <v>57.4664803314209</v>
      </c>
      <c r="J967" s="118" t="n">
        <v>70.06251968383789</v>
      </c>
      <c r="K967" s="120" t="n">
        <v>0.3275695160556311</v>
      </c>
      <c r="L967" s="120" t="n">
        <v>-0.1334141362084387</v>
      </c>
      <c r="M967" s="120" t="n">
        <v>-0.3366627659715585</v>
      </c>
      <c r="N967" t="n">
        <v>56.36127240256288</v>
      </c>
      <c r="O967" t="n">
        <v>0.1677469880541806</v>
      </c>
      <c r="P967" t="n">
        <v>143.3914419401327</v>
      </c>
      <c r="Q967" t="n">
        <v>148.1748504573855</v>
      </c>
    </row>
    <row r="968">
      <c r="A968" s="117" t="n">
        <v>45820</v>
      </c>
      <c r="B968" s="118" t="n">
        <v>61.06433511763581</v>
      </c>
      <c r="C968" s="118" t="n">
        <v>61.24925924104765</v>
      </c>
      <c r="D968" s="118" t="n">
        <v>60.11050579338923</v>
      </c>
      <c r="E968" s="118" t="n">
        <v>61.12273025512695</v>
      </c>
      <c r="F968" s="119" t="n">
        <v>9830500</v>
      </c>
      <c r="G968" s="120" t="n">
        <v>-0.004912045055626812</v>
      </c>
      <c r="H968" s="121" t="n">
        <v>38.42258821656171</v>
      </c>
      <c r="I968" s="118" t="n">
        <v>57.43664939880371</v>
      </c>
      <c r="J968" s="118" t="n">
        <v>69.96769304275513</v>
      </c>
      <c r="K968" s="120" t="n">
        <v>0.3254994507791362</v>
      </c>
      <c r="L968" s="120" t="n">
        <v>-0.1338903772438341</v>
      </c>
      <c r="M968" s="120" t="n">
        <v>-0.3399211083521811</v>
      </c>
      <c r="N968" t="n">
        <v>55.09479467249101</v>
      </c>
      <c r="O968" t="n">
        <v>0.1203174408038057</v>
      </c>
      <c r="P968" t="n">
        <v>143.9613485931243</v>
      </c>
      <c r="Q968" t="n">
        <v>148.5227380301832</v>
      </c>
    </row>
    <row r="969">
      <c r="A969" s="117" t="n">
        <v>45821</v>
      </c>
      <c r="B969" s="118" t="n">
        <v>60.10077407223385</v>
      </c>
      <c r="C969" s="118" t="n">
        <v>61.10326352857713</v>
      </c>
      <c r="D969" s="118" t="n">
        <v>58.50457597027656</v>
      </c>
      <c r="E969" s="118" t="n">
        <v>58.91335678100586</v>
      </c>
      <c r="F969" s="119" t="n">
        <v>16509700</v>
      </c>
      <c r="G969" s="120" t="n">
        <v>-0.03614651153342041</v>
      </c>
      <c r="H969" s="121" t="n">
        <v>37.0337456884479</v>
      </c>
      <c r="I969" s="118" t="n">
        <v>57.35876373291016</v>
      </c>
      <c r="J969" s="118" t="n">
        <v>69.86072376251221</v>
      </c>
      <c r="K969" s="120" t="n">
        <v>0.3492633079652241</v>
      </c>
      <c r="L969" s="120" t="n">
        <v>-0.1520698264167448</v>
      </c>
      <c r="M969" s="120" t="n">
        <v>-0.3637806576220964</v>
      </c>
      <c r="N969" t="n">
        <v>46.80150575078089</v>
      </c>
      <c r="O969" t="n">
        <v>-0.06285076842324044</v>
      </c>
      <c r="P969" t="n">
        <v>142.3518227574962</v>
      </c>
      <c r="Q969" t="n">
        <v>146.6580818286801</v>
      </c>
    </row>
    <row r="970">
      <c r="A970" s="117" t="n">
        <v>45824</v>
      </c>
      <c r="B970" s="118" t="n">
        <v>59.74065672748625</v>
      </c>
      <c r="C970" s="118" t="n">
        <v>60.51928949014209</v>
      </c>
      <c r="D970" s="118" t="n">
        <v>59.60439645812321</v>
      </c>
      <c r="E970" s="118" t="n">
        <v>60.24676895141602</v>
      </c>
      <c r="F970" s="119" t="n">
        <v>13681600</v>
      </c>
      <c r="G970" s="120" t="n">
        <v>0.02263344415030955</v>
      </c>
      <c r="H970" s="121" t="n">
        <v>37.87194690316415</v>
      </c>
      <c r="I970" s="118" t="n">
        <v>57.48893028259278</v>
      </c>
      <c r="J970" s="118" t="n">
        <v>69.75560956954956</v>
      </c>
      <c r="K970" s="120" t="n">
        <v>0.3567418178670474</v>
      </c>
      <c r="L970" s="120" t="n">
        <v>-0.08284709504416721</v>
      </c>
      <c r="M970" s="120" t="n">
        <v>-0.3493808226690395</v>
      </c>
      <c r="N970" t="n">
        <v>51.54237834258852</v>
      </c>
      <c r="O970" t="n">
        <v>-0.09525980822821356</v>
      </c>
      <c r="P970" t="n">
        <v>143.7061922816583</v>
      </c>
      <c r="Q970" t="n">
        <v>148.6980744604832</v>
      </c>
    </row>
    <row r="971">
      <c r="A971" s="117" t="n">
        <v>45825</v>
      </c>
      <c r="B971" s="118" t="n">
        <v>59.66279307813626</v>
      </c>
      <c r="C971" s="118" t="n">
        <v>59.66279307813626</v>
      </c>
      <c r="D971" s="118" t="n">
        <v>58.08606123045611</v>
      </c>
      <c r="E971" s="118" t="n">
        <v>58.39751434326172</v>
      </c>
      <c r="F971" s="119" t="n">
        <v>13649700</v>
      </c>
      <c r="G971" s="120" t="n">
        <v>-0.03069466861609738</v>
      </c>
      <c r="H971" s="121" t="n">
        <v>36.70948004312509</v>
      </c>
      <c r="I971" s="118" t="n">
        <v>57.5498184967041</v>
      </c>
      <c r="J971" s="118" t="n">
        <v>69.65315984725952</v>
      </c>
      <c r="K971" s="120" t="n">
        <v>0.3686997946887983</v>
      </c>
      <c r="L971" s="120" t="n">
        <v>-0.1037433684812995</v>
      </c>
      <c r="M971" s="120" t="n">
        <v>-0.3693513627124911</v>
      </c>
      <c r="N971" t="n">
        <v>45.4879605341808</v>
      </c>
      <c r="O971" t="n">
        <v>-0.2343702280559624</v>
      </c>
      <c r="P971" t="n">
        <v>142.4781981114834</v>
      </c>
      <c r="Q971" t="n">
        <v>147.2480673007557</v>
      </c>
    </row>
    <row r="972">
      <c r="A972" s="117" t="n">
        <v>45826</v>
      </c>
      <c r="B972" s="118" t="n">
        <v>58.39751172245413</v>
      </c>
      <c r="C972" s="118" t="n">
        <v>58.8354938029353</v>
      </c>
      <c r="D972" s="118" t="n">
        <v>57.7843368097805</v>
      </c>
      <c r="E972" s="118" t="n">
        <v>57.92059707641602</v>
      </c>
      <c r="F972" s="119" t="n">
        <v>14194300</v>
      </c>
      <c r="G972" s="120" t="n">
        <v>-0.008166739153354641</v>
      </c>
      <c r="H972" s="121" t="n">
        <v>36.40968329515761</v>
      </c>
      <c r="I972" s="118" t="n">
        <v>57.63288154602051</v>
      </c>
      <c r="J972" s="118" t="n">
        <v>69.54608638763428</v>
      </c>
      <c r="K972" s="120" t="n">
        <v>0.3679578845185089</v>
      </c>
      <c r="L972" s="120" t="n">
        <v>-0.09970720617890982</v>
      </c>
      <c r="M972" s="120" t="n">
        <v>-0.3745017056306368</v>
      </c>
      <c r="N972" t="n">
        <v>44.05084015060542</v>
      </c>
      <c r="O972" t="n">
        <v>-0.344953067406269</v>
      </c>
      <c r="P972" t="n">
        <v>142.4567395380048</v>
      </c>
      <c r="Q972" t="n">
        <v>147.2230338858459</v>
      </c>
    </row>
    <row r="973">
      <c r="A973" s="117" t="n">
        <v>45828</v>
      </c>
      <c r="B973" s="118" t="n">
        <v>58.15419410932657</v>
      </c>
      <c r="C973" s="118" t="n">
        <v>58.43644966637193</v>
      </c>
      <c r="D973" s="118" t="n">
        <v>57.60914927980599</v>
      </c>
      <c r="E973" s="118" t="n">
        <v>58.1931266784668</v>
      </c>
      <c r="F973" s="119" t="n">
        <v>19084000</v>
      </c>
      <c r="G973" s="120" t="n">
        <v>0.004705227774002951</v>
      </c>
      <c r="H973" s="121" t="n">
        <v>36.58099914824064</v>
      </c>
      <c r="I973" s="118" t="n">
        <v>57.76664451599121</v>
      </c>
      <c r="J973" s="118" t="n">
        <v>69.4400897026062</v>
      </c>
      <c r="K973" s="120" t="n">
        <v>0.337724535520729</v>
      </c>
      <c r="L973" s="120" t="n">
        <v>-0.08529877942532793</v>
      </c>
      <c r="M973" s="120" t="n">
        <v>-0.3715585936833786</v>
      </c>
      <c r="N973" t="n">
        <v>45.11788540599132</v>
      </c>
      <c r="O973" t="n">
        <v>-0.3832442706703004</v>
      </c>
      <c r="P973" t="n">
        <v>142.1221835530072</v>
      </c>
      <c r="Q973" t="n">
        <v>146.6218901749061</v>
      </c>
    </row>
    <row r="974">
      <c r="A974" s="117" t="n">
        <v>45831</v>
      </c>
      <c r="B974" s="118" t="n">
        <v>57.98873000046727</v>
      </c>
      <c r="C974" s="118" t="n">
        <v>59.66278945184497</v>
      </c>
      <c r="D974" s="118" t="n">
        <v>57.85246602318468</v>
      </c>
      <c r="E974" s="118" t="n">
        <v>59.15667724609375</v>
      </c>
      <c r="F974" s="119" t="n">
        <v>15921300</v>
      </c>
      <c r="G974" s="120" t="n">
        <v>0.01655780712644694</v>
      </c>
      <c r="H974" s="121" t="n">
        <v>37.18670027662993</v>
      </c>
      <c r="I974" s="118" t="n">
        <v>57.80268775939941</v>
      </c>
      <c r="J974" s="118" t="n">
        <v>69.34671117782592</v>
      </c>
      <c r="K974" s="120" t="n">
        <v>0.3333338792527689</v>
      </c>
      <c r="L974" s="120" t="n">
        <v>-0.07015333303672688</v>
      </c>
      <c r="M974" s="120" t="n">
        <v>-0.3611529820873148</v>
      </c>
      <c r="N974" t="n">
        <v>48.83341890573652</v>
      </c>
      <c r="O974" t="n">
        <v>-0.3292443539215615</v>
      </c>
      <c r="P974" t="n">
        <v>143.5259933943311</v>
      </c>
      <c r="Q974" t="n">
        <v>148.1295169080643</v>
      </c>
    </row>
    <row r="975">
      <c r="A975" s="117" t="n">
        <v>45832</v>
      </c>
      <c r="B975" s="118" t="n">
        <v>59.69199408518201</v>
      </c>
      <c r="C975" s="118" t="n">
        <v>60.32463159329945</v>
      </c>
      <c r="D975" s="118" t="n">
        <v>58.86469374143989</v>
      </c>
      <c r="E975" s="118" t="n">
        <v>59.77958679199219</v>
      </c>
      <c r="F975" s="119" t="n">
        <v>12564000</v>
      </c>
      <c r="G975" s="120" t="n">
        <v>0.01052982646924394</v>
      </c>
      <c r="H975" s="121" t="n">
        <v>37.57826977750663</v>
      </c>
      <c r="I975" s="118" t="n">
        <v>57.94632881164551</v>
      </c>
      <c r="J975" s="118" t="n">
        <v>69.25788293838501</v>
      </c>
      <c r="K975" s="120" t="n">
        <v>0.3253786900915102</v>
      </c>
      <c r="L975" s="120" t="n">
        <v>-0.04821154369185932</v>
      </c>
      <c r="M975" s="120" t="n">
        <v>-0.3544260338483003</v>
      </c>
      <c r="N975" t="n">
        <v>51.13650427611176</v>
      </c>
      <c r="O975" t="n">
        <v>-0.241217415716831</v>
      </c>
      <c r="P975" t="n">
        <v>145.111566503167</v>
      </c>
      <c r="Q975" t="n">
        <v>150.3947077481241</v>
      </c>
    </row>
    <row r="976">
      <c r="A976" s="117" t="n">
        <v>45833</v>
      </c>
      <c r="B976" s="118" t="n">
        <v>59.80878506260851</v>
      </c>
      <c r="C976" s="118" t="n">
        <v>59.88664648012442</v>
      </c>
      <c r="D976" s="118" t="n">
        <v>58.74789679515617</v>
      </c>
      <c r="E976" s="118" t="n">
        <v>59.20534515380859</v>
      </c>
      <c r="F976" s="119" t="n">
        <v>12186200</v>
      </c>
      <c r="G976" s="120" t="n">
        <v>-0.009605982058419227</v>
      </c>
      <c r="H976" s="121" t="n">
        <v>37.21729359223746</v>
      </c>
      <c r="I976" s="118" t="n">
        <v>58.07867835998535</v>
      </c>
      <c r="J976" s="118" t="n">
        <v>69.16709272384644</v>
      </c>
      <c r="K976" s="120" t="n">
        <v>0.2800580935585679</v>
      </c>
      <c r="L976" s="120" t="n">
        <v>-0.05735440652656587</v>
      </c>
      <c r="M976" s="120" t="n">
        <v>-0.3605616556820443</v>
      </c>
      <c r="N976" t="n">
        <v>48.94913052252126</v>
      </c>
      <c r="O976" t="n">
        <v>-0.2123271257557225</v>
      </c>
      <c r="P976" t="n">
        <v>145.1928699978669</v>
      </c>
      <c r="Q976" t="n">
        <v>150.7791970784213</v>
      </c>
    </row>
    <row r="977">
      <c r="A977" s="117" t="n">
        <v>45834</v>
      </c>
      <c r="B977" s="118" t="n">
        <v>59.91585284668786</v>
      </c>
      <c r="C977" s="118" t="n">
        <v>61.05460262832507</v>
      </c>
      <c r="D977" s="118" t="n">
        <v>59.19561518125214</v>
      </c>
      <c r="E977" s="118" t="n">
        <v>60.86967849731445</v>
      </c>
      <c r="F977" s="119" t="n">
        <v>39659800</v>
      </c>
      <c r="G977" s="120" t="n">
        <v>0.02811120075699436</v>
      </c>
      <c r="H977" s="121" t="n">
        <v>38.26351640404085</v>
      </c>
      <c r="I977" s="118" t="n">
        <v>58.22459053039551</v>
      </c>
      <c r="J977" s="118" t="n">
        <v>69.08558128356934</v>
      </c>
      <c r="K977" s="120" t="n">
        <v>0.2919405665752746</v>
      </c>
      <c r="L977" s="120" t="n">
        <v>-0.03085550700573803</v>
      </c>
      <c r="M977" s="120" t="n">
        <v>-0.3257954741831884</v>
      </c>
      <c r="N977" t="n">
        <v>54.96223938265889</v>
      </c>
      <c r="O977" t="n">
        <v>-0.07867245590411048</v>
      </c>
      <c r="P977" t="n">
        <v>146.328816628299</v>
      </c>
      <c r="Q977" t="n">
        <v>152.1890311607066</v>
      </c>
    </row>
    <row r="978">
      <c r="A978" s="117" t="n">
        <v>45835</v>
      </c>
      <c r="B978" s="118" t="n">
        <v>67.92603730417119</v>
      </c>
      <c r="C978" s="118" t="n">
        <v>72.20852281591397</v>
      </c>
      <c r="D978" s="118" t="n">
        <v>67.82870960687353</v>
      </c>
      <c r="E978" s="118" t="n">
        <v>70.11594390869141</v>
      </c>
      <c r="F978" s="119" t="n">
        <v>117530300</v>
      </c>
      <c r="G978" s="120" t="n">
        <v>0.1519026490633575</v>
      </c>
      <c r="H978" s="121" t="n">
        <v>44.07584590829389</v>
      </c>
      <c r="I978" s="118" t="n">
        <v>58.56664360046387</v>
      </c>
      <c r="J978" s="118" t="n">
        <v>69.05575675964356</v>
      </c>
      <c r="K978" s="120" t="n">
        <v>0.608134390565169</v>
      </c>
      <c r="L978" s="120" t="n">
        <v>0</v>
      </c>
      <c r="M978" s="120" t="n">
        <v>-0.2187645866873948</v>
      </c>
      <c r="N978" t="n">
        <v>73.58030226098013</v>
      </c>
      <c r="O978" t="n">
        <v>0.5976806012286158</v>
      </c>
      <c r="P978" t="n">
        <v>147.0558549400435</v>
      </c>
      <c r="Q978" t="n">
        <v>152.7100679439349</v>
      </c>
    </row>
    <row r="979">
      <c r="A979" s="117" t="n">
        <v>45838</v>
      </c>
      <c r="B979" s="118" t="n">
        <v>69.54170021902701</v>
      </c>
      <c r="C979" s="118" t="n">
        <v>69.79475818104684</v>
      </c>
      <c r="D979" s="118" t="n">
        <v>68.18882513171827</v>
      </c>
      <c r="E979" s="118" t="n">
        <v>69.14265441894531</v>
      </c>
      <c r="F979" s="119" t="n">
        <v>31090400</v>
      </c>
      <c r="G979" s="120" t="n">
        <v>-0.01388114365276982</v>
      </c>
      <c r="H979" s="121" t="n">
        <v>43.46402275962351</v>
      </c>
      <c r="I979" s="118" t="n">
        <v>58.9139826965332</v>
      </c>
      <c r="J979" s="118" t="n">
        <v>69.02776557922363</v>
      </c>
      <c r="K979" s="120" t="n">
        <v>0.608157532080157</v>
      </c>
      <c r="L979" s="120" t="n">
        <v>-0.01388114365276982</v>
      </c>
      <c r="M979" s="120" t="n">
        <v>-0.229609027686218</v>
      </c>
      <c r="N979" t="n">
        <v>70.28655462387299</v>
      </c>
      <c r="O979" t="n">
        <v>0.9251805947843408</v>
      </c>
      <c r="P979" t="n">
        <v>147.7589552832995</v>
      </c>
      <c r="Q979" t="n">
        <v>153.6991697791833</v>
      </c>
    </row>
    <row r="980">
      <c r="A980" s="117" t="n">
        <v>45839</v>
      </c>
      <c r="B980" s="118" t="n">
        <v>70.06728353287386</v>
      </c>
      <c r="C980" s="118" t="n">
        <v>71.96520724013982</v>
      </c>
      <c r="D980" s="118" t="n">
        <v>69.91156068635316</v>
      </c>
      <c r="E980" s="118" t="n">
        <v>71.44936370849609</v>
      </c>
      <c r="F980" s="119" t="n">
        <v>27512900</v>
      </c>
      <c r="G980" s="120" t="n">
        <v>0.03336159580414866</v>
      </c>
      <c r="H980" s="121" t="n">
        <v>44.91405191895239</v>
      </c>
      <c r="I980" s="118" t="n">
        <v>59.26472053527832</v>
      </c>
      <c r="J980" s="118" t="n">
        <v>69.00982437133788</v>
      </c>
      <c r="K980" s="120" t="n">
        <v>0.6124459268488536</v>
      </c>
      <c r="L980" s="120" t="n">
        <v>0</v>
      </c>
      <c r="M980" s="120" t="n">
        <v>-0.1653514766309828</v>
      </c>
      <c r="N980" t="n">
        <v>73.33328351884211</v>
      </c>
      <c r="O980" t="n">
        <v>1.224071341365855</v>
      </c>
      <c r="P980" t="n">
        <v>147.7111236212334</v>
      </c>
      <c r="Q980" t="n">
        <v>152.403583759756</v>
      </c>
    </row>
    <row r="981">
      <c r="A981" s="117" t="n">
        <v>45840</v>
      </c>
      <c r="B981" s="118" t="n">
        <v>71.21576840418466</v>
      </c>
      <c r="C981" s="118" t="n">
        <v>74.78774798849355</v>
      </c>
      <c r="D981" s="118" t="n">
        <v>71.05031055900621</v>
      </c>
      <c r="E981" s="118" t="n">
        <v>74.34976959228516</v>
      </c>
      <c r="F981" s="119" t="n">
        <v>36882300</v>
      </c>
      <c r="G981" s="120" t="n">
        <v>0.04059386582674596</v>
      </c>
      <c r="H981" s="121" t="n">
        <v>46.73728691628584</v>
      </c>
      <c r="I981" s="118" t="n">
        <v>59.66650505065918</v>
      </c>
      <c r="J981" s="118" t="n">
        <v>69.00638519287109</v>
      </c>
      <c r="K981" s="120" t="n">
        <v>0.6222948798280109</v>
      </c>
      <c r="L981" s="120" t="n">
        <v>0</v>
      </c>
      <c r="M981" s="120" t="n">
        <v>-0.1314698664608493</v>
      </c>
      <c r="N981" t="n">
        <v>76.58442731793959</v>
      </c>
      <c r="O981" t="n">
        <v>1.524460442837441</v>
      </c>
      <c r="P981" t="n">
        <v>148.380737373552</v>
      </c>
      <c r="Q981" t="n">
        <v>153.4651201655181</v>
      </c>
    </row>
    <row r="982">
      <c r="A982" s="117" t="n">
        <v>45841</v>
      </c>
      <c r="B982" s="118" t="n">
        <v>74.23297188800315</v>
      </c>
      <c r="C982" s="118" t="n">
        <v>74.97267583053305</v>
      </c>
      <c r="D982" s="118" t="n">
        <v>73.56140550885883</v>
      </c>
      <c r="E982" s="118" t="n">
        <v>74.34976959228516</v>
      </c>
      <c r="F982" s="119" t="n">
        <v>12022600</v>
      </c>
      <c r="G982" s="120" t="n">
        <v>0</v>
      </c>
      <c r="H982" s="121" t="n">
        <v>46.73728691628584</v>
      </c>
      <c r="I982" s="118" t="n">
        <v>60.05011238098145</v>
      </c>
      <c r="J982" s="118" t="n">
        <v>69.00002681732178</v>
      </c>
      <c r="K982" s="120" t="n">
        <v>0.6233201052017978</v>
      </c>
      <c r="L982" s="120" t="n">
        <v>0</v>
      </c>
      <c r="M982" s="120" t="n">
        <v>-0.1314698664608493</v>
      </c>
      <c r="N982" t="n">
        <v>76.58442731793959</v>
      </c>
      <c r="O982" t="n">
        <v>1.621470109715287</v>
      </c>
      <c r="P982" t="n">
        <v>149.5501853532251</v>
      </c>
      <c r="Q982" t="n">
        <v>154.9752587839949</v>
      </c>
    </row>
    <row r="983">
      <c r="A983" s="117" t="n">
        <v>45845</v>
      </c>
      <c r="B983" s="118" t="n">
        <v>74.0091120292139</v>
      </c>
      <c r="C983" s="118" t="n">
        <v>75.43011721732958</v>
      </c>
      <c r="D983" s="118" t="n">
        <v>73.82418420435128</v>
      </c>
      <c r="E983" s="118" t="n">
        <v>74.48602294921875</v>
      </c>
      <c r="F983" s="119" t="n">
        <v>17296900</v>
      </c>
      <c r="G983" s="120" t="n">
        <v>0.001832599585456229</v>
      </c>
      <c r="H983" s="121" t="n">
        <v>46.82293764891398</v>
      </c>
      <c r="I983" s="118" t="n">
        <v>60.43006355285645</v>
      </c>
      <c r="J983" s="118" t="n">
        <v>68.99056911468506</v>
      </c>
      <c r="K983" s="120" t="n">
        <v>0.6225528896621206</v>
      </c>
      <c r="L983" s="120" t="n">
        <v>0</v>
      </c>
      <c r="M983" s="120" t="n">
        <v>-0.1298781984981692</v>
      </c>
      <c r="N983" t="n">
        <v>76.7389363971558</v>
      </c>
      <c r="O983" t="n">
        <v>1.590919792622677</v>
      </c>
      <c r="P983" t="n">
        <v>148.4357268128789</v>
      </c>
      <c r="Q983" t="n">
        <v>153.8078301787816</v>
      </c>
    </row>
    <row r="984">
      <c r="A984" s="117" t="n">
        <v>45846</v>
      </c>
      <c r="B984" s="118" t="n">
        <v>74.09670622449374</v>
      </c>
      <c r="C984" s="118" t="n">
        <v>74.26217148326836</v>
      </c>
      <c r="D984" s="118" t="n">
        <v>71.68294658320843</v>
      </c>
      <c r="E984" s="118" t="n">
        <v>71.94573211669922</v>
      </c>
      <c r="F984" s="119" t="n">
        <v>19572400</v>
      </c>
      <c r="G984" s="120" t="n">
        <v>-0.03410426187274607</v>
      </c>
      <c r="H984" s="121" t="n">
        <v>45.22607592168415</v>
      </c>
      <c r="I984" s="118" t="n">
        <v>60.73813117980957</v>
      </c>
      <c r="J984" s="118" t="n">
        <v>68.96439010620117</v>
      </c>
      <c r="K984" s="120" t="n">
        <v>0.6421566999665008</v>
      </c>
      <c r="L984" s="120" t="n">
        <v>-0.03410426187274618</v>
      </c>
      <c r="M984" s="120" t="n">
        <v>-0.1595530602777732</v>
      </c>
      <c r="N984" t="n">
        <v>67.76148525140198</v>
      </c>
      <c r="O984" t="n">
        <v>1.307582021635908</v>
      </c>
      <c r="P984" t="n">
        <v>148.3544380764826</v>
      </c>
      <c r="Q984" t="n">
        <v>153.8942082759618</v>
      </c>
    </row>
    <row r="985">
      <c r="A985" s="117" t="n">
        <v>45847</v>
      </c>
      <c r="B985" s="118" t="n">
        <v>72.15012827730767</v>
      </c>
      <c r="C985" s="118" t="n">
        <v>72.9190297949974</v>
      </c>
      <c r="D985" s="118" t="n">
        <v>71.45909189636257</v>
      </c>
      <c r="E985" s="118" t="n">
        <v>71.59535217285156</v>
      </c>
      <c r="F985" s="119" t="n">
        <v>12076700</v>
      </c>
      <c r="G985" s="120" t="n">
        <v>-0.004870058772622143</v>
      </c>
      <c r="H985" s="121" t="n">
        <v>45.00582227389048</v>
      </c>
      <c r="I985" s="118" t="n">
        <v>61.05582130432129</v>
      </c>
      <c r="J985" s="118" t="n">
        <v>68.93521484375</v>
      </c>
      <c r="K985" s="120" t="n">
        <v>0.638559959810118</v>
      </c>
      <c r="L985" s="120" t="n">
        <v>-0.03880823088565111</v>
      </c>
      <c r="M985" s="120" t="n">
        <v>-0.1636460862694908</v>
      </c>
      <c r="N985" t="n">
        <v>66.60409796638662</v>
      </c>
      <c r="O985" t="n">
        <v>1.017429758963623</v>
      </c>
      <c r="P985" t="n">
        <v>149.2440686193233</v>
      </c>
      <c r="Q985" t="n">
        <v>154.9836317350569</v>
      </c>
    </row>
    <row r="986">
      <c r="A986" s="117" t="n">
        <v>45848</v>
      </c>
      <c r="B986" s="118" t="n">
        <v>71.16710681916078</v>
      </c>
      <c r="C986" s="118" t="n">
        <v>73.48353888153817</v>
      </c>
      <c r="D986" s="118" t="n">
        <v>71.00164155171186</v>
      </c>
      <c r="E986" s="118" t="n">
        <v>72.62704467773438</v>
      </c>
      <c r="F986" s="119" t="n">
        <v>13033000</v>
      </c>
      <c r="G986" s="120" t="n">
        <v>0.01441004860751316</v>
      </c>
      <c r="H986" s="121" t="n">
        <v>45.65435836047833</v>
      </c>
      <c r="I986" s="118" t="n">
        <v>61.40013984680176</v>
      </c>
      <c r="J986" s="118" t="n">
        <v>68.91081527709962</v>
      </c>
      <c r="K986" s="120" t="n">
        <v>0.6334935894620146</v>
      </c>
      <c r="L986" s="120" t="n">
        <v>-0.02495741077157188</v>
      </c>
      <c r="M986" s="120" t="n">
        <v>-0.1515941857195504</v>
      </c>
      <c r="N986" t="n">
        <v>68.31994076144093</v>
      </c>
      <c r="O986" t="n">
        <v>0.8240982726638384</v>
      </c>
      <c r="P986" t="n">
        <v>149.6649754388624</v>
      </c>
      <c r="Q986" t="n">
        <v>154.7607232726007</v>
      </c>
    </row>
    <row r="987">
      <c r="A987" s="117" t="n">
        <v>45849</v>
      </c>
      <c r="B987" s="118" t="n">
        <v>71.72188771489508</v>
      </c>
      <c r="C987" s="118" t="n">
        <v>71.86787557003358</v>
      </c>
      <c r="D987" s="118" t="n">
        <v>70.46634018130487</v>
      </c>
      <c r="E987" s="118" t="n">
        <v>70.69019317626953</v>
      </c>
      <c r="F987" s="119" t="n">
        <v>12771400</v>
      </c>
      <c r="G987" s="120" t="n">
        <v>-0.02666846090267294</v>
      </c>
      <c r="H987" s="121" t="n">
        <v>44.4368268895053</v>
      </c>
      <c r="I987" s="118" t="n">
        <v>61.70127372741699</v>
      </c>
      <c r="J987" s="118" t="n">
        <v>68.85021945953369</v>
      </c>
      <c r="K987" s="120" t="n">
        <v>0.6419201347259023</v>
      </c>
      <c r="L987" s="120" t="n">
        <v>-0.05096029594085116</v>
      </c>
      <c r="M987" s="120" t="n">
        <v>-0.174219863007289</v>
      </c>
      <c r="N987" t="n">
        <v>61.89095808825954</v>
      </c>
      <c r="O987" t="n">
        <v>0.5102630991547858</v>
      </c>
      <c r="P987" t="n">
        <v>149.1388271561349</v>
      </c>
      <c r="Q987" t="n">
        <v>154.4124597713879</v>
      </c>
    </row>
    <row r="988">
      <c r="A988" s="117" t="n">
        <v>45852</v>
      </c>
      <c r="B988" s="118" t="n">
        <v>70.40793572831576</v>
      </c>
      <c r="C988" s="118" t="n">
        <v>70.64153114153929</v>
      </c>
      <c r="D988" s="118" t="n">
        <v>69.13292565672404</v>
      </c>
      <c r="E988" s="118" t="n">
        <v>70.32034301757812</v>
      </c>
      <c r="F988" s="119" t="n">
        <v>11385400</v>
      </c>
      <c r="G988" s="120" t="n">
        <v>-0.005231986815613432</v>
      </c>
      <c r="H988" s="121" t="n">
        <v>44.20433399709171</v>
      </c>
      <c r="I988" s="118" t="n">
        <v>62.01705520629883</v>
      </c>
      <c r="J988" s="118" t="n">
        <v>68.78930580139161</v>
      </c>
      <c r="K988" s="120" t="n">
        <v>0.6420050311534863</v>
      </c>
      <c r="L988" s="120" t="n">
        <v>-0.05592565915998238</v>
      </c>
      <c r="M988" s="120" t="n">
        <v>-0.1785403337966303</v>
      </c>
      <c r="N988" t="n">
        <v>60.71602728527776</v>
      </c>
      <c r="O988" t="n">
        <v>0.2361896795070733</v>
      </c>
      <c r="P988" t="n">
        <v>149.4234262833436</v>
      </c>
      <c r="Q988" t="n">
        <v>154.9724734961926</v>
      </c>
    </row>
    <row r="989">
      <c r="A989" s="117" t="n">
        <v>45853</v>
      </c>
      <c r="B989" s="118" t="n">
        <v>70.33007660858082</v>
      </c>
      <c r="C989" s="118" t="n">
        <v>70.93351284992686</v>
      </c>
      <c r="D989" s="118" t="n">
        <v>69.6682378022837</v>
      </c>
      <c r="E989" s="118" t="n">
        <v>70.06728363037109</v>
      </c>
      <c r="F989" s="119" t="n">
        <v>9708300</v>
      </c>
      <c r="G989" s="120" t="n">
        <v>-0.003598665426643</v>
      </c>
      <c r="H989" s="121" t="n">
        <v>44.04525738862859</v>
      </c>
      <c r="I989" s="118" t="n">
        <v>62.32081413269043</v>
      </c>
      <c r="J989" s="118" t="n">
        <v>68.72109703063965</v>
      </c>
      <c r="K989" s="120" t="n">
        <v>0.6225814885369547</v>
      </c>
      <c r="L989" s="120" t="n">
        <v>-0.05932306685054423</v>
      </c>
      <c r="M989" s="120" t="n">
        <v>-0.181496492296778</v>
      </c>
      <c r="N989" t="n">
        <v>59.87842704480207</v>
      </c>
      <c r="O989" t="n">
        <v>0.00832052854498988</v>
      </c>
      <c r="P989" t="n">
        <v>148.7848935184706</v>
      </c>
      <c r="Q989" t="n">
        <v>155.1145744370731</v>
      </c>
    </row>
    <row r="990">
      <c r="A990" s="117" t="n">
        <v>45854</v>
      </c>
      <c r="B990" s="118" t="n">
        <v>69.9796915073694</v>
      </c>
      <c r="C990" s="118" t="n">
        <v>70.76805559734387</v>
      </c>
      <c r="D990" s="118" t="n">
        <v>69.24972255720691</v>
      </c>
      <c r="E990" s="118" t="n">
        <v>70.17434692382812</v>
      </c>
      <c r="F990" s="119" t="n">
        <v>9008600</v>
      </c>
      <c r="G990" s="120" t="n">
        <v>0.001528006908642743</v>
      </c>
      <c r="H990" s="121" t="n">
        <v>44.11255884621137</v>
      </c>
      <c r="I990" s="118" t="n">
        <v>62.59132698059082</v>
      </c>
      <c r="J990" s="118" t="n">
        <v>68.65083934783935</v>
      </c>
      <c r="K990" s="120" t="n">
        <v>0.6211331323112775</v>
      </c>
      <c r="L990" s="120" t="n">
        <v>-0.05788570599789078</v>
      </c>
      <c r="M990" s="120" t="n">
        <v>-0.1802458132822593</v>
      </c>
      <c r="N990" t="n">
        <v>60.12903395074643</v>
      </c>
      <c r="O990" t="n">
        <v>-0.1556801805009131</v>
      </c>
      <c r="P990" t="n">
        <v>149.2823221423333</v>
      </c>
      <c r="Q990" t="n">
        <v>155.2733871047671</v>
      </c>
    </row>
    <row r="991">
      <c r="A991" s="117" t="n">
        <v>45855</v>
      </c>
      <c r="B991" s="118" t="n">
        <v>70.19381401978065</v>
      </c>
      <c r="C991" s="118" t="n">
        <v>71.25469861920286</v>
      </c>
      <c r="D991" s="118" t="n">
        <v>70.11594888616401</v>
      </c>
      <c r="E991" s="118" t="n">
        <v>71.03084564208984</v>
      </c>
      <c r="F991" s="119" t="n">
        <v>9180400</v>
      </c>
      <c r="G991" s="120" t="n">
        <v>0.01220529660491776</v>
      </c>
      <c r="H991" s="121" t="n">
        <v>44.65096571093127</v>
      </c>
      <c r="I991" s="118" t="n">
        <v>62.90294799804688</v>
      </c>
      <c r="J991" s="118" t="n">
        <v>68.57821220397949</v>
      </c>
      <c r="K991" s="120" t="n">
        <v>0.603804582042971</v>
      </c>
      <c r="L991" s="120" t="n">
        <v>-0.04638692160386237</v>
      </c>
      <c r="M991" s="120" t="n">
        <v>-0.1702404702902461</v>
      </c>
      <c r="N991" t="n">
        <v>62.16504044720002</v>
      </c>
      <c r="O991" t="n">
        <v>-0.2228701547091227</v>
      </c>
      <c r="P991" t="n">
        <v>150.1958906536624</v>
      </c>
      <c r="Q991" t="n">
        <v>156.5299790949628</v>
      </c>
    </row>
    <row r="992">
      <c r="A992" s="117" t="n">
        <v>45856</v>
      </c>
      <c r="B992" s="118" t="n">
        <v>71.32282600206322</v>
      </c>
      <c r="C992" s="118" t="n">
        <v>71.32282600206322</v>
      </c>
      <c r="D992" s="118" t="n">
        <v>70.19381131070683</v>
      </c>
      <c r="E992" s="118" t="n">
        <v>70.53446197509766</v>
      </c>
      <c r="F992" s="119" t="n">
        <v>8801000</v>
      </c>
      <c r="G992" s="120" t="n">
        <v>-0.006988283224070968</v>
      </c>
      <c r="H992" s="121" t="n">
        <v>44.338932116315</v>
      </c>
      <c r="I992" s="118" t="n">
        <v>63.21063591003418</v>
      </c>
      <c r="J992" s="118" t="n">
        <v>68.50286384582519</v>
      </c>
      <c r="K992" s="120" t="n">
        <v>0.6033361881320465</v>
      </c>
      <c r="L992" s="120" t="n">
        <v>-0.05305103988187276</v>
      </c>
      <c r="M992" s="120" t="n">
        <v>-0.1760390648917298</v>
      </c>
      <c r="N992" t="n">
        <v>60.24496366234038</v>
      </c>
      <c r="O992" t="n">
        <v>-0.3116886534648948</v>
      </c>
      <c r="P992" t="n">
        <v>150.0858675000978</v>
      </c>
      <c r="Q992" t="n">
        <v>156.3795222906756</v>
      </c>
    </row>
    <row r="993">
      <c r="A993" s="117" t="n">
        <v>45859</v>
      </c>
      <c r="B993" s="118" t="n">
        <v>70.98218325531526</v>
      </c>
      <c r="C993" s="118" t="n">
        <v>72.8119694750218</v>
      </c>
      <c r="D993" s="118" t="n">
        <v>70.96272068330524</v>
      </c>
      <c r="E993" s="118" t="n">
        <v>72.04306793212891</v>
      </c>
      <c r="F993" s="119" t="n">
        <v>12743900</v>
      </c>
      <c r="G993" s="120" t="n">
        <v>0.02138821102178201</v>
      </c>
      <c r="H993" s="121" t="n">
        <v>45.28726255289921</v>
      </c>
      <c r="I993" s="118" t="n">
        <v>63.51794303894043</v>
      </c>
      <c r="J993" s="118" t="n">
        <v>68.44003543853759</v>
      </c>
      <c r="K993" s="120" t="n">
        <v>0.6041022599522112</v>
      </c>
      <c r="L993" s="120" t="n">
        <v>-0.03279749569600932</v>
      </c>
      <c r="M993" s="120" t="n">
        <v>-0.1584160145379292</v>
      </c>
      <c r="N993" t="n">
        <v>63.89488975256558</v>
      </c>
      <c r="O993" t="n">
        <v>-0.2807433246493334</v>
      </c>
      <c r="P993" t="n">
        <v>150.3704666273065</v>
      </c>
      <c r="Q993" t="n">
        <v>157.1903144436142</v>
      </c>
    </row>
    <row r="994">
      <c r="A994" s="117" t="n">
        <v>45860</v>
      </c>
      <c r="B994" s="118" t="n">
        <v>72.09172751949053</v>
      </c>
      <c r="C994" s="118" t="n">
        <v>73.52246773675631</v>
      </c>
      <c r="D994" s="118" t="n">
        <v>72.06252995189369</v>
      </c>
      <c r="E994" s="118" t="n">
        <v>73.37647247314453</v>
      </c>
      <c r="F994" s="119" t="n">
        <v>11297500</v>
      </c>
      <c r="G994" s="120" t="n">
        <v>0.0185084364018453</v>
      </c>
      <c r="H994" s="121" t="n">
        <v>46.12545897167322</v>
      </c>
      <c r="I994" s="118" t="n">
        <v>63.84631034851074</v>
      </c>
      <c r="J994" s="118" t="n">
        <v>68.38038066864014</v>
      </c>
      <c r="K994" s="120" t="n">
        <v>0.6043639041941615</v>
      </c>
      <c r="L994" s="120" t="n">
        <v>-0.01489608965739331</v>
      </c>
      <c r="M994" s="120" t="n">
        <v>-0.142839610866193</v>
      </c>
      <c r="N994" t="n">
        <v>66.79654607851887</v>
      </c>
      <c r="O994" t="n">
        <v>-0.1868956284364551</v>
      </c>
      <c r="P994" t="n">
        <v>150.3919989923033</v>
      </c>
      <c r="Q994" t="n">
        <v>156.3767199152181</v>
      </c>
    </row>
    <row r="995">
      <c r="A995" s="117" t="n">
        <v>45861</v>
      </c>
      <c r="B995" s="118" t="n">
        <v>74.11618348062933</v>
      </c>
      <c r="C995" s="118" t="n">
        <v>75.14787057147009</v>
      </c>
      <c r="D995" s="118" t="n">
        <v>73.79499535496554</v>
      </c>
      <c r="E995" s="118" t="n">
        <v>74.70015716552734</v>
      </c>
      <c r="F995" s="119" t="n">
        <v>16428100</v>
      </c>
      <c r="G995" s="120" t="n">
        <v>0.01803963379225237</v>
      </c>
      <c r="H995" s="121" t="n">
        <v>46.95754536002176</v>
      </c>
      <c r="I995" s="118" t="n">
        <v>64.21294723510742</v>
      </c>
      <c r="J995" s="118" t="n">
        <v>68.35620128631592</v>
      </c>
      <c r="K995" s="120" t="n">
        <v>0.60479650777325</v>
      </c>
      <c r="L995" s="120" t="n">
        <v>0</v>
      </c>
      <c r="M995" s="120" t="n">
        <v>-0.1273767513449946</v>
      </c>
      <c r="N995" t="n">
        <v>69.42361092847267</v>
      </c>
      <c r="O995" t="n">
        <v>-0.05873592336185585</v>
      </c>
      <c r="P995" t="n">
        <v>151.6714553672373</v>
      </c>
      <c r="Q995" t="n">
        <v>157.0900099074227</v>
      </c>
    </row>
    <row r="996">
      <c r="A996" s="117" t="n">
        <v>45862</v>
      </c>
      <c r="B996" s="118" t="n">
        <v>74.46656215281931</v>
      </c>
      <c r="C996" s="118" t="n">
        <v>75.46905157870208</v>
      </c>
      <c r="D996" s="118" t="n">
        <v>73.39594259388512</v>
      </c>
      <c r="E996" s="118" t="n">
        <v>73.40567016601562</v>
      </c>
      <c r="F996" s="119" t="n">
        <v>10037800</v>
      </c>
      <c r="G996" s="120" t="n">
        <v>-0.01732910677340715</v>
      </c>
      <c r="H996" s="121" t="n">
        <v>46.14381304266084</v>
      </c>
      <c r="I996" s="118" t="n">
        <v>64.47093055725098</v>
      </c>
      <c r="J996" s="118" t="n">
        <v>68.33033500671387</v>
      </c>
      <c r="K996" s="120" t="n">
        <v>0.6090363507233082</v>
      </c>
      <c r="L996" s="120" t="n">
        <v>-0.01732910677340704</v>
      </c>
      <c r="M996" s="120" t="n">
        <v>-0.1424985327938947</v>
      </c>
      <c r="N996" t="n">
        <v>64.08371218130404</v>
      </c>
      <c r="O996" t="n">
        <v>-0.08274018918054171</v>
      </c>
      <c r="P996" t="n">
        <v>151.7216483578843</v>
      </c>
      <c r="Q996" t="n">
        <v>157.4243640572794</v>
      </c>
    </row>
    <row r="997">
      <c r="A997" s="117" t="n">
        <v>45863</v>
      </c>
      <c r="B997" s="118" t="n">
        <v>73.88259293310432</v>
      </c>
      <c r="C997" s="118" t="n">
        <v>74.52496173655722</v>
      </c>
      <c r="D997" s="118" t="n">
        <v>73.51273725249602</v>
      </c>
      <c r="E997" s="118" t="n">
        <v>74.23297119140625</v>
      </c>
      <c r="F997" s="119" t="n">
        <v>7208400</v>
      </c>
      <c r="G997" s="120" t="n">
        <v>0.01127026050602886</v>
      </c>
      <c r="H997" s="121" t="n">
        <v>46.66386583639311</v>
      </c>
      <c r="I997" s="118" t="n">
        <v>64.74913398742676</v>
      </c>
      <c r="J997" s="118" t="n">
        <v>68.30788738250732</v>
      </c>
      <c r="K997" s="120" t="n">
        <v>0.6058551879245848</v>
      </c>
      <c r="L997" s="120" t="n">
        <v>-0.006254149815051346</v>
      </c>
      <c r="M997" s="120" t="n">
        <v>-0.1328342678741798</v>
      </c>
      <c r="N997" t="n">
        <v>65.8894910853124</v>
      </c>
      <c r="O997" t="n">
        <v>-0.06526340427642552</v>
      </c>
      <c r="P997" t="n">
        <v>152.3625867262491</v>
      </c>
      <c r="Q997" t="n">
        <v>157.8032828119722</v>
      </c>
    </row>
    <row r="998">
      <c r="A998" s="117" t="n">
        <v>45866</v>
      </c>
      <c r="B998" s="118" t="n">
        <v>76.89005400945202</v>
      </c>
      <c r="C998" s="118" t="n">
        <v>77.85361083495178</v>
      </c>
      <c r="D998" s="118" t="n">
        <v>75.48851140826886</v>
      </c>
      <c r="E998" s="118" t="n">
        <v>77.12364196777344</v>
      </c>
      <c r="F998" s="119" t="n">
        <v>22631100</v>
      </c>
      <c r="G998" s="120" t="n">
        <v>0.03894052373188361</v>
      </c>
      <c r="H998" s="121" t="n">
        <v>48.48098121141661</v>
      </c>
      <c r="I998" s="118" t="n">
        <v>65.0979135131836</v>
      </c>
      <c r="J998" s="118" t="n">
        <v>68.30668865203857</v>
      </c>
      <c r="K998" s="120" t="n">
        <v>0.3232464950229532</v>
      </c>
      <c r="L998" s="120" t="n">
        <v>0</v>
      </c>
      <c r="M998" s="120" t="n">
        <v>-0.09906638010285818</v>
      </c>
      <c r="N998" t="n">
        <v>71.31612690331968</v>
      </c>
      <c r="O998" t="n">
        <v>0.1091249232546687</v>
      </c>
      <c r="P998" t="n">
        <v>152.3243332032391</v>
      </c>
      <c r="Q998" t="n">
        <v>158.2964325418676</v>
      </c>
    </row>
    <row r="999">
      <c r="A999" s="117" t="n">
        <v>45867</v>
      </c>
      <c r="B999" s="118" t="n">
        <v>76.65647665419247</v>
      </c>
      <c r="C999" s="118" t="n">
        <v>77.25018534233567</v>
      </c>
      <c r="D999" s="118" t="n">
        <v>75.68318469666305</v>
      </c>
      <c r="E999" s="118" t="n">
        <v>76.23796081542969</v>
      </c>
      <c r="F999" s="119" t="n">
        <v>12885500</v>
      </c>
      <c r="G999" s="120" t="n">
        <v>-0.01148391245208358</v>
      </c>
      <c r="H999" s="121" t="n">
        <v>47.9242298675936</v>
      </c>
      <c r="I999" s="118" t="n">
        <v>65.41602333068847</v>
      </c>
      <c r="J999" s="118" t="n">
        <v>68.30134860992432</v>
      </c>
      <c r="K999" s="120" t="n">
        <v>0.3214995267314902</v>
      </c>
      <c r="L999" s="120" t="n">
        <v>-0.01148391245208358</v>
      </c>
      <c r="M999" s="120" t="n">
        <v>-0.1094126229188958</v>
      </c>
      <c r="N999" t="n">
        <v>67.75920574376794</v>
      </c>
      <c r="O999" t="n">
        <v>0.1314739659129485</v>
      </c>
      <c r="P999" t="n">
        <v>151.922553145205</v>
      </c>
      <c r="Q999" t="n">
        <v>158.0512417769934</v>
      </c>
    </row>
    <row r="1000">
      <c r="A1000" s="117" t="n">
        <v>45868</v>
      </c>
      <c r="B1000" s="118" t="n">
        <v>75.70265406604784</v>
      </c>
      <c r="C1000" s="118" t="n">
        <v>76.2087700877603</v>
      </c>
      <c r="D1000" s="118" t="n">
        <v>73.93126284131226</v>
      </c>
      <c r="E1000" s="118" t="n">
        <v>74.63203430175781</v>
      </c>
      <c r="F1000" s="119" t="n">
        <v>14601700</v>
      </c>
      <c r="G1000" s="120" t="n">
        <v>-0.02106465724548678</v>
      </c>
      <c r="H1000" s="121" t="n">
        <v>46.91472239167881</v>
      </c>
      <c r="I1000" s="118" t="n">
        <v>65.68828521728516</v>
      </c>
      <c r="J1000" s="118" t="n">
        <v>68.27993919372558</v>
      </c>
      <c r="K1000" s="120" t="n">
        <v>0.3160216077051444</v>
      </c>
      <c r="L1000" s="120" t="n">
        <v>-0.03230666501793</v>
      </c>
      <c r="M1000" s="120" t="n">
        <v>-0.1281725407642662</v>
      </c>
      <c r="N1000" t="n">
        <v>61.74571984576706</v>
      </c>
      <c r="O1000" t="n">
        <v>0.01109212445893704</v>
      </c>
      <c r="P1000" t="n">
        <v>151.7312264969405</v>
      </c>
      <c r="Q1000" t="n">
        <v>158.2630261758958</v>
      </c>
    </row>
    <row r="1001">
      <c r="A1001" s="117" t="n">
        <v>45869</v>
      </c>
      <c r="B1001" s="118" t="n">
        <v>74.31083588098971</v>
      </c>
      <c r="C1001" s="118" t="n">
        <v>74.35950344676554</v>
      </c>
      <c r="D1001" s="118" t="n">
        <v>72.32531949250932</v>
      </c>
      <c r="E1001" s="118" t="n">
        <v>72.69517517089844</v>
      </c>
      <c r="F1001" s="119" t="n">
        <v>16700000</v>
      </c>
      <c r="G1001" s="120" t="n">
        <v>-0.02595211491928684</v>
      </c>
      <c r="H1001" s="121" t="n">
        <v>45.69718612476353</v>
      </c>
      <c r="I1001" s="118" t="n">
        <v>65.94172721862793</v>
      </c>
      <c r="J1001" s="118" t="n">
        <v>68.25052043914795</v>
      </c>
      <c r="K1001" s="120" t="n">
        <v>0.2969706718714798</v>
      </c>
      <c r="L1001" s="120" t="n">
        <v>-0.05742035365401266</v>
      </c>
      <c r="M1001" s="120" t="n">
        <v>-0.1507983071761418</v>
      </c>
      <c r="N1001" t="n">
        <v>55.36393720987046</v>
      </c>
      <c r="O1001" t="n">
        <v>-0.2135846826546786</v>
      </c>
      <c r="P1001" t="n">
        <v>151.1620577591303</v>
      </c>
      <c r="Q1001" t="n">
        <v>157.4243640572794</v>
      </c>
    </row>
    <row r="1002">
      <c r="A1002" s="117" t="n">
        <v>45870</v>
      </c>
      <c r="B1002" s="118" t="n">
        <v>71.4785599319647</v>
      </c>
      <c r="C1002" s="118" t="n">
        <v>72.70490238671439</v>
      </c>
      <c r="D1002" s="118" t="n">
        <v>70.59286073346196</v>
      </c>
      <c r="E1002" s="118" t="n">
        <v>72.62704467773438</v>
      </c>
      <c r="F1002" s="119" t="n">
        <v>11911600</v>
      </c>
      <c r="G1002" s="120" t="n">
        <v>-0.0009372079096569008</v>
      </c>
      <c r="H1002" s="121" t="n">
        <v>45.65435836047833</v>
      </c>
      <c r="I1002" s="118" t="n">
        <v>66.1845246887207</v>
      </c>
      <c r="J1002" s="118" t="n">
        <v>68.22052181243896</v>
      </c>
      <c r="K1002" s="120" t="n">
        <v>0.2969491878947966</v>
      </c>
      <c r="L1002" s="120" t="n">
        <v>-0.0583037467540497</v>
      </c>
      <c r="M1002" s="120" t="n">
        <v>-0.1515941857195504</v>
      </c>
      <c r="N1002" t="n">
        <v>55.14801703086711</v>
      </c>
      <c r="O1002" t="n">
        <v>-0.372108925562368</v>
      </c>
      <c r="P1002" t="n">
        <v>148.684448503962</v>
      </c>
      <c r="Q1002" t="n">
        <v>154.3232792987502</v>
      </c>
    </row>
    <row r="1003">
      <c r="A1003" s="117" t="n">
        <v>45873</v>
      </c>
      <c r="B1003" s="118" t="n">
        <v>73.0260914616274</v>
      </c>
      <c r="C1003" s="118" t="n">
        <v>73.24995187017306</v>
      </c>
      <c r="D1003" s="118" t="n">
        <v>72.17933224488016</v>
      </c>
      <c r="E1003" s="118" t="n">
        <v>72.82170104980469</v>
      </c>
      <c r="F1003" s="119" t="n">
        <v>8839000</v>
      </c>
      <c r="G1003" s="120" t="n">
        <v>0.002680218821157432</v>
      </c>
      <c r="H1003" s="121" t="n">
        <v>45.77672203102396</v>
      </c>
      <c r="I1003" s="118" t="n">
        <v>66.48110565185547</v>
      </c>
      <c r="J1003" s="118" t="n">
        <v>68.19412845611572</v>
      </c>
      <c r="K1003" s="120" t="n">
        <v>0.2970718437928803</v>
      </c>
      <c r="L1003" s="120" t="n">
        <v>-0.05577979473228645</v>
      </c>
      <c r="M1003" s="120" t="n">
        <v>-0.1493202724881365</v>
      </c>
      <c r="N1003" t="n">
        <v>55.67985484636528</v>
      </c>
      <c r="O1003" t="n">
        <v>-0.4632413647193365</v>
      </c>
      <c r="P1003" t="n">
        <v>150.9444170554928</v>
      </c>
      <c r="Q1003" t="n">
        <v>157.170783253688</v>
      </c>
    </row>
    <row r="1004">
      <c r="A1004" s="117" t="n">
        <v>45874</v>
      </c>
      <c r="B1004" s="118" t="n">
        <v>72.90929881357218</v>
      </c>
      <c r="C1004" s="118" t="n">
        <v>73.6879278677325</v>
      </c>
      <c r="D1004" s="118" t="n">
        <v>72.25718760585781</v>
      </c>
      <c r="E1004" s="118" t="n">
        <v>72.39344787597656</v>
      </c>
      <c r="F1004" s="119" t="n">
        <v>6533800</v>
      </c>
      <c r="G1004" s="120" t="n">
        <v>-0.005880845512455601</v>
      </c>
      <c r="H1004" s="121" t="n">
        <v>45.50751620069288</v>
      </c>
      <c r="I1004" s="118" t="n">
        <v>66.74320960998536</v>
      </c>
      <c r="J1004" s="118" t="n">
        <v>68.16310535430908</v>
      </c>
      <c r="K1004" s="120" t="n">
        <v>0.2710657392985559</v>
      </c>
      <c r="L1004" s="120" t="n">
        <v>-0.06133260788920503</v>
      </c>
      <c r="M1004" s="120" t="n">
        <v>-0.1543229885462115</v>
      </c>
      <c r="N1004" t="n">
        <v>54.15832853633102</v>
      </c>
      <c r="O1004" t="n">
        <v>-0.5460534250463973</v>
      </c>
      <c r="P1004" t="n">
        <v>150.1791399790419</v>
      </c>
      <c r="Q1004" t="n">
        <v>156.1036933599767</v>
      </c>
    </row>
    <row r="1005">
      <c r="A1005" s="117" t="n">
        <v>45875</v>
      </c>
      <c r="B1005" s="118" t="n">
        <v>72.48104631908028</v>
      </c>
      <c r="C1005" s="118" t="n">
        <v>73.95071911327923</v>
      </c>
      <c r="D1005" s="118" t="n">
        <v>72.26692092084403</v>
      </c>
      <c r="E1005" s="118" t="n">
        <v>73.46407318115234</v>
      </c>
      <c r="F1005" s="119" t="n">
        <v>7579800</v>
      </c>
      <c r="G1005" s="120" t="n">
        <v>0.0147889807239181</v>
      </c>
      <c r="H1005" s="121" t="n">
        <v>46.18052598057832</v>
      </c>
      <c r="I1005" s="118" t="n">
        <v>67.05186462402344</v>
      </c>
      <c r="J1005" s="118" t="n">
        <v>68.12872566223145</v>
      </c>
      <c r="K1005" s="120" t="n">
        <v>0.2749051568218085</v>
      </c>
      <c r="L1005" s="120" t="n">
        <v>-0.04745067392110802</v>
      </c>
      <c r="M1005" s="120" t="n">
        <v>-0.1418162875251608</v>
      </c>
      <c r="N1005" t="n">
        <v>57.29979837926655</v>
      </c>
      <c r="O1005" t="n">
        <v>-0.5224097989850653</v>
      </c>
      <c r="P1005" t="n">
        <v>151.32946119721</v>
      </c>
      <c r="Q1005" t="n">
        <v>158.0679705914621</v>
      </c>
    </row>
    <row r="1006">
      <c r="A1006" s="117" t="n">
        <v>45876</v>
      </c>
      <c r="B1006" s="118" t="n">
        <v>74.2816285536002</v>
      </c>
      <c r="C1006" s="118" t="n">
        <v>74.31082611897889</v>
      </c>
      <c r="D1006" s="118" t="n">
        <v>72.02359191491445</v>
      </c>
      <c r="E1006" s="118" t="n">
        <v>72.36424255371094</v>
      </c>
      <c r="F1006" s="119" t="n">
        <v>8717600</v>
      </c>
      <c r="G1006" s="120" t="n">
        <v>-0.01497099983456374</v>
      </c>
      <c r="H1006" s="121" t="n">
        <v>45.48915733376301</v>
      </c>
      <c r="I1006" s="118" t="n">
        <v>67.28418502807617</v>
      </c>
      <c r="J1006" s="118" t="n">
        <v>68.09143104553223</v>
      </c>
      <c r="K1006" s="120" t="n">
        <v>0.2762868469070913</v>
      </c>
      <c r="L1006" s="120" t="n">
        <v>-0.061711289724249</v>
      </c>
      <c r="M1006" s="120" t="n">
        <v>-0.1546641557426469</v>
      </c>
      <c r="N1006" t="n">
        <v>53.26184201508381</v>
      </c>
      <c r="O1006" t="n">
        <v>-0.5706039984665487</v>
      </c>
      <c r="P1006" t="n">
        <v>151.2027021273285</v>
      </c>
      <c r="Q1006" t="n">
        <v>158.6029338137018</v>
      </c>
    </row>
    <row r="1007">
      <c r="A1007" s="117" t="n">
        <v>45877</v>
      </c>
      <c r="B1007" s="118" t="n">
        <v>72.21825418363007</v>
      </c>
      <c r="C1007" s="118" t="n">
        <v>72.95795808810163</v>
      </c>
      <c r="D1007" s="118" t="n">
        <v>71.42989014076565</v>
      </c>
      <c r="E1007" s="118" t="n">
        <v>72.20852661132812</v>
      </c>
      <c r="F1007" s="119" t="n">
        <v>6739000</v>
      </c>
      <c r="G1007" s="120" t="n">
        <v>-0.002151835449217043</v>
      </c>
      <c r="H1007" s="121" t="n">
        <v>45.39127215245721</v>
      </c>
      <c r="I1007" s="118" t="n">
        <v>67.5336954498291</v>
      </c>
      <c r="J1007" s="118" t="n">
        <v>68.05565494537353</v>
      </c>
      <c r="K1007" s="120" t="n">
        <v>0.2580484273893807</v>
      </c>
      <c r="L1007" s="120" t="n">
        <v>-0.0637303326326204</v>
      </c>
      <c r="M1007" s="120" t="n">
        <v>-0.1564831793788137</v>
      </c>
      <c r="N1007" t="n">
        <v>52.69563515939409</v>
      </c>
      <c r="O1007" t="n">
        <v>-0.5997466201841206</v>
      </c>
      <c r="P1007" t="n">
        <v>152.3817134877541</v>
      </c>
      <c r="Q1007" t="n">
        <v>160.0824000910433</v>
      </c>
    </row>
    <row r="1008">
      <c r="A1008" s="117" t="n">
        <v>45880</v>
      </c>
      <c r="B1008" s="118" t="n">
        <v>72.33505849167804</v>
      </c>
      <c r="C1008" s="118" t="n">
        <v>72.79250690301177</v>
      </c>
      <c r="D1008" s="118" t="n">
        <v>71.0989809642606</v>
      </c>
      <c r="E1008" s="118" t="n">
        <v>72.04306793212891</v>
      </c>
      <c r="F1008" s="119" t="n">
        <v>6985700</v>
      </c>
      <c r="G1008" s="120" t="n">
        <v>-0.002291400849235181</v>
      </c>
      <c r="H1008" s="121" t="n">
        <v>45.28726255289921</v>
      </c>
      <c r="I1008" s="118" t="n">
        <v>67.78647132873535</v>
      </c>
      <c r="J1008" s="118" t="n">
        <v>68.02594268798828</v>
      </c>
      <c r="K1008" s="120" t="n">
        <v>0.257288099555222</v>
      </c>
      <c r="L1008" s="120" t="n">
        <v>-0.06587570174353907</v>
      </c>
      <c r="M1008" s="120" t="n">
        <v>-0.1584160145379292</v>
      </c>
      <c r="N1008" t="n">
        <v>52.06231462148947</v>
      </c>
      <c r="O1008" t="n">
        <v>-0.6146751925024774</v>
      </c>
      <c r="P1008" t="n">
        <v>152.0803932025322</v>
      </c>
      <c r="Q1008" t="n">
        <v>159.6087302881083</v>
      </c>
    </row>
    <row r="1009">
      <c r="A1009" s="117" t="n">
        <v>45881</v>
      </c>
      <c r="B1009" s="118" t="n">
        <v>72.72437380690691</v>
      </c>
      <c r="C1009" s="118" t="n">
        <v>73.69766573167681</v>
      </c>
      <c r="D1009" s="118" t="n">
        <v>72.35451812309238</v>
      </c>
      <c r="E1009" s="118" t="n">
        <v>72.89956665039062</v>
      </c>
      <c r="F1009" s="119" t="n">
        <v>6397700</v>
      </c>
      <c r="G1009" s="120" t="n">
        <v>0.01188870411610754</v>
      </c>
      <c r="H1009" s="121" t="n">
        <v>45.8256694176191</v>
      </c>
      <c r="I1009" s="118" t="n">
        <v>68.07281394958495</v>
      </c>
      <c r="J1009" s="118" t="n">
        <v>68.00080009460449</v>
      </c>
      <c r="K1009" s="120" t="n">
        <v>0.2592151830793651</v>
      </c>
      <c r="L1009" s="120" t="n">
        <v>-0.05477017435390141</v>
      </c>
      <c r="M1009" s="120" t="n">
        <v>-0.1484106715459161</v>
      </c>
      <c r="N1009" t="n">
        <v>55.07243365673732</v>
      </c>
      <c r="O1009" t="n">
        <v>-0.5532921908732331</v>
      </c>
      <c r="P1009" t="n">
        <v>153.6994381440018</v>
      </c>
      <c r="Q1009" t="n">
        <v>161.614821011938</v>
      </c>
    </row>
    <row r="1010">
      <c r="A1010" s="117" t="n">
        <v>45882</v>
      </c>
      <c r="B1010" s="118" t="n">
        <v>73.4640743914201</v>
      </c>
      <c r="C1010" s="118" t="n">
        <v>75.61504855578141</v>
      </c>
      <c r="D1010" s="118" t="n">
        <v>73.18181885506124</v>
      </c>
      <c r="E1010" s="118" t="n">
        <v>75.13813018798828</v>
      </c>
      <c r="F1010" s="119" t="n">
        <v>13472600</v>
      </c>
      <c r="G1010" s="120" t="n">
        <v>0.03070750129878386</v>
      </c>
      <c r="H1010" s="121" t="n">
        <v>47.23286122077828</v>
      </c>
      <c r="I1010" s="118" t="n">
        <v>68.37706497192383</v>
      </c>
      <c r="J1010" s="118" t="n">
        <v>67.9934065246582</v>
      </c>
      <c r="K1010" s="120" t="n">
        <v>0.2783355576366066</v>
      </c>
      <c r="L1010" s="120" t="n">
        <v>-0.02574452825522466</v>
      </c>
      <c r="M1010" s="120" t="n">
        <v>-0.1222604911363817</v>
      </c>
      <c r="N1010" t="n">
        <v>61.82030053704067</v>
      </c>
      <c r="O1010" t="n">
        <v>-0.3578351586333928</v>
      </c>
      <c r="P1010" t="n">
        <v>154.2255716684257</v>
      </c>
      <c r="Q1010" t="n">
        <v>161.6956285335137</v>
      </c>
    </row>
    <row r="1011">
      <c r="A1011" s="117" t="n">
        <v>45883</v>
      </c>
      <c r="B1011" s="118" t="n">
        <v>73.88259362641328</v>
      </c>
      <c r="C1011" s="118" t="n">
        <v>74.55416000555762</v>
      </c>
      <c r="D1011" s="118" t="n">
        <v>73.33754509872531</v>
      </c>
      <c r="E1011" s="118" t="n">
        <v>74.34976959228516</v>
      </c>
      <c r="F1011" s="119" t="n">
        <v>7990500</v>
      </c>
      <c r="G1011" s="120" t="n">
        <v>-0.01049215083913746</v>
      </c>
      <c r="H1011" s="121" t="n">
        <v>46.73728691628583</v>
      </c>
      <c r="I1011" s="118" t="n">
        <v>68.64997611999512</v>
      </c>
      <c r="J1011" s="118" t="n">
        <v>67.98690460205079</v>
      </c>
      <c r="K1011" s="120" t="n">
        <v>0.2806452544186879</v>
      </c>
      <c r="L1011" s="120" t="n">
        <v>-0.03596656362062578</v>
      </c>
      <c r="M1011" s="120" t="n">
        <v>-0.1314698664608493</v>
      </c>
      <c r="N1011" t="n">
        <v>58.4886069222517</v>
      </c>
      <c r="O1011" t="n">
        <v>-0.2809449500913053</v>
      </c>
      <c r="P1011" t="n">
        <v>154.2399167395545</v>
      </c>
      <c r="Q1011" t="n">
        <v>161.5702734947572</v>
      </c>
    </row>
    <row r="1012">
      <c r="A1012" s="117" t="n">
        <v>45884</v>
      </c>
      <c r="B1012" s="118" t="n">
        <v>74.69042333316025</v>
      </c>
      <c r="C1012" s="118" t="n">
        <v>75.43012730591681</v>
      </c>
      <c r="D1012" s="118" t="n">
        <v>74.12591963680001</v>
      </c>
      <c r="E1012" s="118" t="n">
        <v>74.91428375244141</v>
      </c>
      <c r="F1012" s="119" t="n">
        <v>9767700</v>
      </c>
      <c r="G1012" s="120" t="n">
        <v>0.007592682038584542</v>
      </c>
      <c r="H1012" s="121" t="n">
        <v>47.09214827518728</v>
      </c>
      <c r="I1012" s="118" t="n">
        <v>68.92639114379882</v>
      </c>
      <c r="J1012" s="118" t="n">
        <v>67.9841344833374</v>
      </c>
      <c r="K1012" s="120" t="n">
        <v>0.2789201075176007</v>
      </c>
      <c r="L1012" s="120" t="n">
        <v>-0.02864696426363322</v>
      </c>
      <c r="M1012" s="120" t="n">
        <v>-0.1248753933159571</v>
      </c>
      <c r="N1012" t="n">
        <v>60.14495593296922</v>
      </c>
      <c r="O1012" t="n">
        <v>-0.1954232046812949</v>
      </c>
      <c r="P1012" t="n">
        <v>153.8787958080221</v>
      </c>
      <c r="Q1012" t="n">
        <v>160.8597687903549</v>
      </c>
    </row>
    <row r="1013">
      <c r="A1013" s="117" t="n">
        <v>45887</v>
      </c>
      <c r="B1013" s="118" t="n">
        <v>75.05054637017096</v>
      </c>
      <c r="C1013" s="118" t="n">
        <v>76.16983365016816</v>
      </c>
      <c r="D1013" s="118" t="n">
        <v>74.79748837215445</v>
      </c>
      <c r="E1013" s="118" t="n">
        <v>75.36199951171875</v>
      </c>
      <c r="F1013" s="119" t="n">
        <v>9069100</v>
      </c>
      <c r="G1013" s="120" t="n">
        <v>0.005976373754794873</v>
      </c>
      <c r="H1013" s="121" t="n">
        <v>47.37358855419602</v>
      </c>
      <c r="I1013" s="118" t="n">
        <v>69.21370704650879</v>
      </c>
      <c r="J1013" s="118" t="n">
        <v>67.9833158493042</v>
      </c>
      <c r="K1013" s="120" t="n">
        <v>0.2708103303704209</v>
      </c>
      <c r="L1013" s="120" t="n">
        <v>-0.02284179547421816</v>
      </c>
      <c r="M1013" s="120" t="n">
        <v>-0.1196453215843954</v>
      </c>
      <c r="N1013" t="n">
        <v>61.45844365406506</v>
      </c>
      <c r="O1013" t="n">
        <v>-0.1159829624637077</v>
      </c>
      <c r="P1013" t="n">
        <v>153.8453092170848</v>
      </c>
      <c r="Q1013" t="n">
        <v>160.7956729955927</v>
      </c>
    </row>
    <row r="1014">
      <c r="A1014" s="117" t="n">
        <v>45888</v>
      </c>
      <c r="B1014" s="118" t="n">
        <v>76.11142037135045</v>
      </c>
      <c r="C1014" s="118" t="n">
        <v>76.68566642924387</v>
      </c>
      <c r="D1014" s="118" t="n">
        <v>74.63202001357244</v>
      </c>
      <c r="E1014" s="118" t="n">
        <v>74.82667541503906</v>
      </c>
      <c r="F1014" s="119" t="n">
        <v>7684800</v>
      </c>
      <c r="G1014" s="120" t="n">
        <v>-0.007103369073911625</v>
      </c>
      <c r="H1014" s="121" t="n">
        <v>47.03707647033993</v>
      </c>
      <c r="I1014" s="118" t="n">
        <v>69.48778594970703</v>
      </c>
      <c r="J1014" s="118" t="n">
        <v>67.98226119995117</v>
      </c>
      <c r="K1014" s="120" t="n">
        <v>0.2658083196679769</v>
      </c>
      <c r="L1014" s="120" t="n">
        <v>-0.02978291084456552</v>
      </c>
      <c r="M1014" s="120" t="n">
        <v>-0.1258988057811262</v>
      </c>
      <c r="N1014" t="n">
        <v>58.95652217825013</v>
      </c>
      <c r="O1014" t="n">
        <v>-0.1069898358091024</v>
      </c>
      <c r="P1014" t="n">
        <v>153.0106828718746</v>
      </c>
      <c r="Q1014" t="n">
        <v>158.6140749649107</v>
      </c>
    </row>
    <row r="1015">
      <c r="A1015" s="117" t="n">
        <v>45889</v>
      </c>
      <c r="B1015" s="118" t="n">
        <v>74.6417672073746</v>
      </c>
      <c r="C1015" s="118" t="n">
        <v>75.48852651030039</v>
      </c>
      <c r="D1015" s="118" t="n">
        <v>74.12592362613734</v>
      </c>
      <c r="E1015" s="118" t="n">
        <v>74.22325134277344</v>
      </c>
      <c r="F1015" s="119" t="n">
        <v>6282600</v>
      </c>
      <c r="G1015" s="120" t="n">
        <v>-0.008064290828352694</v>
      </c>
      <c r="H1015" s="121" t="n">
        <v>46.65775580596765</v>
      </c>
      <c r="I1015" s="118" t="n">
        <v>69.76712089538574</v>
      </c>
      <c r="J1015" s="118" t="n">
        <v>67.98752128601075</v>
      </c>
      <c r="K1015" s="120" t="n">
        <v>0.2598423811627546</v>
      </c>
      <c r="L1015" s="120" t="n">
        <v>-0.03760702361815282</v>
      </c>
      <c r="M1015" s="120" t="n">
        <v>-0.1329478120247177</v>
      </c>
      <c r="N1015" t="n">
        <v>56.18022401755401</v>
      </c>
      <c r="O1015" t="n">
        <v>-0.1467251608319318</v>
      </c>
      <c r="P1015" t="n">
        <v>152.6041358817679</v>
      </c>
      <c r="Q1015" t="n">
        <v>157.6723401099559</v>
      </c>
    </row>
    <row r="1016">
      <c r="A1016" s="117" t="n">
        <v>45890</v>
      </c>
      <c r="B1016" s="118" t="n">
        <v>73.67819472801116</v>
      </c>
      <c r="C1016" s="118" t="n">
        <v>74.19404567861766</v>
      </c>
      <c r="D1016" s="118" t="n">
        <v>73.12341863549851</v>
      </c>
      <c r="E1016" s="118" t="n">
        <v>74.14537811279297</v>
      </c>
      <c r="F1016" s="119" t="n">
        <v>6354900</v>
      </c>
      <c r="G1016" s="120" t="n">
        <v>-0.001049175677050873</v>
      </c>
      <c r="H1016" s="121" t="n">
        <v>46.60880362343025</v>
      </c>
      <c r="I1016" s="118" t="n">
        <v>70.00674537658692</v>
      </c>
      <c r="J1016" s="118" t="n">
        <v>67.98913776397706</v>
      </c>
      <c r="K1016" s="120" t="n">
        <v>0.2519081354954554</v>
      </c>
      <c r="L1016" s="120" t="n">
        <v>-0.03861674292073713</v>
      </c>
      <c r="M1016" s="120" t="n">
        <v>-0.1338575020910751</v>
      </c>
      <c r="N1016" t="n">
        <v>55.81493642302429</v>
      </c>
      <c r="O1016" t="n">
        <v>-0.1810457006489494</v>
      </c>
      <c r="P1016" t="n">
        <v>151.9919024139643</v>
      </c>
      <c r="Q1016" t="n">
        <v>156.942355478593</v>
      </c>
    </row>
    <row r="1017">
      <c r="A1017" s="117" t="n">
        <v>45891</v>
      </c>
      <c r="B1017" s="118" t="n">
        <v>74.49575255242509</v>
      </c>
      <c r="C1017" s="118" t="n">
        <v>77.0263096552212</v>
      </c>
      <c r="D1017" s="118" t="n">
        <v>74.21349704962017</v>
      </c>
      <c r="E1017" s="118" t="n">
        <v>76.28660583496094</v>
      </c>
      <c r="F1017" s="119" t="n">
        <v>10985900</v>
      </c>
      <c r="G1017" s="120" t="n">
        <v>0.02887877540944817</v>
      </c>
      <c r="H1017" s="121" t="n">
        <v>47.95480879537436</v>
      </c>
      <c r="I1017" s="118" t="n">
        <v>70.30398849487305</v>
      </c>
      <c r="J1017" s="118" t="n">
        <v>67.99700984954833</v>
      </c>
      <c r="K1017" s="120" t="n">
        <v>0.2689591145193725</v>
      </c>
      <c r="L1017" s="120" t="n">
        <v>-0.0108531717571414</v>
      </c>
      <c r="M1017" s="120" t="n">
        <v>-0.1088443674213847</v>
      </c>
      <c r="N1017" t="n">
        <v>62.94863867224667</v>
      </c>
      <c r="O1017" t="n">
        <v>-0.06814274027634459</v>
      </c>
      <c r="P1017" t="n">
        <v>154.3260019246306</v>
      </c>
      <c r="Q1017" t="n">
        <v>159.3635566108894</v>
      </c>
    </row>
    <row r="1018">
      <c r="A1018" s="117" t="n">
        <v>45894</v>
      </c>
      <c r="B1018" s="118" t="n">
        <v>76.37421773397081</v>
      </c>
      <c r="C1018" s="118" t="n">
        <v>78.02881101869576</v>
      </c>
      <c r="D1018" s="118" t="n">
        <v>76.29635259864475</v>
      </c>
      <c r="E1018" s="118" t="n">
        <v>77.05551910400391</v>
      </c>
      <c r="F1018" s="119" t="n">
        <v>12488900</v>
      </c>
      <c r="G1018" s="120" t="n">
        <v>0.01007926962573791</v>
      </c>
      <c r="H1018" s="121" t="n">
        <v>48.43815824307365</v>
      </c>
      <c r="I1018" s="118" t="n">
        <v>70.62264427185059</v>
      </c>
      <c r="J1018" s="118" t="n">
        <v>68.01288993835449</v>
      </c>
      <c r="K1018" s="120" t="n">
        <v>0.2327468264916299</v>
      </c>
      <c r="L1018" s="120" t="n">
        <v>-0.0008832941758381008</v>
      </c>
      <c r="M1018" s="120" t="n">
        <v>-0.09986216952212978</v>
      </c>
      <c r="N1018" t="n">
        <v>65.12604687746085</v>
      </c>
      <c r="O1018" t="n">
        <v>0.04369590674320878</v>
      </c>
      <c r="P1018" t="n">
        <v>153.6468247915595</v>
      </c>
      <c r="Q1018" t="n">
        <v>158.903830334621</v>
      </c>
    </row>
    <row r="1019">
      <c r="A1019" s="117" t="n">
        <v>45895</v>
      </c>
      <c r="B1019" s="118" t="n">
        <v>76.89005863235661</v>
      </c>
      <c r="C1019" s="118" t="n">
        <v>77.35724200271549</v>
      </c>
      <c r="D1019" s="118" t="n">
        <v>76.28661499264884</v>
      </c>
      <c r="E1019" s="118" t="n">
        <v>76.54940795898438</v>
      </c>
      <c r="F1019" s="119" t="n">
        <v>6874800</v>
      </c>
      <c r="G1019" s="120" t="n">
        <v>-0.006568136207562469</v>
      </c>
      <c r="H1019" s="121" t="n">
        <v>48.12000982208968</v>
      </c>
      <c r="I1019" s="118" t="n">
        <v>70.97536529541016</v>
      </c>
      <c r="J1019" s="118" t="n">
        <v>68.02245887756348</v>
      </c>
      <c r="K1019" s="120" t="n">
        <v>0.2301534017061196</v>
      </c>
      <c r="L1019" s="120" t="n">
        <v>-0.007445628786942216</v>
      </c>
      <c r="M1019" s="120" t="n">
        <v>-0.1057743973982882</v>
      </c>
      <c r="N1019" t="n">
        <v>62.52157988085693</v>
      </c>
      <c r="O1019" t="n">
        <v>0.06753602486469279</v>
      </c>
      <c r="P1019" t="n">
        <v>154.2901244885051</v>
      </c>
      <c r="Q1019" t="n">
        <v>159.5418662931991</v>
      </c>
    </row>
    <row r="1020">
      <c r="A1020" s="117" t="n">
        <v>45896</v>
      </c>
      <c r="B1020" s="118" t="n">
        <v>76.85113055031921</v>
      </c>
      <c r="C1020" s="118" t="n">
        <v>77.38644408658831</v>
      </c>
      <c r="D1020" s="118" t="n">
        <v>75.57612048745962</v>
      </c>
      <c r="E1020" s="118" t="n">
        <v>75.97516632080078</v>
      </c>
      <c r="F1020" s="119" t="n">
        <v>12636700</v>
      </c>
      <c r="G1020" s="120" t="n">
        <v>-0.007501581703822868</v>
      </c>
      <c r="H1020" s="121" t="n">
        <v>47.75903363682052</v>
      </c>
      <c r="I1020" s="118" t="n">
        <v>71.28993324279786</v>
      </c>
      <c r="J1020" s="118" t="n">
        <v>68.04188621520996</v>
      </c>
      <c r="K1020" s="120" t="n">
        <v>0.2181758716315137</v>
      </c>
      <c r="L1020" s="120" t="n">
        <v>-0.01489135649808349</v>
      </c>
      <c r="M1020" s="120" t="n">
        <v>-0.1124825038178552</v>
      </c>
      <c r="N1020" t="n">
        <v>59.60879797813778</v>
      </c>
      <c r="O1020" t="n">
        <v>0.03046877433152884</v>
      </c>
      <c r="P1020" t="n">
        <v>154.6416967975885</v>
      </c>
      <c r="Q1020" t="n">
        <v>159.7870741457286</v>
      </c>
    </row>
    <row r="1021">
      <c r="A1021" s="117" t="n">
        <v>45897</v>
      </c>
      <c r="B1021" s="118" t="n">
        <v>76.48127387797233</v>
      </c>
      <c r="C1021" s="118" t="n">
        <v>76.55913900661902</v>
      </c>
      <c r="D1021" s="118" t="n">
        <v>75.64424230908875</v>
      </c>
      <c r="E1021" s="118" t="n">
        <v>75.83889770507812</v>
      </c>
      <c r="F1021" s="119" t="n">
        <v>7478600</v>
      </c>
      <c r="G1021" s="120" t="n">
        <v>-0.001793594174539503</v>
      </c>
      <c r="H1021" s="121" t="n">
        <v>47.67337331230788</v>
      </c>
      <c r="I1021" s="118" t="n">
        <v>71.63876091003418</v>
      </c>
      <c r="J1021" s="118" t="n">
        <v>68.057760887146</v>
      </c>
      <c r="K1021" s="120" t="n">
        <v>0.1941506512532</v>
      </c>
      <c r="L1021" s="120" t="n">
        <v>-0.01665824162235707</v>
      </c>
      <c r="M1021" s="120" t="n">
        <v>-0.1140743500288094</v>
      </c>
      <c r="N1021" t="n">
        <v>58.90744912960711</v>
      </c>
      <c r="O1021" t="n">
        <v>-0.01494993777013942</v>
      </c>
      <c r="P1021" t="n">
        <v>155.1893331704019</v>
      </c>
      <c r="Q1021" t="n">
        <v>160.7873171321859</v>
      </c>
    </row>
    <row r="1022">
      <c r="A1022" s="117" t="n">
        <v>45898</v>
      </c>
      <c r="B1022" s="118" t="n">
        <v>75.67344474300025</v>
      </c>
      <c r="C1022" s="118" t="n">
        <v>77.01658488321911</v>
      </c>
      <c r="D1022" s="118" t="n">
        <v>75.06027352313187</v>
      </c>
      <c r="E1022" s="118" t="n">
        <v>75.30359649658203</v>
      </c>
      <c r="F1022" s="119" t="n">
        <v>14208800</v>
      </c>
      <c r="G1022" s="120" t="n">
        <v>-0.007058399115685621</v>
      </c>
      <c r="H1022" s="121" t="n">
        <v>47.33687561627854</v>
      </c>
      <c r="I1022" s="118" t="n">
        <v>71.9864208984375</v>
      </c>
      <c r="J1022" s="118" t="n">
        <v>68.07115047454835</v>
      </c>
      <c r="K1022" s="120" t="n">
        <v>0.1966577216874256</v>
      </c>
      <c r="L1022" s="120" t="n">
        <v>-0.02359906022010649</v>
      </c>
      <c r="M1022" s="120" t="n">
        <v>-0.1203275668531292</v>
      </c>
      <c r="N1022" t="n">
        <v>56.11435996025541</v>
      </c>
      <c r="O1022" t="n">
        <v>-0.08865351417471112</v>
      </c>
      <c r="P1022" t="n">
        <v>154.2638251914357</v>
      </c>
      <c r="Q1022" t="n">
        <v>158.9261468123494</v>
      </c>
    </row>
    <row r="1023">
      <c r="A1023" s="117" t="n">
        <v>45902</v>
      </c>
      <c r="B1023" s="118" t="n">
        <v>74.00238865931139</v>
      </c>
      <c r="C1023" s="118" t="n">
        <v>74.40351571642387</v>
      </c>
      <c r="D1023" s="118" t="n">
        <v>72.39789535929683</v>
      </c>
      <c r="E1023" s="118" t="n">
        <v>72.68161773681641</v>
      </c>
      <c r="F1023" s="119" t="n">
        <v>15078700</v>
      </c>
      <c r="G1023" s="120" t="n">
        <v>-0.03481877203414363</v>
      </c>
      <c r="H1023" s="121" t="n">
        <v>45.68866373538673</v>
      </c>
      <c r="I1023" s="118" t="n">
        <v>72.27619071960449</v>
      </c>
      <c r="J1023" s="118" t="n">
        <v>68.06798454284667</v>
      </c>
      <c r="K1023" s="120" t="n">
        <v>0.2357952264687049</v>
      </c>
      <c r="L1023" s="120" t="n">
        <v>-0.0575961419562262</v>
      </c>
      <c r="M1023" s="120" t="n">
        <v>-0.1509566807675905</v>
      </c>
      <c r="N1023" t="n">
        <v>44.88755530916602</v>
      </c>
      <c r="O1023" t="n">
        <v>-0.3091866594621611</v>
      </c>
      <c r="P1023" t="n">
        <v>153.1206912671356</v>
      </c>
      <c r="Q1023" t="n">
        <v>157.5943007885272</v>
      </c>
    </row>
    <row r="1024">
      <c r="A1024" s="117" t="n">
        <v>45903</v>
      </c>
      <c r="B1024" s="118" t="n">
        <v>72.78923655363829</v>
      </c>
      <c r="C1024" s="118" t="n">
        <v>73.55234830758148</v>
      </c>
      <c r="D1024" s="118" t="n">
        <v>72.30984717614893</v>
      </c>
      <c r="E1024" s="118" t="n">
        <v>73.12187194824219</v>
      </c>
      <c r="F1024" s="119" t="n">
        <v>8300100</v>
      </c>
      <c r="G1024" s="120" t="n">
        <v>0.006057297912932524</v>
      </c>
      <c r="H1024" s="121" t="n">
        <v>45.96541358287575</v>
      </c>
      <c r="I1024" s="118" t="n">
        <v>72.55549461364745</v>
      </c>
      <c r="J1024" s="118" t="n">
        <v>68.06673274993896</v>
      </c>
      <c r="K1024" s="120" t="n">
        <v>0.2356483804139969</v>
      </c>
      <c r="L1024" s="120" t="n">
        <v>-0.05188772103375816</v>
      </c>
      <c r="M1024" s="120" t="n">
        <v>-0.1458137724420148</v>
      </c>
      <c r="N1024" t="n">
        <v>46.81178367224809</v>
      </c>
      <c r="O1024" t="n">
        <v>-0.4140597688484187</v>
      </c>
      <c r="P1024" t="n">
        <v>153.9505359219695</v>
      </c>
      <c r="Q1024" t="n">
        <v>158.8341810519094</v>
      </c>
    </row>
    <row r="1025">
      <c r="A1025" s="117" t="n">
        <v>45904</v>
      </c>
      <c r="B1025" s="118" t="n">
        <v>73.13165760876444</v>
      </c>
      <c r="C1025" s="118" t="n">
        <v>74.12957125776539</v>
      </c>
      <c r="D1025" s="118" t="n">
        <v>72.89685571444967</v>
      </c>
      <c r="E1025" s="118" t="n">
        <v>73.71866607666016</v>
      </c>
      <c r="F1025" s="119" t="n">
        <v>11096200</v>
      </c>
      <c r="G1025" s="120" t="n">
        <v>0.008161636354720114</v>
      </c>
      <c r="H1025" s="121" t="n">
        <v>46.3405665734335</v>
      </c>
      <c r="I1025" s="118" t="n">
        <v>72.83427619934082</v>
      </c>
      <c r="J1025" s="118" t="n">
        <v>68.0691349029541</v>
      </c>
      <c r="K1025" s="120" t="n">
        <v>0.2314953437079954</v>
      </c>
      <c r="L1025" s="120" t="n">
        <v>-0.04414957338939074</v>
      </c>
      <c r="M1025" s="120" t="n">
        <v>-0.1388422150734762</v>
      </c>
      <c r="N1025" t="n">
        <v>49.39129741287304</v>
      </c>
      <c r="O1025" t="n">
        <v>-0.4300080489849059</v>
      </c>
      <c r="P1025" t="n">
        <v>155.2371500741644</v>
      </c>
      <c r="Q1025" t="n">
        <v>160.271850924562</v>
      </c>
    </row>
    <row r="1026">
      <c r="A1026" s="117" t="n">
        <v>45905</v>
      </c>
      <c r="B1026" s="118" t="n">
        <v>73.18058350918903</v>
      </c>
      <c r="C1026" s="118" t="n">
        <v>73.77737761059569</v>
      </c>
      <c r="D1026" s="118" t="n">
        <v>72.03590832819474</v>
      </c>
      <c r="E1026" s="118" t="n">
        <v>72.30985260009766</v>
      </c>
      <c r="F1026" s="119" t="n">
        <v>13758400</v>
      </c>
      <c r="G1026" s="120" t="n">
        <v>-0.01911067510496556</v>
      </c>
      <c r="H1026" s="121" t="n">
        <v>45.45496706146859</v>
      </c>
      <c r="I1026" s="118" t="n">
        <v>73.0963663482666</v>
      </c>
      <c r="J1026" s="118" t="n">
        <v>68.068512840271</v>
      </c>
      <c r="K1026" s="120" t="n">
        <v>0.2355420763094474</v>
      </c>
      <c r="L1026" s="120" t="n">
        <v>-0.06241652034128886</v>
      </c>
      <c r="M1026" s="120" t="n">
        <v>-0.1552995217153188</v>
      </c>
      <c r="N1026" t="n">
        <v>43.97011901149453</v>
      </c>
      <c r="O1026" t="n">
        <v>-0.5163970502692934</v>
      </c>
      <c r="P1026" t="n">
        <v>154.7875531123678</v>
      </c>
      <c r="Q1026" t="n">
        <v>160.503115250425</v>
      </c>
    </row>
    <row r="1027">
      <c r="A1027" s="117" t="n">
        <v>45908</v>
      </c>
      <c r="B1027" s="118" t="n">
        <v>72.65226630388214</v>
      </c>
      <c r="C1027" s="118" t="n">
        <v>72.9653379760709</v>
      </c>
      <c r="D1027" s="118" t="n">
        <v>72.1141708684558</v>
      </c>
      <c r="E1027" s="118" t="n">
        <v>72.54464721679688</v>
      </c>
      <c r="F1027" s="119" t="n">
        <v>13793300</v>
      </c>
      <c r="G1027" s="120" t="n">
        <v>0.003247062582159232</v>
      </c>
      <c r="H1027" s="121" t="n">
        <v>45.60256218418716</v>
      </c>
      <c r="I1027" s="118" t="n">
        <v>73.32986572265625</v>
      </c>
      <c r="J1027" s="118" t="n">
        <v>68.06437492370605</v>
      </c>
      <c r="K1027" s="120" t="n">
        <v>0.2356471475252689</v>
      </c>
      <c r="L1027" s="120" t="n">
        <v>-0.05937212810683834</v>
      </c>
      <c r="M1027" s="120" t="n">
        <v>-0.1525567263991486</v>
      </c>
      <c r="N1027" t="n">
        <v>45.05257422700736</v>
      </c>
      <c r="O1027" t="n">
        <v>-0.5363400746295407</v>
      </c>
      <c r="P1027" t="n">
        <v>155.1678155637088</v>
      </c>
      <c r="Q1027" t="n">
        <v>161.2860716129963</v>
      </c>
    </row>
    <row r="1028">
      <c r="A1028" s="117" t="n">
        <v>45909</v>
      </c>
      <c r="B1028" s="118" t="n">
        <v>72.38811719684874</v>
      </c>
      <c r="C1028" s="118" t="n">
        <v>72.93599829360964</v>
      </c>
      <c r="D1028" s="118" t="n">
        <v>71.46847323711221</v>
      </c>
      <c r="E1028" s="118" t="n">
        <v>72.00656127929688</v>
      </c>
      <c r="F1028" s="119" t="n">
        <v>8740200</v>
      </c>
      <c r="G1028" s="120" t="n">
        <v>-0.007417307246556093</v>
      </c>
      <c r="H1028" s="121" t="n">
        <v>45.26431396923687</v>
      </c>
      <c r="I1028" s="118" t="n">
        <v>73.36767807006837</v>
      </c>
      <c r="J1028" s="118" t="n">
        <v>68.06601703643798</v>
      </c>
      <c r="K1028" s="120" t="n">
        <v>0.2371033829613522</v>
      </c>
      <c r="L1028" s="120" t="n">
        <v>-0.06634905403734415</v>
      </c>
      <c r="M1028" s="120" t="n">
        <v>-0.1588424735334735</v>
      </c>
      <c r="N1028" t="n">
        <v>43.00221816872349</v>
      </c>
      <c r="O1028" t="n">
        <v>-0.5616916054935401</v>
      </c>
      <c r="P1028" t="n">
        <v>155.5265604083566</v>
      </c>
      <c r="Q1028" t="n">
        <v>161.7429955138072</v>
      </c>
    </row>
    <row r="1029">
      <c r="A1029" s="117" t="n">
        <v>45910</v>
      </c>
      <c r="B1029" s="118" t="n">
        <v>73.62083655977088</v>
      </c>
      <c r="C1029" s="118" t="n">
        <v>73.82628916144083</v>
      </c>
      <c r="D1029" s="118" t="n">
        <v>71.74240637517312</v>
      </c>
      <c r="E1029" s="118" t="n">
        <v>72.64248657226562</v>
      </c>
      <c r="F1029" s="119" t="n">
        <v>11359300</v>
      </c>
      <c r="G1029" s="120" t="n">
        <v>0.008831490931807462</v>
      </c>
      <c r="H1029" s="121" t="n">
        <v>45.66406534759066</v>
      </c>
      <c r="I1029" s="118" t="n">
        <v>73.43767471313477</v>
      </c>
      <c r="J1029" s="118" t="n">
        <v>68.07552856445312</v>
      </c>
      <c r="K1029" s="120" t="n">
        <v>0.2353256956744584</v>
      </c>
      <c r="L1029" s="120" t="n">
        <v>-0.05810352417460152</v>
      </c>
      <c r="M1029" s="120" t="n">
        <v>-0.1514137984662627</v>
      </c>
      <c r="N1029" t="n">
        <v>46.12292400102911</v>
      </c>
      <c r="O1029" t="n">
        <v>-0.5129012515029479</v>
      </c>
      <c r="P1029" t="n">
        <v>155.9761426118495</v>
      </c>
      <c r="Q1029" t="n">
        <v>161.7959330697052</v>
      </c>
    </row>
    <row r="1030">
      <c r="A1030" s="117" t="n">
        <v>45911</v>
      </c>
      <c r="B1030" s="118" t="n">
        <v>72.79902632135538</v>
      </c>
      <c r="C1030" s="118" t="n">
        <v>73.89477353279437</v>
      </c>
      <c r="D1030" s="118" t="n">
        <v>72.40768483260514</v>
      </c>
      <c r="E1030" s="118" t="n">
        <v>72.72075653076172</v>
      </c>
      <c r="F1030" s="119" t="n">
        <v>9803400</v>
      </c>
      <c r="G1030" s="120" t="n">
        <v>0.001077468051953634</v>
      </c>
      <c r="H1030" s="121" t="n">
        <v>45.71326691912502</v>
      </c>
      <c r="I1030" s="118" t="n">
        <v>73.46310256958007</v>
      </c>
      <c r="J1030" s="118" t="n">
        <v>68.08806354522704</v>
      </c>
      <c r="K1030" s="120" t="n">
        <v>0.205543339729243</v>
      </c>
      <c r="L1030" s="120" t="n">
        <v>-0.05708866081365194</v>
      </c>
      <c r="M1030" s="120" t="n">
        <v>-0.1504994739447814</v>
      </c>
      <c r="N1030" t="n">
        <v>46.51110315326414</v>
      </c>
      <c r="O1030" t="n">
        <v>-0.4546171263909928</v>
      </c>
      <c r="P1030" t="n">
        <v>157.2723496614041</v>
      </c>
      <c r="Q1030" t="n">
        <v>162.7376679246601</v>
      </c>
    </row>
    <row r="1031">
      <c r="A1031" s="117" t="n">
        <v>45912</v>
      </c>
      <c r="B1031" s="118" t="n">
        <v>72.63269215231372</v>
      </c>
      <c r="C1031" s="118" t="n">
        <v>72.67182704276239</v>
      </c>
      <c r="D1031" s="118" t="n">
        <v>70.37270634447715</v>
      </c>
      <c r="E1031" s="118" t="n">
        <v>71.41954040527344</v>
      </c>
      <c r="F1031" s="119" t="n">
        <v>11806000</v>
      </c>
      <c r="G1031" s="120" t="n">
        <v>-0.01789332492625884</v>
      </c>
      <c r="H1031" s="121" t="n">
        <v>44.89530458070031</v>
      </c>
      <c r="I1031" s="118" t="n">
        <v>73.40449798583984</v>
      </c>
      <c r="J1031" s="118" t="n">
        <v>68.08576557159424</v>
      </c>
      <c r="K1031" s="120" t="n">
        <v>0.2114074147405427</v>
      </c>
      <c r="L1031" s="120" t="n">
        <v>-0.07396047978236719</v>
      </c>
      <c r="M1031" s="120" t="n">
        <v>-0.1656998628825153</v>
      </c>
      <c r="N1031" t="n">
        <v>41.19696946758754</v>
      </c>
      <c r="O1031" t="n">
        <v>-0.4804372543716171</v>
      </c>
      <c r="P1031" t="n">
        <v>157.2197215506581</v>
      </c>
      <c r="Q1031" t="n">
        <v>163.4565114048139</v>
      </c>
    </row>
    <row r="1032">
      <c r="A1032" s="117" t="n">
        <v>45915</v>
      </c>
      <c r="B1032" s="118" t="n">
        <v>71.59565230623927</v>
      </c>
      <c r="C1032" s="118" t="n">
        <v>71.62500161155759</v>
      </c>
      <c r="D1032" s="118" t="n">
        <v>71.00864380721896</v>
      </c>
      <c r="E1032" s="118" t="n">
        <v>71.44889831542969</v>
      </c>
      <c r="F1032" s="119" t="n">
        <v>10323800</v>
      </c>
      <c r="G1032" s="120" t="n">
        <v>0.0004110627146247658</v>
      </c>
      <c r="H1032" s="121" t="n">
        <v>44.91375936647516</v>
      </c>
      <c r="I1032" s="118" t="n">
        <v>73.34648056030274</v>
      </c>
      <c r="J1032" s="118" t="n">
        <v>68.07260761260986</v>
      </c>
      <c r="K1032" s="120" t="n">
        <v>0.2086385269337852</v>
      </c>
      <c r="L1032" s="120" t="n">
        <v>-0.07357981946333669</v>
      </c>
      <c r="M1032" s="120" t="n">
        <v>-0.1653569132033398</v>
      </c>
      <c r="N1032" t="n">
        <v>41.35976105212107</v>
      </c>
      <c r="O1032" t="n">
        <v>-0.4716096248695819</v>
      </c>
      <c r="P1032" t="n">
        <v>158.05675349936</v>
      </c>
      <c r="Q1032" t="n">
        <v>164.8552043358902</v>
      </c>
    </row>
    <row r="1033">
      <c r="A1033" s="117" t="n">
        <v>45916</v>
      </c>
      <c r="B1033" s="118" t="n">
        <v>71.22387775748686</v>
      </c>
      <c r="C1033" s="118" t="n">
        <v>71.79131504302825</v>
      </c>
      <c r="D1033" s="118" t="n">
        <v>70.5292427399647</v>
      </c>
      <c r="E1033" s="118" t="n">
        <v>71.17495727539062</v>
      </c>
      <c r="F1033" s="119" t="n">
        <v>8813600</v>
      </c>
      <c r="G1033" s="120" t="n">
        <v>-0.003834083470814043</v>
      </c>
      <c r="H1033" s="121" t="n">
        <v>44.74155626407604</v>
      </c>
      <c r="I1033" s="118" t="n">
        <v>73.28025924682618</v>
      </c>
      <c r="J1033" s="118" t="n">
        <v>68.04917873382568</v>
      </c>
      <c r="K1033" s="120" t="n">
        <v>0.206381602591603</v>
      </c>
      <c r="L1033" s="120" t="n">
        <v>-0.07713179176456086</v>
      </c>
      <c r="M1033" s="120" t="n">
        <v>-0.1685570044664562</v>
      </c>
      <c r="N1033" t="n">
        <v>40.2402972174562</v>
      </c>
      <c r="O1033" t="n">
        <v>-0.4598091478494063</v>
      </c>
      <c r="P1033" t="n">
        <v>157.8391275540261</v>
      </c>
      <c r="Q1033" t="n">
        <v>164.715888682812</v>
      </c>
    </row>
    <row r="1034">
      <c r="A1034" s="117" t="n">
        <v>45917</v>
      </c>
      <c r="B1034" s="118" t="n">
        <v>71.48803201499382</v>
      </c>
      <c r="C1034" s="118" t="n">
        <v>71.73261950751319</v>
      </c>
      <c r="D1034" s="118" t="n">
        <v>70.05964195438683</v>
      </c>
      <c r="E1034" s="118" t="n">
        <v>70.74448394775391</v>
      </c>
      <c r="F1034" s="119" t="n">
        <v>11108700</v>
      </c>
      <c r="G1034" s="120" t="n">
        <v>-0.006048100962971148</v>
      </c>
      <c r="H1034" s="121" t="n">
        <v>44.47095481455045</v>
      </c>
      <c r="I1034" s="118" t="n">
        <v>73.25623428344727</v>
      </c>
      <c r="J1034" s="118" t="n">
        <v>68.0314937210083</v>
      </c>
      <c r="K1034" s="120" t="n">
        <v>0.206121789041305</v>
      </c>
      <c r="L1034" s="120" t="n">
        <v>-0.08271339186348503</v>
      </c>
      <c r="M1034" s="120" t="n">
        <v>-0.1735856556483981</v>
      </c>
      <c r="N1034" t="n">
        <v>38.47784784529336</v>
      </c>
      <c r="O1034" t="n">
        <v>-0.4557054749519984</v>
      </c>
      <c r="P1034" t="n">
        <v>157.6430192153853</v>
      </c>
      <c r="Q1034" t="n">
        <v>164.3871392838703</v>
      </c>
    </row>
    <row r="1035">
      <c r="A1035" s="117" t="n">
        <v>45918</v>
      </c>
      <c r="B1035" s="118" t="n">
        <v>71.85002483547758</v>
      </c>
      <c r="C1035" s="118" t="n">
        <v>72.00655695070063</v>
      </c>
      <c r="D1035" s="118" t="n">
        <v>70.07920629808632</v>
      </c>
      <c r="E1035" s="118" t="n">
        <v>70.53903198242188</v>
      </c>
      <c r="F1035" s="119" t="n">
        <v>14918400</v>
      </c>
      <c r="G1035" s="120" t="n">
        <v>-0.002904141126872317</v>
      </c>
      <c r="H1035" s="121" t="n">
        <v>44.34180488572223</v>
      </c>
      <c r="I1035" s="118" t="n">
        <v>73.23510787963868</v>
      </c>
      <c r="J1035" s="118" t="n">
        <v>68.00928798675537</v>
      </c>
      <c r="K1035" s="120" t="n">
        <v>0.2051591096032317</v>
      </c>
      <c r="L1035" s="120" t="n">
        <v>-0.0853773216273036</v>
      </c>
      <c r="M1035" s="120" t="n">
        <v>-0.1759856795336668</v>
      </c>
      <c r="N1035" t="n">
        <v>37.63072424060284</v>
      </c>
      <c r="O1035" t="n">
        <v>-0.4412421484726342</v>
      </c>
      <c r="P1035" t="n">
        <v>158.3796061495787</v>
      </c>
      <c r="Q1035" t="n">
        <v>165.8693908490141</v>
      </c>
    </row>
    <row r="1036">
      <c r="A1036" s="117" t="n">
        <v>45919</v>
      </c>
      <c r="B1036" s="118" t="n">
        <v>70.45097919706168</v>
      </c>
      <c r="C1036" s="118" t="n">
        <v>70.68578108577402</v>
      </c>
      <c r="D1036" s="118" t="n">
        <v>69.20847062984824</v>
      </c>
      <c r="E1036" s="118" t="n">
        <v>69.355224609375</v>
      </c>
      <c r="F1036" s="119" t="n">
        <v>33415600</v>
      </c>
      <c r="G1036" s="120" t="n">
        <v>-0.01678230250369572</v>
      </c>
      <c r="H1036" s="121" t="n">
        <v>43.59764730257019</v>
      </c>
      <c r="I1036" s="118" t="n">
        <v>73.16967147827148</v>
      </c>
      <c r="J1036" s="118" t="n">
        <v>67.97910545349121</v>
      </c>
      <c r="K1036" s="120" t="n">
        <v>0.2112326858479986</v>
      </c>
      <c r="L1036" s="120" t="n">
        <v>-0.1007267960924945</v>
      </c>
      <c r="M1036" s="120" t="n">
        <v>-0.1898145371271102</v>
      </c>
      <c r="N1036" t="n">
        <v>33.10777760707117</v>
      </c>
      <c r="O1036" t="n">
        <v>-0.4824744596947611</v>
      </c>
      <c r="P1036" t="n">
        <v>159.1640395041419</v>
      </c>
      <c r="Q1036" t="n">
        <v>166.9922206740809</v>
      </c>
    </row>
    <row r="1037">
      <c r="A1037" s="117" t="n">
        <v>45922</v>
      </c>
      <c r="B1037" s="118" t="n">
        <v>69.25739648495703</v>
      </c>
      <c r="C1037" s="118" t="n">
        <v>70.92058847739845</v>
      </c>
      <c r="D1037" s="118" t="n">
        <v>68.90518989245116</v>
      </c>
      <c r="E1037" s="118" t="n">
        <v>69.73678588867188</v>
      </c>
      <c r="F1037" s="119" t="n">
        <v>12336300</v>
      </c>
      <c r="G1037" s="120" t="n">
        <v>0.005501550625002238</v>
      </c>
      <c r="H1037" s="121" t="n">
        <v>43.83750196633628</v>
      </c>
      <c r="I1037" s="118" t="n">
        <v>73.15060333251954</v>
      </c>
      <c r="J1037" s="118" t="n">
        <v>67.94736751556397</v>
      </c>
      <c r="K1037" s="120" t="n">
        <v>0.1777134639133186</v>
      </c>
      <c r="L1037" s="120" t="n">
        <v>-0.09577939903548938</v>
      </c>
      <c r="M1037" s="120" t="n">
        <v>-0.1853572607874742</v>
      </c>
      <c r="N1037" t="n">
        <v>35.78676917868488</v>
      </c>
      <c r="O1037" t="n">
        <v>-0.4554564244427787</v>
      </c>
      <c r="P1037" t="n">
        <v>159.9170524302759</v>
      </c>
      <c r="Q1037" t="n">
        <v>167.9808269673276</v>
      </c>
    </row>
    <row r="1038">
      <c r="A1038" s="117" t="n">
        <v>45923</v>
      </c>
      <c r="B1038" s="118" t="n">
        <v>70.0205067845706</v>
      </c>
      <c r="C1038" s="118" t="n">
        <v>70.85210276302321</v>
      </c>
      <c r="D1038" s="118" t="n">
        <v>69.1986963957613</v>
      </c>
      <c r="E1038" s="118" t="n">
        <v>69.39436340332031</v>
      </c>
      <c r="F1038" s="119" t="n">
        <v>10432400</v>
      </c>
      <c r="G1038" s="120" t="n">
        <v>-0.004910213182153345</v>
      </c>
      <c r="H1038" s="121" t="n">
        <v>43.62225048630849</v>
      </c>
      <c r="I1038" s="118" t="n">
        <v>73.13208374023438</v>
      </c>
      <c r="J1038" s="118" t="n">
        <v>67.91502368927001</v>
      </c>
      <c r="K1038" s="120" t="n">
        <v>0.1692592307147508</v>
      </c>
      <c r="L1038" s="120" t="n">
        <v>-0.10021931494992</v>
      </c>
      <c r="M1038" s="120" t="n">
        <v>-0.189357330304301</v>
      </c>
      <c r="N1038" t="n">
        <v>34.45322246649188</v>
      </c>
      <c r="O1038" t="n">
        <v>-0.4322415994839552</v>
      </c>
      <c r="P1038" t="n">
        <v>159.0465486489402</v>
      </c>
      <c r="Q1038" t="n">
        <v>166.8650543438702</v>
      </c>
    </row>
    <row r="1039">
      <c r="A1039" s="117" t="n">
        <v>45924</v>
      </c>
      <c r="B1039" s="118" t="n">
        <v>69.13999743407865</v>
      </c>
      <c r="C1039" s="118" t="n">
        <v>69.98137908872177</v>
      </c>
      <c r="D1039" s="118" t="n">
        <v>68.92475922509293</v>
      </c>
      <c r="E1039" s="118" t="n">
        <v>69.67809295654297</v>
      </c>
      <c r="F1039" s="119" t="n">
        <v>10024500</v>
      </c>
      <c r="G1039" s="120" t="n">
        <v>0.004088654168835193</v>
      </c>
      <c r="H1039" s="121" t="n">
        <v>43.80060678261331</v>
      </c>
      <c r="I1039" s="118" t="n">
        <v>73.12429992675781</v>
      </c>
      <c r="J1039" s="118" t="n">
        <v>67.88645542144775</v>
      </c>
      <c r="K1039" s="120" t="n">
        <v>0.1722896908222664</v>
      </c>
      <c r="L1039" s="120" t="n">
        <v>-0.09654042290095277</v>
      </c>
      <c r="M1039" s="120" t="n">
        <v>-0.1860428927734139</v>
      </c>
      <c r="N1039" t="n">
        <v>36.56261777888384</v>
      </c>
      <c r="O1039" t="n">
        <v>-0.3716827862063012</v>
      </c>
      <c r="P1039" t="n">
        <v>158.540515934061</v>
      </c>
      <c r="Q1039" t="n">
        <v>166.2792553473256</v>
      </c>
    </row>
    <row r="1040">
      <c r="A1040" s="117" t="n">
        <v>45925</v>
      </c>
      <c r="B1040" s="118" t="n">
        <v>69.61938920057813</v>
      </c>
      <c r="C1040" s="118" t="n">
        <v>69.61938920057813</v>
      </c>
      <c r="D1040" s="118" t="n">
        <v>67.55507011477485</v>
      </c>
      <c r="E1040" s="118" t="n">
        <v>67.74095153808594</v>
      </c>
      <c r="F1040" s="119" t="n">
        <v>13075300</v>
      </c>
      <c r="G1040" s="120" t="n">
        <v>-0.02780129788662833</v>
      </c>
      <c r="H1040" s="121" t="n">
        <v>42.5828930658348</v>
      </c>
      <c r="I1040" s="118" t="n">
        <v>73.07563201904297</v>
      </c>
      <c r="J1040" s="118" t="n">
        <v>67.84719139099121</v>
      </c>
      <c r="K1040" s="120" t="n">
        <v>0.1908392363896522</v>
      </c>
      <c r="L1040" s="120" t="n">
        <v>-0.1216577717324105</v>
      </c>
      <c r="M1040" s="120" t="n">
        <v>-0.2086719567783585</v>
      </c>
      <c r="N1040" t="n">
        <v>29.56661890530106</v>
      </c>
      <c r="O1040" t="n">
        <v>-0.4317757343839911</v>
      </c>
      <c r="P1040" t="n">
        <v>157.8090944061382</v>
      </c>
      <c r="Q1040" t="n">
        <v>165.562376947523</v>
      </c>
    </row>
    <row r="1041">
      <c r="A1041" s="117" t="n">
        <v>45926</v>
      </c>
      <c r="B1041" s="118" t="n">
        <v>67.87790954457068</v>
      </c>
      <c r="C1041" s="118" t="n">
        <v>67.93661561092576</v>
      </c>
      <c r="D1041" s="118" t="n">
        <v>66.55713874694449</v>
      </c>
      <c r="E1041" s="118" t="n">
        <v>67.80942535400391</v>
      </c>
      <c r="F1041" s="119" t="n">
        <v>15627600</v>
      </c>
      <c r="G1041" s="120" t="n">
        <v>0.00101081863131891</v>
      </c>
      <c r="H1041" s="121" t="n">
        <v>42.62593664752121</v>
      </c>
      <c r="I1041" s="118" t="n">
        <v>73.01120361328125</v>
      </c>
      <c r="J1041" s="118" t="n">
        <v>67.80677864074707</v>
      </c>
      <c r="K1041" s="120" t="n">
        <v>0.1918477931051455</v>
      </c>
      <c r="L1041" s="120" t="n">
        <v>-0.1207699270434034</v>
      </c>
      <c r="M1041" s="120" t="n">
        <v>-0.207872067648785</v>
      </c>
      <c r="N1041" t="n">
        <v>30.0759345381493</v>
      </c>
      <c r="O1041" t="n">
        <v>-0.4353629145736371</v>
      </c>
      <c r="P1041" t="n">
        <v>158.7131880865367</v>
      </c>
      <c r="Q1041" t="n">
        <v>166.2429953429307</v>
      </c>
    </row>
    <row r="1042">
      <c r="A1042" s="117" t="n">
        <v>45929</v>
      </c>
      <c r="B1042" s="118" t="n">
        <v>68.25947358063465</v>
      </c>
      <c r="C1042" s="118" t="n">
        <v>68.44536246200835</v>
      </c>
      <c r="D1042" s="118" t="n">
        <v>67.25177431381108</v>
      </c>
      <c r="E1042" s="118" t="n">
        <v>68.04424285888672</v>
      </c>
      <c r="F1042" s="119" t="n">
        <v>18479300</v>
      </c>
      <c r="G1042" s="120" t="n">
        <v>0.003462903625225167</v>
      </c>
      <c r="H1042" s="121" t="n">
        <v>42.77354615806653</v>
      </c>
      <c r="I1042" s="118" t="n">
        <v>72.96139923095703</v>
      </c>
      <c r="J1042" s="118" t="n">
        <v>67.77355243682861</v>
      </c>
      <c r="K1042" s="120" t="n">
        <v>0.1943401803745914</v>
      </c>
      <c r="L1042" s="120" t="n">
        <v>-0.1177252380363552</v>
      </c>
      <c r="M1042" s="120" t="n">
        <v>-0.2051290049602038</v>
      </c>
      <c r="N1042" t="n">
        <v>31.89471347298245</v>
      </c>
      <c r="O1042" t="n">
        <v>-0.3917373824062389</v>
      </c>
      <c r="P1042" t="n">
        <v>159.159243055462</v>
      </c>
      <c r="Q1042" t="n">
        <v>167.0128796492522</v>
      </c>
    </row>
    <row r="1043">
      <c r="A1043" s="117" t="n">
        <v>45930</v>
      </c>
      <c r="B1043" s="118" t="n">
        <v>68.55297993995462</v>
      </c>
      <c r="C1043" s="118" t="n">
        <v>68.68994833430277</v>
      </c>
      <c r="D1043" s="118" t="n">
        <v>67.3300425159764</v>
      </c>
      <c r="E1043" s="118" t="n">
        <v>68.22034454345703</v>
      </c>
      <c r="F1043" s="119" t="n">
        <v>40567700</v>
      </c>
      <c r="G1043" s="120" t="n">
        <v>0.002588046793841503</v>
      </c>
      <c r="H1043" s="121" t="n">
        <v>42.88424609706215</v>
      </c>
      <c r="I1043" s="118" t="n">
        <v>72.8849447631836</v>
      </c>
      <c r="J1043" s="118" t="n">
        <v>67.74553573608398</v>
      </c>
      <c r="K1043" s="120" t="n">
        <v>0.1606064244731463</v>
      </c>
      <c r="L1043" s="120" t="n">
        <v>-0.1154418696673677</v>
      </c>
      <c r="M1043" s="120" t="n">
        <v>-0.2030718416299735</v>
      </c>
      <c r="N1043" t="n">
        <v>33.29598704627645</v>
      </c>
      <c r="O1043" t="n">
        <v>-0.3236610170262946</v>
      </c>
      <c r="P1043" t="n">
        <v>159.7587696238398</v>
      </c>
      <c r="Q1043" t="n">
        <v>167.4703503550304</v>
      </c>
    </row>
    <row r="1044">
      <c r="A1044" s="117" t="n">
        <v>45931</v>
      </c>
      <c r="B1044" s="118" t="n">
        <v>72.74031324231474</v>
      </c>
      <c r="C1044" s="118" t="n">
        <v>73.0729560881994</v>
      </c>
      <c r="D1044" s="118" t="n">
        <v>70.05963661845117</v>
      </c>
      <c r="E1044" s="118" t="n">
        <v>72.59355926513672</v>
      </c>
      <c r="F1044" s="119" t="n">
        <v>57921900</v>
      </c>
      <c r="G1044" s="120" t="n">
        <v>0.06410426026057237</v>
      </c>
      <c r="H1044" s="121" t="n">
        <v>45.63330896994665</v>
      </c>
      <c r="I1044" s="118" t="n">
        <v>72.86928649902343</v>
      </c>
      <c r="J1044" s="118" t="n">
        <v>67.72923606872558</v>
      </c>
      <c r="K1044" s="120" t="n">
        <v>0.2870016130792307</v>
      </c>
      <c r="L1044" s="120" t="n">
        <v>-0.05873792506491948</v>
      </c>
      <c r="M1044" s="120" t="n">
        <v>-0.1490358778383595</v>
      </c>
      <c r="N1044" t="n">
        <v>56.97223465364124</v>
      </c>
      <c r="O1044" t="n">
        <v>0.02475961909050439</v>
      </c>
      <c r="P1044" t="n">
        <v>160.3031591698545</v>
      </c>
      <c r="Q1044" t="n">
        <v>168.2737093779446</v>
      </c>
    </row>
    <row r="1045">
      <c r="A1045" s="117" t="n">
        <v>45932</v>
      </c>
      <c r="B1045" s="118" t="n">
        <v>73.37624189958726</v>
      </c>
      <c r="C1045" s="118" t="n">
        <v>75.30359238109119</v>
      </c>
      <c r="D1045" s="118" t="n">
        <v>72.28048733343519</v>
      </c>
      <c r="E1045" s="118" t="n">
        <v>72.95555114746094</v>
      </c>
      <c r="F1045" s="119" t="n">
        <v>26254400</v>
      </c>
      <c r="G1045" s="120" t="n">
        <v>0.004986556465734093</v>
      </c>
      <c r="H1045" s="121" t="n">
        <v>45.86086204184359</v>
      </c>
      <c r="I1045" s="118" t="n">
        <v>72.83439437866211</v>
      </c>
      <c r="J1045" s="118" t="n">
        <v>67.71902725219726</v>
      </c>
      <c r="K1045" s="120" t="n">
        <v>0.285992644942406</v>
      </c>
      <c r="L1045" s="120" t="n">
        <v>-0.05404426857920153</v>
      </c>
      <c r="M1045" s="120" t="n">
        <v>-0.1447924971928866</v>
      </c>
      <c r="N1045" t="n">
        <v>58.29190064277807</v>
      </c>
      <c r="O1045" t="n">
        <v>0.2745865246110851</v>
      </c>
      <c r="P1045" t="n">
        <v>160.4877855482708</v>
      </c>
      <c r="Q1045" t="n">
        <v>168.9655030998717</v>
      </c>
    </row>
    <row r="1046">
      <c r="A1046" s="117" t="n">
        <v>45933</v>
      </c>
      <c r="B1046" s="118" t="n">
        <v>73.16100700586584</v>
      </c>
      <c r="C1046" s="118" t="n">
        <v>73.16100700586584</v>
      </c>
      <c r="D1046" s="118" t="n">
        <v>70.36292559230155</v>
      </c>
      <c r="E1046" s="118" t="n">
        <v>70.37271118164062</v>
      </c>
      <c r="F1046" s="119" t="n">
        <v>18794900</v>
      </c>
      <c r="G1046" s="120" t="n">
        <v>-0.03540292582533933</v>
      </c>
      <c r="H1046" s="121" t="n">
        <v>44.23725334469008</v>
      </c>
      <c r="I1046" s="118" t="n">
        <v>72.77373519897461</v>
      </c>
      <c r="J1046" s="118" t="n">
        <v>67.69931926727295</v>
      </c>
      <c r="K1046" s="120" t="n">
        <v>0.3053452272359729</v>
      </c>
      <c r="L1046" s="120" t="n">
        <v>-0.08753386917274664</v>
      </c>
      <c r="M1046" s="120" t="n">
        <v>-0.1240639653511202</v>
      </c>
      <c r="N1046" t="n">
        <v>47.1744454902775</v>
      </c>
      <c r="O1046" t="n">
        <v>0.260962323547975</v>
      </c>
      <c r="P1046" t="n">
        <v>160.4854242196899</v>
      </c>
      <c r="Q1046" t="n">
        <v>168.2541952756737</v>
      </c>
    </row>
    <row r="1047">
      <c r="A1047" s="117" t="n">
        <v>45936</v>
      </c>
      <c r="B1047" s="118" t="n">
        <v>70.46076163197728</v>
      </c>
      <c r="C1047" s="118" t="n">
        <v>70.82275380839046</v>
      </c>
      <c r="D1047" s="118" t="n">
        <v>69.47263353543669</v>
      </c>
      <c r="E1047" s="118" t="n">
        <v>69.62916564941406</v>
      </c>
      <c r="F1047" s="119" t="n">
        <v>14039600</v>
      </c>
      <c r="G1047" s="120" t="n">
        <v>-0.01056582188950173</v>
      </c>
      <c r="H1047" s="121" t="n">
        <v>43.76985040496932</v>
      </c>
      <c r="I1047" s="118" t="n">
        <v>72.68165908813477</v>
      </c>
      <c r="J1047" s="118" t="n">
        <v>67.67613410949707</v>
      </c>
      <c r="K1047" s="120" t="n">
        <v>0.3066204516447446</v>
      </c>
      <c r="L1047" s="120" t="n">
        <v>-0.09717482379127029</v>
      </c>
      <c r="M1047" s="120" t="n">
        <v>-0.1333189494798167</v>
      </c>
      <c r="N1047" t="n">
        <v>44.54084224229386</v>
      </c>
      <c r="O1047" t="n">
        <v>0.1997109638091074</v>
      </c>
      <c r="P1047" t="n">
        <v>161.0609537863648</v>
      </c>
      <c r="Q1047" t="n">
        <v>169.5178102921684</v>
      </c>
    </row>
    <row r="1048">
      <c r="A1048" s="117" t="n">
        <v>45937</v>
      </c>
      <c r="B1048" s="118" t="n">
        <v>69.68787002882179</v>
      </c>
      <c r="C1048" s="118" t="n">
        <v>70.03029101752531</v>
      </c>
      <c r="D1048" s="118" t="n">
        <v>67.40831286025329</v>
      </c>
      <c r="E1048" s="118" t="n">
        <v>67.41809844970703</v>
      </c>
      <c r="F1048" s="119" t="n">
        <v>17368000</v>
      </c>
      <c r="G1048" s="120" t="n">
        <v>-0.03175490010665716</v>
      </c>
      <c r="H1048" s="121" t="n">
        <v>42.37994317767619</v>
      </c>
      <c r="I1048" s="118" t="n">
        <v>72.48754821777344</v>
      </c>
      <c r="J1048" s="118" t="n">
        <v>67.6380456161499</v>
      </c>
      <c r="K1048" s="120" t="n">
        <v>0.3241256847912244</v>
      </c>
      <c r="L1048" s="120" t="n">
        <v>-0.1258439470755537</v>
      </c>
      <c r="M1048" s="120" t="n">
        <v>-0.1608403196634178</v>
      </c>
      <c r="N1048" t="n">
        <v>37.78549446752255</v>
      </c>
      <c r="O1048" t="n">
        <v>0.01770973508995199</v>
      </c>
      <c r="P1048" t="n">
        <v>160.463818063175</v>
      </c>
      <c r="Q1048" t="n">
        <v>168.6252024459955</v>
      </c>
    </row>
    <row r="1049">
      <c r="A1049" s="117" t="n">
        <v>45938</v>
      </c>
      <c r="B1049" s="118" t="n">
        <v>67.41809668463229</v>
      </c>
      <c r="C1049" s="118" t="n">
        <v>67.92683535964142</v>
      </c>
      <c r="D1049" s="118" t="n">
        <v>67.1832873291965</v>
      </c>
      <c r="E1049" s="118" t="n">
        <v>67.59419250488281</v>
      </c>
      <c r="F1049" s="119" t="n">
        <v>13051800</v>
      </c>
      <c r="G1049" s="120" t="n">
        <v>0.002611970067757818</v>
      </c>
      <c r="H1049" s="121" t="n">
        <v>42.49063832072956</v>
      </c>
      <c r="I1049" s="118" t="n">
        <v>72.31467285156251</v>
      </c>
      <c r="J1049" s="118" t="n">
        <v>67.60612854003907</v>
      </c>
      <c r="K1049" s="120" t="n">
        <v>0.3218349827970948</v>
      </c>
      <c r="L1049" s="120" t="n">
        <v>-0.1235606776307656</v>
      </c>
      <c r="M1049" s="120" t="n">
        <v>-0.1586484596963095</v>
      </c>
      <c r="N1049" t="n">
        <v>38.58439998796695</v>
      </c>
      <c r="O1049" t="n">
        <v>-0.07813167666603205</v>
      </c>
      <c r="P1049" t="n">
        <v>161.4206726790522</v>
      </c>
      <c r="Q1049" t="n">
        <v>170.5582776190337</v>
      </c>
    </row>
    <row r="1050">
      <c r="A1050" s="117" t="n">
        <v>45939</v>
      </c>
      <c r="B1050" s="118" t="n">
        <v>68.04424902526252</v>
      </c>
      <c r="C1050" s="118" t="n">
        <v>68.15186812799817</v>
      </c>
      <c r="D1050" s="118" t="n">
        <v>66.42018435795603</v>
      </c>
      <c r="E1050" s="118" t="n">
        <v>66.58650207519531</v>
      </c>
      <c r="F1050" s="119" t="n">
        <v>13410900</v>
      </c>
      <c r="G1050" s="120" t="n">
        <v>-0.01490794389791261</v>
      </c>
      <c r="H1050" s="121" t="n">
        <v>41.85719026845762</v>
      </c>
      <c r="I1050" s="118" t="n">
        <v>72.15376220703125</v>
      </c>
      <c r="J1050" s="118" t="n">
        <v>67.56821102142334</v>
      </c>
      <c r="K1050" s="120" t="n">
        <v>0.3238792008997307</v>
      </c>
      <c r="L1050" s="120" t="n">
        <v>-0.1366265858785708</v>
      </c>
      <c r="M1050" s="120" t="n">
        <v>-0.1711912812575793</v>
      </c>
      <c r="N1050" t="n">
        <v>35.75491954722141</v>
      </c>
      <c r="O1050" t="n">
        <v>-0.1903139015598978</v>
      </c>
      <c r="P1050" t="n">
        <v>160.9530410702193</v>
      </c>
      <c r="Q1050" t="n">
        <v>170.351858743873</v>
      </c>
    </row>
    <row r="1051">
      <c r="A1051" s="117" t="n">
        <v>45940</v>
      </c>
      <c r="B1051" s="118" t="n">
        <v>66.70390227289971</v>
      </c>
      <c r="C1051" s="118" t="n">
        <v>67.00718837968644</v>
      </c>
      <c r="D1051" s="118" t="n">
        <v>63.4753443368562</v>
      </c>
      <c r="E1051" s="118" t="n">
        <v>63.80798721313477</v>
      </c>
      <c r="F1051" s="119" t="n">
        <v>18806100</v>
      </c>
      <c r="G1051" s="120" t="n">
        <v>-0.04172789943107091</v>
      </c>
      <c r="H1051" s="121" t="n">
        <v>40.11057764246822</v>
      </c>
      <c r="I1051" s="118" t="n">
        <v>71.97601844787597</v>
      </c>
      <c r="J1051" s="118" t="n">
        <v>67.51717050552368</v>
      </c>
      <c r="K1051" s="120" t="n">
        <v>0.3474361912839378</v>
      </c>
      <c r="L1051" s="120" t="n">
        <v>-0.1726533448744901</v>
      </c>
      <c r="M1051" s="120" t="n">
        <v>-0.2057757281208578</v>
      </c>
      <c r="N1051" t="n">
        <v>29.3613760523189</v>
      </c>
      <c r="O1051" t="n">
        <v>-0.4194335683802544</v>
      </c>
      <c r="P1051" t="n">
        <v>156.6028244589073</v>
      </c>
      <c r="Q1051" t="n">
        <v>164.4382313730036</v>
      </c>
    </row>
    <row r="1052">
      <c r="A1052" s="117" t="n">
        <v>45943</v>
      </c>
      <c r="B1052" s="118" t="n">
        <v>64.27758317025649</v>
      </c>
      <c r="C1052" s="118" t="n">
        <v>66.05817962669263</v>
      </c>
      <c r="D1052" s="118" t="n">
        <v>64.13083666182209</v>
      </c>
      <c r="E1052" s="118" t="n">
        <v>65.92121124267578</v>
      </c>
      <c r="F1052" s="119" t="n">
        <v>13191200</v>
      </c>
      <c r="G1052" s="120" t="n">
        <v>0.03311848754110236</v>
      </c>
      <c r="H1052" s="121" t="n">
        <v>41.43897930838673</v>
      </c>
      <c r="I1052" s="118" t="n">
        <v>71.8419017791748</v>
      </c>
      <c r="J1052" s="118" t="n">
        <v>67.47756189346313</v>
      </c>
      <c r="K1052" s="120" t="n">
        <v>0.3731317826661924</v>
      </c>
      <c r="L1052" s="120" t="n">
        <v>-0.1452528749845432</v>
      </c>
      <c r="M1052" s="120" t="n">
        <v>-0.1794722214677874</v>
      </c>
      <c r="N1052" t="n">
        <v>38.38552166326409</v>
      </c>
      <c r="O1052" t="n">
        <v>-0.3967012047953387</v>
      </c>
      <c r="P1052" t="n">
        <v>159.0057566977058</v>
      </c>
      <c r="Q1052" t="n">
        <v>167.9278210608087</v>
      </c>
    </row>
    <row r="1053">
      <c r="A1053" s="117" t="n">
        <v>45944</v>
      </c>
      <c r="B1053" s="118" t="n">
        <v>65.03093035392492</v>
      </c>
      <c r="C1053" s="118" t="n">
        <v>66.52780476690531</v>
      </c>
      <c r="D1053" s="118" t="n">
        <v>64.62980324235832</v>
      </c>
      <c r="E1053" s="118" t="n">
        <v>66.17559814453125</v>
      </c>
      <c r="F1053" s="119" t="n">
        <v>9483700</v>
      </c>
      <c r="G1053" s="120" t="n">
        <v>0.003858953697300826</v>
      </c>
      <c r="H1053" s="121" t="n">
        <v>41.5988904108012</v>
      </c>
      <c r="I1053" s="118" t="n">
        <v>71.70897972106934</v>
      </c>
      <c r="J1053" s="118" t="n">
        <v>67.43908094406127</v>
      </c>
      <c r="K1053" s="120" t="n">
        <v>0.3741090345087995</v>
      </c>
      <c r="L1053" s="120" t="n">
        <v>-0.1419544454062076</v>
      </c>
      <c r="M1053" s="120" t="n">
        <v>-0.1763058427630826</v>
      </c>
      <c r="N1053" t="n">
        <v>39.38932099501281</v>
      </c>
      <c r="O1053" t="n">
        <v>-0.3350270164159073</v>
      </c>
      <c r="P1053" t="n">
        <v>158.8115079053225</v>
      </c>
      <c r="Q1053" t="n">
        <v>166.809263149549</v>
      </c>
    </row>
    <row r="1054">
      <c r="A1054" s="117" t="n">
        <v>45945</v>
      </c>
      <c r="B1054" s="118" t="n">
        <v>67.09524128987819</v>
      </c>
      <c r="C1054" s="118" t="n">
        <v>68.02467075568632</v>
      </c>
      <c r="D1054" s="118" t="n">
        <v>66.65497933432349</v>
      </c>
      <c r="E1054" s="118" t="n">
        <v>66.97783660888672</v>
      </c>
      <c r="F1054" s="119" t="n">
        <v>13001500</v>
      </c>
      <c r="G1054" s="120" t="n">
        <v>0.01212287439553372</v>
      </c>
      <c r="H1054" s="121" t="n">
        <v>42.10318853424491</v>
      </c>
      <c r="I1054" s="118" t="n">
        <v>71.60066749572754</v>
      </c>
      <c r="J1054" s="118" t="n">
        <v>67.40388967514038</v>
      </c>
      <c r="K1054" s="120" t="n">
        <v>0.3779269654990419</v>
      </c>
      <c r="L1054" s="120" t="n">
        <v>-0.1315524669222209</v>
      </c>
      <c r="M1054" s="120" t="n">
        <v>-0.1663203019545644</v>
      </c>
      <c r="N1054" t="n">
        <v>42.56706255343702</v>
      </c>
      <c r="O1054" t="n">
        <v>-0.2164517083733815</v>
      </c>
      <c r="P1054" t="n">
        <v>159.5165563446577</v>
      </c>
      <c r="Q1054" t="n">
        <v>167.9863975429321</v>
      </c>
    </row>
    <row r="1055">
      <c r="A1055" s="117" t="n">
        <v>45946</v>
      </c>
      <c r="B1055" s="118" t="n">
        <v>67.11481199789897</v>
      </c>
      <c r="C1055" s="118" t="n">
        <v>67.5452884088385</v>
      </c>
      <c r="D1055" s="118" t="n">
        <v>65.1385481793665</v>
      </c>
      <c r="E1055" s="118" t="n">
        <v>65.39291381835938</v>
      </c>
      <c r="F1055" s="119" t="n">
        <v>15349700</v>
      </c>
      <c r="G1055" s="120" t="n">
        <v>-0.02366339181395793</v>
      </c>
      <c r="H1055" s="121" t="n">
        <v>41.10688428734213</v>
      </c>
      <c r="I1055" s="118" t="n">
        <v>71.43924430847169</v>
      </c>
      <c r="J1055" s="118" t="n">
        <v>67.36327501296996</v>
      </c>
      <c r="K1055" s="120" t="n">
        <v>0.3853575898463285</v>
      </c>
      <c r="L1055" s="120" t="n">
        <v>-0.1521028811673056</v>
      </c>
      <c r="M1055" s="120" t="n">
        <v>-0.1860479912967556</v>
      </c>
      <c r="N1055" t="n">
        <v>38.29532558299238</v>
      </c>
      <c r="O1055" t="n">
        <v>-0.2202775116835005</v>
      </c>
      <c r="P1055" t="n">
        <v>158.4301976144237</v>
      </c>
      <c r="Q1055" t="n">
        <v>167.3643556296479</v>
      </c>
    </row>
    <row r="1056">
      <c r="A1056" s="117" t="n">
        <v>45947</v>
      </c>
      <c r="B1056" s="118" t="n">
        <v>65.18745366016505</v>
      </c>
      <c r="C1056" s="118" t="n">
        <v>66.30277199197711</v>
      </c>
      <c r="D1056" s="118" t="n">
        <v>64.88416756803547</v>
      </c>
      <c r="E1056" s="118" t="n">
        <v>65.91143798828125</v>
      </c>
      <c r="F1056" s="119" t="n">
        <v>10054000</v>
      </c>
      <c r="G1056" s="120" t="n">
        <v>0.007929363284868485</v>
      </c>
      <c r="H1056" s="121" t="n">
        <v>41.43283570636552</v>
      </c>
      <c r="I1056" s="118" t="n">
        <v>71.31018821716309</v>
      </c>
      <c r="J1056" s="118" t="n">
        <v>67.33376665115357</v>
      </c>
      <c r="K1056" s="120" t="n">
        <v>0.3840445466863307</v>
      </c>
      <c r="L1056" s="120" t="n">
        <v>-0.1453795968838879</v>
      </c>
      <c r="M1056" s="120" t="n">
        <v>-0.1795938701232991</v>
      </c>
      <c r="N1056" t="n">
        <v>40.40251854385075</v>
      </c>
      <c r="O1056" t="n">
        <v>-0.1658822773676052</v>
      </c>
      <c r="P1056" t="n">
        <v>159.329509604446</v>
      </c>
      <c r="Q1056" t="n">
        <v>168.4633994386366</v>
      </c>
    </row>
    <row r="1057">
      <c r="A1057" s="117" t="n">
        <v>45950</v>
      </c>
      <c r="B1057" s="118" t="n">
        <v>66.09732267272402</v>
      </c>
      <c r="C1057" s="118" t="n">
        <v>66.70390235122778</v>
      </c>
      <c r="D1057" s="118" t="n">
        <v>66.00927475679919</v>
      </c>
      <c r="E1057" s="118" t="n">
        <v>66.15602874755859</v>
      </c>
      <c r="F1057" s="119" t="n">
        <v>9670000</v>
      </c>
      <c r="G1057" s="120" t="n">
        <v>0.003710900061395073</v>
      </c>
      <c r="H1057" s="121" t="n">
        <v>41.58658881893204</v>
      </c>
      <c r="I1057" s="118" t="n">
        <v>71.1891382598877</v>
      </c>
      <c r="J1057" s="118" t="n">
        <v>67.30057504653931</v>
      </c>
      <c r="K1057" s="120" t="n">
        <v>0.3836164621181845</v>
      </c>
      <c r="L1057" s="120" t="n">
        <v>-0.1422081859774948</v>
      </c>
      <c r="M1057" s="120" t="n">
        <v>-0.1712176783895218</v>
      </c>
      <c r="N1057" t="n">
        <v>41.4187683223181</v>
      </c>
      <c r="O1057" t="n">
        <v>-0.09495042370763618</v>
      </c>
      <c r="P1057" t="n">
        <v>160.9866162109784</v>
      </c>
      <c r="Q1057" t="n">
        <v>170.5861646723667</v>
      </c>
    </row>
    <row r="1058">
      <c r="A1058" s="117" t="n">
        <v>45951</v>
      </c>
      <c r="B1058" s="118" t="n">
        <v>66.28321080097258</v>
      </c>
      <c r="C1058" s="118" t="n">
        <v>67.78987065805877</v>
      </c>
      <c r="D1058" s="118" t="n">
        <v>65.95057539232369</v>
      </c>
      <c r="E1058" s="118" t="n">
        <v>66.8800048828125</v>
      </c>
      <c r="F1058" s="119" t="n">
        <v>9659200</v>
      </c>
      <c r="G1058" s="120" t="n">
        <v>0.01094346424596448</v>
      </c>
      <c r="H1058" s="121" t="n">
        <v>42.04169016678366</v>
      </c>
      <c r="I1058" s="118" t="n">
        <v>71.08587699890137</v>
      </c>
      <c r="J1058" s="118" t="n">
        <v>67.2806233406067</v>
      </c>
      <c r="K1058" s="120" t="n">
        <v>0.3863350202234527</v>
      </c>
      <c r="L1058" s="120" t="n">
        <v>-0.1320543205666711</v>
      </c>
      <c r="M1058" s="120" t="n">
        <v>-0.1572977875704227</v>
      </c>
      <c r="N1058" t="n">
        <v>44.43881031584774</v>
      </c>
      <c r="O1058" t="n">
        <v>0.01343756359676207</v>
      </c>
      <c r="P1058" t="n">
        <v>160.9842106074867</v>
      </c>
      <c r="Q1058" t="n">
        <v>170.541548804565</v>
      </c>
    </row>
    <row r="1059">
      <c r="A1059" s="117" t="n">
        <v>45952</v>
      </c>
      <c r="B1059" s="118" t="n">
        <v>66.7430301256714</v>
      </c>
      <c r="C1059" s="118" t="n">
        <v>67.85834839370247</v>
      </c>
      <c r="D1059" s="118" t="n">
        <v>66.48865706644162</v>
      </c>
      <c r="E1059" s="118" t="n">
        <v>67.58441162109375</v>
      </c>
      <c r="F1059" s="119" t="n">
        <v>8096100</v>
      </c>
      <c r="G1059" s="120" t="n">
        <v>0.01053239663357552</v>
      </c>
      <c r="H1059" s="121" t="n">
        <v>42.48448992276612</v>
      </c>
      <c r="I1059" s="118" t="n">
        <v>70.97957389831544</v>
      </c>
      <c r="J1059" s="118" t="n">
        <v>67.26592523574828</v>
      </c>
      <c r="K1059" s="120" t="n">
        <v>0.3882578821454852</v>
      </c>
      <c r="L1059" s="120" t="n">
        <v>-0.1229127724144812</v>
      </c>
      <c r="M1059" s="120" t="n">
        <v>-0.1403053002620012</v>
      </c>
      <c r="N1059" t="n">
        <v>47.28629850110026</v>
      </c>
      <c r="O1059" t="n">
        <v>0.1383409523037431</v>
      </c>
      <c r="P1059" t="n">
        <v>160.1472672086065</v>
      </c>
      <c r="Q1059" t="n">
        <v>168.8985536666864</v>
      </c>
    </row>
    <row r="1060">
      <c r="A1060" s="117" t="n">
        <v>45953</v>
      </c>
      <c r="B1060" s="118" t="n">
        <v>67.59420207819018</v>
      </c>
      <c r="C1060" s="118" t="n">
        <v>68.37688511205842</v>
      </c>
      <c r="D1060" s="118" t="n">
        <v>67.25178104995479</v>
      </c>
      <c r="E1060" s="118" t="n">
        <v>68.17143249511719</v>
      </c>
      <c r="F1060" s="119" t="n">
        <v>9124900</v>
      </c>
      <c r="G1060" s="120" t="n">
        <v>0.008685743649208932</v>
      </c>
      <c r="H1060" s="121" t="n">
        <v>42.85349931130266</v>
      </c>
      <c r="I1060" s="118" t="n">
        <v>70.84023994445801</v>
      </c>
      <c r="J1060" s="118" t="n">
        <v>67.26046331405639</v>
      </c>
      <c r="K1060" s="120" t="n">
        <v>0.3765805462639228</v>
      </c>
      <c r="L1060" s="120" t="n">
        <v>-0.1152946175976779</v>
      </c>
      <c r="M1060" s="120" t="n">
        <v>-0.1328382124834933</v>
      </c>
      <c r="N1060" t="n">
        <v>49.60422290108645</v>
      </c>
      <c r="O1060" t="n">
        <v>0.2592416339883301</v>
      </c>
      <c r="P1060" t="n">
        <v>161.0969345306157</v>
      </c>
      <c r="Q1060" t="n">
        <v>170.3184011149356</v>
      </c>
    </row>
    <row r="1061">
      <c r="A1061" s="117" t="n">
        <v>45954</v>
      </c>
      <c r="B1061" s="118" t="n">
        <v>68.20077034654392</v>
      </c>
      <c r="C1061" s="118" t="n">
        <v>68.56276249514018</v>
      </c>
      <c r="D1061" s="118" t="n">
        <v>67.41809490836511</v>
      </c>
      <c r="E1061" s="118" t="n">
        <v>67.61376190185547</v>
      </c>
      <c r="F1061" s="119" t="n">
        <v>7102900</v>
      </c>
      <c r="G1061" s="120" t="n">
        <v>-0.008180414769803468</v>
      </c>
      <c r="H1061" s="121" t="n">
        <v>42.50293991259872</v>
      </c>
      <c r="I1061" s="118" t="n">
        <v>70.70551979064942</v>
      </c>
      <c r="J1061" s="118" t="n">
        <v>67.25178014755249</v>
      </c>
      <c r="K1061" s="120" t="n">
        <v>0.3778529307469197</v>
      </c>
      <c r="L1061" s="120" t="n">
        <v>-0.1225318745748065</v>
      </c>
      <c r="M1061" s="120" t="n">
        <v>-0.1399319555779025</v>
      </c>
      <c r="N1061" t="n">
        <v>47.46875767968368</v>
      </c>
      <c r="O1061" t="n">
        <v>0.2976532835866057</v>
      </c>
      <c r="P1061" t="n">
        <v>162.4135080391803</v>
      </c>
      <c r="Q1061" t="n">
        <v>172.1371086115292</v>
      </c>
    </row>
    <row r="1062">
      <c r="A1062" s="117" t="n">
        <v>45957</v>
      </c>
      <c r="B1062" s="118" t="n">
        <v>68.52363829400134</v>
      </c>
      <c r="C1062" s="118" t="n">
        <v>68.91497980625279</v>
      </c>
      <c r="D1062" s="118" t="n">
        <v>66.78217640191187</v>
      </c>
      <c r="E1062" s="118" t="n">
        <v>67.10502624511719</v>
      </c>
      <c r="F1062" s="119" t="n">
        <v>9838100</v>
      </c>
      <c r="G1062" s="120" t="n">
        <v>-0.007524143642188341</v>
      </c>
      <c r="H1062" s="121" t="n">
        <v>42.18314168748103</v>
      </c>
      <c r="I1062" s="118" t="n">
        <v>70.54933464050293</v>
      </c>
      <c r="J1062" s="118" t="n">
        <v>67.24440126419067</v>
      </c>
      <c r="K1062" s="120" t="n">
        <v>0.3785767296351948</v>
      </c>
      <c r="L1062" s="120" t="n">
        <v>-0.1291340707919475</v>
      </c>
      <c r="M1062" s="120" t="n">
        <v>-0.1464032310861904</v>
      </c>
      <c r="N1062" t="n">
        <v>45.54260445254376</v>
      </c>
      <c r="O1062" t="n">
        <v>0.2847933050927343</v>
      </c>
      <c r="P1062" t="n">
        <v>164.3296228744263</v>
      </c>
      <c r="Q1062" t="n">
        <v>175.2027364854592</v>
      </c>
    </row>
    <row r="1063">
      <c r="A1063" s="117" t="n">
        <v>45958</v>
      </c>
      <c r="B1063" s="118" t="n">
        <v>66.63541682569567</v>
      </c>
      <c r="C1063" s="118" t="n">
        <v>67.12459180902086</v>
      </c>
      <c r="D1063" s="118" t="n">
        <v>65.59836824959598</v>
      </c>
      <c r="E1063" s="118" t="n">
        <v>65.97013854980469</v>
      </c>
      <c r="F1063" s="119" t="n">
        <v>11262400</v>
      </c>
      <c r="G1063" s="120" t="n">
        <v>-0.01691211163776396</v>
      </c>
      <c r="H1063" s="121" t="n">
        <v>41.46973568603073</v>
      </c>
      <c r="I1063" s="118" t="n">
        <v>70.36149742126464</v>
      </c>
      <c r="J1063" s="118" t="n">
        <v>67.23178087234497</v>
      </c>
      <c r="K1063" s="120" t="n">
        <v>0.3828212729002359</v>
      </c>
      <c r="L1063" s="120" t="n">
        <v>-0.1438622526082391</v>
      </c>
      <c r="M1063" s="120" t="n">
        <v>-0.1608393549356953</v>
      </c>
      <c r="N1063" t="n">
        <v>41.4973255669079</v>
      </c>
      <c r="O1063" t="n">
        <v>0.1998627428834201</v>
      </c>
      <c r="P1063" t="n">
        <v>164.7660701876882</v>
      </c>
      <c r="Q1063" t="n">
        <v>176.5500126619528</v>
      </c>
    </row>
    <row r="1064">
      <c r="A1064" s="117" t="n">
        <v>45959</v>
      </c>
      <c r="B1064" s="118" t="n">
        <v>65.55923375739779</v>
      </c>
      <c r="C1064" s="118" t="n">
        <v>65.73533705104389</v>
      </c>
      <c r="D1064" s="118" t="n">
        <v>63.54382773806628</v>
      </c>
      <c r="E1064" s="118" t="n">
        <v>63.9351692199707</v>
      </c>
      <c r="F1064" s="119" t="n">
        <v>15143100</v>
      </c>
      <c r="G1064" s="120" t="n">
        <v>-0.03084682516314052</v>
      </c>
      <c r="H1064" s="121" t="n">
        <v>40.19052599976209</v>
      </c>
      <c r="I1064" s="118" t="n">
        <v>70.14366729736328</v>
      </c>
      <c r="J1064" s="118" t="n">
        <v>67.20475288391113</v>
      </c>
      <c r="K1064" s="120" t="n">
        <v>0.3084800770207704</v>
      </c>
      <c r="L1064" s="120" t="n">
        <v>-0.1702713840175977</v>
      </c>
      <c r="M1064" s="120" t="n">
        <v>-0.1867247966377822</v>
      </c>
      <c r="N1064" t="n">
        <v>35.42171590224422</v>
      </c>
      <c r="O1064" t="n">
        <v>0.01631530067314335</v>
      </c>
      <c r="P1064" t="n">
        <v>164.845218970058</v>
      </c>
      <c r="Q1064" t="n">
        <v>177.3450158214602</v>
      </c>
    </row>
    <row r="1065">
      <c r="A1065" s="117" t="n">
        <v>45960</v>
      </c>
      <c r="B1065" s="118" t="n">
        <v>63.76885180786629</v>
      </c>
      <c r="C1065" s="118" t="n">
        <v>64.57109849054372</v>
      </c>
      <c r="D1065" s="118" t="n">
        <v>63.1720577246799</v>
      </c>
      <c r="E1065" s="118" t="n">
        <v>63.49491500854492</v>
      </c>
      <c r="F1065" s="119" t="n">
        <v>13895200</v>
      </c>
      <c r="G1065" s="120" t="n">
        <v>-0.00688594738697057</v>
      </c>
      <c r="H1065" s="121" t="n">
        <v>39.91377615227306</v>
      </c>
      <c r="I1065" s="118" t="n">
        <v>69.92910057067871</v>
      </c>
      <c r="J1065" s="118" t="n">
        <v>67.1799006843567</v>
      </c>
      <c r="K1065" s="120" t="n">
        <v>0.3056615050743065</v>
      </c>
      <c r="L1065" s="120" t="n">
        <v>-0.1759848516127164</v>
      </c>
      <c r="M1065" s="120" t="n">
        <v>-0.1923249668992623</v>
      </c>
      <c r="N1065" t="n">
        <v>34.25328686255124</v>
      </c>
      <c r="O1065" t="n">
        <v>-0.1176876237358089</v>
      </c>
      <c r="P1065" t="n">
        <v>163.0322351605813</v>
      </c>
      <c r="Q1065" t="n">
        <v>174.6336663033833</v>
      </c>
    </row>
    <row r="1066">
      <c r="A1066" s="117" t="n">
        <v>45961</v>
      </c>
      <c r="B1066" s="118" t="n">
        <v>63.59275077546026</v>
      </c>
      <c r="C1066" s="118" t="n">
        <v>63.83733827844279</v>
      </c>
      <c r="D1066" s="118" t="n">
        <v>62.85898826651264</v>
      </c>
      <c r="E1066" s="118" t="n">
        <v>63.19162368774414</v>
      </c>
      <c r="F1066" s="119" t="n">
        <v>17822500</v>
      </c>
      <c r="G1066" s="120" t="n">
        <v>-0.00477662377782484</v>
      </c>
      <c r="H1066" s="121" t="n">
        <v>39.72312306004134</v>
      </c>
      <c r="I1066" s="118" t="n">
        <v>69.71002548217774</v>
      </c>
      <c r="J1066" s="118" t="n">
        <v>67.15401298522949</v>
      </c>
      <c r="K1066" s="120" t="n">
        <v>0.2862933803285491</v>
      </c>
      <c r="L1066" s="120" t="n">
        <v>-0.1799208619637909</v>
      </c>
      <c r="M1066" s="120" t="n">
        <v>-0.1961829266671267</v>
      </c>
      <c r="N1066" t="n">
        <v>33.43505583099507</v>
      </c>
      <c r="O1066" t="n">
        <v>-0.204603463887205</v>
      </c>
      <c r="P1066" t="n">
        <v>163.5670022926289</v>
      </c>
      <c r="Q1066" t="n">
        <v>175.4760706184948</v>
      </c>
    </row>
    <row r="1067">
      <c r="A1067" s="117" t="n">
        <v>45964</v>
      </c>
      <c r="B1067" s="118" t="n">
        <v>63.31880894340134</v>
      </c>
      <c r="C1067" s="118" t="n">
        <v>63.44599174774446</v>
      </c>
      <c r="D1067" s="118" t="n">
        <v>60.99033505473162</v>
      </c>
      <c r="E1067" s="118" t="n">
        <v>61.29362487792969</v>
      </c>
      <c r="F1067" s="119" t="n">
        <v>22633300</v>
      </c>
      <c r="G1067" s="120" t="n">
        <v>-0.03003560755446399</v>
      </c>
      <c r="H1067" s="121" t="n">
        <v>38.53001492497226</v>
      </c>
      <c r="I1067" s="118" t="n">
        <v>69.41016586303711</v>
      </c>
      <c r="J1067" s="118" t="n">
        <v>67.11844291687012</v>
      </c>
      <c r="K1067" s="120" t="n">
        <v>0.2991746439866814</v>
      </c>
      <c r="L1067" s="120" t="n">
        <v>-0.2045524371174495</v>
      </c>
      <c r="M1067" s="120" t="n">
        <v>-0.2203260608273306</v>
      </c>
      <c r="N1067" t="n">
        <v>28.79878776645575</v>
      </c>
      <c r="O1067" t="n">
        <v>-0.358753933632177</v>
      </c>
      <c r="P1067" t="n">
        <v>163.8739602498376</v>
      </c>
      <c r="Q1067" t="n">
        <v>176.3157067334592</v>
      </c>
    </row>
    <row r="1068">
      <c r="A1068" s="117" t="n">
        <v>45965</v>
      </c>
      <c r="B1068" s="118" t="n">
        <v>61.06860449712519</v>
      </c>
      <c r="C1068" s="118" t="n">
        <v>61.23492593588423</v>
      </c>
      <c r="D1068" s="118" t="n">
        <v>59.79675025836438</v>
      </c>
      <c r="E1068" s="118" t="n">
        <v>59.90436935424805</v>
      </c>
      <c r="F1068" s="119" t="n">
        <v>13725400</v>
      </c>
      <c r="G1068" s="120" t="n">
        <v>-0.02266557943747716</v>
      </c>
      <c r="H1068" s="121" t="n">
        <v>37.65670981096312</v>
      </c>
      <c r="I1068" s="118" t="n">
        <v>69.067142868042</v>
      </c>
      <c r="J1068" s="118" t="n">
        <v>67.07722532272339</v>
      </c>
      <c r="K1068" s="120" t="n">
        <v>0.2904847411019643</v>
      </c>
      <c r="L1068" s="120" t="n">
        <v>-0.2225817170423116</v>
      </c>
      <c r="M1068" s="120" t="n">
        <v>-0.2379978224309796</v>
      </c>
      <c r="N1068" t="n">
        <v>25.96112445749647</v>
      </c>
      <c r="O1068" t="n">
        <v>-0.5136804635224543</v>
      </c>
      <c r="P1068" t="n">
        <v>161.9314723260041</v>
      </c>
      <c r="Q1068" t="n">
        <v>172.7368511347402</v>
      </c>
    </row>
    <row r="1069">
      <c r="A1069" s="117" t="n">
        <v>45966</v>
      </c>
      <c r="B1069" s="118" t="n">
        <v>59.95328375937023</v>
      </c>
      <c r="C1069" s="118" t="n">
        <v>61.48929288275359</v>
      </c>
      <c r="D1069" s="118" t="n">
        <v>59.54237857166156</v>
      </c>
      <c r="E1069" s="118" t="n">
        <v>60.76531600952148</v>
      </c>
      <c r="F1069" s="119" t="n">
        <v>20979800</v>
      </c>
      <c r="G1069" s="120" t="n">
        <v>0.01437201767674368</v>
      </c>
      <c r="H1069" s="121" t="n">
        <v>38.19791271001429</v>
      </c>
      <c r="I1069" s="118" t="n">
        <v>68.75146102905273</v>
      </c>
      <c r="J1069" s="118" t="n">
        <v>67.02910514831542</v>
      </c>
      <c r="K1069" s="120" t="n">
        <v>0.2978698118035189</v>
      </c>
      <c r="L1069" s="120" t="n">
        <v>-0.2114086477374201</v>
      </c>
      <c r="M1069" s="120" t="n">
        <v>-0.2270463136652403</v>
      </c>
      <c r="N1069" t="n">
        <v>30.52954025642407</v>
      </c>
      <c r="O1069" t="n">
        <v>-0.5161984803146418</v>
      </c>
      <c r="P1069" t="n">
        <v>162.4926420632465</v>
      </c>
      <c r="Q1069" t="n">
        <v>173.8609967092596</v>
      </c>
    </row>
    <row r="1070">
      <c r="A1070" s="117" t="n">
        <v>45967</v>
      </c>
      <c r="B1070" s="118" t="n">
        <v>60.54029748808268</v>
      </c>
      <c r="C1070" s="118" t="n">
        <v>61.12730598014302</v>
      </c>
      <c r="D1070" s="118" t="n">
        <v>60.33484115696348</v>
      </c>
      <c r="E1070" s="118" t="n">
        <v>60.55007934570312</v>
      </c>
      <c r="F1070" s="119" t="n">
        <v>15164600</v>
      </c>
      <c r="G1070" s="120" t="n">
        <v>-0.003542097333693373</v>
      </c>
      <c r="H1070" s="121" t="n">
        <v>38.06261198525149</v>
      </c>
      <c r="I1070" s="118" t="n">
        <v>68.44295928955079</v>
      </c>
      <c r="J1070" s="118" t="n">
        <v>66.97572410583496</v>
      </c>
      <c r="K1070" s="120" t="n">
        <v>0.2956517127920715</v>
      </c>
      <c r="L1070" s="120" t="n">
        <v>-0.2142019150636429</v>
      </c>
      <c r="M1070" s="120" t="n">
        <v>-0.2297841908566751</v>
      </c>
      <c r="N1070" t="n">
        <v>30.03066105899501</v>
      </c>
      <c r="O1070" t="n">
        <v>-0.4905607796505529</v>
      </c>
      <c r="P1070" t="n">
        <v>160.7491993804762</v>
      </c>
      <c r="Q1070" t="n">
        <v>170.6224417644169</v>
      </c>
    </row>
    <row r="1071">
      <c r="A1071" s="117" t="n">
        <v>45968</v>
      </c>
      <c r="B1071" s="118" t="n">
        <v>60.40332779711976</v>
      </c>
      <c r="C1071" s="118" t="n">
        <v>60.83380043328516</v>
      </c>
      <c r="D1071" s="118" t="n">
        <v>58.98471961751467</v>
      </c>
      <c r="E1071" s="118" t="n">
        <v>59.76739883422852</v>
      </c>
      <c r="F1071" s="119" t="n">
        <v>15504800</v>
      </c>
      <c r="G1071" s="120" t="n">
        <v>-0.01292616822194392</v>
      </c>
      <c r="H1071" s="121" t="n">
        <v>37.57060825976355</v>
      </c>
      <c r="I1071" s="118" t="n">
        <v>68.12152931213379</v>
      </c>
      <c r="J1071" s="118" t="n">
        <v>66.91722715377807</v>
      </c>
      <c r="K1071" s="120" t="n">
        <v>0.2635842574985474</v>
      </c>
      <c r="L1071" s="120" t="n">
        <v>-0.2243592732980116</v>
      </c>
      <c r="M1071" s="120" t="n">
        <v>-0.2397401299728624</v>
      </c>
      <c r="N1071" t="n">
        <v>28.22450834632656</v>
      </c>
      <c r="O1071" t="n">
        <v>-0.4837144448429416</v>
      </c>
      <c r="P1071" t="n">
        <v>160.9074674286086</v>
      </c>
      <c r="Q1071" t="n">
        <v>170.0840780987867</v>
      </c>
    </row>
    <row r="1072">
      <c r="A1072" s="117" t="n">
        <v>45971</v>
      </c>
      <c r="B1072" s="118" t="n">
        <v>60.41310624590806</v>
      </c>
      <c r="C1072" s="118" t="n">
        <v>60.74574536075692</v>
      </c>
      <c r="D1072" s="118" t="n">
        <v>59.18038701564974</v>
      </c>
      <c r="E1072" s="118" t="n">
        <v>59.48367309570312</v>
      </c>
      <c r="F1072" s="119" t="n">
        <v>13063100</v>
      </c>
      <c r="G1072" s="120" t="n">
        <v>-0.004747165579555124</v>
      </c>
      <c r="H1072" s="121" t="n">
        <v>37.39225436142986</v>
      </c>
      <c r="I1072" s="118" t="n">
        <v>67.80513084411621</v>
      </c>
      <c r="J1072" s="118" t="n">
        <v>66.86077478408814</v>
      </c>
      <c r="K1072" s="120" t="n">
        <v>0.2261174201158528</v>
      </c>
      <c r="L1072" s="120" t="n">
        <v>-0.2280413682579124</v>
      </c>
      <c r="M1072" s="120" t="n">
        <v>-0.2433492094593722</v>
      </c>
      <c r="N1072" t="n">
        <v>27.57701438943997</v>
      </c>
      <c r="O1072" t="n">
        <v>-0.4560604592630935</v>
      </c>
      <c r="P1072" t="n">
        <v>163.4183123835526</v>
      </c>
      <c r="Q1072" t="n">
        <v>173.8470360949379</v>
      </c>
    </row>
    <row r="1073">
      <c r="A1073" s="117" t="n">
        <v>45972</v>
      </c>
      <c r="B1073" s="118" t="n">
        <v>60.39353994390034</v>
      </c>
      <c r="C1073" s="118" t="n">
        <v>62.22305324416469</v>
      </c>
      <c r="D1073" s="118" t="n">
        <v>59.91415057442945</v>
      </c>
      <c r="E1073" s="118" t="n">
        <v>61.78279876708984</v>
      </c>
      <c r="F1073" s="119" t="n">
        <v>17646400</v>
      </c>
      <c r="G1073" s="120" t="n">
        <v>0.03865137359099635</v>
      </c>
      <c r="H1073" s="121" t="n">
        <v>38.83751635416304</v>
      </c>
      <c r="I1073" s="118" t="n">
        <v>67.58715446472168</v>
      </c>
      <c r="J1073" s="118" t="n">
        <v>66.80614995956421</v>
      </c>
      <c r="K1073" s="120" t="n">
        <v>0.2730988842716892</v>
      </c>
      <c r="L1073" s="120" t="n">
        <v>-0.1982041067856547</v>
      </c>
      <c r="M1073" s="120" t="n">
        <v>-0.2141036170762637</v>
      </c>
      <c r="N1073" t="n">
        <v>39.65742814367274</v>
      </c>
      <c r="O1073" t="n">
        <v>-0.2509433119035813</v>
      </c>
      <c r="P1073" t="n">
        <v>163.7924353805833</v>
      </c>
      <c r="Q1073" t="n">
        <v>173.3839948135551</v>
      </c>
    </row>
    <row r="1074">
      <c r="A1074" s="117" t="n">
        <v>45973</v>
      </c>
      <c r="B1074" s="118" t="n">
        <v>62.71222890846503</v>
      </c>
      <c r="C1074" s="118" t="n">
        <v>63.7786342116589</v>
      </c>
      <c r="D1074" s="118" t="n">
        <v>62.3600260692637</v>
      </c>
      <c r="E1074" s="118" t="n">
        <v>62.81006240844727</v>
      </c>
      <c r="F1074" s="119" t="n">
        <v>14812200</v>
      </c>
      <c r="G1074" s="120" t="n">
        <v>0.01662701693443869</v>
      </c>
      <c r="H1074" s="121" t="n">
        <v>39.48326839627525</v>
      </c>
      <c r="I1074" s="118" t="n">
        <v>67.38091827392579</v>
      </c>
      <c r="J1074" s="118" t="n">
        <v>66.76238533020019</v>
      </c>
      <c r="K1074" s="120" t="n">
        <v>0.2769113097517865</v>
      </c>
      <c r="L1074" s="120" t="n">
        <v>-0.1848726328912164</v>
      </c>
      <c r="M1074" s="120" t="n">
        <v>-0.2010365046086766</v>
      </c>
      <c r="N1074" t="n">
        <v>44.14079259136831</v>
      </c>
      <c r="O1074" t="n">
        <v>-0.02594358546435105</v>
      </c>
      <c r="P1074" t="n">
        <v>163.883567905501</v>
      </c>
      <c r="Q1074" t="n">
        <v>173.2473277470373</v>
      </c>
    </row>
    <row r="1075">
      <c r="A1075" s="117" t="n">
        <v>45974</v>
      </c>
      <c r="B1075" s="118" t="n">
        <v>64.28737691034659</v>
      </c>
      <c r="C1075" s="118" t="n">
        <v>64.82547239022541</v>
      </c>
      <c r="D1075" s="118" t="n">
        <v>63.47534462769969</v>
      </c>
      <c r="E1075" s="118" t="n">
        <v>64.60044860839844</v>
      </c>
      <c r="F1075" s="119" t="n">
        <v>21923600</v>
      </c>
      <c r="G1075" s="120" t="n">
        <v>0.02850476709143313</v>
      </c>
      <c r="H1075" s="121" t="n">
        <v>40.60872976591962</v>
      </c>
      <c r="I1075" s="118" t="n">
        <v>67.19855392456054</v>
      </c>
      <c r="J1075" s="118" t="n">
        <v>66.71703880310059</v>
      </c>
      <c r="K1075" s="120" t="n">
        <v>0.2871639521941042</v>
      </c>
      <c r="L1075" s="120" t="n">
        <v>-0.1616376171419274</v>
      </c>
      <c r="M1075" s="120" t="n">
        <v>-0.1782622362579896</v>
      </c>
      <c r="N1075" t="n">
        <v>50.97719850922296</v>
      </c>
      <c r="O1075" t="n">
        <v>0.2484831284732447</v>
      </c>
      <c r="P1075" t="n">
        <v>161.164084812134</v>
      </c>
      <c r="Q1075" t="n">
        <v>169.7103027283178</v>
      </c>
    </row>
    <row r="1076">
      <c r="A1076" s="117" t="n">
        <v>45975</v>
      </c>
      <c r="B1076" s="118" t="n">
        <v>63.53404960115149</v>
      </c>
      <c r="C1076" s="118" t="n">
        <v>63.65144682074916</v>
      </c>
      <c r="D1076" s="118" t="n">
        <v>62.36981074535512</v>
      </c>
      <c r="E1076" s="118" t="n">
        <v>62.78071594238281</v>
      </c>
      <c r="F1076" s="119" t="n">
        <v>17760100</v>
      </c>
      <c r="G1076" s="120" t="n">
        <v>-0.02816904069887605</v>
      </c>
      <c r="H1076" s="121" t="n">
        <v>39.46482080441378</v>
      </c>
      <c r="I1076" s="118" t="n">
        <v>67.00797119140626</v>
      </c>
      <c r="J1076" s="118" t="n">
        <v>66.65417602539063</v>
      </c>
      <c r="K1076" s="120" t="n">
        <v>0.3014204798761734</v>
      </c>
      <c r="L1076" s="120" t="n">
        <v>-0.185253481225063</v>
      </c>
      <c r="M1076" s="120" t="n">
        <v>-0.2014098007686417</v>
      </c>
      <c r="N1076" t="n">
        <v>44.95498092249859</v>
      </c>
      <c r="O1076" t="n">
        <v>0.3085481233588538</v>
      </c>
      <c r="P1076" t="n">
        <v>161.1376822069392</v>
      </c>
      <c r="Q1076" t="n">
        <v>169.8385797561184</v>
      </c>
    </row>
    <row r="1077">
      <c r="A1077" s="117" t="n">
        <v>45978</v>
      </c>
      <c r="B1077" s="118" t="n">
        <v>61.70452951847503</v>
      </c>
      <c r="C1077" s="118" t="n">
        <v>62.16435517785227</v>
      </c>
      <c r="D1077" s="118" t="n">
        <v>60.91206473505847</v>
      </c>
      <c r="E1077" s="118" t="n">
        <v>61.53821182250977</v>
      </c>
      <c r="F1077" s="119" t="n">
        <v>17064700</v>
      </c>
      <c r="G1077" s="120" t="n">
        <v>-0.01979117474565528</v>
      </c>
      <c r="H1077" s="121" t="n">
        <v>38.68376563956765</v>
      </c>
      <c r="I1077" s="118" t="n">
        <v>66.78784248352051</v>
      </c>
      <c r="J1077" s="118" t="n">
        <v>66.59197904586792</v>
      </c>
      <c r="K1077" s="120" t="n">
        <v>0.3067441647463978</v>
      </c>
      <c r="L1077" s="120" t="n">
        <v>-0.201378271951552</v>
      </c>
      <c r="M1077" s="120" t="n">
        <v>-0.2172148389517972</v>
      </c>
      <c r="N1077" t="n">
        <v>41.36198457318601</v>
      </c>
      <c r="O1077" t="n">
        <v>0.2672407730523729</v>
      </c>
      <c r="P1077" t="n">
        <v>159.6364675616547</v>
      </c>
      <c r="Q1077" t="n">
        <v>168.3880770543892</v>
      </c>
    </row>
    <row r="1078">
      <c r="A1078" s="117" t="n">
        <v>45979</v>
      </c>
      <c r="B1078" s="118" t="n">
        <v>61.04903713263916</v>
      </c>
      <c r="C1078" s="118" t="n">
        <v>61.40123997251275</v>
      </c>
      <c r="D1078" s="118" t="n">
        <v>60.3446239886744</v>
      </c>
      <c r="E1078" s="118" t="n">
        <v>61.13708877563477</v>
      </c>
      <c r="F1078" s="119" t="n">
        <v>14614600</v>
      </c>
      <c r="G1078" s="120" t="n">
        <v>-0.00651827596212784</v>
      </c>
      <c r="H1078" s="121" t="n">
        <v>38.43161417987467</v>
      </c>
      <c r="I1078" s="118" t="n">
        <v>66.57045303344727</v>
      </c>
      <c r="J1078" s="118" t="n">
        <v>66.529267578125</v>
      </c>
      <c r="K1078" s="120" t="n">
        <v>0.3021161333989764</v>
      </c>
      <c r="L1078" s="120" t="n">
        <v>-0.2013381892072581</v>
      </c>
      <c r="M1078" s="120" t="n">
        <v>-0.2223172486505681</v>
      </c>
      <c r="N1078" t="n">
        <v>40.24372758663348</v>
      </c>
      <c r="O1078" t="n">
        <v>0.2176464789284875</v>
      </c>
      <c r="P1078" t="n">
        <v>158.2959118096907</v>
      </c>
      <c r="Q1078" t="n">
        <v>166.337831829449</v>
      </c>
    </row>
    <row r="1079">
      <c r="A1079" s="117" t="n">
        <v>45980</v>
      </c>
      <c r="B1079" s="118" t="n">
        <v>61.07839138786456</v>
      </c>
      <c r="C1079" s="118" t="n">
        <v>61.85128879102779</v>
      </c>
      <c r="D1079" s="118" t="n">
        <v>60.66748244320331</v>
      </c>
      <c r="E1079" s="118" t="n">
        <v>61.28384399414062</v>
      </c>
      <c r="F1079" s="119" t="n">
        <v>11732100</v>
      </c>
      <c r="G1079" s="120" t="n">
        <v>0.002400428634154128</v>
      </c>
      <c r="H1079" s="121" t="n">
        <v>38.52386652700881</v>
      </c>
      <c r="I1079" s="118" t="n">
        <v>66.34328018188477</v>
      </c>
      <c r="J1079" s="118" t="n">
        <v>66.46666458129883</v>
      </c>
      <c r="K1079" s="120" t="n">
        <v>0.298171551520952</v>
      </c>
      <c r="L1079" s="120" t="n">
        <v>-0.1933700581138167</v>
      </c>
      <c r="M1079" s="120" t="n">
        <v>-0.2204504767059411</v>
      </c>
      <c r="N1079" t="n">
        <v>40.87355655172865</v>
      </c>
      <c r="O1079" t="n">
        <v>0.1999261544155455</v>
      </c>
      <c r="P1079" t="n">
        <v>158.9074368789201</v>
      </c>
      <c r="Q1079" t="n">
        <v>167.3308638253999</v>
      </c>
    </row>
    <row r="1080">
      <c r="A1080" s="117" t="n">
        <v>45981</v>
      </c>
      <c r="B1080" s="118" t="n">
        <v>61.58712896558099</v>
      </c>
      <c r="C1080" s="118" t="n">
        <v>62.4480779507281</v>
      </c>
      <c r="D1080" s="118" t="n">
        <v>60.08046917460077</v>
      </c>
      <c r="E1080" s="118" t="n">
        <v>60.10003662109375</v>
      </c>
      <c r="F1080" s="119" t="n">
        <v>13886600</v>
      </c>
      <c r="G1080" s="120" t="n">
        <v>-0.01931679372397166</v>
      </c>
      <c r="H1080" s="121" t="n">
        <v>37.77970894385677</v>
      </c>
      <c r="I1080" s="118" t="n">
        <v>66.09086578369141</v>
      </c>
      <c r="J1080" s="118" t="n">
        <v>66.40848403930664</v>
      </c>
      <c r="K1080" s="120" t="n">
        <v>0.2980487976523113</v>
      </c>
      <c r="L1080" s="120" t="n">
        <v>-0.2075301930836275</v>
      </c>
      <c r="M1080" s="120" t="n">
        <v>-0.235508874045033</v>
      </c>
      <c r="N1080" t="n">
        <v>37.44504470121777</v>
      </c>
      <c r="O1080" t="n">
        <v>0.1177436769428672</v>
      </c>
      <c r="P1080" t="n">
        <v>156.4853336037057</v>
      </c>
      <c r="Q1080" t="n">
        <v>163.3698599051501</v>
      </c>
    </row>
    <row r="1081">
      <c r="A1081" s="117" t="n">
        <v>45982</v>
      </c>
      <c r="B1081" s="118" t="n">
        <v>60.66747892341676</v>
      </c>
      <c r="C1081" s="118" t="n">
        <v>62.12522199503446</v>
      </c>
      <c r="D1081" s="118" t="n">
        <v>60.20765698349229</v>
      </c>
      <c r="E1081" s="118" t="n">
        <v>61.44037628173828</v>
      </c>
      <c r="F1081" s="119" t="n">
        <v>12476900</v>
      </c>
      <c r="G1081" s="120" t="n">
        <v>0.02230181104705187</v>
      </c>
      <c r="H1081" s="121" t="n">
        <v>38.62226487413528</v>
      </c>
      <c r="I1081" s="118" t="n">
        <v>65.8912825012207</v>
      </c>
      <c r="J1081" s="118" t="n">
        <v>66.37061744689942</v>
      </c>
      <c r="K1081" s="120" t="n">
        <v>0.3144357011250293</v>
      </c>
      <c r="L1081" s="120" t="n">
        <v>-0.1840977172381529</v>
      </c>
      <c r="M1081" s="120" t="n">
        <v>-0.2184593374068373</v>
      </c>
      <c r="N1081" t="n">
        <v>43.24937824989534</v>
      </c>
      <c r="O1081" t="n">
        <v>0.160282517269299</v>
      </c>
      <c r="P1081" t="n">
        <v>158.0441056331488</v>
      </c>
      <c r="Q1081" t="n">
        <v>164.5972149172498</v>
      </c>
    </row>
    <row r="1082">
      <c r="A1082" s="117" t="n">
        <v>45985</v>
      </c>
      <c r="B1082" s="118" t="n">
        <v>61.15665152003011</v>
      </c>
      <c r="C1082" s="118" t="n">
        <v>61.70452881576984</v>
      </c>
      <c r="D1082" s="118" t="n">
        <v>60.58921051025391</v>
      </c>
      <c r="E1082" s="118" t="n">
        <v>60.58921051025391</v>
      </c>
      <c r="F1082" s="119" t="n">
        <v>16681700</v>
      </c>
      <c r="G1082" s="120" t="n">
        <v>-0.01385352471770851</v>
      </c>
      <c r="H1082" s="121" t="n">
        <v>38.08721037304756</v>
      </c>
      <c r="I1082" s="118" t="n">
        <v>65.67408874511719</v>
      </c>
      <c r="J1082" s="118" t="n">
        <v>66.34321353912354</v>
      </c>
      <c r="K1082" s="120" t="n">
        <v>0.3160177319451926</v>
      </c>
      <c r="L1082" s="120" t="n">
        <v>-0.178102185852805</v>
      </c>
      <c r="M1082" s="120" t="n">
        <v>-0.229286430293966</v>
      </c>
      <c r="N1082" t="n">
        <v>40.66869420319379</v>
      </c>
      <c r="O1082" t="n">
        <v>0.1385422338358844</v>
      </c>
      <c r="P1082" t="n">
        <v>160.3702946930692</v>
      </c>
      <c r="Q1082" t="n">
        <v>168.8065024679703</v>
      </c>
    </row>
    <row r="1083">
      <c r="A1083" s="117" t="n">
        <v>45986</v>
      </c>
      <c r="B1083" s="118" t="n">
        <v>60.99033390054907</v>
      </c>
      <c r="C1083" s="118" t="n">
        <v>62.73179928851538</v>
      </c>
      <c r="D1083" s="118" t="n">
        <v>60.53050824584607</v>
      </c>
      <c r="E1083" s="118" t="n">
        <v>62.30132293701172</v>
      </c>
      <c r="F1083" s="119" t="n">
        <v>11527200</v>
      </c>
      <c r="G1083" s="120" t="n">
        <v>0.02825771143639599</v>
      </c>
      <c r="H1083" s="121" t="n">
        <v>39.16346777318645</v>
      </c>
      <c r="I1083" s="118" t="n">
        <v>65.49661605834962</v>
      </c>
      <c r="J1083" s="118" t="n">
        <v>66.31349960327148</v>
      </c>
      <c r="K1083" s="120" t="n">
        <v>0.3334518394893854</v>
      </c>
      <c r="L1083" s="120" t="n">
        <v>-0.154877234590429</v>
      </c>
      <c r="M1083" s="120" t="n">
        <v>-0.2075078286410982</v>
      </c>
      <c r="N1083" t="n">
        <v>47.45992471102156</v>
      </c>
      <c r="O1083" t="n">
        <v>0.2409193630565081</v>
      </c>
      <c r="P1083" t="n">
        <v>161.8787409071326</v>
      </c>
      <c r="Q1083" t="n">
        <v>169.8469697948356</v>
      </c>
    </row>
    <row r="1084">
      <c r="A1084" s="117" t="n">
        <v>45987</v>
      </c>
      <c r="B1084" s="118" t="n">
        <v>62.12522358643916</v>
      </c>
      <c r="C1084" s="118" t="n">
        <v>63.46556574306032</v>
      </c>
      <c r="D1084" s="118" t="n">
        <v>61.60669929251225</v>
      </c>
      <c r="E1084" s="118" t="n">
        <v>62.937255859375</v>
      </c>
      <c r="F1084" s="119" t="n">
        <v>13791000</v>
      </c>
      <c r="G1084" s="120" t="n">
        <v>0.01020737429614815</v>
      </c>
      <c r="H1084" s="121" t="n">
        <v>39.5632239474825</v>
      </c>
      <c r="I1084" s="118" t="n">
        <v>65.34047149658203</v>
      </c>
      <c r="J1084" s="118" t="n">
        <v>66.2850414276123</v>
      </c>
      <c r="K1084" s="120" t="n">
        <v>0.3189322158816632</v>
      </c>
      <c r="L1084" s="120" t="n">
        <v>-0.1462507501976976</v>
      </c>
      <c r="M1084" s="120" t="n">
        <v>-0.1994185644212706</v>
      </c>
      <c r="N1084" t="n">
        <v>49.76018159368354</v>
      </c>
      <c r="O1084" t="n">
        <v>0.3464957379105862</v>
      </c>
      <c r="P1084" t="n">
        <v>162.9962544163304</v>
      </c>
      <c r="Q1084" t="n">
        <v>171.3476931152814</v>
      </c>
    </row>
    <row r="1085">
      <c r="A1085" s="117" t="n">
        <v>45989</v>
      </c>
      <c r="B1085" s="118" t="n">
        <v>63.07422274101749</v>
      </c>
      <c r="C1085" s="118" t="n">
        <v>63.37750883826724</v>
      </c>
      <c r="D1085" s="118" t="n">
        <v>62.58504776392161</v>
      </c>
      <c r="E1085" s="118" t="n">
        <v>63.23075485229492</v>
      </c>
      <c r="F1085" s="119" t="n">
        <v>4941400</v>
      </c>
      <c r="G1085" s="120" t="n">
        <v>0.004663358592813527</v>
      </c>
      <c r="H1085" s="121" t="n">
        <v>39.74772144783739</v>
      </c>
      <c r="I1085" s="118" t="n">
        <v>65.19430595397949</v>
      </c>
      <c r="J1085" s="118" t="n">
        <v>66.25362546920776</v>
      </c>
      <c r="K1085" s="120" t="n">
        <v>0.3185454661953064</v>
      </c>
      <c r="L1085" s="120" t="n">
        <v>-0.1332975509363201</v>
      </c>
      <c r="M1085" s="120" t="n">
        <v>-0.1956851661044176</v>
      </c>
      <c r="N1085" t="n">
        <v>50.83013448870086</v>
      </c>
      <c r="O1085" t="n">
        <v>0.425899782656938</v>
      </c>
      <c r="P1085" t="n">
        <v>163.8859587506892</v>
      </c>
      <c r="Q1085" t="n">
        <v>172.7368511347401</v>
      </c>
    </row>
    <row r="1086">
      <c r="A1086" s="117" t="n">
        <v>45992</v>
      </c>
      <c r="B1086" s="118" t="n">
        <v>62.78768418914595</v>
      </c>
      <c r="C1086" s="118" t="n">
        <v>64.9734846443512</v>
      </c>
      <c r="D1086" s="118" t="n">
        <v>62.60061231076207</v>
      </c>
      <c r="E1086" s="118" t="n">
        <v>64.38272857666016</v>
      </c>
      <c r="F1086" s="119" t="n">
        <v>12047300</v>
      </c>
      <c r="G1086" s="120" t="n">
        <v>0.01821856669363209</v>
      </c>
      <c r="H1086" s="121" t="n">
        <v>40.47186796195473</v>
      </c>
      <c r="I1086" s="118" t="n">
        <v>65.0948560333252</v>
      </c>
      <c r="J1086" s="118" t="n">
        <v>66.22339994430541</v>
      </c>
      <c r="K1086" s="120" t="n">
        <v>0.3243933665859071</v>
      </c>
      <c r="L1086" s="120" t="n">
        <v>-0.1175074745645193</v>
      </c>
      <c r="M1086" s="120" t="n">
        <v>-0.1810317026604132</v>
      </c>
      <c r="N1086" t="n">
        <v>54.89084414746105</v>
      </c>
      <c r="O1086" t="n">
        <v>0.5385521667514839</v>
      </c>
      <c r="P1086" t="n">
        <v>163.1377422732351</v>
      </c>
      <c r="Q1086" t="n">
        <v>172.1566227138001</v>
      </c>
    </row>
    <row r="1087">
      <c r="A1087" s="117" t="n">
        <v>45993</v>
      </c>
      <c r="B1087" s="118" t="n">
        <v>64.4418076486732</v>
      </c>
      <c r="C1087" s="118" t="n">
        <v>64.46150377607103</v>
      </c>
      <c r="D1087" s="118" t="n">
        <v>63.58521390365872</v>
      </c>
      <c r="E1087" s="118" t="n">
        <v>63.9298210144043</v>
      </c>
      <c r="F1087" s="119" t="n">
        <v>9051200</v>
      </c>
      <c r="G1087" s="120" t="n">
        <v>-0.007034612733391454</v>
      </c>
      <c r="H1087" s="121" t="n">
        <v>40.18716404424542</v>
      </c>
      <c r="I1087" s="118" t="n">
        <v>64.97871673583984</v>
      </c>
      <c r="J1087" s="118" t="n">
        <v>66.19172760009765</v>
      </c>
      <c r="K1087" s="120" t="n">
        <v>0.3047633829279026</v>
      </c>
      <c r="L1087" s="120" t="n">
        <v>-0.1237154677210706</v>
      </c>
      <c r="M1087" s="120" t="n">
        <v>-0.1867928274731222</v>
      </c>
      <c r="N1087" t="n">
        <v>53.0363386073922</v>
      </c>
      <c r="O1087" t="n">
        <v>0.5624912979558565</v>
      </c>
      <c r="P1087" t="n">
        <v>163.4399037817639</v>
      </c>
      <c r="Q1087" t="n">
        <v>173.5039330656042</v>
      </c>
    </row>
    <row r="1088">
      <c r="A1088" s="117" t="n">
        <v>45994</v>
      </c>
      <c r="B1088" s="118" t="n">
        <v>64.07750589268086</v>
      </c>
      <c r="C1088" s="118" t="n">
        <v>65.63316928836846</v>
      </c>
      <c r="D1088" s="118" t="n">
        <v>63.97904780057159</v>
      </c>
      <c r="E1088" s="118" t="n">
        <v>64.63872528076172</v>
      </c>
      <c r="F1088" s="119" t="n">
        <v>12028300</v>
      </c>
      <c r="G1088" s="120" t="n">
        <v>0.01108878853575535</v>
      </c>
      <c r="H1088" s="121" t="n">
        <v>40.63279100818377</v>
      </c>
      <c r="I1088" s="118" t="n">
        <v>64.88360397338867</v>
      </c>
      <c r="J1088" s="118" t="n">
        <v>66.14171436309815</v>
      </c>
      <c r="K1088" s="120" t="n">
        <v>0.291374472568683</v>
      </c>
      <c r="L1088" s="120" t="n">
        <v>-0.1139985338454761</v>
      </c>
      <c r="M1088" s="120" t="n">
        <v>-0.1777753451012121</v>
      </c>
      <c r="N1088" t="n">
        <v>55.56679339810069</v>
      </c>
      <c r="O1088" t="n">
        <v>0.6024338373442032</v>
      </c>
      <c r="P1088" t="n">
        <v>164.0058699676862</v>
      </c>
      <c r="Q1088" t="n">
        <v>173.927946142445</v>
      </c>
    </row>
    <row r="1089">
      <c r="A1089" s="117" t="n">
        <v>45995</v>
      </c>
      <c r="B1089" s="118" t="n">
        <v>64.58949829553791</v>
      </c>
      <c r="C1089" s="118" t="n">
        <v>65.08179631229029</v>
      </c>
      <c r="D1089" s="118" t="n">
        <v>64.00859024146847</v>
      </c>
      <c r="E1089" s="118" t="n">
        <v>64.67811584472656</v>
      </c>
      <c r="F1089" s="119" t="n">
        <v>10619500</v>
      </c>
      <c r="G1089" s="120" t="n">
        <v>0.000609395742161567</v>
      </c>
      <c r="H1089" s="121" t="n">
        <v>40.6575524580163</v>
      </c>
      <c r="I1089" s="118" t="n">
        <v>64.78360443115234</v>
      </c>
      <c r="J1089" s="118" t="n">
        <v>66.09579414367676</v>
      </c>
      <c r="K1089" s="120" t="n">
        <v>0.2889430073957587</v>
      </c>
      <c r="L1089" s="120" t="n">
        <v>-0.1134586083244526</v>
      </c>
      <c r="M1089" s="120" t="n">
        <v>-0.1772742848974166</v>
      </c>
      <c r="N1089" t="n">
        <v>55.70959581902115</v>
      </c>
      <c r="O1089" t="n">
        <v>0.6062132800723212</v>
      </c>
      <c r="P1089" t="n">
        <v>164.1257664263796</v>
      </c>
      <c r="Q1089" t="n">
        <v>173.7661602227412</v>
      </c>
    </row>
    <row r="1090">
      <c r="A1090" s="117" t="n">
        <v>45996</v>
      </c>
      <c r="B1090" s="118" t="n">
        <v>64.68795815600353</v>
      </c>
      <c r="C1090" s="118" t="n">
        <v>65.06210946650994</v>
      </c>
      <c r="D1090" s="118" t="n">
        <v>63.88058968704436</v>
      </c>
      <c r="E1090" s="118" t="n">
        <v>64.84549713134766</v>
      </c>
      <c r="F1090" s="119" t="n">
        <v>10917900</v>
      </c>
      <c r="G1090" s="120" t="n">
        <v>0.002587912224019107</v>
      </c>
      <c r="H1090" s="121" t="n">
        <v>40.7627706350211</v>
      </c>
      <c r="I1090" s="118" t="n">
        <v>64.72569534301758</v>
      </c>
      <c r="J1090" s="118" t="n">
        <v>66.04854629516602</v>
      </c>
      <c r="K1090" s="120" t="n">
        <v>0.2878401571164776</v>
      </c>
      <c r="L1090" s="120" t="n">
        <v>-0.1111643170198365</v>
      </c>
      <c r="M1090" s="120" t="n">
        <v>-0.1751451429622877</v>
      </c>
      <c r="N1090" t="n">
        <v>56.35153848450337</v>
      </c>
      <c r="O1090" t="n">
        <v>0.5939146559970055</v>
      </c>
      <c r="P1090" t="n">
        <v>164.4375208322683</v>
      </c>
      <c r="Q1090" t="n">
        <v>174.4746656714818</v>
      </c>
    </row>
    <row r="1091">
      <c r="A1091" s="117" t="n">
        <v>45999</v>
      </c>
      <c r="B1091" s="118" t="n">
        <v>64.58949502843662</v>
      </c>
      <c r="C1091" s="118" t="n">
        <v>64.78641873229962</v>
      </c>
      <c r="D1091" s="118" t="n">
        <v>62.2953883394989</v>
      </c>
      <c r="E1091" s="118" t="n">
        <v>62.56122970581055</v>
      </c>
      <c r="F1091" s="119" t="n">
        <v>12867300</v>
      </c>
      <c r="G1091" s="120" t="n">
        <v>-0.03522630755548406</v>
      </c>
      <c r="H1091" s="121" t="n">
        <v>39.3268487398182</v>
      </c>
      <c r="I1091" s="118" t="n">
        <v>64.62073143005371</v>
      </c>
      <c r="J1091" s="118" t="n">
        <v>65.99338846206665</v>
      </c>
      <c r="K1091" s="120" t="n">
        <v>0.3144626210202912</v>
      </c>
      <c r="L1091" s="120" t="n">
        <v>-0.1424747161547845</v>
      </c>
      <c r="M1091" s="120" t="n">
        <v>-0.204201733844933</v>
      </c>
      <c r="N1091" t="n">
        <v>46.45574252974799</v>
      </c>
      <c r="O1091" t="n">
        <v>0.4143711803806253</v>
      </c>
      <c r="P1091" t="n">
        <v>163.9435013765442</v>
      </c>
      <c r="Q1091" t="n">
        <v>174.1399355932101</v>
      </c>
    </row>
    <row r="1092">
      <c r="A1092" s="117" t="n">
        <v>46000</v>
      </c>
      <c r="B1092" s="118" t="n">
        <v>62.53168930632116</v>
      </c>
      <c r="C1092" s="118" t="n">
        <v>62.96491394318451</v>
      </c>
      <c r="D1092" s="118" t="n">
        <v>62.00001032934389</v>
      </c>
      <c r="E1092" s="118" t="n">
        <v>62.35446548461914</v>
      </c>
      <c r="F1092" s="119" t="n">
        <v>9300200</v>
      </c>
      <c r="G1092" s="120" t="n">
        <v>-0.003304989722288099</v>
      </c>
      <c r="H1092" s="121" t="n">
        <v>39.19687390892312</v>
      </c>
      <c r="I1092" s="118" t="n">
        <v>64.50693588256836</v>
      </c>
      <c r="J1092" s="118" t="n">
        <v>65.91901500701904</v>
      </c>
      <c r="K1092" s="120" t="n">
        <v>0.3140648523214944</v>
      </c>
      <c r="L1092" s="120" t="n">
        <v>-0.1453088284044951</v>
      </c>
      <c r="M1092" s="120" t="n">
        <v>-0.2068318389355901</v>
      </c>
      <c r="N1092" t="n">
        <v>45.67388781059702</v>
      </c>
      <c r="O1092" t="n">
        <v>0.2710508028991385</v>
      </c>
      <c r="P1092" t="n">
        <v>163.8020282779431</v>
      </c>
      <c r="Q1092" t="n">
        <v>174.3547103317775</v>
      </c>
    </row>
    <row r="1093">
      <c r="A1093" s="117" t="n">
        <v>46001</v>
      </c>
      <c r="B1093" s="118" t="n">
        <v>62.994453029406</v>
      </c>
      <c r="C1093" s="118" t="n">
        <v>65.13102834998018</v>
      </c>
      <c r="D1093" s="118" t="n">
        <v>62.77784070269215</v>
      </c>
      <c r="E1093" s="118" t="n">
        <v>64.77657318115234</v>
      </c>
      <c r="F1093" s="119" t="n">
        <v>20302100</v>
      </c>
      <c r="G1093" s="120" t="n">
        <v>0.03884417383275718</v>
      </c>
      <c r="H1093" s="121" t="n">
        <v>40.71944409274199</v>
      </c>
      <c r="I1093" s="118" t="n">
        <v>64.43806045532227</v>
      </c>
      <c r="J1093" s="118" t="n">
        <v>65.84982570648194</v>
      </c>
      <c r="K1093" s="120" t="n">
        <v>0.314359439129881</v>
      </c>
      <c r="L1093" s="120" t="n">
        <v>-0.1121090559617165</v>
      </c>
      <c r="M1093" s="120" t="n">
        <v>-0.1760218770085958</v>
      </c>
      <c r="N1093" t="n">
        <v>55.188279336093</v>
      </c>
      <c r="O1093" t="n">
        <v>0.3250981372411548</v>
      </c>
      <c r="P1093" t="n">
        <v>164.8883870081771</v>
      </c>
      <c r="Q1093" t="n">
        <v>175.0688205314331</v>
      </c>
    </row>
    <row r="1094">
      <c r="A1094" s="117" t="n">
        <v>46002</v>
      </c>
      <c r="B1094" s="118" t="n">
        <v>64.81595868539333</v>
      </c>
      <c r="C1094" s="118" t="n">
        <v>66.77530268865083</v>
      </c>
      <c r="D1094" s="118" t="n">
        <v>64.55011354971157</v>
      </c>
      <c r="E1094" s="118" t="n">
        <v>66.696533203125</v>
      </c>
      <c r="F1094" s="119" t="n">
        <v>16153500</v>
      </c>
      <c r="G1094" s="120" t="n">
        <v>0.02963972818696892</v>
      </c>
      <c r="H1094" s="121" t="n">
        <v>41.92635734757533</v>
      </c>
      <c r="I1094" s="118" t="n">
        <v>64.32011993408203</v>
      </c>
      <c r="J1094" s="118" t="n">
        <v>65.7928816986084</v>
      </c>
      <c r="K1094" s="120" t="n">
        <v>0.3252888730555438</v>
      </c>
      <c r="L1094" s="120" t="n">
        <v>-0.08579220972075063</v>
      </c>
      <c r="M1094" s="120" t="n">
        <v>-0.1515993894111218</v>
      </c>
      <c r="N1094" t="n">
        <v>61.01650763703307</v>
      </c>
      <c r="O1094" t="n">
        <v>0.4672316232336803</v>
      </c>
      <c r="P1094" t="n">
        <v>165.2720733859602</v>
      </c>
      <c r="Q1094" t="n">
        <v>174.5025698124701</v>
      </c>
    </row>
    <row r="1095">
      <c r="A1095" s="117" t="n">
        <v>46003</v>
      </c>
      <c r="B1095" s="118" t="n">
        <v>67.11990878838311</v>
      </c>
      <c r="C1095" s="118" t="n">
        <v>68.07496812837108</v>
      </c>
      <c r="D1095" s="118" t="n">
        <v>66.08608747592564</v>
      </c>
      <c r="E1095" s="118" t="n">
        <v>66.43069458007812</v>
      </c>
      <c r="F1095" s="119" t="n">
        <v>14829200</v>
      </c>
      <c r="G1095" s="120" t="n">
        <v>-0.003985793717902308</v>
      </c>
      <c r="H1095" s="121" t="n">
        <v>41.75924753584484</v>
      </c>
      <c r="I1095" s="118" t="n">
        <v>64.18962280273438</v>
      </c>
      <c r="J1095" s="118" t="n">
        <v>65.74013999938965</v>
      </c>
      <c r="K1095" s="120" t="n">
        <v>0.3119447777000215</v>
      </c>
      <c r="L1095" s="120" t="n">
        <v>-0.0894360533881029</v>
      </c>
      <c r="M1095" s="120" t="n">
        <v>-0.1549809392350714</v>
      </c>
      <c r="N1095" t="n">
        <v>59.85569798326694</v>
      </c>
      <c r="O1095" t="n">
        <v>0.5165674518866756</v>
      </c>
      <c r="P1095" t="n">
        <v>163.4950703207344</v>
      </c>
      <c r="Q1095" t="n">
        <v>171.1663760056514</v>
      </c>
    </row>
    <row r="1096">
      <c r="A1096" s="117" t="n">
        <v>46006</v>
      </c>
      <c r="B1096" s="118" t="n">
        <v>66.37162801053161</v>
      </c>
      <c r="C1096" s="118" t="n">
        <v>67.29714325463979</v>
      </c>
      <c r="D1096" s="118" t="n">
        <v>65.66271760270592</v>
      </c>
      <c r="E1096" s="118" t="n">
        <v>66.73592376708984</v>
      </c>
      <c r="F1096" s="119" t="n">
        <v>15287500</v>
      </c>
      <c r="G1096" s="120" t="n">
        <v>0.00459470112334559</v>
      </c>
      <c r="H1096" s="121" t="n">
        <v>41.95111879740786</v>
      </c>
      <c r="I1096" s="118" t="n">
        <v>64.11688705444335</v>
      </c>
      <c r="J1096" s="118" t="n">
        <v>65.69176231384277</v>
      </c>
      <c r="K1096" s="120" t="n">
        <v>0.2915123143035849</v>
      </c>
      <c r="L1096" s="120" t="n">
        <v>-0.08525228419972719</v>
      </c>
      <c r="M1096" s="120" t="n">
        <v>-0.1510983292073262</v>
      </c>
      <c r="N1096" t="n">
        <v>60.77833807265917</v>
      </c>
      <c r="O1096" t="n">
        <v>0.5404200928527499</v>
      </c>
      <c r="P1096" t="n">
        <v>163.2480605928723</v>
      </c>
      <c r="Q1096" t="n">
        <v>170.3072257884161</v>
      </c>
    </row>
    <row r="1097">
      <c r="A1097" s="117" t="n">
        <v>46007</v>
      </c>
      <c r="B1097" s="118" t="n">
        <v>66.25346961482708</v>
      </c>
      <c r="C1097" s="118" t="n">
        <v>67.14944812103592</v>
      </c>
      <c r="D1097" s="118" t="n">
        <v>65.71193877841881</v>
      </c>
      <c r="E1097" s="118" t="n">
        <v>66.08609008789062</v>
      </c>
      <c r="F1097" s="119" t="n">
        <v>16376700</v>
      </c>
      <c r="G1097" s="120" t="n">
        <v>-0.009737389437616151</v>
      </c>
      <c r="H1097" s="121" t="n">
        <v>41.54262441633379</v>
      </c>
      <c r="I1097" s="118" t="n">
        <v>64.04602554321289</v>
      </c>
      <c r="J1097" s="118" t="n">
        <v>65.64313270568847</v>
      </c>
      <c r="K1097" s="120" t="n">
        <v>0.2830484161229109</v>
      </c>
      <c r="L1097" s="120" t="n">
        <v>-0.09415953894564433</v>
      </c>
      <c r="M1097" s="120" t="n">
        <v>-0.1593644153700775</v>
      </c>
      <c r="N1097" t="n">
        <v>57.7359436409256</v>
      </c>
      <c r="O1097" t="n">
        <v>0.4848683629860328</v>
      </c>
      <c r="P1097" t="n">
        <v>162.8020056239471</v>
      </c>
      <c r="Q1097" t="n">
        <v>170.64474115449</v>
      </c>
    </row>
    <row r="1098">
      <c r="A1098" s="117" t="n">
        <v>46008</v>
      </c>
      <c r="B1098" s="118" t="n">
        <v>65.53470958627788</v>
      </c>
      <c r="C1098" s="118" t="n">
        <v>65.80055472197226</v>
      </c>
      <c r="D1098" s="118" t="n">
        <v>64.60919442285609</v>
      </c>
      <c r="E1098" s="118" t="n">
        <v>64.67811584472656</v>
      </c>
      <c r="F1098" s="119" t="n">
        <v>13205500</v>
      </c>
      <c r="G1098" s="120" t="n">
        <v>-0.02130515273776279</v>
      </c>
      <c r="H1098" s="121" t="n">
        <v>40.65755245801629</v>
      </c>
      <c r="I1098" s="118" t="n">
        <v>63.99122589111328</v>
      </c>
      <c r="J1098" s="118" t="n">
        <v>65.5927326965332</v>
      </c>
      <c r="K1098" s="120" t="n">
        <v>0.2947677121174098</v>
      </c>
      <c r="L1098" s="120" t="n">
        <v>-0.1134586083244529</v>
      </c>
      <c r="M1098" s="120" t="n">
        <v>-0.1772742848974166</v>
      </c>
      <c r="N1098" t="n">
        <v>51.6976444266481</v>
      </c>
      <c r="O1098" t="n">
        <v>0.3329717525584427</v>
      </c>
      <c r="P1098" t="n">
        <v>161.0105984543779</v>
      </c>
      <c r="Q1098" t="n">
        <v>167.4814915062394</v>
      </c>
    </row>
    <row r="1099">
      <c r="A1099" s="117" t="n">
        <v>46009</v>
      </c>
      <c r="B1099" s="118" t="n">
        <v>64.99318510708291</v>
      </c>
      <c r="C1099" s="118" t="n">
        <v>65.96793305941291</v>
      </c>
      <c r="D1099" s="118" t="n">
        <v>64.39258093648779</v>
      </c>
      <c r="E1099" s="118" t="n">
        <v>64.61903381347656</v>
      </c>
      <c r="F1099" s="119" t="n">
        <v>35650000</v>
      </c>
      <c r="G1099" s="120" t="n">
        <v>-0.0009134779280187688</v>
      </c>
      <c r="H1099" s="121" t="n">
        <v>40.62041268123863</v>
      </c>
      <c r="I1099" s="118" t="n">
        <v>63.93172271728515</v>
      </c>
      <c r="J1099" s="118" t="n">
        <v>65.53966846466065</v>
      </c>
      <c r="K1099" s="120" t="n">
        <v>0.2950890403321481</v>
      </c>
      <c r="L1099" s="120" t="n">
        <v>-0.1142684443180235</v>
      </c>
      <c r="M1099" s="120" t="n">
        <v>-0.1780258266789763</v>
      </c>
      <c r="N1099" t="n">
        <v>51.45445943275427</v>
      </c>
      <c r="O1099" t="n">
        <v>0.2139749485505318</v>
      </c>
      <c r="P1099" t="n">
        <v>162.226446540665</v>
      </c>
      <c r="Q1099" t="n">
        <v>169.9083315647612</v>
      </c>
    </row>
    <row r="1100">
      <c r="A1100" s="117" t="n">
        <v>46010</v>
      </c>
      <c r="B1100" s="118" t="n">
        <v>58.28808726496187</v>
      </c>
      <c r="C1100" s="118" t="n">
        <v>59.44991091148832</v>
      </c>
      <c r="D1100" s="118" t="n">
        <v>57.32318358081777</v>
      </c>
      <c r="E1100" s="118" t="n">
        <v>57.80563354492188</v>
      </c>
      <c r="F1100" s="119" t="n">
        <v>108652700</v>
      </c>
      <c r="G1100" s="120" t="n">
        <v>-0.1054395255772723</v>
      </c>
      <c r="H1100" s="121" t="n">
        <v>36.33741563937581</v>
      </c>
      <c r="I1100" s="118" t="n">
        <v>63.75610534667969</v>
      </c>
      <c r="J1100" s="118" t="n">
        <v>65.45302062988281</v>
      </c>
      <c r="K1100" s="120" t="n">
        <v>0.4807263952613341</v>
      </c>
      <c r="L1100" s="120" t="n">
        <v>-0.2076595593379505</v>
      </c>
      <c r="M1100" s="120" t="n">
        <v>-0.2646943935507157</v>
      </c>
      <c r="N1100" t="n">
        <v>32.47984018969254</v>
      </c>
      <c r="O1100" t="n">
        <v>-0.3096953878459579</v>
      </c>
      <c r="P1100" t="n">
        <v>163.6967720564511</v>
      </c>
      <c r="Q1100" t="n">
        <v>172.1231650848626</v>
      </c>
    </row>
    <row r="1101">
      <c r="A1101" s="117" t="n">
        <v>46013</v>
      </c>
      <c r="B1101" s="118" t="n">
        <v>58.08132028849413</v>
      </c>
      <c r="C1101" s="118" t="n">
        <v>58.16993407964069</v>
      </c>
      <c r="D1101" s="118" t="n">
        <v>56.25981541624509</v>
      </c>
      <c r="E1101" s="118" t="n">
        <v>56.33858489990234</v>
      </c>
      <c r="F1101" s="119" t="n">
        <v>38695900</v>
      </c>
      <c r="G1101" s="120" t="n">
        <v>-0.02537899085353779</v>
      </c>
      <c r="H1101" s="121" t="n">
        <v>35.41520870022289</v>
      </c>
      <c r="I1101" s="118" t="n">
        <v>63.60671730041504</v>
      </c>
      <c r="J1101" s="118" t="n">
        <v>65.35478336334228</v>
      </c>
      <c r="K1101" s="120" t="n">
        <v>0.4792206875473373</v>
      </c>
      <c r="L1101" s="120" t="n">
        <v>-0.2277683601344007</v>
      </c>
      <c r="M1101" s="120" t="n">
        <v>-0.2833557078113471</v>
      </c>
      <c r="N1101" t="n">
        <v>29.9212806804139</v>
      </c>
      <c r="O1101" t="n">
        <v>-0.7176580611607579</v>
      </c>
      <c r="P1101" t="n">
        <v>164.7165855956155</v>
      </c>
      <c r="Q1101" t="n">
        <v>172.948225429917</v>
      </c>
    </row>
    <row r="1102">
      <c r="A1102" s="117" t="n">
        <v>46014</v>
      </c>
      <c r="B1102" s="118" t="n">
        <v>56.29920230093564</v>
      </c>
      <c r="C1102" s="118" t="n">
        <v>56.71273083806883</v>
      </c>
      <c r="D1102" s="118" t="n">
        <v>56.11213040403289</v>
      </c>
      <c r="E1102" s="118" t="n">
        <v>56.45673751831055</v>
      </c>
      <c r="F1102" s="119" t="n">
        <v>23276700</v>
      </c>
      <c r="G1102" s="120" t="n">
        <v>0.00209718825238725</v>
      </c>
      <c r="H1102" s="121" t="n">
        <v>35.48948105986484</v>
      </c>
      <c r="I1102" s="118" t="n">
        <v>63.41742782592773</v>
      </c>
      <c r="J1102" s="118" t="n">
        <v>65.26772401809693</v>
      </c>
      <c r="K1102" s="120" t="n">
        <v>0.4781584461349209</v>
      </c>
      <c r="L1102" s="120" t="n">
        <v>-0.2261488450111527</v>
      </c>
      <c r="M1102" s="120" t="n">
        <v>-0.2818527698206286</v>
      </c>
      <c r="N1102" t="n">
        <v>30.39682849173661</v>
      </c>
      <c r="O1102" t="n">
        <v>-0.9289118062229388</v>
      </c>
      <c r="P1102" t="n">
        <v>165.4694066638023</v>
      </c>
      <c r="Q1102" t="n">
        <v>173.7581973754047</v>
      </c>
    </row>
    <row r="1103">
      <c r="A1103" s="117" t="n">
        <v>46015</v>
      </c>
      <c r="B1103" s="118" t="n">
        <v>57.97301342145365</v>
      </c>
      <c r="C1103" s="118" t="n">
        <v>59.64682736945881</v>
      </c>
      <c r="D1103" s="118" t="n">
        <v>57.97301342145365</v>
      </c>
      <c r="E1103" s="118" t="n">
        <v>59.07575988769531</v>
      </c>
      <c r="F1103" s="119" t="n">
        <v>36073300</v>
      </c>
      <c r="G1103" s="120" t="n">
        <v>0.04638989931955129</v>
      </c>
      <c r="H1103" s="121" t="n">
        <v>37.13583451313509</v>
      </c>
      <c r="I1103" s="118" t="n">
        <v>63.27543106079101</v>
      </c>
      <c r="J1103" s="118" t="n">
        <v>65.20454034805297</v>
      </c>
      <c r="K1103" s="120" t="n">
        <v>0.4978442620255997</v>
      </c>
      <c r="L1103" s="120" t="n">
        <v>-0.1902499678429017</v>
      </c>
      <c r="M1103" s="120" t="n">
        <v>-0.2485379921159928</v>
      </c>
      <c r="N1103" t="n">
        <v>40.10003241453034</v>
      </c>
      <c r="O1103" t="n">
        <v>-0.8440810926196521</v>
      </c>
      <c r="P1103" t="n">
        <v>166.0514741589854</v>
      </c>
      <c r="Q1103" t="n">
        <v>174.2665380307983</v>
      </c>
    </row>
    <row r="1104">
      <c r="A1104" s="117" t="n">
        <v>46017</v>
      </c>
      <c r="B1104" s="118" t="n">
        <v>59.0757614024262</v>
      </c>
      <c r="C1104" s="118" t="n">
        <v>59.99143600463867</v>
      </c>
      <c r="D1104" s="118" t="n">
        <v>58.9379185601036</v>
      </c>
      <c r="E1104" s="118" t="n">
        <v>59.99143600463867</v>
      </c>
      <c r="F1104" s="119" t="n">
        <v>22303600</v>
      </c>
      <c r="G1104" s="120" t="n">
        <v>0.01550003112417153</v>
      </c>
      <c r="H1104" s="121" t="n">
        <v>37.71144110391077</v>
      </c>
      <c r="I1104" s="118" t="n">
        <v>63.13570304870606</v>
      </c>
      <c r="J1104" s="118" t="n">
        <v>65.14878734588623</v>
      </c>
      <c r="K1104" s="120" t="n">
        <v>0.4999394728574922</v>
      </c>
      <c r="L1104" s="120" t="n">
        <v>-0.1776988171416678</v>
      </c>
      <c r="M1104" s="120" t="n">
        <v>-0.2368903076051584</v>
      </c>
      <c r="N1104" t="n">
        <v>43.08735591226236</v>
      </c>
      <c r="O1104" t="n">
        <v>-0.6848970895704658</v>
      </c>
      <c r="P1104" t="n">
        <v>166.0346349345431</v>
      </c>
      <c r="Q1104" t="n">
        <v>174.255379791934</v>
      </c>
    </row>
    <row r="1105">
      <c r="A1105" s="117" t="n">
        <v>46020</v>
      </c>
      <c r="B1105" s="118" t="n">
        <v>59.60744661599452</v>
      </c>
      <c r="C1105" s="118" t="n">
        <v>60.7988069520101</v>
      </c>
      <c r="D1105" s="118" t="n">
        <v>59.57790618003809</v>
      </c>
      <c r="E1105" s="118" t="n">
        <v>60.26712417602539</v>
      </c>
      <c r="F1105" s="119" t="n">
        <v>18062100</v>
      </c>
      <c r="G1105" s="120" t="n">
        <v>0.004595458781240014</v>
      </c>
      <c r="H1105" s="121" t="n">
        <v>37.88474247708496</v>
      </c>
      <c r="I1105" s="118" t="n">
        <v>63.03318725585937</v>
      </c>
      <c r="J1105" s="118" t="n">
        <v>65.0989570426941</v>
      </c>
      <c r="K1105" s="120" t="n">
        <v>0.4999276995804243</v>
      </c>
      <c r="L1105" s="120" t="n">
        <v>-0.143600933315351</v>
      </c>
      <c r="M1105" s="120" t="n">
        <v>-0.233383468468193</v>
      </c>
      <c r="N1105" t="n">
        <v>43.99300277242589</v>
      </c>
      <c r="O1105" t="n">
        <v>-0.5267360901874467</v>
      </c>
      <c r="P1105" t="n">
        <v>165.442945025393</v>
      </c>
      <c r="Q1105" t="n">
        <v>173.4118647792328</v>
      </c>
    </row>
    <row r="1106">
      <c r="A1106" s="117" t="n">
        <v>46021</v>
      </c>
      <c r="B1106" s="118" t="n">
        <v>60.35573505680147</v>
      </c>
      <c r="C1106" s="118" t="n">
        <v>60.35573505680147</v>
      </c>
      <c r="D1106" s="118" t="n">
        <v>59.70590183618617</v>
      </c>
      <c r="E1106" s="118" t="n">
        <v>60.24742889404297</v>
      </c>
      <c r="F1106" s="119" t="n">
        <v>13507800</v>
      </c>
      <c r="G1106" s="120" t="n">
        <v>-0.0003267997644105236</v>
      </c>
      <c r="H1106" s="121" t="n">
        <v>37.87236175216869</v>
      </c>
      <c r="I1106" s="118" t="n">
        <v>62.91990707397461</v>
      </c>
      <c r="J1106" s="118" t="n">
        <v>65.05376596450806</v>
      </c>
      <c r="K1106" s="120" t="n">
        <v>0.4943279808374805</v>
      </c>
      <c r="L1106" s="120" t="n">
        <v>-0.1347386065576106</v>
      </c>
      <c r="M1106" s="120" t="n">
        <v>-0.2336339985700908</v>
      </c>
      <c r="N1106" t="n">
        <v>43.93920911014123</v>
      </c>
      <c r="O1106" t="n">
        <v>-0.3951574944469415</v>
      </c>
      <c r="P1106" t="n">
        <v>165.2409186069964</v>
      </c>
      <c r="Q1106" t="n">
        <v>173.0096555504636</v>
      </c>
    </row>
    <row r="1107">
      <c r="A1107" s="117" t="n">
        <v>46022</v>
      </c>
      <c r="B1107" s="118" t="n">
        <v>61.29110171703891</v>
      </c>
      <c r="C1107" s="118" t="n">
        <v>63.2110609347518</v>
      </c>
      <c r="D1107" s="118" t="n">
        <v>60.9661832303886</v>
      </c>
      <c r="E1107" s="118" t="n">
        <v>62.72861099243164</v>
      </c>
      <c r="F1107" s="119" t="n">
        <v>35457400</v>
      </c>
      <c r="G1107" s="120" t="n">
        <v>0.041183203066679</v>
      </c>
      <c r="H1107" s="121" t="n">
        <v>39.43206691682298</v>
      </c>
      <c r="I1107" s="118" t="n">
        <v>62.85135871887207</v>
      </c>
      <c r="J1107" s="118" t="n">
        <v>65.01111873626709</v>
      </c>
      <c r="K1107" s="120" t="n">
        <v>0.5179609175072329</v>
      </c>
      <c r="L1107" s="120" t="n">
        <v>-0.07984021023873022</v>
      </c>
      <c r="M1107" s="120" t="n">
        <v>-0.2020725919098041</v>
      </c>
      <c r="N1107" t="n">
        <v>51.91601585932084</v>
      </c>
      <c r="O1107" t="n">
        <v>-0.126637005963147</v>
      </c>
      <c r="P1107" t="n">
        <v>164.01665828764</v>
      </c>
      <c r="Q1107" t="n">
        <v>171.5796238596982</v>
      </c>
    </row>
    <row r="1108">
      <c r="A1108" s="117" t="n">
        <v>46024</v>
      </c>
      <c r="B1108" s="118" t="n">
        <v>63.01414717401337</v>
      </c>
      <c r="C1108" s="118" t="n">
        <v>63.14214195618677</v>
      </c>
      <c r="D1108" s="118" t="n">
        <v>61.58648215091496</v>
      </c>
      <c r="E1108" s="118" t="n">
        <v>62.30523681640625</v>
      </c>
      <c r="F1108" s="119" t="n">
        <v>22284100</v>
      </c>
      <c r="G1108" s="120" t="n">
        <v>-0.006749299391891062</v>
      </c>
      <c r="H1108" s="121" t="n">
        <v>39.16592809156026</v>
      </c>
      <c r="I1108" s="118" t="n">
        <v>62.75986335754394</v>
      </c>
      <c r="J1108" s="118" t="n">
        <v>64.96824005126953</v>
      </c>
      <c r="K1108" s="120" t="n">
        <v>0.516570425127413</v>
      </c>
      <c r="L1108" s="120" t="n">
        <v>-0.08605064414820851</v>
      </c>
      <c r="M1108" s="120" t="n">
        <v>-0.2074580428800005</v>
      </c>
      <c r="N1108" t="n">
        <v>50.59316136655511</v>
      </c>
      <c r="O1108" t="n">
        <v>0.02856635566400889</v>
      </c>
      <c r="P1108" t="n">
        <v>164.3172996908949</v>
      </c>
      <c r="Q1108" t="n">
        <v>171.247251877848</v>
      </c>
    </row>
    <row r="1109">
      <c r="A1109" s="117" t="n">
        <v>46027</v>
      </c>
      <c r="B1109" s="118" t="n">
        <v>62.75814845219112</v>
      </c>
      <c r="C1109" s="118" t="n">
        <v>64.36304092655959</v>
      </c>
      <c r="D1109" s="118" t="n">
        <v>62.41353761093207</v>
      </c>
      <c r="E1109" s="118" t="n">
        <v>63.53597640991211</v>
      </c>
      <c r="F1109" s="119" t="n">
        <v>23482500</v>
      </c>
      <c r="G1109" s="120" t="n">
        <v>0.01975338922364522</v>
      </c>
      <c r="H1109" s="121" t="n">
        <v>39.93958791345815</v>
      </c>
      <c r="I1109" s="118" t="n">
        <v>62.67889465332031</v>
      </c>
      <c r="J1109" s="118" t="n">
        <v>64.93306200027466</v>
      </c>
      <c r="K1109" s="120" t="n">
        <v>0.5219585389742322</v>
      </c>
      <c r="L1109" s="120" t="n">
        <v>-0.06799704679136831</v>
      </c>
      <c r="M1109" s="120" t="n">
        <v>-0.1918026531249396</v>
      </c>
      <c r="N1109" t="n">
        <v>54.24316415428385</v>
      </c>
      <c r="O1109" t="n">
        <v>0.2101052887742504</v>
      </c>
      <c r="P1109" t="n">
        <v>165.4116721800002</v>
      </c>
      <c r="Q1109" t="n">
        <v>172.6074634093497</v>
      </c>
    </row>
    <row r="1110">
      <c r="A1110" s="117" t="n">
        <v>46028</v>
      </c>
      <c r="B1110" s="118" t="n">
        <v>63.0732234081886</v>
      </c>
      <c r="C1110" s="118" t="n">
        <v>64.42212276189157</v>
      </c>
      <c r="D1110" s="118" t="n">
        <v>62.43323820034229</v>
      </c>
      <c r="E1110" s="118" t="n">
        <v>64.34335327148438</v>
      </c>
      <c r="F1110" s="119" t="n">
        <v>19973200</v>
      </c>
      <c r="G1110" s="120" t="n">
        <v>0.01270739677255217</v>
      </c>
      <c r="H1110" s="121" t="n">
        <v>40.44711610400669</v>
      </c>
      <c r="I1110" s="118" t="n">
        <v>62.60233306884766</v>
      </c>
      <c r="J1110" s="118" t="n">
        <v>64.90738367080688</v>
      </c>
      <c r="K1110" s="120" t="n">
        <v>0.5239485482718682</v>
      </c>
      <c r="L1110" s="120" t="n">
        <v>-0.05615371547175585</v>
      </c>
      <c r="M1110" s="120" t="n">
        <v>-0.1815325687676743</v>
      </c>
      <c r="N1110" t="n">
        <v>56.51283081499181</v>
      </c>
      <c r="O1110" t="n">
        <v>0.3711373840802757</v>
      </c>
      <c r="P1110" t="n">
        <v>166.3954164250919</v>
      </c>
      <c r="Q1110" t="n">
        <v>174.1240953368133</v>
      </c>
    </row>
    <row r="1111">
      <c r="A1111" s="117" t="n">
        <v>46029</v>
      </c>
      <c r="B1111" s="118" t="n">
        <v>64.51072878356035</v>
      </c>
      <c r="C1111" s="118" t="n">
        <v>64.59934633271267</v>
      </c>
      <c r="D1111" s="118" t="n">
        <v>62.21662197952141</v>
      </c>
      <c r="E1111" s="118" t="n">
        <v>62.24616241455078</v>
      </c>
      <c r="F1111" s="119" t="n">
        <v>18284100</v>
      </c>
      <c r="G1111" s="120" t="n">
        <v>-0.03259374512367896</v>
      </c>
      <c r="H1111" s="121" t="n">
        <v>39.12879311072484</v>
      </c>
      <c r="I1111" s="118" t="n">
        <v>62.49498107910156</v>
      </c>
      <c r="J1111" s="118" t="n">
        <v>64.89016996383667</v>
      </c>
      <c r="K1111" s="120" t="n">
        <v>0.5216696442667086</v>
      </c>
      <c r="L1111" s="120" t="n">
        <v>-0.08691720070560083</v>
      </c>
      <c r="M1111" s="120" t="n">
        <v>-0.2082094876132929</v>
      </c>
      <c r="N1111" t="n">
        <v>49.62680356259418</v>
      </c>
      <c r="O1111" t="n">
        <v>0.3246659988382857</v>
      </c>
      <c r="P1111" t="n">
        <v>165.8590553962522</v>
      </c>
      <c r="Q1111" t="n">
        <v>174.2916910592947</v>
      </c>
    </row>
    <row r="1112">
      <c r="A1112" s="117" t="n">
        <v>46030</v>
      </c>
      <c r="B1112" s="118" t="n">
        <v>61.22218760315667</v>
      </c>
      <c r="C1112" s="118" t="n">
        <v>64.72734741868122</v>
      </c>
      <c r="D1112" s="118" t="n">
        <v>60.74958191193772</v>
      </c>
      <c r="E1112" s="118" t="n">
        <v>64.25474548339844</v>
      </c>
      <c r="F1112" s="119" t="n">
        <v>21573900</v>
      </c>
      <c r="G1112" s="120" t="n">
        <v>0.03226838396029574</v>
      </c>
      <c r="H1112" s="121" t="n">
        <v>40.39141603072468</v>
      </c>
      <c r="I1112" s="118" t="n">
        <v>62.43797546386719</v>
      </c>
      <c r="J1112" s="118" t="n">
        <v>64.88565801620483</v>
      </c>
      <c r="K1112" s="120" t="n">
        <v>0.533575285286125</v>
      </c>
      <c r="L1112" s="120" t="n">
        <v>-0.05745349435042757</v>
      </c>
      <c r="M1112" s="120" t="n">
        <v>-0.1826596873434794</v>
      </c>
      <c r="N1112" t="n">
        <v>55.25078204032493</v>
      </c>
      <c r="O1112" t="n">
        <v>0.4118524794262679</v>
      </c>
      <c r="P1112" t="n">
        <v>165.8422161718099</v>
      </c>
      <c r="Q1112" t="n">
        <v>173.3001456893487</v>
      </c>
    </row>
    <row r="1113">
      <c r="A1113" s="117" t="n">
        <v>46031</v>
      </c>
      <c r="B1113" s="118" t="n">
        <v>64.10704357971909</v>
      </c>
      <c r="C1113" s="118" t="n">
        <v>65.51501610350279</v>
      </c>
      <c r="D1113" s="118" t="n">
        <v>63.40798134929096</v>
      </c>
      <c r="E1113" s="118" t="n">
        <v>64.90456390380859</v>
      </c>
      <c r="F1113" s="119" t="n">
        <v>18470400</v>
      </c>
      <c r="G1113" s="120" t="n">
        <v>0.0101131584215528</v>
      </c>
      <c r="H1113" s="121" t="n">
        <v>40.79990081991426</v>
      </c>
      <c r="I1113" s="118" t="n">
        <v>62.41666397094727</v>
      </c>
      <c r="J1113" s="118" t="n">
        <v>64.88850439071655</v>
      </c>
      <c r="K1113" s="120" t="n">
        <v>0.5167853681872397</v>
      </c>
      <c r="L1113" s="120" t="n">
        <v>-0.0479213722191123</v>
      </c>
      <c r="M1113" s="120" t="n">
        <v>-0.1743937952772625</v>
      </c>
      <c r="N1113" t="n">
        <v>56.92627822250886</v>
      </c>
      <c r="O1113" t="n">
        <v>0.490590780900961</v>
      </c>
      <c r="P1113" t="n">
        <v>166.9389942644069</v>
      </c>
      <c r="Q1113" t="n">
        <v>175.0262551822589</v>
      </c>
    </row>
    <row r="1114">
      <c r="A1114" s="117" t="n">
        <v>46034</v>
      </c>
      <c r="B1114" s="118" t="n">
        <v>64.24489150777713</v>
      </c>
      <c r="C1114" s="118" t="n">
        <v>65.31809758397111</v>
      </c>
      <c r="D1114" s="118" t="n">
        <v>63.25044740563536</v>
      </c>
      <c r="E1114" s="118" t="n">
        <v>64.62888336181641</v>
      </c>
      <c r="F1114" s="119" t="n">
        <v>13901100</v>
      </c>
      <c r="G1114" s="120" t="n">
        <v>-0.004247475453355798</v>
      </c>
      <c r="H1114" s="121" t="n">
        <v>40.62660424268232</v>
      </c>
      <c r="I1114" s="118" t="n">
        <v>62.43053825378418</v>
      </c>
      <c r="J1114" s="118" t="n">
        <v>64.89383981704712</v>
      </c>
      <c r="K1114" s="120" t="n">
        <v>0.5054214853419123</v>
      </c>
      <c r="L1114" s="120" t="n">
        <v>-0.05196530282027623</v>
      </c>
      <c r="M1114" s="120" t="n">
        <v>-0.1779005373659606</v>
      </c>
      <c r="N1114" t="n">
        <v>55.96885665399947</v>
      </c>
      <c r="O1114" t="n">
        <v>0.499724998231507</v>
      </c>
      <c r="P1114" t="n">
        <v>167.2011607700973</v>
      </c>
      <c r="Q1114" t="n">
        <v>175.1714831640462</v>
      </c>
    </row>
    <row r="1115">
      <c r="A1115" s="117" t="n">
        <v>46035</v>
      </c>
      <c r="B1115" s="118" t="n">
        <v>65.22949186048358</v>
      </c>
      <c r="C1115" s="118" t="n">
        <v>66.0467084292831</v>
      </c>
      <c r="D1115" s="118" t="n">
        <v>64.83565191668737</v>
      </c>
      <c r="E1115" s="118" t="n">
        <v>65.27872467041016</v>
      </c>
      <c r="F1115" s="119" t="n">
        <v>13685200</v>
      </c>
      <c r="G1115" s="120" t="n">
        <v>0.0100549672962118</v>
      </c>
      <c r="H1115" s="121" t="n">
        <v>41.03510341969863</v>
      </c>
      <c r="I1115" s="118" t="n">
        <v>62.46621444702149</v>
      </c>
      <c r="J1115" s="118" t="n">
        <v>64.90213434219361</v>
      </c>
      <c r="K1115" s="120" t="n">
        <v>0.5068039922794103</v>
      </c>
      <c r="L1115" s="120" t="n">
        <v>-0.04243284494446009</v>
      </c>
      <c r="M1115" s="120" t="n">
        <v>-0.169634354154942</v>
      </c>
      <c r="N1115" t="n">
        <v>57.77178721875656</v>
      </c>
      <c r="O1115" t="n">
        <v>0.5226795612712978</v>
      </c>
      <c r="P1115" t="n">
        <v>166.8668409179578</v>
      </c>
      <c r="Q1115" t="n">
        <v>174.9117337169172</v>
      </c>
    </row>
    <row r="1116">
      <c r="A1116" s="117" t="n">
        <v>46036</v>
      </c>
      <c r="B1116" s="118" t="n">
        <v>65.26887744660395</v>
      </c>
      <c r="C1116" s="118" t="n">
        <v>66.0959345785422</v>
      </c>
      <c r="D1116" s="118" t="n">
        <v>64.03813230131094</v>
      </c>
      <c r="E1116" s="118" t="n">
        <v>64.55996704101562</v>
      </c>
      <c r="F1116" s="119" t="n">
        <v>15939100</v>
      </c>
      <c r="G1116" s="120" t="n">
        <v>-0.01101059545852823</v>
      </c>
      <c r="H1116" s="121" t="n">
        <v>40.58328249634545</v>
      </c>
      <c r="I1116" s="118" t="n">
        <v>62.49358131408692</v>
      </c>
      <c r="J1116" s="118" t="n">
        <v>64.91896928787232</v>
      </c>
      <c r="K1116" s="120" t="n">
        <v>0.5078019856857171</v>
      </c>
      <c r="L1116" s="120" t="n">
        <v>-0.05297622951315051</v>
      </c>
      <c r="M1116" s="120" t="n">
        <v>-0.1787771743640014</v>
      </c>
      <c r="N1116" t="n">
        <v>55.08512413941746</v>
      </c>
      <c r="O1116" t="n">
        <v>0.4645610537588096</v>
      </c>
      <c r="P1116" t="n">
        <v>166.0466629520018</v>
      </c>
      <c r="Q1116" t="n">
        <v>173.043181530022</v>
      </c>
    </row>
    <row r="1117">
      <c r="A1117" s="117" t="n">
        <v>46037</v>
      </c>
      <c r="B1117" s="118" t="n">
        <v>64.74703770244241</v>
      </c>
      <c r="C1117" s="118" t="n">
        <v>64.74703770244241</v>
      </c>
      <c r="D1117" s="118" t="n">
        <v>63.22091083548825</v>
      </c>
      <c r="E1117" s="118" t="n">
        <v>63.59505462646484</v>
      </c>
      <c r="F1117" s="119" t="n">
        <v>13295300</v>
      </c>
      <c r="G1117" s="120" t="n">
        <v>-0.01494598678989045</v>
      </c>
      <c r="H1117" s="121" t="n">
        <v>39.97672529226469</v>
      </c>
      <c r="I1117" s="118" t="n">
        <v>62.53960990905762</v>
      </c>
      <c r="J1117" s="118" t="n">
        <v>64.93006114959717</v>
      </c>
      <c r="K1117" s="120" t="n">
        <v>0.5093043215665931</v>
      </c>
      <c r="L1117" s="120" t="n">
        <v>-0.06713043427655907</v>
      </c>
      <c r="M1117" s="120" t="n">
        <v>-0.1910511598675136</v>
      </c>
      <c r="N1117" t="n">
        <v>51.61486198193418</v>
      </c>
      <c r="O1117" t="n">
        <v>0.3419063325318483</v>
      </c>
      <c r="P1117" t="n">
        <v>166.4988426169337</v>
      </c>
      <c r="Q1117" t="n">
        <v>173.6660436507572</v>
      </c>
    </row>
    <row r="1118">
      <c r="A1118" s="117" t="n">
        <v>46038</v>
      </c>
      <c r="B1118" s="118" t="n">
        <v>63.39813465371602</v>
      </c>
      <c r="C1118" s="118" t="n">
        <v>63.5950508452858</v>
      </c>
      <c r="D1118" s="118" t="n">
        <v>62.69907240821072</v>
      </c>
      <c r="E1118" s="118" t="n">
        <v>63.38828659057617</v>
      </c>
      <c r="F1118" s="119" t="n">
        <v>15903000</v>
      </c>
      <c r="G1118" s="120" t="n">
        <v>-0.003251322561214187</v>
      </c>
      <c r="H1118" s="121" t="n">
        <v>39.84674806339849</v>
      </c>
      <c r="I1118" s="118" t="n">
        <v>62.60928825378418</v>
      </c>
      <c r="J1118" s="118" t="n">
        <v>64.93393119812012</v>
      </c>
      <c r="K1118" s="120" t="n">
        <v>0.5039554286557177</v>
      </c>
      <c r="L1118" s="120" t="n">
        <v>-0.07016349414226586</v>
      </c>
      <c r="M1118" s="120" t="n">
        <v>-0.1936813134823043</v>
      </c>
      <c r="N1118" t="n">
        <v>50.87523193509066</v>
      </c>
      <c r="O1118" t="n">
        <v>0.2328350553772446</v>
      </c>
      <c r="P1118" t="n">
        <v>166.3593323727155</v>
      </c>
      <c r="Q1118" t="n">
        <v>173.5207985813147</v>
      </c>
    </row>
    <row r="1119">
      <c r="A1119" s="117" t="n">
        <v>46042</v>
      </c>
      <c r="B1119" s="118" t="n">
        <v>62.51200608924314</v>
      </c>
      <c r="C1119" s="118" t="n">
        <v>63.5852159549622</v>
      </c>
      <c r="D1119" s="118" t="n">
        <v>62.04924473479652</v>
      </c>
      <c r="E1119" s="118" t="n">
        <v>62.64984893798828</v>
      </c>
      <c r="F1119" s="119" t="n">
        <v>20406000</v>
      </c>
      <c r="G1119" s="120" t="n">
        <v>-0.01164943386713457</v>
      </c>
      <c r="H1119" s="121" t="n">
        <v>39.38255600701356</v>
      </c>
      <c r="I1119" s="118" t="n">
        <v>62.64697891235352</v>
      </c>
      <c r="J1119" s="118" t="n">
        <v>64.93314224243164</v>
      </c>
      <c r="K1119" s="120" t="n">
        <v>0.5055080093633867</v>
      </c>
      <c r="L1119" s="120" t="n">
        <v>-0.08099556302450295</v>
      </c>
      <c r="M1119" s="120" t="n">
        <v>-0.203074469696727</v>
      </c>
      <c r="N1119" t="n">
        <v>48.21779924095866</v>
      </c>
      <c r="O1119" t="n">
        <v>0.1035347233428758</v>
      </c>
      <c r="P1119" t="n">
        <v>162.9727887135579</v>
      </c>
      <c r="Q1119" t="n">
        <v>169.8339831768619</v>
      </c>
    </row>
    <row r="1120">
      <c r="A1120" s="117" t="n">
        <v>46043</v>
      </c>
      <c r="B1120" s="118" t="n">
        <v>62.89599324614213</v>
      </c>
      <c r="C1120" s="118" t="n">
        <v>64.41226822474781</v>
      </c>
      <c r="D1120" s="118" t="n">
        <v>62.63015187663665</v>
      </c>
      <c r="E1120" s="118" t="n">
        <v>64.40242767333984</v>
      </c>
      <c r="F1120" s="119" t="n">
        <v>17166400</v>
      </c>
      <c r="G1120" s="120" t="n">
        <v>0.02797418932464302</v>
      </c>
      <c r="H1120" s="121" t="n">
        <v>40.48425108484211</v>
      </c>
      <c r="I1120" s="118" t="n">
        <v>62.72402587890625</v>
      </c>
      <c r="J1120" s="118" t="n">
        <v>64.98646217346192</v>
      </c>
      <c r="K1120" s="120" t="n">
        <v>0.3322112136748431</v>
      </c>
      <c r="L1120" s="120" t="n">
        <v>-0.0474952751952632</v>
      </c>
      <c r="M1120" s="120" t="n">
        <v>-0.1807811240343818</v>
      </c>
      <c r="N1120" t="n">
        <v>54.31682589511247</v>
      </c>
      <c r="O1120" t="n">
        <v>0.1270682185080721</v>
      </c>
      <c r="P1120" t="n">
        <v>164.8536754780382</v>
      </c>
      <c r="Q1120" t="n">
        <v>172.1298634457122</v>
      </c>
    </row>
    <row r="1121">
      <c r="A1121" s="117" t="n">
        <v>46044</v>
      </c>
      <c r="B1121" s="118" t="n">
        <v>64.40243485810467</v>
      </c>
      <c r="C1121" s="118" t="n">
        <v>65.52487381727938</v>
      </c>
      <c r="D1121" s="118" t="n">
        <v>64.24489587554646</v>
      </c>
      <c r="E1121" s="118" t="n">
        <v>64.45166015625</v>
      </c>
      <c r="F1121" s="119" t="n">
        <v>11853700</v>
      </c>
      <c r="G1121" s="120" t="n">
        <v>0.0007644507309549908</v>
      </c>
      <c r="H1121" s="121" t="n">
        <v>40.51519930017607</v>
      </c>
      <c r="I1121" s="118" t="n">
        <v>62.81771110534668</v>
      </c>
      <c r="J1121" s="118" t="n">
        <v>65.03195495605469</v>
      </c>
      <c r="K1121" s="120" t="n">
        <v>0.3122110958076169</v>
      </c>
      <c r="L1121" s="120" t="n">
        <v>-0.03954049699906448</v>
      </c>
      <c r="M1121" s="120" t="n">
        <v>-0.1801548715658379</v>
      </c>
      <c r="N1121" t="n">
        <v>54.47902574942723</v>
      </c>
      <c r="O1121" t="n">
        <v>0.1361681382982742</v>
      </c>
      <c r="P1121" t="n">
        <v>165.714748703354</v>
      </c>
      <c r="Q1121" t="n">
        <v>173.3811411751319</v>
      </c>
    </row>
    <row r="1122">
      <c r="A1122" s="117" t="n">
        <v>46045</v>
      </c>
      <c r="B1122" s="118" t="n">
        <v>64.24489599495503</v>
      </c>
      <c r="C1122" s="118" t="n">
        <v>64.44181221164663</v>
      </c>
      <c r="D1122" s="118" t="n">
        <v>63.4473755519202</v>
      </c>
      <c r="E1122" s="118" t="n">
        <v>64.03813171386719</v>
      </c>
      <c r="F1122" s="119" t="n">
        <v>11243900</v>
      </c>
      <c r="G1122" s="120" t="n">
        <v>-0.006416102259899858</v>
      </c>
      <c r="H1122" s="121" t="n">
        <v>40.25524963838592</v>
      </c>
      <c r="I1122" s="118" t="n">
        <v>62.90880027770996</v>
      </c>
      <c r="J1122" s="118" t="n">
        <v>65.08330839157105</v>
      </c>
      <c r="K1122" s="120" t="n">
        <v>0.3154055303685294</v>
      </c>
      <c r="L1122" s="120" t="n">
        <v>-0.04042488514339038</v>
      </c>
      <c r="M1122" s="120" t="n">
        <v>-0.1854150817471522</v>
      </c>
      <c r="N1122" t="n">
        <v>52.78377870477898</v>
      </c>
      <c r="O1122" t="n">
        <v>0.1059016639464747</v>
      </c>
      <c r="P1122" t="n">
        <v>165.7748592740407</v>
      </c>
      <c r="Q1122" t="n">
        <v>173.9285783856884</v>
      </c>
    </row>
    <row r="1123">
      <c r="A1123" s="117" t="n">
        <v>46048</v>
      </c>
      <c r="B1123" s="118" t="n">
        <v>63.81166782614764</v>
      </c>
      <c r="C1123" s="118" t="n">
        <v>64.62888435343531</v>
      </c>
      <c r="D1123" s="118" t="n">
        <v>63.78213114644091</v>
      </c>
      <c r="E1123" s="118" t="n">
        <v>63.98889541625977</v>
      </c>
      <c r="F1123" s="119" t="n">
        <v>14765900</v>
      </c>
      <c r="G1123" s="120" t="n">
        <v>-0.0007688590577160648</v>
      </c>
      <c r="H1123" s="121" t="n">
        <v>40.22429902508083</v>
      </c>
      <c r="I1123" s="118" t="n">
        <v>62.95292221069336</v>
      </c>
      <c r="J1123" s="118" t="n">
        <v>65.14572797775268</v>
      </c>
      <c r="K1123" s="120" t="n">
        <v>0.2785844952535659</v>
      </c>
      <c r="L1123" s="120" t="n">
        <v>-0.04116266316200667</v>
      </c>
      <c r="M1123" s="120" t="n">
        <v>-0.1860413827398298</v>
      </c>
      <c r="N1123" t="n">
        <v>52.5740105984185</v>
      </c>
      <c r="O1123" t="n">
        <v>0.07555461731160362</v>
      </c>
      <c r="P1123" t="n">
        <v>166.6166876714225</v>
      </c>
      <c r="Q1123" t="n">
        <v>174.6938832004086</v>
      </c>
    </row>
    <row r="1124">
      <c r="A1124" s="117" t="n">
        <v>46049</v>
      </c>
      <c r="B1124" s="118" t="n">
        <v>63.75259333204947</v>
      </c>
      <c r="C1124" s="118" t="n">
        <v>63.83136281777995</v>
      </c>
      <c r="D1124" s="118" t="n">
        <v>61.91139979636119</v>
      </c>
      <c r="E1124" s="118" t="n">
        <v>62.1181640625</v>
      </c>
      <c r="F1124" s="119" t="n">
        <v>13536700</v>
      </c>
      <c r="G1124" s="120" t="n">
        <v>-0.02923524998502169</v>
      </c>
      <c r="H1124" s="121" t="n">
        <v>39.04833158761033</v>
      </c>
      <c r="I1124" s="118" t="n">
        <v>62.93908424377442</v>
      </c>
      <c r="J1124" s="118" t="n">
        <v>65.16954622268676</v>
      </c>
      <c r="K1124" s="120" t="n">
        <v>0.2989208765596253</v>
      </c>
      <c r="L1124" s="120" t="n">
        <v>-0.06919451239943786</v>
      </c>
      <c r="M1124" s="120" t="n">
        <v>-0.2098376663928935</v>
      </c>
      <c r="N1124" t="n">
        <v>45.22064071416622</v>
      </c>
      <c r="O1124" t="n">
        <v>-0.06966785153367672</v>
      </c>
      <c r="P1124" t="n">
        <v>167.2805309270216</v>
      </c>
      <c r="Q1124" t="n">
        <v>176.2775329116785</v>
      </c>
    </row>
    <row r="1125">
      <c r="A1125" s="117" t="n">
        <v>46050</v>
      </c>
      <c r="B1125" s="118" t="n">
        <v>62.07877799778709</v>
      </c>
      <c r="C1125" s="118" t="n">
        <v>62.50215458473394</v>
      </c>
      <c r="D1125" s="118" t="n">
        <v>61.01541625461844</v>
      </c>
      <c r="E1125" s="118" t="n">
        <v>61.28125762939453</v>
      </c>
      <c r="F1125" s="119" t="n">
        <v>10363600</v>
      </c>
      <c r="G1125" s="120" t="n">
        <v>-0.01347281339904727</v>
      </c>
      <c r="H1125" s="121" t="n">
        <v>38.52224070258632</v>
      </c>
      <c r="I1125" s="118" t="n">
        <v>62.87270042419433</v>
      </c>
      <c r="J1125" s="118" t="n">
        <v>65.2129648399353</v>
      </c>
      <c r="K1125" s="120" t="n">
        <v>0.3036124024276254</v>
      </c>
      <c r="L1125" s="120" t="n">
        <v>-0.08173508104468963</v>
      </c>
      <c r="M1125" s="120" t="n">
        <v>-0.2204833760685379</v>
      </c>
      <c r="N1125" t="n">
        <v>42.36580617057449</v>
      </c>
      <c r="O1125" t="n">
        <v>-0.2131441293694226</v>
      </c>
      <c r="P1125" t="n">
        <v>167.2636917025794</v>
      </c>
      <c r="Q1125" t="n">
        <v>176.8612643019404</v>
      </c>
    </row>
    <row r="1126">
      <c r="A1126" s="117" t="n">
        <v>46051</v>
      </c>
      <c r="B1126" s="118" t="n">
        <v>60.97603034066811</v>
      </c>
      <c r="C1126" s="118" t="n">
        <v>61.97047064414548</v>
      </c>
      <c r="D1126" s="118" t="n">
        <v>60.51326902058864</v>
      </c>
      <c r="E1126" s="118" t="n">
        <v>61.63570785522461</v>
      </c>
      <c r="F1126" s="119" t="n">
        <v>12739400</v>
      </c>
      <c r="G1126" s="120" t="n">
        <v>0.005783990726392352</v>
      </c>
      <c r="H1126" s="121" t="n">
        <v>38.74505298556994</v>
      </c>
      <c r="I1126" s="118" t="n">
        <v>62.84980026245117</v>
      </c>
      <c r="J1126" s="118" t="n">
        <v>65.25820404052735</v>
      </c>
      <c r="K1126" s="120" t="n">
        <v>0.3040307544060648</v>
      </c>
      <c r="L1126" s="120" t="n">
        <v>-0.07642384526908064</v>
      </c>
      <c r="M1126" s="120" t="n">
        <v>-0.2159746591446495</v>
      </c>
      <c r="N1126" t="n">
        <v>43.97889735906996</v>
      </c>
      <c r="O1126" t="n">
        <v>-0.2714892676099319</v>
      </c>
      <c r="P1126" t="n">
        <v>166.9317774539316</v>
      </c>
      <c r="Q1126" t="n">
        <v>175.802701148188</v>
      </c>
    </row>
    <row r="1127">
      <c r="A1127" s="117" t="n">
        <v>46052</v>
      </c>
      <c r="B1127" s="118" t="n">
        <v>61.28125621585293</v>
      </c>
      <c r="C1127" s="118" t="n">
        <v>61.55694189180872</v>
      </c>
      <c r="D1127" s="118" t="n">
        <v>60.08004790329873</v>
      </c>
      <c r="E1127" s="118" t="n">
        <v>60.85787963867188</v>
      </c>
      <c r="F1127" s="119" t="n">
        <v>14309200</v>
      </c>
      <c r="G1127" s="120" t="n">
        <v>-0.01261976610019255</v>
      </c>
      <c r="H1127" s="121" t="n">
        <v>38.25609947935248</v>
      </c>
      <c r="I1127" s="118" t="n">
        <v>62.83619361877442</v>
      </c>
      <c r="J1127" s="118" t="n">
        <v>65.29462308883667</v>
      </c>
      <c r="K1127" s="120" t="n">
        <v>0.2683398832723088</v>
      </c>
      <c r="L1127" s="120" t="n">
        <v>-0.08807916031750007</v>
      </c>
      <c r="M1127" s="120" t="n">
        <v>-0.2258688755628678</v>
      </c>
      <c r="N1127" t="n">
        <v>41.25042096574731</v>
      </c>
      <c r="O1127" t="n">
        <v>-0.3450578942855163</v>
      </c>
      <c r="P1127" t="n">
        <v>166.4338913226563</v>
      </c>
      <c r="Q1127" t="n">
        <v>173.6911625039431</v>
      </c>
    </row>
    <row r="1128">
      <c r="A1128" s="117" t="n">
        <v>46055</v>
      </c>
      <c r="B1128" s="118" t="n">
        <v>60.7101890435314</v>
      </c>
      <c r="C1128" s="118" t="n">
        <v>61.60617125084067</v>
      </c>
      <c r="D1128" s="118" t="n">
        <v>60.20804673751802</v>
      </c>
      <c r="E1128" s="118" t="n">
        <v>61.2221794128418</v>
      </c>
      <c r="F1128" s="119" t="n">
        <v>11006300</v>
      </c>
      <c r="G1128" s="120" t="n">
        <v>0.005986074052084289</v>
      </c>
      <c r="H1128" s="121" t="n">
        <v>38.48510332377978</v>
      </c>
      <c r="I1128" s="118" t="n">
        <v>62.83789543151855</v>
      </c>
      <c r="J1128" s="118" t="n">
        <v>65.33566753387451</v>
      </c>
      <c r="K1128" s="120" t="n">
        <v>0.2687657196075757</v>
      </c>
      <c r="L1128" s="120" t="n">
        <v>-0.08262033464152185</v>
      </c>
      <c r="M1128" s="120" t="n">
        <v>-0.2212348693259639</v>
      </c>
      <c r="N1128" t="n">
        <v>43.03304103768335</v>
      </c>
      <c r="O1128" t="n">
        <v>-0.3506373227196994</v>
      </c>
      <c r="P1128" t="n">
        <v>167.2613008573912</v>
      </c>
      <c r="Q1128" t="n">
        <v>174.8838124882737</v>
      </c>
    </row>
    <row r="1129">
      <c r="A1129" s="117" t="n">
        <v>46056</v>
      </c>
      <c r="B1129" s="118" t="n">
        <v>60.82834112213207</v>
      </c>
      <c r="C1129" s="118" t="n">
        <v>61.5667881396624</v>
      </c>
      <c r="D1129" s="118" t="n">
        <v>59.49913799295179</v>
      </c>
      <c r="E1129" s="118" t="n">
        <v>59.99143600463867</v>
      </c>
      <c r="F1129" s="119" t="n">
        <v>17322100</v>
      </c>
      <c r="G1129" s="120" t="n">
        <v>-0.02010290094221912</v>
      </c>
      <c r="H1129" s="121" t="n">
        <v>37.71144110391077</v>
      </c>
      <c r="I1129" s="118" t="n">
        <v>62.81204727172852</v>
      </c>
      <c r="J1129" s="118" t="n">
        <v>65.37674621582032</v>
      </c>
      <c r="K1129" s="120" t="n">
        <v>0.2656759079886941</v>
      </c>
      <c r="L1129" s="120" t="n">
        <v>-0.1010623271806295</v>
      </c>
      <c r="M1129" s="120" t="n">
        <v>-0.2368903076051584</v>
      </c>
      <c r="N1129" t="n">
        <v>38.754732719373</v>
      </c>
      <c r="O1129" t="n">
        <v>-0.4143027122099572</v>
      </c>
      <c r="P1129" t="n">
        <v>165.8470273787934</v>
      </c>
      <c r="Q1129" t="n">
        <v>172.1968983171737</v>
      </c>
    </row>
    <row r="1130">
      <c r="A1130" s="117" t="n">
        <v>46057</v>
      </c>
      <c r="B1130" s="118" t="n">
        <v>60.76926857570081</v>
      </c>
      <c r="C1130" s="118" t="n">
        <v>63.41783431772925</v>
      </c>
      <c r="D1130" s="118" t="n">
        <v>60.56250055352113</v>
      </c>
      <c r="E1130" s="118" t="n">
        <v>63.23075866699219</v>
      </c>
      <c r="F1130" s="119" t="n">
        <v>20957700</v>
      </c>
      <c r="G1130" s="120" t="n">
        <v>0.05399641812379752</v>
      </c>
      <c r="H1130" s="121" t="n">
        <v>39.7477238458085</v>
      </c>
      <c r="I1130" s="118" t="n">
        <v>62.87466171264649</v>
      </c>
      <c r="J1130" s="118" t="n">
        <v>65.42333765029908</v>
      </c>
      <c r="K1130" s="120" t="n">
        <v>0.3301137291616995</v>
      </c>
      <c r="L1130" s="120" t="n">
        <v>-0.05252291273184118</v>
      </c>
      <c r="M1130" s="120" t="n">
        <v>-0.195685117580284</v>
      </c>
      <c r="N1130" t="n">
        <v>52.21933683438967</v>
      </c>
      <c r="O1130" t="n">
        <v>-0.224824358439478</v>
      </c>
      <c r="P1130" t="n">
        <v>165.0436886372797</v>
      </c>
      <c r="Q1130" t="n">
        <v>169.1887704030877</v>
      </c>
    </row>
    <row r="1131">
      <c r="A1131" s="117" t="n">
        <v>46058</v>
      </c>
      <c r="B1131" s="118" t="n">
        <v>63.20122258185587</v>
      </c>
      <c r="C1131" s="118" t="n">
        <v>63.58521443875692</v>
      </c>
      <c r="D1131" s="118" t="n">
        <v>61.13356863217472</v>
      </c>
      <c r="E1131" s="118" t="n">
        <v>61.73417282104492</v>
      </c>
      <c r="F1131" s="119" t="n">
        <v>12506200</v>
      </c>
      <c r="G1131" s="120" t="n">
        <v>-0.02366863655438811</v>
      </c>
      <c r="H1131" s="121" t="n">
        <v>38.80694941623787</v>
      </c>
      <c r="I1131" s="118" t="n">
        <v>62.88053764343262</v>
      </c>
      <c r="J1131" s="118" t="n">
        <v>65.46070579528809</v>
      </c>
      <c r="K1131" s="120" t="n">
        <v>0.320031999583292</v>
      </c>
      <c r="L1131" s="120" t="n">
        <v>-0.07494840355400167</v>
      </c>
      <c r="M1131" s="120" t="n">
        <v>-0.2147221542075616</v>
      </c>
      <c r="N1131" t="n">
        <v>47.07057646962223</v>
      </c>
      <c r="O1131" t="n">
        <v>-0.1883353758690028</v>
      </c>
      <c r="P1131" t="n">
        <v>162.982411127525</v>
      </c>
      <c r="Q1131" t="n">
        <v>166.7532498157098</v>
      </c>
    </row>
    <row r="1132">
      <c r="A1132" s="117" t="n">
        <v>46059</v>
      </c>
      <c r="B1132" s="118" t="n">
        <v>62.03939299394511</v>
      </c>
      <c r="C1132" s="118" t="n">
        <v>63.25044563663491</v>
      </c>
      <c r="D1132" s="118" t="n">
        <v>62.02954868644787</v>
      </c>
      <c r="E1132" s="118" t="n">
        <v>62.93537521362305</v>
      </c>
      <c r="F1132" s="119" t="n">
        <v>11961500</v>
      </c>
      <c r="G1132" s="120" t="n">
        <v>0.0194576575288401</v>
      </c>
      <c r="H1132" s="121" t="n">
        <v>39.56204174771806</v>
      </c>
      <c r="I1132" s="118" t="n">
        <v>62.9274609375</v>
      </c>
      <c r="J1132" s="118" t="n">
        <v>65.49953565597534</v>
      </c>
      <c r="K1132" s="120" t="n">
        <v>0.3056914646824727</v>
      </c>
      <c r="L1132" s="120" t="n">
        <v>-0.05694906639384845</v>
      </c>
      <c r="M1132" s="120" t="n">
        <v>-0.199442486819147</v>
      </c>
      <c r="N1132" t="n">
        <v>51.22726669616605</v>
      </c>
      <c r="O1132" t="n">
        <v>-0.07705418275617201</v>
      </c>
      <c r="P1132" t="n">
        <v>166.1091938844839</v>
      </c>
      <c r="Q1132" t="n">
        <v>170.2780742485961</v>
      </c>
    </row>
    <row r="1133">
      <c r="A1133" s="117" t="n">
        <v>46062</v>
      </c>
      <c r="B1133" s="118" t="n">
        <v>62.59076629047854</v>
      </c>
      <c r="C1133" s="118" t="n">
        <v>62.92552907467734</v>
      </c>
      <c r="D1133" s="118" t="n">
        <v>61.40925036060424</v>
      </c>
      <c r="E1133" s="118" t="n">
        <v>61.44863510131836</v>
      </c>
      <c r="F1133" s="119" t="n">
        <v>12920800</v>
      </c>
      <c r="G1133" s="120" t="n">
        <v>-0.02362328193417784</v>
      </c>
      <c r="H1133" s="121" t="n">
        <v>38.62745648161999</v>
      </c>
      <c r="I1133" s="118" t="n">
        <v>62.91040718078613</v>
      </c>
      <c r="J1133" s="118" t="n">
        <v>65.52933650970459</v>
      </c>
      <c r="K1133" s="120" t="n">
        <v>0.3129942580548794</v>
      </c>
      <c r="L1133" s="120" t="n">
        <v>-0.07922702447671626</v>
      </c>
      <c r="M1133" s="120" t="n">
        <v>-0.2183542826575425</v>
      </c>
      <c r="N1133" t="n">
        <v>46.37304442370731</v>
      </c>
      <c r="O1133" t="n">
        <v>-0.09609081413657389</v>
      </c>
      <c r="P1133" t="n">
        <v>166.9101417808094</v>
      </c>
      <c r="Q1133" t="n">
        <v>171.5824262351556</v>
      </c>
    </row>
    <row r="1134">
      <c r="A1134" s="117" t="n">
        <v>46063</v>
      </c>
      <c r="B1134" s="118" t="n">
        <v>62.0295468389025</v>
      </c>
      <c r="C1134" s="118" t="n">
        <v>63.20121846076945</v>
      </c>
      <c r="D1134" s="118" t="n">
        <v>61.33048459341244</v>
      </c>
      <c r="E1134" s="118" t="n">
        <v>62.06893157958984</v>
      </c>
      <c r="F1134" s="119" t="n">
        <v>13003400</v>
      </c>
      <c r="G1134" s="120" t="n">
        <v>0.01009455258442626</v>
      </c>
      <c r="H1134" s="121" t="n">
        <v>39.01738337227634</v>
      </c>
      <c r="I1134" s="118" t="n">
        <v>62.89304069519043</v>
      </c>
      <c r="J1134" s="118" t="n">
        <v>65.55696941375733</v>
      </c>
      <c r="K1134" s="120" t="n">
        <v>0.3160874186898567</v>
      </c>
      <c r="L1134" s="120" t="n">
        <v>-0.06993223325697784</v>
      </c>
      <c r="M1134" s="120" t="n">
        <v>-0.2104639188614374</v>
      </c>
      <c r="N1134" t="n">
        <v>48.56303743707481</v>
      </c>
      <c r="O1134" t="n">
        <v>-0.06112503836853905</v>
      </c>
      <c r="P1134" t="n">
        <v>166.4699753750327</v>
      </c>
      <c r="Q1134" t="n">
        <v>170.7863978163345</v>
      </c>
    </row>
    <row r="1135">
      <c r="A1135" s="117" t="n">
        <v>46064</v>
      </c>
      <c r="B1135" s="118" t="n">
        <v>62.91568754403264</v>
      </c>
      <c r="C1135" s="118" t="n">
        <v>63.02399370780837</v>
      </c>
      <c r="D1135" s="118" t="n">
        <v>60.72988316509905</v>
      </c>
      <c r="E1135" s="118" t="n">
        <v>61.38956069946289</v>
      </c>
      <c r="F1135" s="119" t="n">
        <v>15511900</v>
      </c>
      <c r="G1135" s="120" t="n">
        <v>-0.01094542572004498</v>
      </c>
      <c r="H1135" s="121" t="n">
        <v>38.59032150078458</v>
      </c>
      <c r="I1135" s="118" t="n">
        <v>62.85621681213379</v>
      </c>
      <c r="J1135" s="118" t="n">
        <v>65.58536298751831</v>
      </c>
      <c r="K1135" s="120" t="n">
        <v>0.3143977124593298</v>
      </c>
      <c r="L1135" s="120" t="n">
        <v>-0.08011222091247172</v>
      </c>
      <c r="M1135" s="120" t="n">
        <v>-0.219105727390835</v>
      </c>
      <c r="N1135" t="n">
        <v>46.33138201999817</v>
      </c>
      <c r="O1135" t="n">
        <v>-0.07694698197061167</v>
      </c>
      <c r="P1135" t="n">
        <v>166.4315004774682</v>
      </c>
      <c r="Q1135" t="n">
        <v>171.2444665900457</v>
      </c>
    </row>
    <row r="1136">
      <c r="A1136" s="117" t="n">
        <v>46065</v>
      </c>
      <c r="B1136" s="118" t="n">
        <v>61.36987374077416</v>
      </c>
      <c r="C1136" s="118" t="n">
        <v>61.75386560020932</v>
      </c>
      <c r="D1136" s="118" t="n">
        <v>59.91266827819252</v>
      </c>
      <c r="E1136" s="118" t="n">
        <v>60.15881729125977</v>
      </c>
      <c r="F1136" s="119" t="n">
        <v>13602400</v>
      </c>
      <c r="G1136" s="120" t="n">
        <v>-0.0200480895152243</v>
      </c>
      <c r="H1136" s="121" t="n">
        <v>37.81665928091556</v>
      </c>
      <c r="I1136" s="118" t="n">
        <v>62.77173858642578</v>
      </c>
      <c r="J1136" s="118" t="n">
        <v>65.60910148620606</v>
      </c>
      <c r="K1136" s="120" t="n">
        <v>0.319098051363023</v>
      </c>
      <c r="L1136" s="120" t="n">
        <v>-0.09855421345157944</v>
      </c>
      <c r="M1136" s="120" t="n">
        <v>-0.2347611656700295</v>
      </c>
      <c r="N1136" t="n">
        <v>42.51937701905054</v>
      </c>
      <c r="O1136" t="n">
        <v>-0.1587842006224639</v>
      </c>
      <c r="P1136" t="n">
        <v>163.8603235772831</v>
      </c>
      <c r="Q1136" t="n">
        <v>167.7615410877797</v>
      </c>
    </row>
    <row r="1137">
      <c r="A1137" s="117" t="n">
        <v>46066</v>
      </c>
      <c r="B1137" s="118" t="n">
        <v>60.64126824429253</v>
      </c>
      <c r="C1137" s="118" t="n">
        <v>62.40369599891337</v>
      </c>
      <c r="D1137" s="118" t="n">
        <v>60.64126824429253</v>
      </c>
      <c r="E1137" s="118" t="n">
        <v>62.15754699707031</v>
      </c>
      <c r="F1137" s="119" t="n">
        <v>20180900</v>
      </c>
      <c r="G1137" s="120" t="n">
        <v>0.03322421875639048</v>
      </c>
      <c r="H1137" s="121" t="n">
        <v>39.07308824150058</v>
      </c>
      <c r="I1137" s="118" t="n">
        <v>62.7362931060791</v>
      </c>
      <c r="J1137" s="118" t="n">
        <v>65.64172172546387</v>
      </c>
      <c r="K1137" s="120" t="n">
        <v>0.3409154483314662</v>
      </c>
      <c r="L1137" s="120" t="n">
        <v>-0.06860438144226833</v>
      </c>
      <c r="M1137" s="120" t="n">
        <v>-0.2093367032373652</v>
      </c>
      <c r="N1137" t="n">
        <v>49.75014246074618</v>
      </c>
      <c r="O1137" t="n">
        <v>-0.07124914170552232</v>
      </c>
      <c r="P1137" t="n">
        <v>163.9757630282801</v>
      </c>
      <c r="Q1137" t="n">
        <v>168.1190319228159</v>
      </c>
    </row>
    <row r="1138">
      <c r="A1138" s="117" t="n">
        <v>46070</v>
      </c>
      <c r="B1138" s="118" t="n">
        <v>61.97047254837756</v>
      </c>
      <c r="C1138" s="118" t="n">
        <v>63.82151412963867</v>
      </c>
      <c r="D1138" s="118" t="n">
        <v>61.97047254837756</v>
      </c>
      <c r="E1138" s="118" t="n">
        <v>63.82151412963867</v>
      </c>
      <c r="F1138" s="119" t="n">
        <v>12347500</v>
      </c>
      <c r="G1138" s="120" t="n">
        <v>0.02677015443751007</v>
      </c>
      <c r="H1138" s="121" t="n">
        <v>40.11908084807601</v>
      </c>
      <c r="I1138" s="118" t="n">
        <v>62.71994888305664</v>
      </c>
      <c r="J1138" s="118" t="n">
        <v>65.68817295074463</v>
      </c>
      <c r="K1138" s="120" t="n">
        <v>0.3545811705521064</v>
      </c>
      <c r="L1138" s="120" t="n">
        <v>-0.04367077689105758</v>
      </c>
      <c r="M1138" s="120" t="n">
        <v>-0.1881705246749587</v>
      </c>
      <c r="N1138" t="n">
        <v>54.84301813747382</v>
      </c>
      <c r="O1138" t="n">
        <v>0.09665507292025349</v>
      </c>
      <c r="P1138" t="n">
        <v>164.2403351374624</v>
      </c>
      <c r="Q1138" t="n">
        <v>167.9458656247299</v>
      </c>
    </row>
    <row r="1139">
      <c r="A1139" s="117" t="n">
        <v>46071</v>
      </c>
      <c r="B1139" s="118" t="n">
        <v>63.31937103496855</v>
      </c>
      <c r="C1139" s="118" t="n">
        <v>65.13103171500809</v>
      </c>
      <c r="D1139" s="118" t="n">
        <v>63.31937103496855</v>
      </c>
      <c r="E1139" s="118" t="n">
        <v>64.54027557373047</v>
      </c>
      <c r="F1139" s="119" t="n">
        <v>11211500</v>
      </c>
      <c r="G1139" s="120" t="n">
        <v>0.01126205565464655</v>
      </c>
      <c r="H1139" s="121" t="n">
        <v>40.57090416940031</v>
      </c>
      <c r="I1139" s="118" t="n">
        <v>62.71719207763672</v>
      </c>
      <c r="J1139" s="118" t="n">
        <v>65.73647764205933</v>
      </c>
      <c r="K1139" s="120" t="n">
        <v>0.3534295962052075</v>
      </c>
      <c r="L1139" s="120" t="n">
        <v>-0.03290054395623965</v>
      </c>
      <c r="M1139" s="120" t="n">
        <v>-0.1790276559417656</v>
      </c>
      <c r="N1139" t="n">
        <v>56.87617205088556</v>
      </c>
      <c r="O1139" t="n">
        <v>0.2455901856275634</v>
      </c>
      <c r="P1139" t="n">
        <v>165.0677299138936</v>
      </c>
      <c r="Q1139" t="n">
        <v>169.1999628172623</v>
      </c>
    </row>
    <row r="1140">
      <c r="A1140" s="117" t="n">
        <v>46072</v>
      </c>
      <c r="B1140" s="118" t="n">
        <v>64.19565439183378</v>
      </c>
      <c r="C1140" s="118" t="n">
        <v>64.82579521318183</v>
      </c>
      <c r="D1140" s="118" t="n">
        <v>63.26029122285902</v>
      </c>
      <c r="E1140" s="118" t="n">
        <v>64.59934234619141</v>
      </c>
      <c r="F1140" s="119" t="n">
        <v>10778300</v>
      </c>
      <c r="G1140" s="120" t="n">
        <v>0.0009151924427943658</v>
      </c>
      <c r="H1140" s="121" t="n">
        <v>40.60803435429348</v>
      </c>
      <c r="I1140" s="118" t="n">
        <v>62.71226898193359</v>
      </c>
      <c r="J1140" s="118" t="n">
        <v>65.77623083114624</v>
      </c>
      <c r="K1140" s="120" t="n">
        <v>0.3395495612487173</v>
      </c>
      <c r="L1140" s="120" t="n">
        <v>-0.03201546184263782</v>
      </c>
      <c r="M1140" s="120" t="n">
        <v>-0.1782763082567405</v>
      </c>
      <c r="N1140" t="n">
        <v>57.0473227743299</v>
      </c>
      <c r="O1140" t="n">
        <v>0.3321684855459526</v>
      </c>
      <c r="P1140" t="n">
        <v>164.6323747151004</v>
      </c>
      <c r="Q1140" t="n">
        <v>168.5519476680307</v>
      </c>
    </row>
    <row r="1141">
      <c r="A1141" s="117" t="n">
        <v>46073</v>
      </c>
      <c r="B1141" s="118" t="n">
        <v>64.29412764782089</v>
      </c>
      <c r="C1141" s="118" t="n">
        <v>67.43498406519049</v>
      </c>
      <c r="D1141" s="118" t="n">
        <v>62.35447214964492</v>
      </c>
      <c r="E1141" s="118" t="n">
        <v>64.39258575439453</v>
      </c>
      <c r="F1141" s="119" t="n">
        <v>33436800</v>
      </c>
      <c r="G1141" s="120" t="n">
        <v>-0.003200599019860806</v>
      </c>
      <c r="H1141" s="121" t="n">
        <v>40.47806431934065</v>
      </c>
      <c r="I1141" s="118" t="n">
        <v>62.74889610290527</v>
      </c>
      <c r="J1141" s="118" t="n">
        <v>65.82094478607178</v>
      </c>
      <c r="K1141" s="120" t="n">
        <v>0.339779730917225</v>
      </c>
      <c r="L1141" s="120" t="n">
        <v>-0.03511359220670474</v>
      </c>
      <c r="M1141" s="120" t="n">
        <v>-0.1809063162991303</v>
      </c>
      <c r="N1141" t="n">
        <v>56.2064154581099</v>
      </c>
      <c r="O1141" t="n">
        <v>0.3574028604504715</v>
      </c>
      <c r="P1141" t="n">
        <v>165.8229861021794</v>
      </c>
      <c r="Q1141" t="n">
        <v>170.0434436546531</v>
      </c>
    </row>
    <row r="1142">
      <c r="A1142" s="117" t="n">
        <v>46076</v>
      </c>
      <c r="B1142" s="118" t="n">
        <v>63.60490242427272</v>
      </c>
      <c r="C1142" s="118" t="n">
        <v>63.96920566187249</v>
      </c>
      <c r="D1142" s="118" t="n">
        <v>61.09418328361855</v>
      </c>
      <c r="E1142" s="118" t="n">
        <v>62.1181640625</v>
      </c>
      <c r="F1142" s="119" t="n">
        <v>17748800</v>
      </c>
      <c r="G1142" s="120" t="n">
        <v>-0.03532117347437491</v>
      </c>
      <c r="H1142" s="121" t="n">
        <v>39.04833158761031</v>
      </c>
      <c r="I1142" s="118" t="n">
        <v>62.74417007446289</v>
      </c>
      <c r="J1142" s="118" t="n">
        <v>65.85578527450562</v>
      </c>
      <c r="K1142" s="120" t="n">
        <v>0.3619765586081672</v>
      </c>
      <c r="L1142" s="120" t="n">
        <v>-0.06919451239943819</v>
      </c>
      <c r="M1142" s="120" t="n">
        <v>-0.2098376663928935</v>
      </c>
      <c r="N1142" t="n">
        <v>47.85047357020783</v>
      </c>
      <c r="O1142" t="n">
        <v>0.210097074295596</v>
      </c>
      <c r="P1142" t="n">
        <v>164.1297068934488</v>
      </c>
      <c r="Q1142" t="n">
        <v>167.9765892288308</v>
      </c>
    </row>
    <row r="1143">
      <c r="A1143" s="117" t="n">
        <v>46077</v>
      </c>
      <c r="B1143" s="118" t="n">
        <v>62.30523234639186</v>
      </c>
      <c r="C1143" s="118" t="n">
        <v>63.7033568336593</v>
      </c>
      <c r="D1143" s="118" t="n">
        <v>61.63570678022741</v>
      </c>
      <c r="E1143" s="118" t="n">
        <v>63.10275268554688</v>
      </c>
      <c r="F1143" s="119" t="n">
        <v>14296100</v>
      </c>
      <c r="G1143" s="120" t="n">
        <v>0.0158502531088367</v>
      </c>
      <c r="H1143" s="121" t="n">
        <v>39.66725752675172</v>
      </c>
      <c r="I1143" s="118" t="n">
        <v>62.71069366455078</v>
      </c>
      <c r="J1143" s="118" t="n">
        <v>65.88791048049927</v>
      </c>
      <c r="K1143" s="120" t="n">
        <v>0.3670566400121727</v>
      </c>
      <c r="L1143" s="120" t="n">
        <v>-0.05444100982587519</v>
      </c>
      <c r="M1143" s="120" t="n">
        <v>-0.1973133934081517</v>
      </c>
      <c r="N1143" t="n">
        <v>51.23054539167563</v>
      </c>
      <c r="O1143" t="n">
        <v>0.1698720414952443</v>
      </c>
      <c r="P1143" t="n">
        <v>165.3226796091087</v>
      </c>
      <c r="Q1143" t="n">
        <v>169.780908919722</v>
      </c>
    </row>
    <row r="1144">
      <c r="A1144" s="117" t="n">
        <v>46078</v>
      </c>
      <c r="B1144" s="118" t="n">
        <v>62.9058393833342</v>
      </c>
      <c r="C1144" s="118" t="n">
        <v>63.23075787415979</v>
      </c>
      <c r="D1144" s="118" t="n">
        <v>62.28554283644448</v>
      </c>
      <c r="E1144" s="118" t="n">
        <v>62.42338943481445</v>
      </c>
      <c r="F1144" s="119" t="n">
        <v>9500800</v>
      </c>
      <c r="G1144" s="120" t="n">
        <v>-0.01076598439560661</v>
      </c>
      <c r="H1144" s="121" t="n">
        <v>39.2402004512022</v>
      </c>
      <c r="I1144" s="118" t="n">
        <v>62.62523078918457</v>
      </c>
      <c r="J1144" s="118" t="n">
        <v>65.91523689270019</v>
      </c>
      <c r="K1144" s="120" t="n">
        <v>0.3534453020466938</v>
      </c>
      <c r="L1144" s="120" t="n">
        <v>-0.06462088315921544</v>
      </c>
      <c r="M1144" s="120" t="n">
        <v>-0.205955104889282</v>
      </c>
      <c r="N1144" t="n">
        <v>48.87653751042293</v>
      </c>
      <c r="O1144" t="n">
        <v>0.09229511905291327</v>
      </c>
      <c r="P1144" t="n">
        <v>166.7177230180762</v>
      </c>
      <c r="Q1144" t="n">
        <v>172.2415825355962</v>
      </c>
    </row>
    <row r="1145">
      <c r="A1145" s="117" t="n">
        <v>46079</v>
      </c>
      <c r="B1145" s="118" t="n">
        <v>63.2209095418325</v>
      </c>
      <c r="C1145" s="118" t="n">
        <v>64.05781465644573</v>
      </c>
      <c r="D1145" s="118" t="n">
        <v>62.79753295276396</v>
      </c>
      <c r="E1145" s="118" t="n">
        <v>62.96491622924805</v>
      </c>
      <c r="F1145" s="119" t="n">
        <v>10319100</v>
      </c>
      <c r="G1145" s="120" t="n">
        <v>0.008675062333792116</v>
      </c>
      <c r="H1145" s="121" t="n">
        <v>39.58061163610688</v>
      </c>
      <c r="I1145" s="118" t="n">
        <v>62.55591522216797</v>
      </c>
      <c r="J1145" s="118" t="n">
        <v>65.94821990966797</v>
      </c>
      <c r="K1145" s="120" t="n">
        <v>0.3505820381583983</v>
      </c>
      <c r="L1145" s="120" t="n">
        <v>-0.05650641101489406</v>
      </c>
      <c r="M1145" s="120" t="n">
        <v>-0.1936396711572604</v>
      </c>
      <c r="N1145" t="n">
        <v>50.81653272208661</v>
      </c>
      <c r="O1145" t="n">
        <v>0.07307745748859698</v>
      </c>
      <c r="P1145" t="n">
        <v>165.791698498483</v>
      </c>
      <c r="Q1145" t="n">
        <v>170.1635527832545</v>
      </c>
    </row>
    <row r="1146">
      <c r="A1146" s="117" t="n">
        <v>46080</v>
      </c>
      <c r="B1146" s="118" t="n">
        <v>61.75386215281055</v>
      </c>
      <c r="C1146" s="118" t="n">
        <v>61.75386215281055</v>
      </c>
      <c r="D1146" s="118" t="n">
        <v>60.57234620485853</v>
      </c>
      <c r="E1146" s="118" t="n">
        <v>61.2221794128418</v>
      </c>
      <c r="F1146" s="119" t="n">
        <v>18017400</v>
      </c>
      <c r="G1146" s="120" t="n">
        <v>-0.0276779025649958</v>
      </c>
      <c r="H1146" s="121" t="n">
        <v>38.48510332377978</v>
      </c>
      <c r="I1146" s="118" t="n">
        <v>62.44564033508301</v>
      </c>
      <c r="J1146" s="118" t="n">
        <v>65.95179828643799</v>
      </c>
      <c r="K1146" s="120" t="n">
        <v>0.3650886608862438</v>
      </c>
      <c r="L1146" s="120" t="n">
        <v>-0.08262033464152208</v>
      </c>
      <c r="M1146" s="120" t="n">
        <v>-0.2061814269815754</v>
      </c>
      <c r="N1146" t="n">
        <v>44.91015170838114</v>
      </c>
      <c r="O1146" t="n">
        <v>-0.05449725388443544</v>
      </c>
      <c r="P1146" t="n">
        <v>164.9955765674445</v>
      </c>
      <c r="Q1146" t="n">
        <v>169.6189179481555</v>
      </c>
    </row>
    <row r="1147">
      <c r="A1147" s="117" t="n">
        <v>46083</v>
      </c>
      <c r="B1147" s="118" t="n">
        <v>59.3687652996699</v>
      </c>
      <c r="C1147" s="118" t="n">
        <v>60.98430656698472</v>
      </c>
      <c r="D1147" s="118" t="n">
        <v>58.61550340812185</v>
      </c>
      <c r="E1147" s="118" t="n">
        <v>60.46891784667969</v>
      </c>
      <c r="F1147" s="119" t="n">
        <v>15335000</v>
      </c>
      <c r="G1147" s="120" t="n">
        <v>-0.01230373654427774</v>
      </c>
      <c r="H1147" s="121" t="n">
        <v>38.01159275160468</v>
      </c>
      <c r="I1147" s="118" t="n">
        <v>62.33329689025879</v>
      </c>
      <c r="J1147" s="118" t="n">
        <v>65.9525288772583</v>
      </c>
      <c r="K1147" s="120" t="n">
        <v>0.3649464703060117</v>
      </c>
      <c r="L1147" s="120" t="n">
        <v>-0.09390753235517046</v>
      </c>
      <c r="M1147" s="120" t="n">
        <v>-0.2159483615679486</v>
      </c>
      <c r="N1147" t="n">
        <v>42.60511997377628</v>
      </c>
      <c r="O1147" t="n">
        <v>-0.1800301785340314</v>
      </c>
      <c r="P1147" t="n">
        <v>165.089395103623</v>
      </c>
      <c r="Q1147" t="n">
        <v>169.8423561279237</v>
      </c>
    </row>
    <row r="1148">
      <c r="A1148" s="117" t="n">
        <v>46084</v>
      </c>
      <c r="B1148" s="118" t="n">
        <v>58.91284468954928</v>
      </c>
      <c r="C1148" s="118" t="n">
        <v>59.57690464439405</v>
      </c>
      <c r="D1148" s="118" t="n">
        <v>58.10011730424026</v>
      </c>
      <c r="E1148" s="118" t="n">
        <v>58.86328887939453</v>
      </c>
      <c r="F1148" s="119" t="n">
        <v>17438600</v>
      </c>
      <c r="G1148" s="120" t="n">
        <v>-0.026552963480449</v>
      </c>
      <c r="H1148" s="121" t="n">
        <v>37.00227231743762</v>
      </c>
      <c r="I1148" s="118" t="n">
        <v>62.21700035095215</v>
      </c>
      <c r="J1148" s="118" t="n">
        <v>65.94842199325562</v>
      </c>
      <c r="K1148" s="120" t="n">
        <v>0.3758966567817099</v>
      </c>
      <c r="L1148" s="120" t="n">
        <v>-0.1179669725584537</v>
      </c>
      <c r="M1148" s="120" t="n">
        <v>-0.236767256090021</v>
      </c>
      <c r="N1148" t="n">
        <v>38.11449649267629</v>
      </c>
      <c r="O1148" t="n">
        <v>-0.3516884785386757</v>
      </c>
      <c r="P1148" t="n">
        <v>163.6342411239689</v>
      </c>
      <c r="Q1148" t="n">
        <v>168.0240758227109</v>
      </c>
    </row>
    <row r="1149">
      <c r="A1149" s="117" t="n">
        <v>46085</v>
      </c>
      <c r="B1149" s="118" t="n">
        <v>58.66505934682952</v>
      </c>
      <c r="C1149" s="118" t="n">
        <v>58.96240175676261</v>
      </c>
      <c r="D1149" s="118" t="n">
        <v>58.09020516808152</v>
      </c>
      <c r="E1149" s="118" t="n">
        <v>58.11993789672852</v>
      </c>
      <c r="F1149" s="119" t="n">
        <v>15971300</v>
      </c>
      <c r="G1149" s="120" t="n">
        <v>-0.01262843101052458</v>
      </c>
      <c r="H1149" s="121" t="n">
        <v>36.53499167424422</v>
      </c>
      <c r="I1149" s="118" t="n">
        <v>62.08701843261719</v>
      </c>
      <c r="J1149" s="118" t="n">
        <v>65.93735933303833</v>
      </c>
      <c r="K1149" s="120" t="n">
        <v>0.3719585164922147</v>
      </c>
      <c r="L1149" s="120" t="n">
        <v>-0.1291056657945032</v>
      </c>
      <c r="M1149" s="120" t="n">
        <v>-0.2464056881414616</v>
      </c>
      <c r="N1149" t="n">
        <v>36.21155500907737</v>
      </c>
      <c r="O1149" t="n">
        <v>-0.4874285227590684</v>
      </c>
      <c r="P1149" t="n">
        <v>164.7887241837608</v>
      </c>
      <c r="Q1149" t="n">
        <v>170.5852932019498</v>
      </c>
    </row>
    <row r="1150">
      <c r="A1150" s="117" t="n">
        <v>46086</v>
      </c>
      <c r="B1150" s="118" t="n">
        <v>58.08029395903205</v>
      </c>
      <c r="C1150" s="118" t="n">
        <v>58.26861132997332</v>
      </c>
      <c r="D1150" s="118" t="n">
        <v>56.92067212706421</v>
      </c>
      <c r="E1150" s="118" t="n">
        <v>57.50543975830078</v>
      </c>
      <c r="F1150" s="119" t="n">
        <v>22040200</v>
      </c>
      <c r="G1150" s="120" t="n">
        <v>-0.01057293177978991</v>
      </c>
      <c r="H1150" s="121" t="n">
        <v>36.14870969969724</v>
      </c>
      <c r="I1150" s="118" t="n">
        <v>62.08101455688477</v>
      </c>
      <c r="J1150" s="118" t="n">
        <v>65.91979183197022</v>
      </c>
      <c r="K1150" s="120" t="n">
        <v>0.3100517149827701</v>
      </c>
      <c r="L1150" s="120" t="n">
        <v>-0.1383135721774634</v>
      </c>
      <c r="M1150" s="120" t="n">
        <v>-0.2543733893903796</v>
      </c>
      <c r="N1150" t="n">
        <v>34.67053891588751</v>
      </c>
      <c r="O1150" t="n">
        <v>-0.5842059469927455</v>
      </c>
      <c r="P1150" t="n">
        <v>163.8699459912501</v>
      </c>
      <c r="Q1150" t="n">
        <v>170.0713819709517</v>
      </c>
    </row>
    <row r="1151">
      <c r="A1151" s="117" t="n">
        <v>46087</v>
      </c>
      <c r="B1151" s="118" t="n">
        <v>56.9603178090165</v>
      </c>
      <c r="C1151" s="118" t="n">
        <v>57.03960634806334</v>
      </c>
      <c r="D1151" s="118" t="n">
        <v>56.25661170282152</v>
      </c>
      <c r="E1151" s="118" t="n">
        <v>56.50439453125</v>
      </c>
      <c r="F1151" s="119" t="n">
        <v>16323700</v>
      </c>
      <c r="G1151" s="120" t="n">
        <v>-0.01740783535015544</v>
      </c>
      <c r="H1151" s="121" t="n">
        <v>35.51943891312435</v>
      </c>
      <c r="I1151" s="118" t="n">
        <v>62.08433074951172</v>
      </c>
      <c r="J1151" s="118" t="n">
        <v>65.90219842910767</v>
      </c>
      <c r="K1151" s="120" t="n">
        <v>0.3056980666232631</v>
      </c>
      <c r="L1151" s="120" t="n">
        <v>-0.1533136676364617</v>
      </c>
      <c r="M1151" s="120" t="n">
        <v>-0.2673531346605663</v>
      </c>
      <c r="N1151" t="n">
        <v>32.26192037346603</v>
      </c>
      <c r="O1151" t="n">
        <v>-0.6748261319802332</v>
      </c>
      <c r="P1151" t="n">
        <v>161.7220815140958</v>
      </c>
      <c r="Q1151" t="n">
        <v>167.512949879515</v>
      </c>
    </row>
    <row r="1152">
      <c r="A1152" s="117" t="n">
        <v>46090</v>
      </c>
      <c r="B1152" s="118" t="n">
        <v>55.24566132347709</v>
      </c>
      <c r="C1152" s="118" t="n">
        <v>56.20705613085387</v>
      </c>
      <c r="D1152" s="118" t="n">
        <v>54.89876309369158</v>
      </c>
      <c r="E1152" s="118" t="n">
        <v>56.02865219116211</v>
      </c>
      <c r="F1152" s="119" t="n">
        <v>18053100</v>
      </c>
      <c r="G1152" s="120" t="n">
        <v>-0.008419563540757458</v>
      </c>
      <c r="H1152" s="121" t="n">
        <v>35.22038074026324</v>
      </c>
      <c r="I1152" s="118" t="n">
        <v>62.07576904296875</v>
      </c>
      <c r="J1152" s="118" t="n">
        <v>65.879905834198</v>
      </c>
      <c r="K1152" s="120" t="n">
        <v>0.2927786728663244</v>
      </c>
      <c r="L1152" s="120" t="n">
        <v>-0.1604423970108876</v>
      </c>
      <c r="M1152" s="120" t="n">
        <v>-0.2735217014962286</v>
      </c>
      <c r="N1152" t="n">
        <v>31.15420817292946</v>
      </c>
      <c r="O1152" t="n">
        <v>-0.7217749505532316</v>
      </c>
      <c r="P1152" t="n">
        <v>163.1387605961854</v>
      </c>
      <c r="Q1152" t="n">
        <v>169.750185315621</v>
      </c>
    </row>
    <row r="1153">
      <c r="A1153" s="117" t="n">
        <v>46091</v>
      </c>
      <c r="B1153" s="118" t="n">
        <v>56.19714576690576</v>
      </c>
      <c r="C1153" s="118" t="n">
        <v>56.73235757917769</v>
      </c>
      <c r="D1153" s="118" t="n">
        <v>55.30512607978587</v>
      </c>
      <c r="E1153" s="118" t="n">
        <v>55.58264541625977</v>
      </c>
      <c r="F1153" s="119" t="n">
        <v>15706400</v>
      </c>
      <c r="G1153" s="120" t="n">
        <v>-0.007960333819571952</v>
      </c>
      <c r="H1153" s="121" t="n">
        <v>34.94001475231832</v>
      </c>
      <c r="I1153" s="118" t="n">
        <v>62.00590675354004</v>
      </c>
      <c r="J1153" s="118" t="n">
        <v>65.86785579681397</v>
      </c>
      <c r="K1153" s="120" t="n">
        <v>0.2851950504389694</v>
      </c>
      <c r="L1153" s="120" t="n">
        <v>-0.1671255557914406</v>
      </c>
      <c r="M1153" s="120" t="n">
        <v>-0.2793047112649932</v>
      </c>
      <c r="N1153" t="n">
        <v>30.11043045149719</v>
      </c>
      <c r="O1153" t="n">
        <v>-0.7353475426489289</v>
      </c>
      <c r="P1153" t="n">
        <v>162.8765793321913</v>
      </c>
      <c r="Q1153" t="n">
        <v>169.7529876910785</v>
      </c>
    </row>
    <row r="1154">
      <c r="A1154" s="117" t="n">
        <v>46092</v>
      </c>
      <c r="B1154" s="118" t="n">
        <v>57.08915987817863</v>
      </c>
      <c r="C1154" s="118" t="n">
        <v>57.08915987817863</v>
      </c>
      <c r="D1154" s="118" t="n">
        <v>54.91858374892139</v>
      </c>
      <c r="E1154" s="118" t="n">
        <v>55.20601272583008</v>
      </c>
      <c r="F1154" s="119" t="n">
        <v>20245300</v>
      </c>
      <c r="G1154" s="120" t="n">
        <v>-0.006776084290502471</v>
      </c>
      <c r="H1154" s="121" t="n">
        <v>34.70325826724521</v>
      </c>
      <c r="I1154" s="118" t="n">
        <v>61.91019828796387</v>
      </c>
      <c r="J1154" s="118" t="n">
        <v>65.8474446105957</v>
      </c>
      <c r="K1154" s="120" t="n">
        <v>0.2797037411658654</v>
      </c>
      <c r="L1154" s="120" t="n">
        <v>-0.1727691832288032</v>
      </c>
      <c r="M1154" s="120" t="n">
        <v>-0.2841882032892297</v>
      </c>
      <c r="N1154" t="n">
        <v>29.22013378818868</v>
      </c>
      <c r="O1154" t="n">
        <v>-0.7211857670925648</v>
      </c>
      <c r="P1154" t="n">
        <v>162.672147310303</v>
      </c>
      <c r="Q1154" t="n">
        <v>169.7306199503844</v>
      </c>
    </row>
    <row r="1155">
      <c r="A1155" s="117" t="n">
        <v>46093</v>
      </c>
      <c r="B1155" s="118" t="n">
        <v>54.78973926315801</v>
      </c>
      <c r="C1155" s="118" t="n">
        <v>54.96814320682024</v>
      </c>
      <c r="D1155" s="118" t="n">
        <v>53.55082508820696</v>
      </c>
      <c r="E1155" s="118" t="n">
        <v>53.64994049072266</v>
      </c>
      <c r="F1155" s="119" t="n">
        <v>18611800</v>
      </c>
      <c r="G1155" s="120" t="n">
        <v>-0.02818664414029237</v>
      </c>
      <c r="H1155" s="121" t="n">
        <v>33.72508987595771</v>
      </c>
      <c r="I1155" s="118" t="n">
        <v>61.77785461425781</v>
      </c>
      <c r="J1155" s="118" t="n">
        <v>65.82553770065307</v>
      </c>
      <c r="K1155" s="120" t="n">
        <v>0.2904845578500113</v>
      </c>
      <c r="L1155" s="120" t="n">
        <v>-0.1960860438830162</v>
      </c>
      <c r="M1155" s="120" t="n">
        <v>-0.3043645356745394</v>
      </c>
      <c r="N1155" t="n">
        <v>25.82294296624623</v>
      </c>
      <c r="O1155" t="n">
        <v>-0.7640083589831939</v>
      </c>
      <c r="P1155" t="n">
        <v>160.2019762401644</v>
      </c>
      <c r="Q1155" t="n">
        <v>166.8174823117138</v>
      </c>
    </row>
    <row r="1156">
      <c r="A1156" s="117" t="n">
        <v>46094</v>
      </c>
      <c r="B1156" s="118" t="n">
        <v>53.85807434815711</v>
      </c>
      <c r="C1156" s="118" t="n">
        <v>54.38337272098835</v>
      </c>
      <c r="D1156" s="118" t="n">
        <v>53.26339708762612</v>
      </c>
      <c r="E1156" s="118" t="n">
        <v>53.50126647949219</v>
      </c>
      <c r="F1156" s="119" t="n">
        <v>14377100</v>
      </c>
      <c r="G1156" s="120" t="n">
        <v>-0.002771186880555443</v>
      </c>
      <c r="H1156" s="121" t="n">
        <v>33.63163134934791</v>
      </c>
      <c r="I1156" s="118" t="n">
        <v>61.6429313659668</v>
      </c>
      <c r="J1156" s="118" t="n">
        <v>65.78930292129516</v>
      </c>
      <c r="K1156" s="120" t="n">
        <v>0.2862849408764709</v>
      </c>
      <c r="L1156" s="120" t="n">
        <v>-0.1904307486138366</v>
      </c>
      <c r="M1156" s="120" t="n">
        <v>-0.3062922715469272</v>
      </c>
      <c r="N1156" t="n">
        <v>25.5176836135221</v>
      </c>
      <c r="O1156" t="n">
        <v>-0.748744621088977</v>
      </c>
      <c r="P1156" t="n">
        <v>159.2952113068088</v>
      </c>
      <c r="Q1156" t="n">
        <v>165.8287393172252</v>
      </c>
    </row>
    <row r="1157">
      <c r="A1157" s="117" t="n">
        <v>46097</v>
      </c>
      <c r="B1157" s="118" t="n">
        <v>53.78869604866507</v>
      </c>
      <c r="C1157" s="118" t="n">
        <v>54.58160033166583</v>
      </c>
      <c r="D1157" s="118" t="n">
        <v>53.50126706455672</v>
      </c>
      <c r="E1157" s="118" t="n">
        <v>54.30408477783203</v>
      </c>
      <c r="F1157" s="119" t="n">
        <v>13115200</v>
      </c>
      <c r="G1157" s="120" t="n">
        <v>0.01500559428154058</v>
      </c>
      <c r="H1157" s="121" t="n">
        <v>34.13629396440256</v>
      </c>
      <c r="I1157" s="118" t="n">
        <v>61.47444084167481</v>
      </c>
      <c r="J1157" s="118" t="n">
        <v>65.76215831756592</v>
      </c>
      <c r="K1157" s="120" t="n">
        <v>0.2594877196359988</v>
      </c>
      <c r="L1157" s="120" t="n">
        <v>-0.1681197043598613</v>
      </c>
      <c r="M1157" s="120" t="n">
        <v>-0.2958827748237912</v>
      </c>
      <c r="N1157" t="n">
        <v>30.30850429271615</v>
      </c>
      <c r="O1157" t="n">
        <v>-0.6354450905831945</v>
      </c>
      <c r="P1157" t="n">
        <v>160.9163371690904</v>
      </c>
      <c r="Q1157" t="n">
        <v>167.6889185530584</v>
      </c>
    </row>
    <row r="1158">
      <c r="A1158" s="117" t="n">
        <v>46098</v>
      </c>
      <c r="B1158" s="118" t="n">
        <v>54.95823206953708</v>
      </c>
      <c r="C1158" s="118" t="n">
        <v>55.18619181785433</v>
      </c>
      <c r="D1158" s="118" t="n">
        <v>54.51222222245291</v>
      </c>
      <c r="E1158" s="118" t="n">
        <v>54.63115692138672</v>
      </c>
      <c r="F1158" s="119" t="n">
        <v>9861400</v>
      </c>
      <c r="G1158" s="120" t="n">
        <v>0.006022974973112882</v>
      </c>
      <c r="H1158" s="121" t="n">
        <v>34.34189600862499</v>
      </c>
      <c r="I1158" s="118" t="n">
        <v>61.32095924377441</v>
      </c>
      <c r="J1158" s="118" t="n">
        <v>65.73829273223878</v>
      </c>
      <c r="K1158" s="120" t="n">
        <v>0.2332177208049823</v>
      </c>
      <c r="L1158" s="120" t="n">
        <v>-0.163109310158595</v>
      </c>
      <c r="M1158" s="120" t="n">
        <v>-0.2916418943984173</v>
      </c>
      <c r="N1158" t="n">
        <v>32.22126729624991</v>
      </c>
      <c r="O1158" t="n">
        <v>-0.4955506734149688</v>
      </c>
      <c r="P1158" t="n">
        <v>161.3396348338175</v>
      </c>
      <c r="Q1158" t="n">
        <v>168.5072805372633</v>
      </c>
    </row>
    <row r="1159">
      <c r="A1159" s="117" t="n">
        <v>46099</v>
      </c>
      <c r="B1159" s="118" t="n">
        <v>54.01665642898114</v>
      </c>
      <c r="C1159" s="118" t="n">
        <v>54.47257592446014</v>
      </c>
      <c r="D1159" s="118" t="n">
        <v>52.78765194022699</v>
      </c>
      <c r="E1159" s="118" t="n">
        <v>52.99579238891602</v>
      </c>
      <c r="F1159" s="119" t="n">
        <v>16861300</v>
      </c>
      <c r="G1159" s="120" t="n">
        <v>-0.02993464946795776</v>
      </c>
      <c r="H1159" s="121" t="n">
        <v>33.31388338954174</v>
      </c>
      <c r="I1159" s="118" t="n">
        <v>61.11015556335449</v>
      </c>
      <c r="J1159" s="118" t="n">
        <v>65.7103595161438</v>
      </c>
      <c r="K1159" s="120" t="n">
        <v>0.2347721118713043</v>
      </c>
      <c r="L1159" s="120" t="n">
        <v>-0.1881613396019948</v>
      </c>
      <c r="M1159" s="120" t="n">
        <v>-0.3128463459873871</v>
      </c>
      <c r="N1159" t="n">
        <v>28.07250754885831</v>
      </c>
      <c r="O1159" t="n">
        <v>-0.4704292568575632</v>
      </c>
      <c r="P1159" t="n">
        <v>159.088358923125</v>
      </c>
      <c r="Q1159" t="n">
        <v>166.1583430989284</v>
      </c>
    </row>
    <row r="1160">
      <c r="A1160" s="117" t="n">
        <v>46100</v>
      </c>
      <c r="B1160" s="118" t="n">
        <v>52.43084877990165</v>
      </c>
      <c r="C1160" s="118" t="n">
        <v>53.15437419586343</v>
      </c>
      <c r="D1160" s="118" t="n">
        <v>52.12359670701406</v>
      </c>
      <c r="E1160" s="118" t="n">
        <v>52.96605682373047</v>
      </c>
      <c r="F1160" s="119" t="n">
        <v>12307700</v>
      </c>
      <c r="G1160" s="120" t="n">
        <v>-0.0005610929442724233</v>
      </c>
      <c r="H1160" s="121" t="n">
        <v>33.29519120462555</v>
      </c>
      <c r="I1160" s="118" t="n">
        <v>60.88260963439942</v>
      </c>
      <c r="J1160" s="118" t="n">
        <v>65.67556190490723</v>
      </c>
      <c r="K1160" s="120" t="n">
        <v>0.2339437719769797</v>
      </c>
      <c r="L1160" s="120" t="n">
        <v>-0.1886168565462316</v>
      </c>
      <c r="M1160" s="120" t="n">
        <v>-0.3132319030542846</v>
      </c>
      <c r="N1160" t="n">
        <v>28.00190675579388</v>
      </c>
      <c r="O1160" t="n">
        <v>-0.4150225466430635</v>
      </c>
      <c r="P1160" t="n">
        <v>158.696319345487</v>
      </c>
      <c r="Q1160" t="n">
        <v>165.6332394537556</v>
      </c>
    </row>
    <row r="1161">
      <c r="A1161" s="117" t="n">
        <v>46101</v>
      </c>
      <c r="B1161" s="118" t="n">
        <v>52.47048881037924</v>
      </c>
      <c r="C1161" s="118" t="n">
        <v>53.13454873666556</v>
      </c>
      <c r="D1161" s="118" t="n">
        <v>51.71723069817</v>
      </c>
      <c r="E1161" s="118" t="n">
        <v>51.90554428100586</v>
      </c>
      <c r="F1161" s="119" t="n">
        <v>19566100</v>
      </c>
      <c r="G1161" s="120" t="n">
        <v>-0.02002249376905596</v>
      </c>
      <c r="H1161" s="121" t="n">
        <v>32.62853844619141</v>
      </c>
      <c r="I1161" s="118" t="n">
        <v>60.67579727172851</v>
      </c>
      <c r="J1161" s="118" t="n">
        <v>65.63156856536865</v>
      </c>
      <c r="K1161" s="120" t="n">
        <v>0.2352909360458965</v>
      </c>
      <c r="L1161" s="120" t="n">
        <v>-0.2048627704803518</v>
      </c>
      <c r="M1161" s="120" t="n">
        <v>-0.3269827129961667</v>
      </c>
      <c r="N1161" t="n">
        <v>25.53533255049773</v>
      </c>
      <c r="O1161" t="n">
        <v>-0.408373970681974</v>
      </c>
      <c r="P1161" t="n">
        <v>156.4212825659496</v>
      </c>
      <c r="Q1161" t="n">
        <v>162.572054370185</v>
      </c>
    </row>
    <row r="1162">
      <c r="A1162" s="117" t="n">
        <v>46104</v>
      </c>
      <c r="B1162" s="118" t="n">
        <v>52.80747537109458</v>
      </c>
      <c r="C1162" s="118" t="n">
        <v>53.08499471090233</v>
      </c>
      <c r="D1162" s="118" t="n">
        <v>52.06412688318676</v>
      </c>
      <c r="E1162" s="118" t="n">
        <v>52.24253082275391</v>
      </c>
      <c r="F1162" s="119" t="n">
        <v>15242700</v>
      </c>
      <c r="G1162" s="120" t="n">
        <v>0.00649230340257434</v>
      </c>
      <c r="H1162" s="121" t="n">
        <v>32.84037281736664</v>
      </c>
      <c r="I1162" s="118" t="n">
        <v>60.43555297851562</v>
      </c>
      <c r="J1162" s="118" t="n">
        <v>65.58731355667115</v>
      </c>
      <c r="K1162" s="120" t="n">
        <v>0.2235815631944344</v>
      </c>
      <c r="L1162" s="120" t="n">
        <v>-0.1997004983396279</v>
      </c>
      <c r="M1162" s="120" t="n">
        <v>-0.3226132805737604</v>
      </c>
      <c r="N1162" t="n">
        <v>27.71424963828127</v>
      </c>
      <c r="O1162" t="n">
        <v>-0.3425186843639176</v>
      </c>
      <c r="P1162" t="n">
        <v>158.0637046603698</v>
      </c>
      <c r="Q1162" t="n">
        <v>164.4382142853482</v>
      </c>
    </row>
    <row r="1163">
      <c r="A1163" s="117" t="n">
        <v>46105</v>
      </c>
      <c r="B1163" s="118" t="n">
        <v>51.8956341566726</v>
      </c>
      <c r="C1163" s="118" t="n">
        <v>53.60038115931096</v>
      </c>
      <c r="D1163" s="118" t="n">
        <v>51.80643219070046</v>
      </c>
      <c r="E1163" s="118" t="n">
        <v>53.0156135559082</v>
      </c>
      <c r="F1163" s="119" t="n">
        <v>12073800</v>
      </c>
      <c r="G1163" s="120" t="n">
        <v>0.01479795716209042</v>
      </c>
      <c r="H1163" s="121" t="n">
        <v>33.32634324750511</v>
      </c>
      <c r="I1163" s="118" t="n">
        <v>60.19777397155762</v>
      </c>
      <c r="J1163" s="118" t="n">
        <v>65.54741060256958</v>
      </c>
      <c r="K1163" s="120" t="n">
        <v>0.2220861867020392</v>
      </c>
      <c r="L1163" s="120" t="n">
        <v>-0.1878577005972154</v>
      </c>
      <c r="M1163" s="120" t="n">
        <v>-0.312589340917522</v>
      </c>
      <c r="N1163" t="n">
        <v>32.58760736799432</v>
      </c>
      <c r="O1163" t="n">
        <v>-0.2143947124467904</v>
      </c>
      <c r="P1163" t="n">
        <v>157.5331141282496</v>
      </c>
      <c r="Q1163" t="n">
        <v>163.3139832725526</v>
      </c>
    </row>
    <row r="1164">
      <c r="A1164" s="117" t="n">
        <v>46106</v>
      </c>
      <c r="B1164" s="118" t="n">
        <v>53.28321685225985</v>
      </c>
      <c r="C1164" s="118" t="n">
        <v>53.73914012224481</v>
      </c>
      <c r="D1164" s="118" t="n">
        <v>52.09386232079537</v>
      </c>
      <c r="E1164" s="118" t="n">
        <v>52.51013565063477</v>
      </c>
      <c r="F1164" s="119" t="n">
        <v>13427100</v>
      </c>
      <c r="G1164" s="120" t="n">
        <v>-0.009534510144646013</v>
      </c>
      <c r="H1164" s="121" t="n">
        <v>33.00859288972782</v>
      </c>
      <c r="I1164" s="118" t="n">
        <v>59.95539901733398</v>
      </c>
      <c r="J1164" s="118" t="n">
        <v>65.50434762954711</v>
      </c>
      <c r="K1164" s="120" t="n">
        <v>0.2219682165422532</v>
      </c>
      <c r="L1164" s="120" t="n">
        <v>-0.1956010795897674</v>
      </c>
      <c r="M1164" s="120" t="n">
        <v>-0.3191434648200816</v>
      </c>
      <c r="N1164" t="n">
        <v>31.11072268895263</v>
      </c>
      <c r="O1164" t="n">
        <v>-0.1350645091402045</v>
      </c>
      <c r="P1164" t="n">
        <v>158.4109970614005</v>
      </c>
      <c r="Q1164" t="n">
        <v>164.387874053045</v>
      </c>
    </row>
    <row r="1165">
      <c r="A1165" s="117" t="n">
        <v>46107</v>
      </c>
      <c r="B1165" s="118" t="n">
        <v>52.29208695461357</v>
      </c>
      <c r="C1165" s="118" t="n">
        <v>53.14446049760458</v>
      </c>
      <c r="D1165" s="118" t="n">
        <v>51.40998068180017</v>
      </c>
      <c r="E1165" s="118" t="n">
        <v>51.60820770263672</v>
      </c>
      <c r="F1165" s="119" t="n">
        <v>14486700</v>
      </c>
      <c r="G1165" s="120" t="n">
        <v>-0.01717626391214899</v>
      </c>
      <c r="H1165" s="121" t="n">
        <v>32.44162858688517</v>
      </c>
      <c r="I1165" s="118" t="n">
        <v>59.68198867797852</v>
      </c>
      <c r="J1165" s="118" t="n">
        <v>65.46110614776612</v>
      </c>
      <c r="K1165" s="120" t="n">
        <v>0.2142472194131356</v>
      </c>
      <c r="L1165" s="120" t="n">
        <v>-0.2094176477373813</v>
      </c>
      <c r="M1165" s="120" t="n">
        <v>-0.3308380363546433</v>
      </c>
      <c r="N1165" t="n">
        <v>28.61845522117264</v>
      </c>
      <c r="O1165" t="n">
        <v>-0.1154685912606315</v>
      </c>
      <c r="P1165" t="n">
        <v>155.5819778384886</v>
      </c>
      <c r="Q1165" t="n">
        <v>160.4642750100903</v>
      </c>
    </row>
    <row r="1166">
      <c r="A1166" s="117" t="n">
        <v>46108</v>
      </c>
      <c r="B1166" s="118" t="n">
        <v>51.25139824293279</v>
      </c>
      <c r="C1166" s="118" t="n">
        <v>51.64785227239643</v>
      </c>
      <c r="D1166" s="118" t="n">
        <v>50.74592294718918</v>
      </c>
      <c r="E1166" s="118" t="n">
        <v>50.91441345214844</v>
      </c>
      <c r="F1166" s="119" t="n">
        <v>13077800</v>
      </c>
      <c r="G1166" s="120" t="n">
        <v>-0.01344348663464312</v>
      </c>
      <c r="H1166" s="121" t="n">
        <v>32.00549998657133</v>
      </c>
      <c r="I1166" s="118" t="n">
        <v>59.40907760620117</v>
      </c>
      <c r="J1166" s="118" t="n">
        <v>65.40485744476318</v>
      </c>
      <c r="K1166" s="120" t="n">
        <v>0.2042243289177658</v>
      </c>
      <c r="L1166" s="120" t="n">
        <v>-0.2200458310236084</v>
      </c>
      <c r="M1166" s="120" t="n">
        <v>-0.3398339062693211</v>
      </c>
      <c r="N1166" t="n">
        <v>26.8374340794185</v>
      </c>
      <c r="O1166" t="n">
        <v>-0.1207944340240843</v>
      </c>
      <c r="P1166" t="n">
        <v>152.9290104195838</v>
      </c>
      <c r="Q1166" t="n">
        <v>157.3293396065534</v>
      </c>
    </row>
    <row r="1167">
      <c r="A1167" s="117" t="n">
        <v>46111</v>
      </c>
      <c r="B1167" s="118" t="n">
        <v>50.97388181860143</v>
      </c>
      <c r="C1167" s="118" t="n">
        <v>51.72713992465417</v>
      </c>
      <c r="D1167" s="118" t="n">
        <v>50.4981392599051</v>
      </c>
      <c r="E1167" s="118" t="n">
        <v>50.78556823730469</v>
      </c>
      <c r="F1167" s="119" t="n">
        <v>16869200</v>
      </c>
      <c r="G1167" s="120" t="n">
        <v>-0.002530623572141177</v>
      </c>
      <c r="H1167" s="121" t="n">
        <v>31.92450611386715</v>
      </c>
      <c r="I1167" s="118" t="n">
        <v>59.15288787841797</v>
      </c>
      <c r="J1167" s="118" t="n">
        <v>65.35166303634644</v>
      </c>
      <c r="K1167" s="120" t="n">
        <v>0.2051332113056608</v>
      </c>
      <c r="L1167" s="120" t="n">
        <v>-0.2220196014288098</v>
      </c>
      <c r="M1167" s="120" t="n">
        <v>-0.3415045381476444</v>
      </c>
      <c r="N1167" t="n">
        <v>26.50750993357319</v>
      </c>
      <c r="O1167" t="n">
        <v>-0.1051325214854271</v>
      </c>
      <c r="P1167" t="n">
        <v>152.4177089903085</v>
      </c>
      <c r="Q1167" t="n">
        <v>156.1268129575007</v>
      </c>
    </row>
    <row r="1168">
      <c r="A1168" s="117" t="n">
        <v>46112</v>
      </c>
      <c r="B1168" s="118" t="n">
        <v>51.46944862010977</v>
      </c>
      <c r="C1168" s="118" t="n">
        <v>52.63898385450308</v>
      </c>
      <c r="D1168" s="118" t="n">
        <v>51.23157544495102</v>
      </c>
      <c r="E1168" s="118" t="n">
        <v>52.35155487060547</v>
      </c>
      <c r="F1168" s="119" t="n">
        <v>36422800</v>
      </c>
      <c r="G1168" s="120" t="n">
        <v>0.03083526851532747</v>
      </c>
      <c r="H1168" s="121" t="n">
        <v>32.90890683210745</v>
      </c>
      <c r="I1168" s="118" t="n">
        <v>58.93215324401856</v>
      </c>
      <c r="J1168" s="118" t="n">
        <v>65.30780715942383</v>
      </c>
      <c r="K1168" s="120" t="n">
        <v>0.2371898428460181</v>
      </c>
      <c r="L1168" s="120" t="n">
        <v>-0.1980303669392057</v>
      </c>
      <c r="M1168" s="120" t="n">
        <v>-0.3211996537653024</v>
      </c>
      <c r="N1168" t="n">
        <v>36.69395671939342</v>
      </c>
      <c r="O1168" t="n">
        <v>0.03126291353579225</v>
      </c>
      <c r="P1168" t="n">
        <v>156.848166498459</v>
      </c>
      <c r="Q1168" t="n">
        <v>161.4123152098246</v>
      </c>
    </row>
    <row r="1169">
      <c r="A1169" s="117" t="n">
        <v>46113</v>
      </c>
      <c r="B1169" s="118" t="n">
        <v>46.14707564565088</v>
      </c>
      <c r="C1169" s="118" t="n">
        <v>46.41468155590174</v>
      </c>
      <c r="D1169" s="118" t="n">
        <v>44.16481300456243</v>
      </c>
      <c r="E1169" s="118" t="n">
        <v>44.23419189453125</v>
      </c>
      <c r="F1169" s="119" t="n">
        <v>114225700</v>
      </c>
      <c r="G1169" s="120" t="n">
        <v>-0.155054859328199</v>
      </c>
      <c r="H1169" s="121" t="n">
        <v>27.80622091261023</v>
      </c>
      <c r="I1169" s="118" t="n">
        <v>58.56384010314942</v>
      </c>
      <c r="J1169" s="118" t="n">
        <v>65.23441133499145</v>
      </c>
      <c r="K1169" s="120" t="n">
        <v>0.5812776898732759</v>
      </c>
      <c r="L1169" s="120" t="n">
        <v>-0.3223796555789346</v>
      </c>
      <c r="M1169" s="120" t="n">
        <v>-0.4264509459626561</v>
      </c>
      <c r="N1169" t="n">
        <v>20.68741348026708</v>
      </c>
      <c r="O1169" t="n">
        <v>-0.3818582971383067</v>
      </c>
      <c r="P1169" t="n">
        <v>158.0299376616634</v>
      </c>
      <c r="Q1169" t="n">
        <v>163.4062736984419</v>
      </c>
    </row>
    <row r="1170">
      <c r="A1170" s="117" t="n">
        <v>46114</v>
      </c>
      <c r="B1170" s="118" t="n">
        <v>43.37190511622997</v>
      </c>
      <c r="C1170" s="118" t="n">
        <v>43.94676309951662</v>
      </c>
      <c r="D1170" s="118" t="n">
        <v>42.78713748327485</v>
      </c>
      <c r="E1170" s="118" t="n">
        <v>43.79809188842773</v>
      </c>
      <c r="F1170" s="119" t="n">
        <v>63242600</v>
      </c>
      <c r="G1170" s="120" t="n">
        <v>-0.009858889411686778</v>
      </c>
      <c r="H1170" s="121" t="n">
        <v>27.53208245567587</v>
      </c>
      <c r="I1170" s="118" t="n">
        <v>58.15175338745117</v>
      </c>
      <c r="J1170" s="118" t="n">
        <v>65.15216794967651</v>
      </c>
      <c r="K1170" s="120" t="n">
        <v>0.5813204749878067</v>
      </c>
      <c r="L1170" s="120" t="n">
        <v>-0.329060239617691</v>
      </c>
      <c r="M1170" s="120" t="n">
        <v>-0.4321055026585878</v>
      </c>
      <c r="N1170" t="n">
        <v>20.17815271060219</v>
      </c>
      <c r="O1170" t="n">
        <v>-0.6266788086999031</v>
      </c>
      <c r="P1170" t="n">
        <v>158.1722372252678</v>
      </c>
      <c r="Q1170" t="n">
        <v>163.5936398380228</v>
      </c>
    </row>
    <row r="1171">
      <c r="A1171" s="117" t="n">
        <v>46118</v>
      </c>
      <c r="B1171" s="118" t="n">
        <v>43.76835923952276</v>
      </c>
      <c r="C1171" s="118" t="n">
        <v>43.98640934129222</v>
      </c>
      <c r="D1171" s="118" t="n">
        <v>43.17368195579907</v>
      </c>
      <c r="E1171" s="118" t="n">
        <v>43.63951110839844</v>
      </c>
      <c r="F1171" s="119" t="n">
        <v>26999600</v>
      </c>
      <c r="G1171" s="120" t="n">
        <v>-0.003620723487983701</v>
      </c>
      <c r="H1171" s="121" t="n">
        <v>27.4323963980555</v>
      </c>
      <c r="I1171" s="118" t="n">
        <v>57.73551040649414</v>
      </c>
      <c r="J1171" s="118" t="n">
        <v>65.0783779335022</v>
      </c>
      <c r="K1171" s="120" t="n">
        <v>0.581938341589756</v>
      </c>
      <c r="L1171" s="120" t="n">
        <v>-0.3314895269671293</v>
      </c>
      <c r="M1171" s="120" t="n">
        <v>-0.4341616916038086</v>
      </c>
      <c r="N1171" t="n">
        <v>19.98548986724208</v>
      </c>
      <c r="O1171" t="n">
        <v>-0.7340388503797182</v>
      </c>
      <c r="P1171" t="n">
        <v>158.919892887184</v>
      </c>
      <c r="Q1171" t="n">
        <v>164.5780425680833</v>
      </c>
    </row>
    <row r="1172">
      <c r="A1172" s="117" t="n">
        <v>46119</v>
      </c>
      <c r="B1172" s="118" t="n">
        <v>43.31243846575701</v>
      </c>
      <c r="C1172" s="118" t="n">
        <v>43.48092897155077</v>
      </c>
      <c r="D1172" s="118" t="n">
        <v>41.9843223756015</v>
      </c>
      <c r="E1172" s="118" t="n">
        <v>42.31139373779297</v>
      </c>
      <c r="F1172" s="119" t="n">
        <v>38253000</v>
      </c>
      <c r="G1172" s="120" t="n">
        <v>-0.03043382789753279</v>
      </c>
      <c r="H1172" s="121" t="n">
        <v>26.59752356726018</v>
      </c>
      <c r="I1172" s="118" t="n">
        <v>57.30097564697266</v>
      </c>
      <c r="J1172" s="118" t="n">
        <v>65.00033191680909</v>
      </c>
      <c r="K1172" s="120" t="n">
        <v>0.5853109997404007</v>
      </c>
      <c r="L1172" s="120" t="n">
        <v>-0.3518348596511099</v>
      </c>
      <c r="M1172" s="120" t="n">
        <v>-0.4513823172993694</v>
      </c>
      <c r="N1172" t="n">
        <v>18.40086861605529</v>
      </c>
      <c r="O1172" t="n">
        <v>-0.8225774117395921</v>
      </c>
      <c r="P1172" t="n">
        <v>158.9898177297848</v>
      </c>
      <c r="Q1172" t="n">
        <v>164.6032126842349</v>
      </c>
    </row>
    <row r="1173">
      <c r="A1173" s="117" t="n">
        <v>46120</v>
      </c>
      <c r="B1173" s="118" t="n">
        <v>43.52057494288791</v>
      </c>
      <c r="C1173" s="118" t="n">
        <v>43.90711554238363</v>
      </c>
      <c r="D1173" s="118" t="n">
        <v>42.38077244310726</v>
      </c>
      <c r="E1173" s="118" t="n">
        <v>42.74749374389648</v>
      </c>
      <c r="F1173" s="119" t="n">
        <v>29462900</v>
      </c>
      <c r="G1173" s="120" t="n">
        <v>0.01030691659097926</v>
      </c>
      <c r="H1173" s="121" t="n">
        <v>26.87166202419454</v>
      </c>
      <c r="I1173" s="118" t="n">
        <v>56.87614761352539</v>
      </c>
      <c r="J1173" s="118" t="n">
        <v>64.92310375213623</v>
      </c>
      <c r="K1173" s="120" t="n">
        <v>0.5910581010155374</v>
      </c>
      <c r="L1173" s="120" t="n">
        <v>-0.3451542756123535</v>
      </c>
      <c r="M1173" s="120" t="n">
        <v>-0.4457277606034377</v>
      </c>
      <c r="N1173" t="n">
        <v>20.62633695710507</v>
      </c>
      <c r="O1173" t="n">
        <v>-0.7802146444183258</v>
      </c>
      <c r="P1173" t="n">
        <v>163.039230596502</v>
      </c>
      <c r="Q1173" t="n">
        <v>169.4972025799626</v>
      </c>
    </row>
    <row r="1174">
      <c r="A1174" s="117" t="n">
        <v>46121</v>
      </c>
      <c r="B1174" s="118" t="n">
        <v>42.83669811553343</v>
      </c>
      <c r="C1174" s="118" t="n">
        <v>43.82782946457684</v>
      </c>
      <c r="D1174" s="118" t="n">
        <v>42.34113244101172</v>
      </c>
      <c r="E1174" s="118" t="n">
        <v>43.60977935791016</v>
      </c>
      <c r="F1174" s="119" t="n">
        <v>24147400</v>
      </c>
      <c r="G1174" s="120" t="n">
        <v>0.02017160629766246</v>
      </c>
      <c r="H1174" s="121" t="n">
        <v>27.41370661111044</v>
      </c>
      <c r="I1174" s="118" t="n">
        <v>56.50597991943359</v>
      </c>
      <c r="J1174" s="118" t="n">
        <v>64.84536926269531</v>
      </c>
      <c r="K1174" s="120" t="n">
        <v>0.6020498519184756</v>
      </c>
      <c r="L1174" s="120" t="n">
        <v>-0.3319449854742983</v>
      </c>
      <c r="M1174" s="120" t="n">
        <v>-0.4345471992086064</v>
      </c>
      <c r="N1174" t="n">
        <v>24.98291786374371</v>
      </c>
      <c r="O1174" t="n">
        <v>-0.6290497496786456</v>
      </c>
      <c r="P1174" t="n">
        <v>163.9798068034748</v>
      </c>
      <c r="Q1174" t="n">
        <v>170.6438013334523</v>
      </c>
    </row>
    <row r="1175">
      <c r="A1175" s="117" t="n">
        <v>46122</v>
      </c>
      <c r="B1175" s="118" t="n">
        <v>43.44128761038457</v>
      </c>
      <c r="C1175" s="118" t="n">
        <v>43.57013195987964</v>
      </c>
      <c r="D1175" s="118" t="n">
        <v>42.02396951901127</v>
      </c>
      <c r="E1175" s="118" t="n">
        <v>42.24201583862305</v>
      </c>
      <c r="F1175" s="119" t="n">
        <v>26094800</v>
      </c>
      <c r="G1175" s="120" t="n">
        <v>-0.03136368813200652</v>
      </c>
      <c r="H1175" s="121" t="n">
        <v>26.55391166641725</v>
      </c>
      <c r="I1175" s="118" t="n">
        <v>56.12519508361817</v>
      </c>
      <c r="J1175" s="118" t="n">
        <v>64.75768140792847</v>
      </c>
      <c r="K1175" s="120" t="n">
        <v>0.6033587107652171</v>
      </c>
      <c r="L1175" s="120" t="n">
        <v>-0.3460921689845422</v>
      </c>
      <c r="M1175" s="120" t="n">
        <v>-0.4522818845059973</v>
      </c>
      <c r="N1175" t="n">
        <v>22.84133265647635</v>
      </c>
      <c r="O1175" t="n">
        <v>-0.558496897153653</v>
      </c>
      <c r="P1175" t="n">
        <v>163.8712889968804</v>
      </c>
      <c r="Q1175" t="n">
        <v>170.8898977440537</v>
      </c>
    </row>
    <row r="1176">
      <c r="A1176" s="117" t="n">
        <v>46125</v>
      </c>
      <c r="B1176" s="118" t="n">
        <v>41.85547603452363</v>
      </c>
      <c r="C1176" s="118" t="n">
        <v>42.59882453952412</v>
      </c>
      <c r="D1176" s="118" t="n">
        <v>41.7167182518621</v>
      </c>
      <c r="E1176" s="118" t="n">
        <v>42.52944564819336</v>
      </c>
      <c r="F1176" s="119" t="n">
        <v>21236700</v>
      </c>
      <c r="G1176" s="120" t="n">
        <v>0.00680435826425474</v>
      </c>
      <c r="H1176" s="121" t="n">
        <v>26.73459399471292</v>
      </c>
      <c r="I1176" s="118" t="n">
        <v>55.74306983947754</v>
      </c>
      <c r="J1176" s="118" t="n">
        <v>64.67430191040039</v>
      </c>
      <c r="K1176" s="120" t="n">
        <v>0.6060702503595126</v>
      </c>
      <c r="L1176" s="120" t="n">
        <v>-0.3416427458305112</v>
      </c>
      <c r="M1176" s="120" t="n">
        <v>-0.4485550142203537</v>
      </c>
      <c r="N1176" t="n">
        <v>24.30971055357432</v>
      </c>
      <c r="O1176" t="n">
        <v>-0.4352651092712789</v>
      </c>
      <c r="P1176" t="n">
        <v>165.4727125238154</v>
      </c>
      <c r="Q1176" t="n">
        <v>172.6573251873064</v>
      </c>
    </row>
    <row r="1177">
      <c r="A1177" s="117" t="n">
        <v>46126</v>
      </c>
      <c r="B1177" s="118" t="n">
        <v>42.60873826434926</v>
      </c>
      <c r="C1177" s="118" t="n">
        <v>43.81791593650846</v>
      </c>
      <c r="D1177" s="118" t="n">
        <v>42.5690921030677</v>
      </c>
      <c r="E1177" s="118" t="n">
        <v>43.80800628662109</v>
      </c>
      <c r="F1177" s="119" t="n">
        <v>22554100</v>
      </c>
      <c r="G1177" s="120" t="n">
        <v>0.03006295094942169</v>
      </c>
      <c r="H1177" s="121" t="n">
        <v>27.53831478262868</v>
      </c>
      <c r="I1177" s="118" t="n">
        <v>55.40207237243652</v>
      </c>
      <c r="J1177" s="118" t="n">
        <v>64.58899354934692</v>
      </c>
      <c r="K1177" s="120" t="n">
        <v>0.6167877189811776</v>
      </c>
      <c r="L1177" s="120" t="n">
        <v>-0.321850583991218</v>
      </c>
      <c r="M1177" s="120" t="n">
        <v>-0.4319769506615556</v>
      </c>
      <c r="N1177" t="n">
        <v>30.63349609691286</v>
      </c>
      <c r="O1177" t="n">
        <v>-0.2212314879546917</v>
      </c>
      <c r="P1177" t="n">
        <v>167.4889772074974</v>
      </c>
      <c r="Q1177" t="n">
        <v>175.7922605908433</v>
      </c>
    </row>
    <row r="1178">
      <c r="A1178" s="117" t="n">
        <v>46127</v>
      </c>
      <c r="B1178" s="118" t="n">
        <v>44.69011192421851</v>
      </c>
      <c r="C1178" s="118" t="n">
        <v>45.49292966448566</v>
      </c>
      <c r="D1178" s="118" t="n">
        <v>44.31348095930559</v>
      </c>
      <c r="E1178" s="118" t="n">
        <v>45.03700637817383</v>
      </c>
      <c r="F1178" s="119" t="n">
        <v>31523500</v>
      </c>
      <c r="G1178" s="120" t="n">
        <v>0.02805423473307145</v>
      </c>
      <c r="H1178" s="121" t="n">
        <v>28.31088112969376</v>
      </c>
      <c r="I1178" s="118" t="n">
        <v>55.07836891174316</v>
      </c>
      <c r="J1178" s="118" t="n">
        <v>64.46359886169434</v>
      </c>
      <c r="K1178" s="120" t="n">
        <v>0.6291657498657375</v>
      </c>
      <c r="L1178" s="120" t="n">
        <v>-0.3028256210904122</v>
      </c>
      <c r="M1178" s="120" t="n">
        <v>-0.4160414987016199</v>
      </c>
      <c r="N1178" t="n">
        <v>36.15525444339097</v>
      </c>
      <c r="O1178" t="n">
        <v>0.03583636032391091</v>
      </c>
      <c r="P1178" t="n">
        <v>168.8106275725108</v>
      </c>
      <c r="Q1178" t="n">
        <v>178.253258872167</v>
      </c>
    </row>
    <row r="1179">
      <c r="A1179" s="117" t="n">
        <v>46128</v>
      </c>
      <c r="B1179" s="118" t="n">
        <v>45.39381223902274</v>
      </c>
      <c r="C1179" s="118" t="n">
        <v>46.07769524756912</v>
      </c>
      <c r="D1179" s="118" t="n">
        <v>45.14602941699656</v>
      </c>
      <c r="E1179" s="118" t="n">
        <v>45.29470062255859</v>
      </c>
      <c r="F1179" s="119" t="n">
        <v>21766300</v>
      </c>
      <c r="G1179" s="120" t="n">
        <v>0.005721833334589643</v>
      </c>
      <c r="H1179" s="121" t="n">
        <v>28.47287127307325</v>
      </c>
      <c r="I1179" s="118" t="n">
        <v>54.78443420410157</v>
      </c>
      <c r="J1179" s="118" t="n">
        <v>64.34435909271241</v>
      </c>
      <c r="K1179" s="120" t="n">
        <v>0.6260028314282122</v>
      </c>
      <c r="L1179" s="120" t="n">
        <v>-0.2988365054891455</v>
      </c>
      <c r="M1179" s="120" t="n">
        <v>-0.4127001854828738</v>
      </c>
      <c r="N1179" t="n">
        <v>37.28258996657889</v>
      </c>
      <c r="O1179" t="n">
        <v>0.244333158626715</v>
      </c>
      <c r="P1179" t="n">
        <v>169.2254539709541</v>
      </c>
      <c r="Q1179" t="n">
        <v>179.1117939338141</v>
      </c>
    </row>
    <row r="1180">
      <c r="A1180" s="117" t="n">
        <v>46129</v>
      </c>
      <c r="B1180" s="118" t="n">
        <v>45.96867099143482</v>
      </c>
      <c r="C1180" s="118" t="n">
        <v>46.36512124497474</v>
      </c>
      <c r="D1180" s="118" t="n">
        <v>45.37398993982613</v>
      </c>
      <c r="E1180" s="118" t="n">
        <v>45.62177276611328</v>
      </c>
      <c r="F1180" s="119" t="n">
        <v>31290400</v>
      </c>
      <c r="G1180" s="120" t="n">
        <v>0.007220980358832341</v>
      </c>
      <c r="H1180" s="121" t="n">
        <v>28.67847331729567</v>
      </c>
      <c r="I1180" s="118" t="n">
        <v>54.43225448608398</v>
      </c>
      <c r="J1180" s="118" t="n">
        <v>64.21522113800049</v>
      </c>
      <c r="K1180" s="120" t="n">
        <v>0.6276746251032037</v>
      </c>
      <c r="L1180" s="120" t="n">
        <v>-0.2937734176669523</v>
      </c>
      <c r="M1180" s="120" t="n">
        <v>-0.4084593050574997</v>
      </c>
      <c r="N1180" t="n">
        <v>38.76061694206481</v>
      </c>
      <c r="O1180" t="n">
        <v>0.415327467844218</v>
      </c>
      <c r="P1180" t="n">
        <v>171.2706596880553</v>
      </c>
      <c r="Q1180" t="n">
        <v>181.4553145854416</v>
      </c>
    </row>
    <row r="1181">
      <c r="A1181" s="117" t="n">
        <v>46132</v>
      </c>
      <c r="B1181" s="118" t="n">
        <v>45.57221769511245</v>
      </c>
      <c r="C1181" s="118" t="n">
        <v>46.14707567622461</v>
      </c>
      <c r="D1181" s="118" t="n">
        <v>45.16585400465473</v>
      </c>
      <c r="E1181" s="118" t="n">
        <v>46.06778335571289</v>
      </c>
      <c r="F1181" s="119" t="n">
        <v>19003100</v>
      </c>
      <c r="G1181" s="120" t="n">
        <v>0.009776266079929652</v>
      </c>
      <c r="H1181" s="121" t="n">
        <v>28.95884170321172</v>
      </c>
      <c r="I1181" s="118" t="n">
        <v>54.11892669677734</v>
      </c>
      <c r="J1181" s="118" t="n">
        <v>64.07381120681762</v>
      </c>
      <c r="K1181" s="120" t="n">
        <v>0.6281532818918861</v>
      </c>
      <c r="L1181" s="120" t="n">
        <v>-0.2868691586853451</v>
      </c>
      <c r="M1181" s="120" t="n">
        <v>-0.4026762458266353</v>
      </c>
      <c r="N1181" t="n">
        <v>40.80911417125444</v>
      </c>
      <c r="O1181" t="n">
        <v>0.5604958976564802</v>
      </c>
      <c r="P1181" t="n">
        <v>170.9281637357045</v>
      </c>
      <c r="Q1181" t="n">
        <v>180.8792213770669</v>
      </c>
    </row>
    <row r="1182">
      <c r="A1182" s="117" t="n">
        <v>46133</v>
      </c>
      <c r="B1182" s="118" t="n">
        <v>46.35521142809223</v>
      </c>
      <c r="C1182" s="118" t="n">
        <v>46.55343844457923</v>
      </c>
      <c r="D1182" s="118" t="n">
        <v>45.52266098353952</v>
      </c>
      <c r="E1182" s="118" t="n">
        <v>45.97858047485352</v>
      </c>
      <c r="F1182" s="119" t="n">
        <v>22194000</v>
      </c>
      <c r="G1182" s="120" t="n">
        <v>-0.001936339766352435</v>
      </c>
      <c r="H1182" s="121" t="n">
        <v>28.90276754643428</v>
      </c>
      <c r="I1182" s="118" t="n">
        <v>53.77979080200195</v>
      </c>
      <c r="J1182" s="118" t="n">
        <v>63.93195526123047</v>
      </c>
      <c r="K1182" s="120" t="n">
        <v>0.6267944045707462</v>
      </c>
      <c r="L1182" s="120" t="n">
        <v>-0.288250022291995</v>
      </c>
      <c r="M1182" s="120" t="n">
        <v>-0.4038328675652282</v>
      </c>
      <c r="N1182" t="n">
        <v>40.51719518573596</v>
      </c>
      <c r="O1182" t="n">
        <v>0.6464336407618818</v>
      </c>
      <c r="P1182" t="n">
        <v>169.8091153629293</v>
      </c>
      <c r="Q1182" t="n">
        <v>180.1912723775662</v>
      </c>
    </row>
    <row r="1183">
      <c r="A1183" s="117" t="n">
        <v>46134</v>
      </c>
      <c r="B1183" s="118" t="n">
        <v>45.89929325209091</v>
      </c>
      <c r="C1183" s="118" t="n">
        <v>46.5336166983341</v>
      </c>
      <c r="D1183" s="118" t="n">
        <v>45.09647551370226</v>
      </c>
      <c r="E1183" s="118" t="n">
        <v>45.27487945556641</v>
      </c>
      <c r="F1183" s="119" t="n">
        <v>17985200</v>
      </c>
      <c r="G1183" s="120" t="n">
        <v>-0.01530497488220572</v>
      </c>
      <c r="H1183" s="121" t="n">
        <v>28.46041141510988</v>
      </c>
      <c r="I1183" s="118" t="n">
        <v>53.45631568908691</v>
      </c>
      <c r="J1183" s="118" t="n">
        <v>63.78589954376221</v>
      </c>
      <c r="K1183" s="120" t="n">
        <v>0.6229228753571858</v>
      </c>
      <c r="L1183" s="120" t="n">
        <v>-0.2991433378232266</v>
      </c>
      <c r="M1183" s="120" t="n">
        <v>-0.4129571905527389</v>
      </c>
      <c r="N1183" t="n">
        <v>38.19597289306679</v>
      </c>
      <c r="O1183" t="n">
        <v>0.6500525497874134</v>
      </c>
      <c r="P1183" t="n">
        <v>171.5287233853365</v>
      </c>
      <c r="Q1183" t="n">
        <v>183.2059790389151</v>
      </c>
    </row>
    <row r="1184">
      <c r="A1184" s="117" t="n">
        <v>46135</v>
      </c>
      <c r="B1184" s="118" t="n">
        <v>45.1757663387775</v>
      </c>
      <c r="C1184" s="118" t="n">
        <v>45.34425684447689</v>
      </c>
      <c r="D1184" s="118" t="n">
        <v>43.84765024936583</v>
      </c>
      <c r="E1184" s="118" t="n">
        <v>44.38285827636719</v>
      </c>
      <c r="F1184" s="119" t="n">
        <v>17457500</v>
      </c>
      <c r="G1184" s="120" t="n">
        <v>-0.01970234244521107</v>
      </c>
      <c r="H1184" s="121" t="n">
        <v>27.89967464327779</v>
      </c>
      <c r="I1184" s="118" t="n">
        <v>53.10259422302246</v>
      </c>
      <c r="J1184" s="118" t="n">
        <v>63.64808517456055</v>
      </c>
      <c r="K1184" s="120" t="n">
        <v>0.6245010573872826</v>
      </c>
      <c r="L1184" s="120" t="n">
        <v>-0.3129518557864409</v>
      </c>
      <c r="M1184" s="120" t="n">
        <v>-0.4245233090144677</v>
      </c>
      <c r="N1184" t="n">
        <v>35.42543425575009</v>
      </c>
      <c r="O1184" t="n">
        <v>0.5883861452929886</v>
      </c>
      <c r="P1184" t="n">
        <v>170.8630648583908</v>
      </c>
      <c r="Q1184" t="n">
        <v>182.1740384520089</v>
      </c>
    </row>
    <row r="1185">
      <c r="A1185" s="117" t="n">
        <v>46136</v>
      </c>
      <c r="B1185" s="118" t="n">
        <v>44.58108437316442</v>
      </c>
      <c r="C1185" s="118" t="n">
        <v>45.01718077380956</v>
      </c>
      <c r="D1185" s="118" t="n">
        <v>44.19454378018212</v>
      </c>
      <c r="E1185" s="118" t="n">
        <v>44.29365539550781</v>
      </c>
      <c r="F1185" s="119" t="n">
        <v>15885000</v>
      </c>
      <c r="G1185" s="120" t="n">
        <v>-0.002009849845720169</v>
      </c>
      <c r="H1185" s="121" t="n">
        <v>27.84360048650035</v>
      </c>
      <c r="I1185" s="118" t="n">
        <v>52.76067611694336</v>
      </c>
      <c r="J1185" s="118" t="n">
        <v>63.51157669067383</v>
      </c>
      <c r="K1185" s="120" t="n">
        <v>0.623727967311364</v>
      </c>
      <c r="L1185" s="120" t="n">
        <v>-0.3143327193930908</v>
      </c>
      <c r="M1185" s="120" t="n">
        <v>-0.4256799307530604</v>
      </c>
      <c r="N1185" t="n">
        <v>35.15085299117045</v>
      </c>
      <c r="O1185" t="n">
        <v>0.538925763120178</v>
      </c>
      <c r="P1185" t="n">
        <v>172.1871355851996</v>
      </c>
      <c r="Q1185" t="n">
        <v>185.6585701938663</v>
      </c>
    </row>
    <row r="1186">
      <c r="A1186" s="117" t="n">
        <v>46139</v>
      </c>
      <c r="B1186" s="118" t="n">
        <v>44.2044541791922</v>
      </c>
      <c r="C1186" s="118" t="n">
        <v>45.00727188806503</v>
      </c>
      <c r="D1186" s="118" t="n">
        <v>44.09543291283096</v>
      </c>
      <c r="E1186" s="118" t="n">
        <v>44.73966598510742</v>
      </c>
      <c r="F1186" s="119" t="n">
        <v>14583100</v>
      </c>
      <c r="G1186" s="120" t="n">
        <v>0.01006940126338818</v>
      </c>
      <c r="H1186" s="121" t="n">
        <v>28.12396887241639</v>
      </c>
      <c r="I1186" s="118" t="n">
        <v>52.45229309082031</v>
      </c>
      <c r="J1186" s="118" t="n">
        <v>63.37213979721069</v>
      </c>
      <c r="K1186" s="120" t="n">
        <v>0.6259939840414412</v>
      </c>
      <c r="L1186" s="120" t="n">
        <v>-0.3074284604114838</v>
      </c>
      <c r="M1186" s="120" t="n">
        <v>-0.4198968715221961</v>
      </c>
      <c r="N1186" t="n">
        <v>37.7489385700629</v>
      </c>
      <c r="O1186" t="n">
        <v>0.5326364267323203</v>
      </c>
      <c r="P1186" t="n">
        <v>172.4837774881707</v>
      </c>
      <c r="Q1186" t="n">
        <v>185.7564482830154</v>
      </c>
    </row>
    <row r="1187">
      <c r="A1187" s="117" t="n">
        <v>46140</v>
      </c>
      <c r="B1187" s="118" t="n">
        <v>44.97754016627945</v>
      </c>
      <c r="C1187" s="118" t="n">
        <v>45.30461153441868</v>
      </c>
      <c r="D1187" s="118" t="n">
        <v>44.35312637872973</v>
      </c>
      <c r="E1187" s="118" t="n">
        <v>44.63064193725586</v>
      </c>
      <c r="F1187" s="119" t="n">
        <v>12426000</v>
      </c>
      <c r="G1187" s="120" t="n">
        <v>-0.00243685430928009</v>
      </c>
      <c r="H1187" s="121" t="n">
        <v>28.05543485767559</v>
      </c>
      <c r="I1187" s="118" t="n">
        <v>52.10175498962403</v>
      </c>
      <c r="J1187" s="118" t="n">
        <v>63.24184204101562</v>
      </c>
      <c r="K1187" s="120" t="n">
        <v>0.6260002492040004</v>
      </c>
      <c r="L1187" s="120" t="n">
        <v>-0.3091161563522148</v>
      </c>
      <c r="M1187" s="120" t="n">
        <v>-0.4213104983306541</v>
      </c>
      <c r="N1187" t="n">
        <v>37.35497196076879</v>
      </c>
      <c r="O1187" t="n">
        <v>0.5171005628286167</v>
      </c>
      <c r="P1187" t="n">
        <v>171.6444727607097</v>
      </c>
      <c r="Q1187" t="n">
        <v>183.8883403751561</v>
      </c>
    </row>
    <row r="1188">
      <c r="A1188" s="117" t="n">
        <v>46141</v>
      </c>
      <c r="B1188" s="118" t="n">
        <v>44.52161720838121</v>
      </c>
      <c r="C1188" s="118" t="n">
        <v>44.75949038945037</v>
      </c>
      <c r="D1188" s="118" t="n">
        <v>43.75844941693546</v>
      </c>
      <c r="E1188" s="118" t="n">
        <v>43.99631881713867</v>
      </c>
      <c r="F1188" s="119" t="n">
        <v>13329700</v>
      </c>
      <c r="G1188" s="120" t="n">
        <v>-0.01421272678553342</v>
      </c>
      <c r="H1188" s="121" t="n">
        <v>27.65669062719411</v>
      </c>
      <c r="I1188" s="118" t="n">
        <v>51.70525108337402</v>
      </c>
      <c r="J1188" s="118" t="n">
        <v>63.11022192001343</v>
      </c>
      <c r="K1188" s="120" t="n">
        <v>0.6114453695619754</v>
      </c>
      <c r="L1188" s="120" t="n">
        <v>-0.31893549966252</v>
      </c>
      <c r="M1188" s="120" t="n">
        <v>-0.429535254111537</v>
      </c>
      <c r="N1188" t="n">
        <v>35.0621707994014</v>
      </c>
      <c r="O1188" t="n">
        <v>0.4618816338916418</v>
      </c>
      <c r="P1188" t="n">
        <v>171.6179520890859</v>
      </c>
      <c r="Q1188" t="n">
        <v>185.0125543002965</v>
      </c>
    </row>
    <row r="1189">
      <c r="A1189" s="117" t="n">
        <v>46142</v>
      </c>
      <c r="B1189" s="118" t="n">
        <v>43.69898114981162</v>
      </c>
      <c r="C1189" s="118" t="n">
        <v>44.41259692804836</v>
      </c>
      <c r="D1189" s="118" t="n">
        <v>43.12412315492845</v>
      </c>
      <c r="E1189" s="118" t="n">
        <v>43.96658706665039</v>
      </c>
      <c r="F1189" s="119" t="n">
        <v>21679500</v>
      </c>
      <c r="G1189" s="120" t="n">
        <v>-0.0006757781397996876</v>
      </c>
      <c r="H1189" s="121" t="n">
        <v>27.63800084024906</v>
      </c>
      <c r="I1189" s="118" t="n">
        <v>51.29377731323243</v>
      </c>
      <c r="J1189" s="118" t="n">
        <v>62.97971843719483</v>
      </c>
      <c r="K1189" s="120" t="n">
        <v>0.2673817672124653</v>
      </c>
      <c r="L1189" s="120" t="n">
        <v>-0.3193957481636416</v>
      </c>
      <c r="M1189" s="120" t="n">
        <v>-0.4299207617163349</v>
      </c>
      <c r="N1189" t="n">
        <v>34.95387591544322</v>
      </c>
      <c r="O1189" t="n">
        <v>0.4222156831817294</v>
      </c>
      <c r="P1189" t="n">
        <v>173.3254878191235</v>
      </c>
      <c r="Q1189" t="n">
        <v>186.7380315499632</v>
      </c>
    </row>
    <row r="1190">
      <c r="A1190" s="117" t="n">
        <v>46143</v>
      </c>
      <c r="B1190" s="118" t="n">
        <v>44.42250656527431</v>
      </c>
      <c r="C1190" s="118" t="n">
        <v>44.5612643485884</v>
      </c>
      <c r="D1190" s="118" t="n">
        <v>43.82782927082362</v>
      </c>
      <c r="E1190" s="118" t="n">
        <v>44.00623321533203</v>
      </c>
      <c r="F1190" s="119" t="n">
        <v>11562800</v>
      </c>
      <c r="G1190" s="120" t="n">
        <v>0.0009017335965044726</v>
      </c>
      <c r="H1190" s="121" t="n">
        <v>27.66292295414693</v>
      </c>
      <c r="I1190" s="118" t="n">
        <v>50.88191513061523</v>
      </c>
      <c r="J1190" s="118" t="n">
        <v>62.84887786865234</v>
      </c>
      <c r="K1190" s="120" t="n">
        <v>0.2649262501297635</v>
      </c>
      <c r="L1190" s="120" t="n">
        <v>-0.3187820244438369</v>
      </c>
      <c r="M1190" s="120" t="n">
        <v>-0.4294067021145047</v>
      </c>
      <c r="N1190" t="n">
        <v>35.24110853197759</v>
      </c>
      <c r="O1190" t="n">
        <v>0.3978426130925499</v>
      </c>
      <c r="P1190" t="n">
        <v>173.8054426114878</v>
      </c>
      <c r="Q1190" t="n">
        <v>188.5306461970228</v>
      </c>
    </row>
    <row r="1191">
      <c r="A1191" s="117" t="n">
        <v>46146</v>
      </c>
      <c r="B1191" s="118" t="n">
        <v>43.79809050589887</v>
      </c>
      <c r="C1191" s="118" t="n">
        <v>43.9467617122948</v>
      </c>
      <c r="D1191" s="118" t="n">
        <v>42.70784759521484</v>
      </c>
      <c r="E1191" s="118" t="n">
        <v>42.70784759521484</v>
      </c>
      <c r="F1191" s="119" t="n">
        <v>33272400</v>
      </c>
      <c r="G1191" s="120" t="n">
        <v>-0.0295045843565821</v>
      </c>
      <c r="H1191" s="121" t="n">
        <v>26.84673991029667</v>
      </c>
      <c r="I1191" s="118" t="n">
        <v>50.44822036743164</v>
      </c>
      <c r="J1191" s="118" t="n">
        <v>62.70726287841797</v>
      </c>
      <c r="K1191" s="120" t="n">
        <v>0.285249722012851</v>
      </c>
      <c r="L1191" s="120" t="n">
        <v>-0.3388810776688538</v>
      </c>
      <c r="M1191" s="120" t="n">
        <v>-0.4462418202052677</v>
      </c>
      <c r="N1191" t="n">
        <v>30.49225051324187</v>
      </c>
      <c r="O1191" t="n">
        <v>0.2980356755236984</v>
      </c>
      <c r="P1191" t="n">
        <v>173.1687251179613</v>
      </c>
      <c r="Q1191" t="n">
        <v>188.1754792830978</v>
      </c>
    </row>
    <row r="1192">
      <c r="A1192" s="117" t="n">
        <v>46147</v>
      </c>
      <c r="B1192" s="118" t="n">
        <v>42.65829276469492</v>
      </c>
      <c r="C1192" s="118" t="n">
        <v>42.91598524337447</v>
      </c>
      <c r="D1192" s="118" t="n">
        <v>42.27175215624262</v>
      </c>
      <c r="E1192" s="118" t="n">
        <v>42.67811584472656</v>
      </c>
      <c r="F1192" s="119" t="n">
        <v>18589700</v>
      </c>
      <c r="G1192" s="120" t="n">
        <v>-0.0006961659779738394</v>
      </c>
      <c r="H1192" s="121" t="n">
        <v>26.82805012335161</v>
      </c>
      <c r="I1192" s="118" t="n">
        <v>50.05941940307617</v>
      </c>
      <c r="J1192" s="118" t="n">
        <v>62.56798114776611</v>
      </c>
      <c r="K1192" s="120" t="n">
        <v>0.2631199523704424</v>
      </c>
      <c r="L1192" s="120" t="n">
        <v>-0.3393413261699754</v>
      </c>
      <c r="M1192" s="120" t="n">
        <v>-0.4466273278100655</v>
      </c>
      <c r="N1192" t="n">
        <v>30.39125786379043</v>
      </c>
      <c r="O1192" t="n">
        <v>0.2364635383679674</v>
      </c>
      <c r="P1192" t="n">
        <v>174.5579242386911</v>
      </c>
      <c r="Q1192" t="n">
        <v>190.6168780238742</v>
      </c>
    </row>
    <row r="1193">
      <c r="A1193" s="117" t="n">
        <v>46148</v>
      </c>
      <c r="B1193" s="118" t="n">
        <v>43.24305809592846</v>
      </c>
      <c r="C1193" s="118" t="n">
        <v>43.67915449086552</v>
      </c>
      <c r="D1193" s="118" t="n">
        <v>42.81687135004795</v>
      </c>
      <c r="E1193" s="118" t="n">
        <v>43.49084091186523</v>
      </c>
      <c r="F1193" s="119" t="n">
        <v>19406700</v>
      </c>
      <c r="G1193" s="120" t="n">
        <v>0.01904313372444943</v>
      </c>
      <c r="H1193" s="121" t="n">
        <v>27.33894026941683</v>
      </c>
      <c r="I1193" s="118" t="n">
        <v>49.66718116760254</v>
      </c>
      <c r="J1193" s="118" t="n">
        <v>62.42522001266479</v>
      </c>
      <c r="K1193" s="120" t="n">
        <v>0.2691690228654937</v>
      </c>
      <c r="L1193" s="120" t="n">
        <v>-0.3267603146980128</v>
      </c>
      <c r="M1193" s="120" t="n">
        <v>-0.4360893780140968</v>
      </c>
      <c r="N1193" t="n">
        <v>36.57522380348802</v>
      </c>
      <c r="O1193" t="n">
        <v>0.2553086242854674</v>
      </c>
      <c r="P1193" t="n">
        <v>176.9841745972257</v>
      </c>
      <c r="Q1193" t="n">
        <v>194.5768225094999</v>
      </c>
    </row>
    <row r="1194">
      <c r="A1194" s="117" t="n">
        <v>46149</v>
      </c>
      <c r="B1194" s="118" t="n">
        <v>43.65933211846881</v>
      </c>
      <c r="C1194" s="118" t="n">
        <v>44.2440997247781</v>
      </c>
      <c r="D1194" s="118" t="n">
        <v>43.61968595986952</v>
      </c>
      <c r="E1194" s="118" t="n">
        <v>44.01613998413086</v>
      </c>
      <c r="F1194" s="119" t="n">
        <v>17177700</v>
      </c>
      <c r="G1194" s="120" t="n">
        <v>0.01207838389076343</v>
      </c>
      <c r="H1194" s="121" t="n">
        <v>27.66915048515749</v>
      </c>
      <c r="I1194" s="118" t="n">
        <v>49.29903617858886</v>
      </c>
      <c r="J1194" s="118" t="n">
        <v>62.27841835021972</v>
      </c>
      <c r="K1194" s="120" t="n">
        <v>0.2629852857025594</v>
      </c>
      <c r="L1194" s="120" t="n">
        <v>-0.3186286673284386</v>
      </c>
      <c r="M1194" s="120" t="n">
        <v>-0.4292782490416718</v>
      </c>
      <c r="N1194" t="n">
        <v>40.26884118657664</v>
      </c>
      <c r="O1194" t="n">
        <v>0.3046450216293</v>
      </c>
      <c r="P1194" t="n">
        <v>176.4415265310394</v>
      </c>
      <c r="Q1194" t="n">
        <v>194.3447038008755</v>
      </c>
    </row>
    <row r="1195">
      <c r="A1195" s="117" t="n">
        <v>46150</v>
      </c>
      <c r="B1195" s="118" t="n">
        <v>43.8674698540947</v>
      </c>
      <c r="C1195" s="118" t="n">
        <v>44.26392388806487</v>
      </c>
      <c r="D1195" s="118" t="n">
        <v>43.41155036163511</v>
      </c>
      <c r="E1195" s="118" t="n">
        <v>43.74853515625</v>
      </c>
      <c r="F1195" s="119" t="n">
        <v>17357100</v>
      </c>
      <c r="G1195" s="120" t="n">
        <v>-0.006079697764895808</v>
      </c>
      <c r="H1195" s="121" t="n">
        <v>27.50093041279631</v>
      </c>
      <c r="I1195" s="118" t="n">
        <v>48.9147085571289</v>
      </c>
      <c r="J1195" s="118" t="n">
        <v>62.12366024017334</v>
      </c>
      <c r="K1195" s="120" t="n">
        <v>0.236182384638457</v>
      </c>
      <c r="L1195" s="120" t="n">
        <v>-0.3227711990967461</v>
      </c>
      <c r="M1195" s="120" t="n">
        <v>-0.4327480647953506</v>
      </c>
      <c r="N1195" t="n">
        <v>39.02210198446191</v>
      </c>
      <c r="O1195" t="n">
        <v>0.3192108646200795</v>
      </c>
      <c r="P1195" t="n">
        <v>177.8982448908783</v>
      </c>
      <c r="Q1195" t="n">
        <v>198.9003068601127</v>
      </c>
    </row>
    <row r="1196">
      <c r="A1196" s="117" t="n">
        <v>46153</v>
      </c>
      <c r="B1196" s="118" t="n">
        <v>43.67915812346727</v>
      </c>
      <c r="C1196" s="118" t="n">
        <v>43.67915812346727</v>
      </c>
      <c r="D1196" s="118" t="n">
        <v>42.01405715942383</v>
      </c>
      <c r="E1196" s="118" t="n">
        <v>42.01405715942383</v>
      </c>
      <c r="F1196" s="119" t="n">
        <v>24863800</v>
      </c>
      <c r="G1196" s="120" t="n">
        <v>-0.03964653880710289</v>
      </c>
      <c r="H1196" s="121" t="n">
        <v>26.41061370795395</v>
      </c>
      <c r="I1196" s="118" t="n">
        <v>48.53054611206055</v>
      </c>
      <c r="J1196" s="118" t="n">
        <v>61.96670217514038</v>
      </c>
      <c r="K1196" s="120" t="n">
        <v>0.2772635218223206</v>
      </c>
      <c r="L1196" s="120" t="n">
        <v>-0.3496209770330447</v>
      </c>
      <c r="M1196" s="120" t="n">
        <v>-0.4552376406578459</v>
      </c>
      <c r="N1196" t="n">
        <v>32.08775787521444</v>
      </c>
      <c r="O1196" t="n">
        <v>0.2168796673123761</v>
      </c>
      <c r="P1196" t="n">
        <v>178.3034193587473</v>
      </c>
      <c r="Q1196" t="n">
        <v>199.4764000684874</v>
      </c>
    </row>
    <row r="1197">
      <c r="A1197" s="117" t="n">
        <v>46154</v>
      </c>
      <c r="B1197" s="118" t="n">
        <v>41.9248551995918</v>
      </c>
      <c r="C1197" s="118" t="n">
        <v>42.13299187494307</v>
      </c>
      <c r="D1197" s="118" t="n">
        <v>41.6869857937235</v>
      </c>
      <c r="E1197" s="118" t="n">
        <v>41.97441101074219</v>
      </c>
      <c r="F1197" s="119" t="n">
        <v>21271300</v>
      </c>
      <c r="G1197" s="120" t="n">
        <v>-0.0009436400900584285</v>
      </c>
      <c r="H1197" s="121" t="n">
        <v>26.38569159405608</v>
      </c>
      <c r="I1197" s="118" t="n">
        <v>48.1606559753418</v>
      </c>
      <c r="J1197" s="118" t="n">
        <v>61.80540937423706</v>
      </c>
      <c r="K1197" s="120" t="n">
        <v>0.2527465233415218</v>
      </c>
      <c r="L1197" s="120" t="n">
        <v>-0.3502347007528493</v>
      </c>
      <c r="M1197" s="120" t="n">
        <v>-0.455751700259676</v>
      </c>
      <c r="N1197" t="n">
        <v>31.948006725114</v>
      </c>
      <c r="O1197" t="n">
        <v>0.1543099367550438</v>
      </c>
      <c r="P1197" t="n">
        <v>178.0332981274001</v>
      </c>
      <c r="Q1197" t="n">
        <v>197.7844829736895</v>
      </c>
    </row>
    <row r="1198">
      <c r="A1198" s="117" t="n">
        <v>46155</v>
      </c>
      <c r="B1198" s="118" t="n">
        <v>41.82574264676562</v>
      </c>
      <c r="C1198" s="118" t="n">
        <v>42.23210633854384</v>
      </c>
      <c r="D1198" s="118" t="n">
        <v>41.33017698455481</v>
      </c>
      <c r="E1198" s="118" t="n">
        <v>41.96450042724609</v>
      </c>
      <c r="F1198" s="119" t="n">
        <v>21325200</v>
      </c>
      <c r="G1198" s="120" t="n">
        <v>-0.0002361101265615506</v>
      </c>
      <c r="H1198" s="121" t="n">
        <v>26.37946166507439</v>
      </c>
      <c r="I1198" s="118" t="n">
        <v>47.82268020629883</v>
      </c>
      <c r="J1198" s="118" t="n">
        <v>61.62961366653442</v>
      </c>
      <c r="K1198" s="120" t="n">
        <v>0.2267170872282658</v>
      </c>
      <c r="L1198" s="120" t="n">
        <v>-0.3503881169198899</v>
      </c>
      <c r="M1198" s="120" t="n">
        <v>-0.4558802027946086</v>
      </c>
      <c r="N1198" t="n">
        <v>31.91059275516713</v>
      </c>
      <c r="O1198" t="n">
        <v>0.1214878826595021</v>
      </c>
      <c r="P1198" t="n">
        <v>179.0293655560232</v>
      </c>
      <c r="Q1198" t="n">
        <v>199.8735342636537</v>
      </c>
    </row>
    <row r="1199">
      <c r="A1199" s="117" t="n">
        <v>46156</v>
      </c>
      <c r="B1199" s="118" t="n">
        <v>42.18255069185571</v>
      </c>
      <c r="C1199" s="118" t="n">
        <v>42.45015660418981</v>
      </c>
      <c r="D1199" s="118" t="n">
        <v>41.61760613721681</v>
      </c>
      <c r="E1199" s="118" t="n">
        <v>41.6473388671875</v>
      </c>
      <c r="F1199" s="119" t="n">
        <v>19146900</v>
      </c>
      <c r="G1199" s="120" t="n">
        <v>-0.007557853824769256</v>
      </c>
      <c r="H1199" s="121" t="n">
        <v>26.18008954983365</v>
      </c>
      <c r="I1199" s="118" t="n">
        <v>47.49322822570801</v>
      </c>
      <c r="J1199" s="118" t="n">
        <v>61.45666055679321</v>
      </c>
      <c r="K1199" s="120" t="n">
        <v>0.2244978250090915</v>
      </c>
      <c r="L1199" s="120" t="n">
        <v>-0.3552977885750425</v>
      </c>
      <c r="M1199" s="120" t="n">
        <v>-0.4599925806850501</v>
      </c>
      <c r="N1199" t="n">
        <v>30.67263146094855</v>
      </c>
      <c r="O1199" t="n">
        <v>0.08914674718454974</v>
      </c>
      <c r="P1199" t="n">
        <v>180.442679744885</v>
      </c>
      <c r="Q1199" t="n">
        <v>201.2941677440434</v>
      </c>
    </row>
    <row r="1200">
      <c r="A1200" s="117" t="n">
        <v>46157</v>
      </c>
      <c r="B1200" s="118" t="n">
        <v>41.62751394964982</v>
      </c>
      <c r="C1200" s="118" t="n">
        <v>42.40059514169484</v>
      </c>
      <c r="D1200" s="118" t="n">
        <v>41.46893309536198</v>
      </c>
      <c r="E1200" s="118" t="n">
        <v>41.50857925415039</v>
      </c>
      <c r="F1200" s="119" t="n">
        <v>26172600</v>
      </c>
      <c r="G1200" s="120" t="n">
        <v>-0.003331776214552606</v>
      </c>
      <c r="H1200" s="121" t="n">
        <v>26.09286335017666</v>
      </c>
      <c r="I1200" s="118" t="n">
        <v>47.173291015625</v>
      </c>
      <c r="J1200" s="118" t="n">
        <v>61.29104328155518</v>
      </c>
      <c r="K1200" s="120" t="n">
        <v>0.22053442719537</v>
      </c>
      <c r="L1200" s="120" t="n">
        <v>-0.3553826303470411</v>
      </c>
      <c r="M1200" s="120" t="n">
        <v>-0.4617917645604056</v>
      </c>
      <c r="N1200" t="n">
        <v>30.12204706912262</v>
      </c>
      <c r="O1200" t="n">
        <v>0.06998442995688925</v>
      </c>
      <c r="P1200" t="n">
        <v>178.2720727218363</v>
      </c>
      <c r="Q1200" t="n">
        <v>198.2571104296555</v>
      </c>
    </row>
    <row r="1201">
      <c r="A1201" s="117" t="n">
        <v>46160</v>
      </c>
      <c r="B1201" s="118" t="n">
        <v>41.50857987107708</v>
      </c>
      <c r="C1201" s="118" t="n">
        <v>42.37086304277891</v>
      </c>
      <c r="D1201" s="118" t="n">
        <v>40.98327771148777</v>
      </c>
      <c r="E1201" s="118" t="n">
        <v>42.19245910644531</v>
      </c>
      <c r="F1201" s="119" t="n">
        <v>18694900</v>
      </c>
      <c r="G1201" s="120" t="n">
        <v>0.01647562659535118</v>
      </c>
      <c r="H1201" s="121" t="n">
        <v>26.5227596235377</v>
      </c>
      <c r="I1201" s="118" t="n">
        <v>46.8870523071289</v>
      </c>
      <c r="J1201" s="118" t="n">
        <v>61.13852970123291</v>
      </c>
      <c r="K1201" s="120" t="n">
        <v>0.2275068061574365</v>
      </c>
      <c r="L1201" s="120" t="n">
        <v>-0.3313689607694541</v>
      </c>
      <c r="M1201" s="120" t="n">
        <v>-0.45292444664276</v>
      </c>
      <c r="N1201" t="n">
        <v>36.20048068948969</v>
      </c>
      <c r="O1201" t="n">
        <v>0.1124262811932339</v>
      </c>
      <c r="P1201" t="n">
        <v>178.1466566575852</v>
      </c>
      <c r="Q1201" t="n">
        <v>197.4041459436129</v>
      </c>
    </row>
    <row r="1202">
      <c r="A1202" s="117" t="n">
        <v>46161</v>
      </c>
      <c r="B1202" s="118" t="n">
        <v>42.2221928505344</v>
      </c>
      <c r="C1202" s="118" t="n">
        <v>42.81687391289736</v>
      </c>
      <c r="D1202" s="118" t="n">
        <v>41.43920197876539</v>
      </c>
      <c r="E1202" s="118" t="n">
        <v>42.04378890991211</v>
      </c>
      <c r="F1202" s="119" t="n">
        <v>22957900</v>
      </c>
      <c r="G1202" s="120" t="n">
        <v>-0.003523620089507684</v>
      </c>
      <c r="H1202" s="121" t="n">
        <v>26.42930349489901</v>
      </c>
      <c r="I1202" s="118" t="n">
        <v>46.60735504150391</v>
      </c>
      <c r="J1202" s="118" t="n">
        <v>60.9856134223938</v>
      </c>
      <c r="K1202" s="120" t="n">
        <v>0.2273591602648921</v>
      </c>
      <c r="L1202" s="120" t="n">
        <v>-0.3337249625317553</v>
      </c>
      <c r="M1202" s="120" t="n">
        <v>-0.4548521330530481</v>
      </c>
      <c r="N1202" t="n">
        <v>35.47797851170324</v>
      </c>
      <c r="O1202" t="n">
        <v>0.1378679184142733</v>
      </c>
      <c r="P1202" t="n">
        <v>176.9600595290935</v>
      </c>
      <c r="Q1202" t="n">
        <v>196.1876586802385</v>
      </c>
    </row>
    <row r="1203">
      <c r="A1203" s="117" t="n">
        <v>46162</v>
      </c>
      <c r="B1203" s="118" t="n">
        <v>41.83565231873069</v>
      </c>
      <c r="C1203" s="118" t="n">
        <v>43.88729385890787</v>
      </c>
      <c r="D1203" s="118" t="n">
        <v>41.45902513747319</v>
      </c>
      <c r="E1203" s="118" t="n">
        <v>43.79809188842773</v>
      </c>
      <c r="F1203" s="119" t="n">
        <v>27060200</v>
      </c>
      <c r="G1203" s="120" t="n">
        <v>0.04172561569735311</v>
      </c>
      <c r="H1203" s="121" t="n">
        <v>27.53208245567588</v>
      </c>
      <c r="I1203" s="118" t="n">
        <v>46.37166397094727</v>
      </c>
      <c r="J1203" s="118" t="n">
        <v>60.84049537658692</v>
      </c>
      <c r="K1203" s="120" t="n">
        <v>0.2759039405906346</v>
      </c>
      <c r="L1203" s="120" t="n">
        <v>-0.3044048255545371</v>
      </c>
      <c r="M1203" s="120" t="n">
        <v>-0.4321055026585878</v>
      </c>
      <c r="N1203" t="n">
        <v>48.53159625450658</v>
      </c>
      <c r="O1203" t="n">
        <v>0.2724495316413771</v>
      </c>
      <c r="P1203" t="n">
        <v>178.7737222205373</v>
      </c>
      <c r="Q1203" t="n">
        <v>199.4372693380141</v>
      </c>
    </row>
    <row r="1204">
      <c r="A1204" s="117" t="n">
        <v>46163</v>
      </c>
      <c r="B1204" s="118" t="n">
        <v>43.50075315570505</v>
      </c>
      <c r="C1204" s="118" t="n">
        <v>44.34321704866178</v>
      </c>
      <c r="D1204" s="118" t="n">
        <v>42.77722774371587</v>
      </c>
      <c r="E1204" s="118" t="n">
        <v>43.99631881713867</v>
      </c>
      <c r="F1204" s="119" t="n">
        <v>18428100</v>
      </c>
      <c r="G1204" s="120" t="n">
        <v>0.004525926134314462</v>
      </c>
      <c r="H1204" s="121" t="n">
        <v>27.65669062719412</v>
      </c>
      <c r="I1204" s="118" t="n">
        <v>46.14747009277344</v>
      </c>
      <c r="J1204" s="118" t="n">
        <v>60.69850973129272</v>
      </c>
      <c r="K1204" s="120" t="n">
        <v>0.268010011712245</v>
      </c>
      <c r="L1204" s="120" t="n">
        <v>-0.3012566131756115</v>
      </c>
      <c r="M1204" s="120" t="n">
        <v>-0.429535254111537</v>
      </c>
      <c r="N1204" t="n">
        <v>49.76823847118057</v>
      </c>
      <c r="O1204" t="n">
        <v>0.3684568710708156</v>
      </c>
      <c r="P1204" t="n">
        <v>179.1282461903469</v>
      </c>
      <c r="Q1204" t="n">
        <v>199.8175892804355</v>
      </c>
    </row>
    <row r="1205">
      <c r="A1205" s="117" t="n">
        <v>46164</v>
      </c>
      <c r="B1205" s="118" t="n">
        <v>44.16481295929489</v>
      </c>
      <c r="C1205" s="118" t="n">
        <v>44.32339381918479</v>
      </c>
      <c r="D1205" s="118" t="n">
        <v>43.81791472894041</v>
      </c>
      <c r="E1205" s="118" t="n">
        <v>44.27383422851562</v>
      </c>
      <c r="F1205" s="119" t="n">
        <v>14905100</v>
      </c>
      <c r="G1205" s="120" t="n">
        <v>0.006307696162726417</v>
      </c>
      <c r="H1205" s="121" t="n">
        <v>27.83114062853699</v>
      </c>
      <c r="I1205" s="118" t="n">
        <v>45.9599479675293</v>
      </c>
      <c r="J1205" s="118" t="n">
        <v>60.55255853652954</v>
      </c>
      <c r="K1205" s="120" t="n">
        <v>0.2689315780514377</v>
      </c>
      <c r="L1205" s="120" t="n">
        <v>-0.2768334180009788</v>
      </c>
      <c r="M1205" s="120" t="n">
        <v>-0.4259369358229257</v>
      </c>
      <c r="N1205" t="n">
        <v>51.52428777456223</v>
      </c>
      <c r="O1205" t="n">
        <v>0.4394739576052957</v>
      </c>
      <c r="P1205" t="n">
        <v>179.832497681286</v>
      </c>
      <c r="Q1205" t="n">
        <v>200.6649490155632</v>
      </c>
    </row>
    <row r="1206">
      <c r="A1206" s="117" t="n">
        <v>46168</v>
      </c>
      <c r="B1206" s="118" t="n">
        <v>44.30356966277343</v>
      </c>
      <c r="C1206" s="118" t="n">
        <v>44.55135248663585</v>
      </c>
      <c r="D1206" s="118" t="n">
        <v>43.70888861698413</v>
      </c>
      <c r="E1206" s="118" t="n">
        <v>44.54143905639648</v>
      </c>
      <c r="F1206" s="119" t="n">
        <v>18667600</v>
      </c>
      <c r="G1206" s="120" t="n">
        <v>0.006044311104830946</v>
      </c>
      <c r="H1206" s="121" t="n">
        <v>27.99936070089817</v>
      </c>
      <c r="I1206" s="118" t="n">
        <v>45.78075141906739</v>
      </c>
      <c r="J1206" s="118" t="n">
        <v>60.41344451904297</v>
      </c>
      <c r="K1206" s="120" t="n">
        <v>0.2673301254964016</v>
      </c>
      <c r="L1206" s="120" t="n">
        <v>-0.2633994349074952</v>
      </c>
      <c r="M1206" s="120" t="n">
        <v>-0.4224671200692469</v>
      </c>
      <c r="N1206" t="n">
        <v>53.22248061650382</v>
      </c>
      <c r="O1206" t="n">
        <v>0.4894706844089525</v>
      </c>
      <c r="P1206" t="n">
        <v>181.0263411368602</v>
      </c>
      <c r="Q1206" t="n">
        <v>204.227793481333</v>
      </c>
    </row>
    <row r="1207">
      <c r="A1207" s="117" t="n">
        <v>46169</v>
      </c>
      <c r="B1207" s="118" t="n">
        <v>45.30461013326204</v>
      </c>
      <c r="C1207" s="118" t="n">
        <v>46.17680672276838</v>
      </c>
      <c r="D1207" s="118" t="n">
        <v>45.26496397445134</v>
      </c>
      <c r="E1207" s="118" t="n">
        <v>45.57221603393555</v>
      </c>
      <c r="F1207" s="119" t="n">
        <v>24251900</v>
      </c>
      <c r="G1207" s="120" t="n">
        <v>0.02314197743440527</v>
      </c>
      <c r="H1207" s="121" t="n">
        <v>28.64732127441613</v>
      </c>
      <c r="I1207" s="118" t="n">
        <v>45.60611404418945</v>
      </c>
      <c r="J1207" s="118" t="n">
        <v>60.28026296615601</v>
      </c>
      <c r="K1207" s="120" t="n">
        <v>0.2794905649288146</v>
      </c>
      <c r="L1207" s="120" t="n">
        <v>-0.2257956206404155</v>
      </c>
      <c r="M1207" s="120" t="n">
        <v>-0.4091018671942624</v>
      </c>
      <c r="N1207" t="n">
        <v>59.15760061626595</v>
      </c>
      <c r="O1207" t="n">
        <v>0.5712596069130336</v>
      </c>
      <c r="P1207" t="n">
        <v>180.9949797416456</v>
      </c>
      <c r="Q1207" t="n">
        <v>203.9956747727086</v>
      </c>
    </row>
    <row r="1208">
      <c r="A1208" s="117" t="n">
        <v>46170</v>
      </c>
      <c r="B1208" s="118" t="n">
        <v>45.56230854048204</v>
      </c>
      <c r="C1208" s="118" t="n">
        <v>47.22740948065888</v>
      </c>
      <c r="D1208" s="118" t="n">
        <v>45.15594484560948</v>
      </c>
      <c r="E1208" s="118" t="n">
        <v>46.94989013671875</v>
      </c>
      <c r="F1208" s="119" t="n">
        <v>22871300</v>
      </c>
      <c r="G1208" s="120" t="n">
        <v>0.03023057078807212</v>
      </c>
      <c r="H1208" s="121" t="n">
        <v>29.51334614809101</v>
      </c>
      <c r="I1208" s="118" t="n">
        <v>45.45248870849609</v>
      </c>
      <c r="J1208" s="118" t="n">
        <v>60.15479707717896</v>
      </c>
      <c r="K1208" s="120" t="n">
        <v>0.2912763769976341</v>
      </c>
      <c r="L1208" s="120" t="n">
        <v>-0.1921896024709705</v>
      </c>
      <c r="M1208" s="120" t="n">
        <v>-0.3912386793619389</v>
      </c>
      <c r="N1208" t="n">
        <v>65.46460597823753</v>
      </c>
      <c r="O1208" t="n">
        <v>0.6895238992175582</v>
      </c>
      <c r="P1208" t="n">
        <v>181.9934527737605</v>
      </c>
      <c r="Q1208" t="n">
        <v>205.7155472714603</v>
      </c>
    </row>
    <row r="1209">
      <c r="A1209" s="117" t="n">
        <v>46171</v>
      </c>
      <c r="B1209" s="118" t="n">
        <v>46.69219630031297</v>
      </c>
      <c r="C1209" s="118" t="n">
        <v>46.78139826883871</v>
      </c>
      <c r="D1209" s="118" t="n">
        <v>45.67133226785857</v>
      </c>
      <c r="E1209" s="118" t="n">
        <v>45.81999969482422</v>
      </c>
      <c r="F1209" s="119" t="n">
        <v>38949100</v>
      </c>
      <c r="G1209" s="120" t="n">
        <v>-0.0240658804228141</v>
      </c>
      <c r="H1209" s="121" t="n">
        <v>28.80308148881393</v>
      </c>
      <c r="I1209" s="118" t="n">
        <v>45.30897285461426</v>
      </c>
      <c r="J1209" s="118" t="n">
        <v>60.01939924240112</v>
      </c>
      <c r="K1209" s="120" t="n">
        <v>0.3070388251103016</v>
      </c>
      <c r="L1209" s="120" t="n">
        <v>-0.2032058203987522</v>
      </c>
      <c r="M1209" s="120" t="n">
        <v>-0.4058890565104488</v>
      </c>
      <c r="N1209" t="n">
        <v>57.60745393712909</v>
      </c>
      <c r="O1209" t="n">
        <v>0.6628521614865772</v>
      </c>
      <c r="P1209" t="n">
        <v>182.4468721361973</v>
      </c>
      <c r="Q1209" t="n">
        <v>206.4734189561562</v>
      </c>
    </row>
    <row r="1210">
      <c r="A1210" s="117" t="n">
        <v>46174</v>
      </c>
      <c r="B1210" s="118" t="n">
        <v>45.52000045776367</v>
      </c>
      <c r="C1210" s="118" t="n">
        <v>46.27999877929688</v>
      </c>
      <c r="D1210" s="118" t="n">
        <v>45.04999923706055</v>
      </c>
      <c r="E1210" s="118" t="n">
        <v>45.93000030517578</v>
      </c>
      <c r="F1210" s="119" t="n">
        <v>26885100</v>
      </c>
      <c r="G1210" s="120" t="n">
        <v>0.002400711721610715</v>
      </c>
      <c r="H1210" s="121" t="n">
        <v>28.87222938416263</v>
      </c>
      <c r="I1210" s="118" t="n">
        <v>45.16825172424316</v>
      </c>
      <c r="J1210" s="118" t="n">
        <v>59.87335859298706</v>
      </c>
      <c r="K1210" s="120" t="n">
        <v>0.3069979832429061</v>
      </c>
      <c r="L1210" s="120" t="n">
        <v>-0.1871428640868982</v>
      </c>
      <c r="M1210" s="120" t="n">
        <v>-0.4044627674044763</v>
      </c>
      <c r="N1210" t="n">
        <v>58.13427203921449</v>
      </c>
      <c r="O1210" t="n">
        <v>0.6243516807572016</v>
      </c>
      <c r="P1210" t="n">
        <v>182.9436956696112</v>
      </c>
      <c r="Q1210" t="n">
        <v>207.7123081355352</v>
      </c>
    </row>
    <row r="1211">
      <c r="A1211" s="117" t="n">
        <v>46175</v>
      </c>
      <c r="B1211" s="118" t="n">
        <v>45.77999877929688</v>
      </c>
      <c r="C1211" s="118" t="n">
        <v>45.77999877929688</v>
      </c>
      <c r="D1211" s="118" t="n">
        <v>43.5099983215332</v>
      </c>
      <c r="E1211" s="118" t="n">
        <v>43.72999954223633</v>
      </c>
      <c r="F1211" s="119" t="n">
        <v>28345000</v>
      </c>
      <c r="G1211" s="120" t="n">
        <v>-0.04789899299633882</v>
      </c>
      <c r="H1211" s="121" t="n">
        <v>27.48927867110194</v>
      </c>
      <c r="I1211" s="118" t="n">
        <v>45.00474082946777</v>
      </c>
      <c r="J1211" s="118" t="n">
        <v>59.72025974273681</v>
      </c>
      <c r="K1211" s="120" t="n">
        <v>0.3376967453202233</v>
      </c>
      <c r="L1211" s="120" t="n">
        <v>-0.2195064876264456</v>
      </c>
      <c r="M1211" s="120" t="n">
        <v>-0.4329884011376283</v>
      </c>
      <c r="N1211" t="n">
        <v>45.85951140283262</v>
      </c>
      <c r="O1211" t="n">
        <v>0.4316135170632954</v>
      </c>
      <c r="P1211" t="n">
        <v>183.1921221946218</v>
      </c>
      <c r="Q1211" t="n">
        <v>208.6687212863314</v>
      </c>
    </row>
    <row r="1212">
      <c r="A1212" s="117" t="n">
        <v>46176</v>
      </c>
      <c r="B1212" s="118" t="n">
        <v>43.65000152587891</v>
      </c>
      <c r="C1212" s="118" t="n">
        <v>43.9900016784668</v>
      </c>
      <c r="D1212" s="118" t="n">
        <v>43.15999984741211</v>
      </c>
      <c r="E1212" s="118" t="n">
        <v>43.81000137329102</v>
      </c>
      <c r="F1212" s="119" t="n">
        <v>18940500</v>
      </c>
      <c r="G1212" s="120" t="n">
        <v>0.001829449620218249</v>
      </c>
      <c r="H1212" s="121" t="n">
        <v>27.53956892152686</v>
      </c>
      <c r="I1212" s="118" t="n">
        <v>44.83609024047851</v>
      </c>
      <c r="J1212" s="118" t="n">
        <v>59.56473833084107</v>
      </c>
      <c r="K1212" s="120" t="n">
        <v>0.3376078373064732</v>
      </c>
      <c r="L1212" s="120" t="n">
        <v>-0.2118043132852548</v>
      </c>
      <c r="M1212" s="120" t="n">
        <v>-0.4319510819834302</v>
      </c>
      <c r="N1212" t="n">
        <v>46.30351696836244</v>
      </c>
      <c r="O1212" t="n">
        <v>0.296826519328327</v>
      </c>
      <c r="P1212" t="n">
        <v>181.9066296735028</v>
      </c>
      <c r="Q1212" t="n">
        <v>208.1234029450232</v>
      </c>
    </row>
    <row r="1213">
      <c r="A1213" s="117" t="n">
        <v>46177</v>
      </c>
      <c r="B1213" s="118" t="n">
        <v>44.5</v>
      </c>
      <c r="C1213" s="118" t="n">
        <v>44.70000076293945</v>
      </c>
      <c r="D1213" s="118" t="n">
        <v>43.13000106811523</v>
      </c>
      <c r="E1213" s="118" t="n">
        <v>43.61999893188477</v>
      </c>
      <c r="F1213" s="119" t="n">
        <v>17350900</v>
      </c>
      <c r="G1213" s="120" t="n">
        <v>-0.004336964972616597</v>
      </c>
      <c r="H1213" s="121" t="n">
        <v>27.42013077575324</v>
      </c>
      <c r="I1213" s="118" t="n">
        <v>44.64817794799805</v>
      </c>
      <c r="J1213" s="118" t="n">
        <v>59.4060283279419</v>
      </c>
      <c r="K1213" s="120" t="n">
        <v>0.3316664610916995</v>
      </c>
      <c r="L1213" s="120" t="n">
        <v>-0.2098686940403568</v>
      </c>
      <c r="M1213" s="120" t="n">
        <v>-0.4344146902436008</v>
      </c>
      <c r="N1213" t="n">
        <v>45.35223583574248</v>
      </c>
      <c r="O1213" t="n">
        <v>0.1875203772933671</v>
      </c>
      <c r="P1213" t="n">
        <v>182.5939976650888</v>
      </c>
      <c r="Q1213" t="n">
        <v>207.1166324742686</v>
      </c>
    </row>
    <row r="1214">
      <c r="A1214" s="117" t="n">
        <v>46178</v>
      </c>
      <c r="B1214" s="118" t="n">
        <v>43.29999923706055</v>
      </c>
      <c r="C1214" s="118" t="n">
        <v>43.7400016784668</v>
      </c>
      <c r="D1214" s="118" t="n">
        <v>42.79000091552734</v>
      </c>
      <c r="E1214" s="118" t="n">
        <v>42.97999954223633</v>
      </c>
      <c r="F1214" s="119" t="n">
        <v>18406500</v>
      </c>
      <c r="G1214" s="120" t="n">
        <v>-0.01467215509674435</v>
      </c>
      <c r="H1214" s="121" t="n">
        <v>27.01781836423838</v>
      </c>
      <c r="I1214" s="118" t="n">
        <v>44.45757522583008</v>
      </c>
      <c r="J1214" s="118" t="n">
        <v>59.24679494857788</v>
      </c>
      <c r="K1214" s="120" t="n">
        <v>0.3327185729987006</v>
      </c>
      <c r="L1214" s="120" t="n">
        <v>-0.2132694607935206</v>
      </c>
      <c r="M1214" s="120" t="n">
        <v>-0.442713045628787</v>
      </c>
      <c r="N1214" t="n">
        <v>42.2067894711271</v>
      </c>
      <c r="O1214" t="n">
        <v>0.07076999971705489</v>
      </c>
      <c r="P1214" t="n">
        <v>177.881361391525</v>
      </c>
      <c r="Q1214" t="n">
        <v>197.1748296104459</v>
      </c>
    </row>
    <row r="1215">
      <c r="A1215" s="117" t="n">
        <v>46181</v>
      </c>
      <c r="B1215" s="118" t="n">
        <v>43.06000137329102</v>
      </c>
      <c r="C1215" s="118" t="n">
        <v>43.86000061035156</v>
      </c>
      <c r="D1215" s="118" t="n">
        <v>42.65000152587891</v>
      </c>
      <c r="E1215" s="118" t="n">
        <v>43.22999954223633</v>
      </c>
      <c r="F1215" s="119" t="n">
        <v>18192000</v>
      </c>
      <c r="G1215" s="120" t="n">
        <v>0.005816658973072375</v>
      </c>
      <c r="H1215" s="121" t="n">
        <v>27.17497179985957</v>
      </c>
      <c r="I1215" s="118" t="n">
        <v>44.29001106262207</v>
      </c>
      <c r="J1215" s="118" t="n">
        <v>59.09182868957519</v>
      </c>
      <c r="K1215" s="120" t="n">
        <v>0.3329800708711975</v>
      </c>
      <c r="L1215" s="120" t="n">
        <v>-0.2086933175432552</v>
      </c>
      <c r="M1215" s="120" t="n">
        <v>-0.4394714974650674</v>
      </c>
      <c r="N1215" t="n">
        <v>43.84517385908119</v>
      </c>
      <c r="O1215" t="n">
        <v>0.0121103499374873</v>
      </c>
      <c r="P1215" t="n">
        <v>178.2841154975987</v>
      </c>
      <c r="Q1215" t="n">
        <v>200.2538542060751</v>
      </c>
    </row>
    <row r="1216">
      <c r="A1216" s="117" t="n">
        <v>46182</v>
      </c>
      <c r="B1216" s="118" t="n">
        <v>43.52000045776367</v>
      </c>
      <c r="C1216" s="118" t="n">
        <v>45.27999877929688</v>
      </c>
      <c r="D1216" s="118" t="n">
        <v>43.27000045776367</v>
      </c>
      <c r="E1216" s="118" t="n">
        <v>44.65000152587891</v>
      </c>
      <c r="F1216" s="119" t="n">
        <v>21505800</v>
      </c>
      <c r="G1216" s="120" t="n">
        <v>0.03284760579872814</v>
      </c>
      <c r="H1216" s="121" t="n">
        <v>28.06760456113291</v>
      </c>
      <c r="I1216" s="118" t="n">
        <v>44.16472282409668</v>
      </c>
      <c r="J1216" s="118" t="n">
        <v>58.94435180664063</v>
      </c>
      <c r="K1216" s="120" t="n">
        <v>0.3187399900034574</v>
      </c>
      <c r="L1216" s="120" t="n">
        <v>-0.1827007875720165</v>
      </c>
      <c r="M1216" s="120" t="n">
        <v>-0.4210594781748486</v>
      </c>
      <c r="N1216" t="n">
        <v>52.14387517888507</v>
      </c>
      <c r="O1216" t="n">
        <v>0.06757507002935237</v>
      </c>
      <c r="P1216" t="n">
        <v>177.760771292561</v>
      </c>
      <c r="Q1216" t="n">
        <v>197.9494813725762</v>
      </c>
    </row>
    <row r="1217">
      <c r="A1217" s="117" t="n">
        <v>46183</v>
      </c>
      <c r="B1217" s="118" t="n">
        <v>43.77000045776367</v>
      </c>
      <c r="C1217" s="118" t="n">
        <v>44.58000183105469</v>
      </c>
      <c r="D1217" s="118" t="n">
        <v>43.31000137329102</v>
      </c>
      <c r="E1217" s="118" t="n">
        <v>43.95999908447266</v>
      </c>
      <c r="F1217" s="119" t="n">
        <v>15335600</v>
      </c>
      <c r="G1217" s="120" t="n">
        <v>-0.01545358158624766</v>
      </c>
      <c r="H1217" s="121" t="n">
        <v>27.63385954411691</v>
      </c>
      <c r="I1217" s="118" t="n">
        <v>44.02821144104004</v>
      </c>
      <c r="J1217" s="118" t="n">
        <v>58.78271877288818</v>
      </c>
      <c r="K1217" s="120" t="n">
        <v>0.325357998715174</v>
      </c>
      <c r="L1217" s="120" t="n">
        <v>-0.1953309876316484</v>
      </c>
      <c r="M1217" s="120" t="n">
        <v>-0.4300061827624583</v>
      </c>
      <c r="N1217" t="n">
        <v>48.40085282490781</v>
      </c>
      <c r="O1217" t="n">
        <v>0.05685361161667662</v>
      </c>
      <c r="P1217" t="n">
        <v>174.958272741273</v>
      </c>
      <c r="Q1217" t="n">
        <v>193.9951416378655</v>
      </c>
    </row>
    <row r="1218">
      <c r="A1218" s="117" t="n">
        <v>46184</v>
      </c>
      <c r="B1218" s="118" t="n">
        <v>44.52000045776367</v>
      </c>
      <c r="C1218" s="118" t="n">
        <v>45.97999954223633</v>
      </c>
      <c r="D1218" s="118" t="n">
        <v>44.22000122070312</v>
      </c>
      <c r="E1218" s="118" t="n">
        <v>45.95999908447266</v>
      </c>
      <c r="F1218" s="119" t="n">
        <v>16647500</v>
      </c>
      <c r="G1218" s="120" t="n">
        <v>0.04549590631603162</v>
      </c>
      <c r="H1218" s="121" t="n">
        <v>28.89108702908643</v>
      </c>
      <c r="I1218" s="118" t="n">
        <v>43.90038032531739</v>
      </c>
      <c r="J1218" s="118" t="n">
        <v>58.62724117279053</v>
      </c>
      <c r="K1218" s="120" t="n">
        <v>0.3589904956904925</v>
      </c>
      <c r="L1218" s="120" t="n">
        <v>-0.1330855949444955</v>
      </c>
      <c r="M1218" s="120" t="n">
        <v>-0.4040737974527019</v>
      </c>
      <c r="N1218" t="n">
        <v>57.84623507398682</v>
      </c>
      <c r="O1218" t="n">
        <v>0.1767500659162657</v>
      </c>
      <c r="P1218" t="n">
        <v>177.9320118895846</v>
      </c>
      <c r="Q1218" t="n">
        <v>200.5474884735222</v>
      </c>
    </row>
    <row r="1219">
      <c r="A1219" s="117" t="n">
        <v>46185</v>
      </c>
      <c r="B1219" s="118" t="n">
        <v>46.29000091552734</v>
      </c>
      <c r="C1219" s="118" t="n">
        <v>46.31000137329102</v>
      </c>
      <c r="D1219" s="118" t="n">
        <v>44.84999847412109</v>
      </c>
      <c r="E1219" s="118" t="n">
        <v>44.93000030517578</v>
      </c>
      <c r="F1219" s="119" t="n">
        <v>16524300</v>
      </c>
      <c r="G1219" s="120" t="n">
        <v>-0.02241076587934165</v>
      </c>
      <c r="H1219" s="121" t="n">
        <v>28.24361564167789</v>
      </c>
      <c r="I1219" s="118" t="n">
        <v>43.91429649353027</v>
      </c>
      <c r="J1219" s="118" t="n">
        <v>58.46914413452149</v>
      </c>
      <c r="K1219" s="120" t="n">
        <v>0.3694898942412994</v>
      </c>
      <c r="L1219" s="120" t="n">
        <v>-0.1525138107136231</v>
      </c>
      <c r="M1219" s="120" t="n">
        <v>-0.4174289600593545</v>
      </c>
      <c r="N1219" t="n">
        <v>52.51473309460874</v>
      </c>
      <c r="O1219" t="n">
        <v>0.1784598345423427</v>
      </c>
      <c r="P1219" t="n">
        <v>178.8943123195013</v>
      </c>
      <c r="Q1219" t="n">
        <v>201.7276473818808</v>
      </c>
    </row>
    <row r="1220">
      <c r="A1220" s="117" t="n">
        <v>46188</v>
      </c>
      <c r="B1220" s="118" t="n">
        <v>45.36000061035156</v>
      </c>
      <c r="C1220" s="118" t="n">
        <v>46.09000015258789</v>
      </c>
      <c r="D1220" s="118" t="n">
        <v>45.09000015258789</v>
      </c>
      <c r="E1220" s="118" t="n">
        <v>45.20000076293945</v>
      </c>
      <c r="F1220" s="119" t="n">
        <v>14345100</v>
      </c>
      <c r="G1220" s="120" t="n">
        <v>0.006009358022029065</v>
      </c>
      <c r="H1220" s="121" t="n">
        <v>28.41334163990531</v>
      </c>
      <c r="I1220" s="118" t="n">
        <v>43.94233467102051</v>
      </c>
      <c r="J1220" s="118" t="n">
        <v>58.31526830673218</v>
      </c>
      <c r="K1220" s="120" t="n">
        <v>0.3684986838874176</v>
      </c>
      <c r="L1220" s="120" t="n">
        <v>-0.1474209627834763</v>
      </c>
      <c r="M1220" s="120" t="n">
        <v>-0.4139280821070854</v>
      </c>
      <c r="N1220" t="n">
        <v>53.71891063658226</v>
      </c>
      <c r="O1220" t="n">
        <v>0.1885590175605371</v>
      </c>
      <c r="P1220" t="n">
        <v>182.0489292371071</v>
      </c>
      <c r="Q1220" t="n">
        <v>208.0646726740028</v>
      </c>
    </row>
    <row r="1221">
      <c r="A1221" s="117" t="n">
        <v>46189</v>
      </c>
      <c r="B1221" s="118" t="n">
        <v>45.5099983215332</v>
      </c>
      <c r="C1221" s="118" t="n">
        <v>46.09999847412109</v>
      </c>
      <c r="D1221" s="118" t="n">
        <v>45</v>
      </c>
      <c r="E1221" s="118" t="n">
        <v>45.04000091552734</v>
      </c>
      <c r="F1221" s="119" t="n">
        <v>19591400</v>
      </c>
      <c r="G1221" s="120" t="n">
        <v>-0.003539819573261993</v>
      </c>
      <c r="H1221" s="121" t="n">
        <v>28.31276353702659</v>
      </c>
      <c r="I1221" s="118" t="n">
        <v>43.97034446716309</v>
      </c>
      <c r="J1221" s="118" t="n">
        <v>58.16127382278442</v>
      </c>
      <c r="K1221" s="120" t="n">
        <v>0.366733921928155</v>
      </c>
      <c r="L1221" s="120" t="n">
        <v>-0.1504389387471682</v>
      </c>
      <c r="M1221" s="120" t="n">
        <v>-0.4160026709533819</v>
      </c>
      <c r="N1221" t="n">
        <v>52.86339792608509</v>
      </c>
      <c r="O1221" t="n">
        <v>0.1755157280680361</v>
      </c>
      <c r="P1221" t="n">
        <v>180.9636331047346</v>
      </c>
      <c r="Q1221" t="n">
        <v>204.1103158516369</v>
      </c>
    </row>
    <row r="1222">
      <c r="A1222" s="117" t="n">
        <v>46190</v>
      </c>
      <c r="B1222" s="118" t="n">
        <v>44.90000152587891</v>
      </c>
      <c r="C1222" s="118" t="n">
        <v>45.84999847412109</v>
      </c>
      <c r="D1222" s="118" t="n">
        <v>44.15999984741211</v>
      </c>
      <c r="E1222" s="118" t="n">
        <v>44.18999862670898</v>
      </c>
      <c r="F1222" s="119" t="n">
        <v>20859700</v>
      </c>
      <c r="G1222" s="120" t="n">
        <v>-0.01887216411057679</v>
      </c>
      <c r="H1222" s="121" t="n">
        <v>27.77844041713187</v>
      </c>
      <c r="I1222" s="118" t="n">
        <v>44.0079165649414</v>
      </c>
      <c r="J1222" s="118" t="n">
        <v>58.00570583343506</v>
      </c>
      <c r="K1222" s="120" t="n">
        <v>0.3746081928620389</v>
      </c>
      <c r="L1222" s="120" t="n">
        <v>-0.1664719945170874</v>
      </c>
      <c r="M1222" s="120" t="n">
        <v>-0.4270239643872883</v>
      </c>
      <c r="N1222" t="n">
        <v>48.44902032937571</v>
      </c>
      <c r="O1222" t="n">
        <v>0.1042165562517547</v>
      </c>
      <c r="P1222" t="n">
        <v>178.7037826196328</v>
      </c>
      <c r="Q1222" t="n">
        <v>202.0548418041967</v>
      </c>
    </row>
    <row r="1223">
      <c r="A1223" s="117" t="n">
        <v>46191</v>
      </c>
      <c r="B1223" s="118" t="n">
        <v>44.40999984741211</v>
      </c>
      <c r="C1223" s="118" t="n">
        <v>45.70999908447266</v>
      </c>
      <c r="D1223" s="118" t="n">
        <v>44.2400016784668</v>
      </c>
      <c r="E1223" s="118" t="n">
        <v>45.20000076293945</v>
      </c>
      <c r="F1223" s="119" t="n">
        <v>32320300</v>
      </c>
      <c r="G1223" s="120" t="n">
        <v>0.02285589879199512</v>
      </c>
      <c r="H1223" s="121" t="n">
        <v>28.4133416399053</v>
      </c>
      <c r="I1223" s="118" t="n">
        <v>44.05696670532227</v>
      </c>
      <c r="J1223" s="118" t="n">
        <v>57.86829774856567</v>
      </c>
      <c r="K1223" s="120" t="n">
        <v>0.3539941513379614</v>
      </c>
      <c r="L1223" s="120" t="n">
        <v>-0.1392137879119515</v>
      </c>
      <c r="M1223" s="120" t="n">
        <v>-0.4139280821070854</v>
      </c>
      <c r="N1223" t="n">
        <v>53.4257821312911</v>
      </c>
      <c r="O1223" t="n">
        <v>0.1186049528864073</v>
      </c>
      <c r="P1223" t="n">
        <v>180.5617644968787</v>
      </c>
      <c r="Q1223" t="n">
        <v>207.1194348497261</v>
      </c>
    </row>
    <row r="1224">
      <c r="A1224" s="117" t="n">
        <v>46195</v>
      </c>
      <c r="B1224" s="118" t="n">
        <v>44.61999893188477</v>
      </c>
      <c r="C1224" s="118" t="n">
        <v>44.90999984741211</v>
      </c>
      <c r="D1224" s="118" t="n">
        <v>43.13999938964844</v>
      </c>
      <c r="E1224" s="118" t="n">
        <v>43.18999862670898</v>
      </c>
      <c r="F1224" s="119" t="n">
        <v>25864500</v>
      </c>
      <c r="G1224" s="120" t="n">
        <v>-0.04446907305980663</v>
      </c>
      <c r="H1224" s="121" t="n">
        <v>27.14982667464711</v>
      </c>
      <c r="I1224" s="118" t="n">
        <v>44.04857109069824</v>
      </c>
      <c r="J1224" s="118" t="n">
        <v>57.71863838195801</v>
      </c>
      <c r="K1224" s="120" t="n">
        <v>0.3899129840423865</v>
      </c>
      <c r="L1224" s="120" t="n">
        <v>-0.1750006521590538</v>
      </c>
      <c r="M1224" s="120" t="n">
        <v>-0.4399901570421665</v>
      </c>
      <c r="N1224" t="n">
        <v>44.26680421607542</v>
      </c>
      <c r="O1224" t="n">
        <v>-0.007053548211996656</v>
      </c>
      <c r="P1224" t="n">
        <v>179.9935402905009</v>
      </c>
      <c r="Q1224" t="n">
        <v>206.599542939398</v>
      </c>
    </row>
    <row r="1225">
      <c r="A1225" s="117" t="n">
        <v>46196</v>
      </c>
      <c r="B1225" s="118" t="n">
        <v>42.38999938964844</v>
      </c>
      <c r="C1225" s="118" t="n">
        <v>43.18999862670898</v>
      </c>
      <c r="D1225" s="118" t="n">
        <v>42.31999969482422</v>
      </c>
      <c r="E1225" s="118" t="n">
        <v>42.38000106811523</v>
      </c>
      <c r="F1225" s="119" t="n">
        <v>31517900</v>
      </c>
      <c r="G1225" s="120" t="n">
        <v>-0.01875428535190649</v>
      </c>
      <c r="H1225" s="121" t="n">
        <v>26.64065107793597</v>
      </c>
      <c r="I1225" s="118" t="n">
        <v>44.05133079528809</v>
      </c>
      <c r="J1225" s="118" t="n">
        <v>57.56194505691528</v>
      </c>
      <c r="K1225" s="120" t="n">
        <v>0.39411852096543</v>
      </c>
      <c r="L1225" s="120" t="n">
        <v>-0.1904729253435997</v>
      </c>
      <c r="M1225" s="120" t="n">
        <v>-0.450492741436874</v>
      </c>
      <c r="N1225" t="n">
        <v>41.20145110904016</v>
      </c>
      <c r="O1225" t="n">
        <v>-0.1373059402033654</v>
      </c>
      <c r="P1225" t="n">
        <v>177.3796823762167</v>
      </c>
      <c r="Q1225" t="n">
        <v>199.7964176756073</v>
      </c>
    </row>
    <row r="1226">
      <c r="A1226" s="117" t="n">
        <v>46197</v>
      </c>
      <c r="B1226" s="118" t="n">
        <v>42.04000091552734</v>
      </c>
      <c r="C1226" s="118" t="n">
        <v>42.33000183105469</v>
      </c>
      <c r="D1226" s="118" t="n">
        <v>41.31000137329102</v>
      </c>
      <c r="E1226" s="118" t="n">
        <v>41.81999969482422</v>
      </c>
      <c r="F1226" s="119" t="n">
        <v>34384300</v>
      </c>
      <c r="G1226" s="120" t="n">
        <v>-0.01321381215613826</v>
      </c>
      <c r="H1226" s="121" t="n">
        <v>26.2886265188749</v>
      </c>
      <c r="I1226" s="118" t="n">
        <v>44.0371418762207</v>
      </c>
      <c r="J1226" s="118" t="n">
        <v>57.40949579238892</v>
      </c>
      <c r="K1226" s="120" t="n">
        <v>0.3949040218428722</v>
      </c>
      <c r="L1226" s="120" t="n">
        <v>-0.2011698640434175</v>
      </c>
      <c r="M1226" s="120" t="n">
        <v>-0.4577538271299617</v>
      </c>
      <c r="N1226" t="n">
        <v>39.18135577844131</v>
      </c>
      <c r="O1226" t="n">
        <v>-0.2473425278667236</v>
      </c>
      <c r="P1226" t="n">
        <v>177.2974638666917</v>
      </c>
      <c r="Q1226" t="n">
        <v>198.9481181194421</v>
      </c>
    </row>
    <row r="1227">
      <c r="A1227" s="117" t="n">
        <v>46198</v>
      </c>
      <c r="B1227" s="118" t="n">
        <v>41.79999923706055</v>
      </c>
      <c r="C1227" s="118" t="n">
        <v>41.86000061035156</v>
      </c>
      <c r="D1227" s="118" t="n">
        <v>40.43999862670898</v>
      </c>
      <c r="E1227" s="118" t="n">
        <v>40.90000152587891</v>
      </c>
      <c r="F1227" s="119" t="n">
        <v>29228300</v>
      </c>
      <c r="G1227" s="120" t="n">
        <v>-0.02199899989619503</v>
      </c>
      <c r="H1227" s="121" t="n">
        <v>25.71030302681506</v>
      </c>
      <c r="I1227" s="118" t="n">
        <v>43.97898178100586</v>
      </c>
      <c r="J1227" s="118" t="n">
        <v>57.25127256393433</v>
      </c>
      <c r="K1227" s="120" t="n">
        <v>0.3879398644900586</v>
      </c>
      <c r="L1227" s="120" t="n">
        <v>-0.218743328121404</v>
      </c>
      <c r="M1227" s="120" t="n">
        <v>-0.4696827006306418</v>
      </c>
      <c r="N1227" t="n">
        <v>36.05388025805338</v>
      </c>
      <c r="O1227" t="n">
        <v>-0.3613503520975792</v>
      </c>
      <c r="P1227" t="n">
        <v>177.553771325841</v>
      </c>
      <c r="Q1227" t="n">
        <v>200.5607143186691</v>
      </c>
    </row>
    <row r="1228">
      <c r="A1228" s="117" t="n">
        <v>46199</v>
      </c>
      <c r="B1228" s="118" t="n">
        <v>40.06999969482422</v>
      </c>
      <c r="C1228" s="118" t="n">
        <v>41.47000122070312</v>
      </c>
      <c r="D1228" s="118" t="n">
        <v>40</v>
      </c>
      <c r="E1228" s="118" t="n">
        <v>40.75</v>
      </c>
      <c r="F1228" s="119" t="n">
        <v>33970700</v>
      </c>
      <c r="G1228" s="120" t="n">
        <v>-0.003667518833318284</v>
      </c>
      <c r="H1228" s="121" t="n">
        <v>25.6160100062539</v>
      </c>
      <c r="I1228" s="118" t="n">
        <v>43.89324165344238</v>
      </c>
      <c r="J1228" s="118" t="n">
        <v>57.09498975753784</v>
      </c>
      <c r="K1228" s="120" t="n">
        <v>0.3649627365379619</v>
      </c>
      <c r="L1228" s="120" t="n">
        <v>-0.1320533470614005</v>
      </c>
      <c r="M1228" s="120" t="n">
        <v>-0.4716276493137134</v>
      </c>
      <c r="N1228" t="n">
        <v>35.55555226333344</v>
      </c>
      <c r="O1228" t="n">
        <v>-0.4219078144841075</v>
      </c>
      <c r="P1228" t="n">
        <v>176.2698136682996</v>
      </c>
      <c r="Q1228" t="n">
        <v>197.8002719671207</v>
      </c>
    </row>
    <row r="1229">
      <c r="A1229" s="117" t="n">
        <v>46202</v>
      </c>
      <c r="B1229" s="118" t="n">
        <v>41.13999938964844</v>
      </c>
      <c r="C1229" s="118" t="n">
        <v>41.68999862670898</v>
      </c>
      <c r="D1229" s="118" t="n">
        <v>40.77000045776367</v>
      </c>
      <c r="E1229" s="118" t="n">
        <v>41.47999954223633</v>
      </c>
      <c r="F1229" s="119" t="n">
        <v>27824700</v>
      </c>
      <c r="G1229" s="120" t="n">
        <v>0.01791409919598341</v>
      </c>
      <c r="H1229" s="121" t="n">
        <v>26.07489775051123</v>
      </c>
      <c r="I1229" s="118" t="n">
        <v>43.81694763183594</v>
      </c>
      <c r="J1229" s="118" t="n">
        <v>56.93917732238769</v>
      </c>
      <c r="K1229" s="120" t="n">
        <v>0.3690279878089812</v>
      </c>
      <c r="L1229" s="120" t="n">
        <v>-0.1165048646238366</v>
      </c>
      <c r="M1229" s="120" t="n">
        <v>-0.4621623346111042</v>
      </c>
      <c r="N1229" t="n">
        <v>39.90854168052398</v>
      </c>
      <c r="O1229" t="n">
        <v>-0.3886678777508675</v>
      </c>
      <c r="P1229" t="n">
        <v>179.1738345902612</v>
      </c>
      <c r="Q1229" t="n">
        <v>202.716441639335</v>
      </c>
    </row>
    <row r="1230">
      <c r="A1230" s="117" t="n">
        <v>46203</v>
      </c>
      <c r="B1230" s="118" t="n">
        <v>41.38000106811523</v>
      </c>
      <c r="C1230" s="118" t="n">
        <v>41.63999938964844</v>
      </c>
      <c r="D1230" s="118" t="n">
        <v>40.88999938964844</v>
      </c>
      <c r="E1230" s="118" t="n">
        <v>41.04999923706055</v>
      </c>
      <c r="F1230" s="119" t="n">
        <v>73891500</v>
      </c>
      <c r="G1230" s="120" t="n">
        <v>-0.01036644913021134</v>
      </c>
      <c r="H1230" s="121" t="n">
        <v>25.8045936494051</v>
      </c>
      <c r="I1230" s="118" t="n">
        <v>43.72551216125488</v>
      </c>
      <c r="J1230" s="118" t="n">
        <v>56.78082353591919</v>
      </c>
      <c r="K1230" s="120" t="n">
        <v>0.3685494367395611</v>
      </c>
      <c r="L1230" s="120" t="n">
        <v>-0.1256635720015028</v>
      </c>
      <c r="M1230" s="120" t="n">
        <v>-0.4677378014096698</v>
      </c>
      <c r="N1230" t="n">
        <v>38.26879141037088</v>
      </c>
      <c r="O1230" t="n">
        <v>-0.3715226683947649</v>
      </c>
      <c r="P1230" t="n">
        <v>180.5690255822649</v>
      </c>
      <c r="Q1230" t="n">
        <v>206.1656019348695</v>
      </c>
    </row>
    <row r="1231">
      <c r="A1231" s="117" t="n">
        <v>46204</v>
      </c>
      <c r="B1231" s="118" t="n">
        <v>41.40000152587891</v>
      </c>
      <c r="C1231" s="118" t="n">
        <v>43.27999877929688</v>
      </c>
      <c r="D1231" s="118" t="n">
        <v>40.11000061035156</v>
      </c>
      <c r="E1231" s="118" t="n">
        <v>43.06000137329102</v>
      </c>
      <c r="F1231" s="119" t="n">
        <v>80185700</v>
      </c>
      <c r="G1231" s="120" t="n">
        <v>0.04896473017265768</v>
      </c>
      <c r="H1231" s="121" t="n">
        <v>27.06810861466329</v>
      </c>
      <c r="I1231" s="118" t="n">
        <v>43.66535652160645</v>
      </c>
      <c r="J1231" s="118" t="n">
        <v>56.63902584075927</v>
      </c>
      <c r="K1231" s="120" t="n">
        <v>0.3804044199447742</v>
      </c>
      <c r="L1231" s="120" t="n">
        <v>-0.08285192472443126</v>
      </c>
      <c r="M1231" s="120" t="n">
        <v>-0.4416757264745889</v>
      </c>
      <c r="N1231" t="n">
        <v>48.84868085724612</v>
      </c>
      <c r="O1231" t="n">
        <v>-0.2088020717250152</v>
      </c>
      <c r="P1231" t="n">
        <v>180.3248051737889</v>
      </c>
      <c r="Q1231" t="n">
        <v>203.0215929864062</v>
      </c>
    </row>
    <row r="1232">
      <c r="A1232" s="117" t="n">
        <v>46205</v>
      </c>
      <c r="B1232" s="118" t="n">
        <v>44.11000061035156</v>
      </c>
      <c r="C1232" s="118" t="n">
        <v>45.04000091552734</v>
      </c>
      <c r="D1232" s="118" t="n">
        <v>43.59999847412109</v>
      </c>
      <c r="E1232" s="118" t="n">
        <v>44.09000015258789</v>
      </c>
      <c r="F1232" s="119" t="n">
        <v>34233400</v>
      </c>
      <c r="G1232" s="120" t="n">
        <v>0.02392008236060472</v>
      </c>
      <c r="H1232" s="121" t="n">
        <v>27.71558000207183</v>
      </c>
      <c r="I1232" s="118" t="n">
        <v>43.62758491516113</v>
      </c>
      <c r="J1232" s="118" t="n">
        <v>56.50223134994507</v>
      </c>
      <c r="K1232" s="120" t="n">
        <v>0.3901562920946305</v>
      </c>
      <c r="L1232" s="120" t="n">
        <v>-0.06091366722696956</v>
      </c>
      <c r="M1232" s="120" t="n">
        <v>-0.4283205638679362</v>
      </c>
      <c r="N1232" t="n">
        <v>53.268559942456</v>
      </c>
      <c r="O1232" t="n">
        <v>-0.02543334772663386</v>
      </c>
      <c r="P1232" t="n">
        <v>180.0878458506992</v>
      </c>
      <c r="Q1232" t="n">
        <v>199.5024416550557</v>
      </c>
    </row>
    <row r="1233">
      <c r="A1233" s="117" t="n">
        <v>46209</v>
      </c>
      <c r="B1233" s="118" t="n">
        <v>43.90000152587891</v>
      </c>
      <c r="C1233" s="118" t="n">
        <v>44.11000061035156</v>
      </c>
      <c r="D1233" s="118" t="n">
        <v>41.84000015258789</v>
      </c>
      <c r="E1233" s="118" t="n">
        <v>43.34000015258789</v>
      </c>
      <c r="F1233" s="119" t="n">
        <v>21979100</v>
      </c>
      <c r="G1233" s="120" t="n">
        <v>-0.01701065995473761</v>
      </c>
      <c r="H1233" s="121" t="n">
        <v>27.24411969520826</v>
      </c>
      <c r="I1233" s="118" t="n">
        <v>43.58888732910156</v>
      </c>
      <c r="J1233" s="118" t="n">
        <v>56.36305656433105</v>
      </c>
      <c r="K1233" s="120" t="n">
        <v>0.3948501900946276</v>
      </c>
      <c r="L1233" s="120" t="n">
        <v>-0.07688814550191314</v>
      </c>
      <c r="M1233" s="120" t="n">
        <v>-0.4380452083590949</v>
      </c>
      <c r="N1233" t="n">
        <v>49.88821694847027</v>
      </c>
      <c r="O1233" t="n">
        <v>0.04772733499726689</v>
      </c>
      <c r="P1233" t="n">
        <v>181.6595461541226</v>
      </c>
      <c r="Q1233" t="n">
        <v>202.3636840847972</v>
      </c>
    </row>
    <row r="1234">
      <c r="A1234" s="117" t="n">
        <v>46210</v>
      </c>
      <c r="B1234" s="118" t="n">
        <v>43.72000122070312</v>
      </c>
      <c r="C1234" s="118" t="n">
        <v>44.04000091552734</v>
      </c>
      <c r="D1234" s="118" t="n">
        <v>42.88000106811523</v>
      </c>
      <c r="E1234" s="118" t="n">
        <v>43.20999908447266</v>
      </c>
      <c r="F1234" s="119" t="n">
        <v>17784900</v>
      </c>
      <c r="G1234" s="120" t="n">
        <v>-0.002999563166994457</v>
      </c>
      <c r="H1234" s="121" t="n">
        <v>27.16239923725332</v>
      </c>
      <c r="I1234" s="118" t="n">
        <v>43.56543014526367</v>
      </c>
      <c r="J1234" s="118" t="n">
        <v>56.22538414001465</v>
      </c>
      <c r="K1234" s="120" t="n">
        <v>0.3912669530825709</v>
      </c>
      <c r="L1234" s="120" t="n">
        <v>-0.07965707781968157</v>
      </c>
      <c r="M1234" s="120" t="n">
        <v>-0.4397308272536169</v>
      </c>
      <c r="N1234" t="n">
        <v>49.30417525453957</v>
      </c>
      <c r="O1234" t="n">
        <v>0.08743465180583421</v>
      </c>
      <c r="P1234" t="n">
        <v>180.7963182164767</v>
      </c>
      <c r="Q1234" t="n">
        <v>198.6149601054514</v>
      </c>
    </row>
    <row r="1235">
      <c r="A1235" s="117" t="n">
        <v>46211</v>
      </c>
      <c r="B1235" s="118" t="n">
        <v>42.70000076293945</v>
      </c>
      <c r="C1235" s="118" t="n">
        <v>43.2599983215332</v>
      </c>
      <c r="D1235" s="118" t="n">
        <v>42.06999969482422</v>
      </c>
      <c r="E1235" s="118" t="n">
        <v>42.88999938964844</v>
      </c>
      <c r="F1235" s="119" t="n">
        <v>21101500</v>
      </c>
      <c r="G1235" s="120" t="n">
        <v>-0.007405686220882335</v>
      </c>
      <c r="H1235" s="121" t="n">
        <v>26.96124303149589</v>
      </c>
      <c r="I1235" s="118" t="n">
        <v>43.53735702514648</v>
      </c>
      <c r="J1235" s="118" t="n">
        <v>56.08713897705078</v>
      </c>
      <c r="K1235" s="120" t="n">
        <v>0.3917226692180117</v>
      </c>
      <c r="L1235" s="120" t="n">
        <v>-0.08647284871695893</v>
      </c>
      <c r="M1235" s="120" t="n">
        <v>-0.4438800049462099</v>
      </c>
      <c r="N1235" t="n">
        <v>47.82014059043087</v>
      </c>
      <c r="O1235" t="n">
        <v>0.09176797405492465</v>
      </c>
      <c r="P1235" t="n">
        <v>180.2377606989768</v>
      </c>
      <c r="Q1235" t="n">
        <v>199.1776907674375</v>
      </c>
    </row>
    <row r="1236">
      <c r="A1236" s="117" t="n">
        <v>46212</v>
      </c>
      <c r="B1236" s="118" t="n">
        <v>42.68999862670898</v>
      </c>
      <c r="C1236" s="118" t="n">
        <v>43.06000137329102</v>
      </c>
      <c r="D1236" s="118" t="n">
        <v>42.13000106811523</v>
      </c>
      <c r="E1236" s="118" t="n">
        <v>42.77999877929688</v>
      </c>
      <c r="F1236" s="119" t="n">
        <v>19647000</v>
      </c>
      <c r="G1236" s="120" t="n">
        <v>-0.002564714663486622</v>
      </c>
      <c r="H1236" s="121" t="n">
        <v>26.89209513614719</v>
      </c>
      <c r="I1236" s="118" t="n">
        <v>43.49816368103027</v>
      </c>
      <c r="J1236" s="118" t="n">
        <v>55.95426284790039</v>
      </c>
      <c r="K1236" s="120" t="n">
        <v>0.3718744174560767</v>
      </c>
      <c r="L1236" s="120" t="n">
        <v>-0.08881578519734767</v>
      </c>
      <c r="M1236" s="120" t="n">
        <v>-0.4453062940521825</v>
      </c>
      <c r="N1236" t="n">
        <v>47.29316687065702</v>
      </c>
      <c r="O1236" t="n">
        <v>0.08689489510878734</v>
      </c>
      <c r="P1236" t="n">
        <v>181.7635184031987</v>
      </c>
      <c r="Q1236" t="n">
        <v>202.4924737422547</v>
      </c>
    </row>
    <row r="1237">
      <c r="A1237" s="117" t="n">
        <v>46213</v>
      </c>
      <c r="B1237" s="118" t="n">
        <v>43.41999816894531</v>
      </c>
      <c r="C1237" s="118" t="n">
        <v>44.63000106811523</v>
      </c>
      <c r="D1237" s="118" t="n">
        <v>43.06000137329102</v>
      </c>
      <c r="E1237" s="118" t="n">
        <v>44.36999893188477</v>
      </c>
      <c r="F1237" s="119" t="n">
        <v>23313500</v>
      </c>
      <c r="G1237" s="120" t="n">
        <v>0.03716690504809828</v>
      </c>
      <c r="H1237" s="121" t="n">
        <v>27.8915910826168</v>
      </c>
      <c r="I1237" s="118" t="n">
        <v>43.49295082092285</v>
      </c>
      <c r="J1237" s="118" t="n">
        <v>55.82742891311646</v>
      </c>
      <c r="K1237" s="120" t="n">
        <v>0.3927215767630767</v>
      </c>
      <c r="L1237" s="120" t="n">
        <v>-0.05494988800445155</v>
      </c>
      <c r="M1237" s="120" t="n">
        <v>-0.4246900457524422</v>
      </c>
      <c r="N1237" t="n">
        <v>55.01063321074469</v>
      </c>
      <c r="O1237" t="n">
        <v>0.1847989032379042</v>
      </c>
      <c r="P1237" t="n">
        <v>182.546948193115</v>
      </c>
      <c r="Q1237" t="n">
        <v>203.1167883136844</v>
      </c>
    </row>
    <row r="1238">
      <c r="A1238" s="117" t="n">
        <v>46216</v>
      </c>
      <c r="B1238" s="118" t="n">
        <v>44.7599983215332</v>
      </c>
      <c r="C1238" s="118" t="n">
        <v>44.90000152587891</v>
      </c>
      <c r="D1238" s="118" t="n">
        <v>43.66999816894531</v>
      </c>
      <c r="E1238" s="118" t="n">
        <v>43.7599983215332</v>
      </c>
      <c r="F1238" s="119" t="n">
        <v>13665500</v>
      </c>
      <c r="G1238" s="120" t="n">
        <v>-0.01374804203371771</v>
      </c>
      <c r="H1238" s="121" t="n">
        <v>27.50813631602572</v>
      </c>
      <c r="I1238" s="118" t="n">
        <v>43.48822441101074</v>
      </c>
      <c r="J1238" s="118" t="n">
        <v>55.69925708770752</v>
      </c>
      <c r="K1238" s="120" t="n">
        <v>0.357965415829131</v>
      </c>
      <c r="L1238" s="120" t="n">
        <v>-0.0679424766681358</v>
      </c>
      <c r="M1238" s="120" t="n">
        <v>-0.4325994311858539</v>
      </c>
      <c r="N1238" t="n">
        <v>51.87255851031171</v>
      </c>
      <c r="O1238" t="n">
        <v>0.2011692053685745</v>
      </c>
      <c r="P1238" t="n">
        <v>181.1493368393159</v>
      </c>
      <c r="Q1238" t="n">
        <v>199.2616765928857</v>
      </c>
    </row>
    <row r="1239">
      <c r="A1239" s="117" t="n">
        <v>46217</v>
      </c>
      <c r="B1239" s="118" t="n">
        <v>44.31000137329102</v>
      </c>
      <c r="C1239" s="118" t="n">
        <v>44.4900016784668</v>
      </c>
      <c r="D1239" s="118" t="n">
        <v>42.47000122070312</v>
      </c>
      <c r="E1239" s="118" t="n">
        <v>42.86000061035156</v>
      </c>
      <c r="F1239" s="119" t="n">
        <v>13090200</v>
      </c>
      <c r="G1239" s="120" t="n">
        <v>-0.02056667609008511</v>
      </c>
      <c r="H1239" s="121" t="n">
        <v>26.94238538657211</v>
      </c>
      <c r="I1239" s="118" t="n">
        <v>43.46609268188477</v>
      </c>
      <c r="J1239" s="118" t="n">
        <v>55.56516662597656</v>
      </c>
      <c r="K1239" s="120" t="n">
        <v>0.3566425451968705</v>
      </c>
      <c r="L1239" s="120" t="n">
        <v>-0.08711180184782918</v>
      </c>
      <c r="M1239" s="120" t="n">
        <v>-0.4442689748979844</v>
      </c>
      <c r="N1239" t="n">
        <v>47.56164491227535</v>
      </c>
      <c r="O1239" t="n">
        <v>0.146612159061211</v>
      </c>
      <c r="P1239" t="n">
        <v>181.7925332281361</v>
      </c>
      <c r="Q1239" t="n">
        <v>201.4873949493677</v>
      </c>
    </row>
    <row r="1240">
      <c r="A1240" s="117" t="n">
        <v>46218</v>
      </c>
      <c r="B1240" s="118" t="n">
        <v>43</v>
      </c>
      <c r="C1240" s="118" t="n">
        <v>43.58000183105469</v>
      </c>
      <c r="D1240" s="118" t="n">
        <v>42.47999954223633</v>
      </c>
      <c r="E1240" s="118" t="n">
        <v>42.77000045776367</v>
      </c>
      <c r="F1240" s="119" t="n">
        <v>14388200</v>
      </c>
      <c r="G1240" s="120" t="n">
        <v>-0.002099863539576141</v>
      </c>
      <c r="H1240" s="121" t="n">
        <v>26.88581005382964</v>
      </c>
      <c r="I1240" s="118" t="n">
        <v>43.4413680267334</v>
      </c>
      <c r="J1240" s="118" t="n">
        <v>55.44031187057495</v>
      </c>
      <c r="K1240" s="120" t="n">
        <v>0.3553510418150135</v>
      </c>
      <c r="L1240" s="120" t="n">
        <v>-0.08902874249083825</v>
      </c>
      <c r="M1240" s="120" t="n">
        <v>-0.4454359342154074</v>
      </c>
      <c r="N1240" t="n">
        <v>47.13974888284931</v>
      </c>
      <c r="O1240" t="n">
        <v>0.1018171884830149</v>
      </c>
      <c r="P1240" t="n">
        <v>182.5130926445868</v>
      </c>
      <c r="Q1240" t="n">
        <v>200.9414614524713</v>
      </c>
    </row>
    <row r="1241">
      <c r="A1241" s="117" t="n">
        <v>46219</v>
      </c>
      <c r="B1241" s="118" t="n">
        <v>42.90000152587891</v>
      </c>
      <c r="C1241" s="118" t="n">
        <v>44.66999816894531</v>
      </c>
      <c r="D1241" s="118" t="n">
        <v>42.90000152587891</v>
      </c>
      <c r="E1241" s="118" t="n">
        <v>44.56999969482422</v>
      </c>
      <c r="F1241" s="119" t="n">
        <v>15944700</v>
      </c>
      <c r="G1241" s="120" t="n">
        <v>0.04208555571183803</v>
      </c>
      <c r="H1241" s="121" t="n">
        <v>28.01731431070798</v>
      </c>
      <c r="I1241" s="118" t="n">
        <v>43.47861106872558</v>
      </c>
      <c r="J1241" s="118" t="n">
        <v>55.32411474227905</v>
      </c>
      <c r="K1241" s="120" t="n">
        <v>0.3889377474205877</v>
      </c>
      <c r="L1241" s="120" t="n">
        <v>-0.05069001088105329</v>
      </c>
      <c r="M1241" s="120" t="n">
        <v>-0.4220967973290466</v>
      </c>
      <c r="N1241" t="n">
        <v>55.61903142213723</v>
      </c>
      <c r="O1241" t="n">
        <v>0.185872407923043</v>
      </c>
      <c r="P1241" t="n">
        <v>181.5241239600099</v>
      </c>
      <c r="Q1241" t="n">
        <v>197.637887979484</v>
      </c>
    </row>
    <row r="1242">
      <c r="A1242" s="117" t="n">
        <v>46220</v>
      </c>
      <c r="B1242" s="118" t="n">
        <v>44.52000045776367</v>
      </c>
      <c r="C1242" s="118" t="n">
        <v>44.97999954223633</v>
      </c>
      <c r="D1242" s="118" t="n">
        <v>43.52000045776367</v>
      </c>
      <c r="E1242" s="118" t="n">
        <v>43.7599983215332</v>
      </c>
      <c r="F1242" s="119" t="n">
        <v>15825100</v>
      </c>
      <c r="G1242" s="120" t="n">
        <v>-0.01817369034860183</v>
      </c>
      <c r="H1242" s="121" t="n">
        <v>27.50813631602572</v>
      </c>
      <c r="I1242" s="118" t="n">
        <v>43.50024871826172</v>
      </c>
      <c r="J1242" s="118" t="n">
        <v>55.20269351959229</v>
      </c>
      <c r="K1242" s="120" t="n">
        <v>0.3885016485809707</v>
      </c>
      <c r="L1242" s="120" t="n">
        <v>-0.06794247666813558</v>
      </c>
      <c r="M1242" s="120" t="n">
        <v>-0.4325994311858539</v>
      </c>
      <c r="N1242" t="n">
        <v>51.6072375137169</v>
      </c>
      <c r="O1242" t="n">
        <v>0.179294334394689</v>
      </c>
      <c r="P1242" t="n">
        <v>179.7275513841701</v>
      </c>
      <c r="Q1242" t="n">
        <v>194.6674725204874</v>
      </c>
    </row>
    <row r="1243">
      <c r="A1243" s="117" t="n">
        <v>46223</v>
      </c>
      <c r="B1243" s="118" t="n">
        <v>43.84000015258789</v>
      </c>
      <c r="C1243" s="118" t="n">
        <v>43.84000015258789</v>
      </c>
      <c r="D1243" s="118" t="n">
        <v>42.83000183105469</v>
      </c>
      <c r="E1243" s="118" t="n">
        <v>43.47000122070312</v>
      </c>
      <c r="F1243" s="119" t="n">
        <v>11926900</v>
      </c>
      <c r="G1243" s="120" t="n">
        <v>-0.006626990675348776</v>
      </c>
      <c r="H1243" s="121" t="n">
        <v>27.3258401531632</v>
      </c>
      <c r="I1243" s="118" t="n">
        <v>43.49983192443847</v>
      </c>
      <c r="J1243" s="118" t="n">
        <v>55.07894180297851</v>
      </c>
      <c r="K1243" s="120" t="n">
        <v>0.3792748730281664</v>
      </c>
      <c r="L1243" s="120" t="n">
        <v>-0.07411921318414461</v>
      </c>
      <c r="M1243" s="120" t="n">
        <v>-0.4363595894645728</v>
      </c>
      <c r="N1243" t="n">
        <v>50.21085189557878</v>
      </c>
      <c r="O1243" t="n">
        <v>0.1490307119645867</v>
      </c>
      <c r="P1243" t="n">
        <v>179.4374031347964</v>
      </c>
      <c r="Q1243" t="n">
        <v>194.8718408770206</v>
      </c>
    </row>
    <row r="1244">
      <c r="A1244" s="117" t="n">
        <v>46224</v>
      </c>
      <c r="B1244" s="118" t="n">
        <v>43.06000137329102</v>
      </c>
      <c r="C1244" s="118" t="n">
        <v>43.56000137329102</v>
      </c>
      <c r="D1244" s="118" t="n">
        <v>42.75</v>
      </c>
      <c r="E1244" s="118" t="n">
        <v>42.95999908447266</v>
      </c>
      <c r="F1244" s="119" t="n">
        <v>11859000</v>
      </c>
      <c r="G1244" s="120" t="n">
        <v>-0.01173227793671128</v>
      </c>
      <c r="H1244" s="121" t="n">
        <v>27.00524580163214</v>
      </c>
      <c r="I1244" s="118" t="n">
        <v>43.47870910644532</v>
      </c>
      <c r="J1244" s="118" t="n">
        <v>54.9307740020752</v>
      </c>
      <c r="K1244" s="120" t="n">
        <v>0.3466929492220832</v>
      </c>
      <c r="L1244" s="120" t="n">
        <v>-0.0849819039113292</v>
      </c>
      <c r="M1244" s="120" t="n">
        <v>-0.4429723754173365</v>
      </c>
      <c r="N1244" t="n">
        <v>47.76319174217353</v>
      </c>
      <c r="O1244" t="n">
        <v>0.09112803691850369</v>
      </c>
      <c r="P1244" t="n">
        <v>180.9341460140809</v>
      </c>
      <c r="Q1244" t="n">
        <v>198.486170447994</v>
      </c>
    </row>
    <row r="1245">
      <c r="A1245" s="117" t="n">
        <v>46225</v>
      </c>
      <c r="B1245" s="118" t="n">
        <v>42.45000076293945</v>
      </c>
      <c r="C1245" s="118" t="n">
        <v>42.90999984741211</v>
      </c>
      <c r="D1245" s="118" t="n">
        <v>41.56999969482422</v>
      </c>
      <c r="E1245" s="118" t="n">
        <v>42.20999908447266</v>
      </c>
      <c r="F1245" s="119" t="n">
        <v>18990000</v>
      </c>
      <c r="G1245" s="120" t="n">
        <v>-0.01745810093071154</v>
      </c>
      <c r="H1245" s="121" t="n">
        <v>26.53378549476857</v>
      </c>
      <c r="I1245" s="118" t="n">
        <v>43.44793838500976</v>
      </c>
      <c r="J1245" s="118" t="n">
        <v>54.77704624176025</v>
      </c>
      <c r="K1245" s="120" t="n">
        <v>0.3457945211419552</v>
      </c>
      <c r="L1245" s="120" t="n">
        <v>-0.1009563821862728</v>
      </c>
      <c r="M1245" s="120" t="n">
        <v>-0.4526970199084951</v>
      </c>
      <c r="N1245" t="n">
        <v>44.34005895850866</v>
      </c>
      <c r="O1245" t="n">
        <v>0.003413290839255373</v>
      </c>
      <c r="P1245" t="n">
        <v>180.7237663958295</v>
      </c>
      <c r="Q1245" t="n">
        <v>197.4727016163898</v>
      </c>
    </row>
    <row r="1246">
      <c r="A1246" s="117" t="n">
        <v>46226</v>
      </c>
      <c r="B1246" s="118" t="n">
        <v>41.79999923706055</v>
      </c>
      <c r="C1246" s="118" t="n">
        <v>42.08000183105469</v>
      </c>
      <c r="D1246" s="118" t="n">
        <v>40.68999862670898</v>
      </c>
      <c r="E1246" s="118" t="n">
        <v>40.9900016784668</v>
      </c>
      <c r="F1246" s="119" t="n">
        <v>18156200</v>
      </c>
      <c r="G1246" s="120" t="n">
        <v>-0.0289030427023782</v>
      </c>
      <c r="H1246" s="121" t="n">
        <v>25.76687835955753</v>
      </c>
      <c r="I1246" s="118" t="n">
        <v>43.42745727539062</v>
      </c>
      <c r="J1246" s="118" t="n">
        <v>54.63013269424439</v>
      </c>
      <c r="K1246" s="120" t="n">
        <v>0.3580270401733266</v>
      </c>
      <c r="L1246" s="120" t="n">
        <v>-0.1269414782632435</v>
      </c>
      <c r="M1246" s="120" t="n">
        <v>-0.4685157413132187</v>
      </c>
      <c r="N1246" t="n">
        <v>39.39416670596312</v>
      </c>
      <c r="O1246" t="n">
        <v>-0.1283908479084854</v>
      </c>
      <c r="P1246" t="n">
        <v>178.4919566876255</v>
      </c>
      <c r="Q1246" t="n">
        <v>193.7239947246992</v>
      </c>
    </row>
    <row r="1247">
      <c r="A1247" s="117" t="n">
        <v>46227</v>
      </c>
      <c r="B1247" s="118" t="n">
        <v>41.18999862670898</v>
      </c>
      <c r="C1247" s="118" t="n">
        <v>42.15000152587891</v>
      </c>
      <c r="D1247" s="118" t="n">
        <v>40.88999938964844</v>
      </c>
      <c r="E1247" s="118" t="n">
        <v>41.70000076293945</v>
      </c>
      <c r="F1247" s="119" t="n">
        <v>26175200</v>
      </c>
      <c r="G1247" s="120" t="n">
        <v>0.01732127483287327</v>
      </c>
      <c r="H1247" s="121" t="n">
        <v>26.21319354120864</v>
      </c>
      <c r="I1247" s="118" t="n">
        <v>43.42196907043457</v>
      </c>
      <c r="J1247" s="118" t="n">
        <v>54.49048686981201</v>
      </c>
      <c r="K1247" s="120" t="n">
        <v>0.354280923830448</v>
      </c>
      <c r="L1247" s="120" t="n">
        <v>-0.1118189916630592</v>
      </c>
      <c r="M1247" s="120" t="n">
        <v>-0.4593097563991592</v>
      </c>
      <c r="N1247" t="n">
        <v>43.35420704682585</v>
      </c>
      <c r="O1247" t="n">
        <v>-0.1574594771663792</v>
      </c>
      <c r="P1247" t="n">
        <v>178.6733067226359</v>
      </c>
      <c r="Q1247" t="n">
        <v>191.5598602776609</v>
      </c>
    </row>
    <row r="1248">
      <c r="A1248" s="117" t="n">
        <v>46230</v>
      </c>
      <c r="B1248" s="118" t="n">
        <v>42.15000152587891</v>
      </c>
      <c r="C1248" s="118" t="n">
        <v>42.59999847412109</v>
      </c>
      <c r="D1248" s="118" t="n">
        <v>41.58000183105469</v>
      </c>
      <c r="E1248" s="118" t="n">
        <v>42.13999938964844</v>
      </c>
      <c r="F1248" s="119" t="n">
        <v>16996900</v>
      </c>
      <c r="G1248" s="120" t="n">
        <v>0.01055152562730965</v>
      </c>
      <c r="H1248" s="121" t="n">
        <v>26.48978272463233</v>
      </c>
      <c r="I1248" s="118" t="n">
        <v>43.42547904968261</v>
      </c>
      <c r="J1248" s="118" t="n">
        <v>54.36409637451172</v>
      </c>
      <c r="K1248" s="120" t="n">
        <v>0.3552824230399505</v>
      </c>
      <c r="L1248" s="120" t="n">
        <v>-0.1024473269919022</v>
      </c>
      <c r="M1248" s="120" t="n">
        <v>-0.4536046494373687</v>
      </c>
      <c r="N1248" t="n">
        <v>45.72118261741276</v>
      </c>
      <c r="O1248" t="n">
        <v>-0.1374835702592141</v>
      </c>
      <c r="P1248" t="n">
        <v>178.7120029947548</v>
      </c>
      <c r="Q1248" t="n">
        <v>190.9691400364105</v>
      </c>
    </row>
    <row r="1249">
      <c r="A1249" s="117" t="n">
        <v>46231</v>
      </c>
      <c r="B1249" s="118" t="n">
        <v>42.75</v>
      </c>
      <c r="C1249" s="118" t="n">
        <v>43.27000045776367</v>
      </c>
      <c r="D1249" s="118" t="n">
        <v>42.52000045776367</v>
      </c>
      <c r="E1249" s="118" t="n">
        <v>43.04999923706055</v>
      </c>
      <c r="F1249" s="119" t="n">
        <v>23601400</v>
      </c>
      <c r="G1249" s="120" t="n">
        <v>0.0215946810771821</v>
      </c>
      <c r="H1249" s="121" t="n">
        <v>27.06182113437461</v>
      </c>
      <c r="I1249" s="118" t="n">
        <v>43.45353225708008</v>
      </c>
      <c r="J1249" s="118" t="n">
        <v>54.24137540817261</v>
      </c>
      <c r="K1249" s="120" t="n">
        <v>0.3577128331477178</v>
      </c>
      <c r="L1249" s="120" t="n">
        <v>-0.08306496326831991</v>
      </c>
      <c r="M1249" s="120" t="n">
        <v>-0.4418054160999134</v>
      </c>
      <c r="N1249" t="n">
        <v>50.34269326432693</v>
      </c>
      <c r="O1249" t="n">
        <v>-0.05750693551963226</v>
      </c>
      <c r="P1249" t="n">
        <v>179.1399790417329</v>
      </c>
      <c r="Q1249" t="n">
        <v>189.112976399556</v>
      </c>
    </row>
    <row r="1250">
      <c r="A1250" s="117" t="n">
        <v>46232</v>
      </c>
      <c r="B1250" s="118" t="n">
        <v>42.59999847412109</v>
      </c>
      <c r="C1250" s="118" t="n">
        <v>43.68999862670898</v>
      </c>
      <c r="D1250" s="118" t="n">
        <v>42.40000152587891</v>
      </c>
      <c r="E1250" s="118" t="n">
        <v>43.22000122070312</v>
      </c>
      <c r="F1250" s="119" t="n">
        <v>15029100</v>
      </c>
      <c r="G1250" s="120" t="n">
        <v>0.003948942779451459</v>
      </c>
      <c r="H1250" s="121" t="n">
        <v>27.16868671754201</v>
      </c>
      <c r="I1250" s="118" t="n">
        <v>43.48776069641113</v>
      </c>
      <c r="J1250" s="118" t="n">
        <v>54.12454290390015</v>
      </c>
      <c r="K1250" s="120" t="n">
        <v>0.3546937000143646</v>
      </c>
      <c r="L1250" s="120" t="n">
        <v>-0.07944403927579224</v>
      </c>
      <c r="M1250" s="120" t="n">
        <v>-0.4391057029624584</v>
      </c>
      <c r="N1250" t="n">
        <v>51.17898487335908</v>
      </c>
      <c r="O1250" t="n">
        <v>0.008790620712557928</v>
      </c>
      <c r="P1250" t="n">
        <v>176.3834673645572</v>
      </c>
      <c r="Q1250" t="n">
        <v>185.2606670542148</v>
      </c>
    </row>
    <row r="1251">
      <c r="A1251" s="117" t="n">
        <v>46233</v>
      </c>
      <c r="B1251" s="118" t="n">
        <v>42.5</v>
      </c>
      <c r="C1251" s="118" t="n">
        <v>42.5</v>
      </c>
      <c r="D1251" s="118" t="n">
        <v>41.22999954223633</v>
      </c>
      <c r="E1251" s="118" t="n">
        <v>42.29000091552734</v>
      </c>
      <c r="F1251" s="119" t="n">
        <v>16977600</v>
      </c>
      <c r="G1251" s="120" t="n">
        <v>-0.02151782227924359</v>
      </c>
      <c r="H1251" s="121" t="n">
        <v>26.5840757451935</v>
      </c>
      <c r="I1251" s="118" t="n">
        <v>43.48971153259277</v>
      </c>
      <c r="J1251" s="118" t="n">
        <v>54.01695297241211</v>
      </c>
      <c r="K1251" s="120" t="n">
        <v>0.3195543053735697</v>
      </c>
      <c r="L1251" s="120" t="n">
        <v>-0.09925239883675407</v>
      </c>
      <c r="M1251" s="120" t="n">
        <v>-0.4511749267635535</v>
      </c>
      <c r="N1251" t="n">
        <v>46.55946978674668</v>
      </c>
      <c r="O1251" t="n">
        <v>-0.007180643774349127</v>
      </c>
      <c r="P1251" t="n">
        <v>179.3406772128027</v>
      </c>
      <c r="Q1251" t="n">
        <v>191.3694867107598</v>
      </c>
    </row>
    <row r="1252">
      <c r="A1252" s="117" t="n">
        <v>46234</v>
      </c>
      <c r="B1252" s="118" t="n">
        <v>42.02000045776367</v>
      </c>
      <c r="C1252" s="118" t="n">
        <v>42.08000183105469</v>
      </c>
      <c r="D1252" s="118" t="n">
        <v>41.4900016784668</v>
      </c>
      <c r="E1252" s="118" t="n">
        <v>41.70999908447266</v>
      </c>
      <c r="F1252" s="119" t="n">
        <v>22622400</v>
      </c>
      <c r="G1252" s="120" t="n">
        <v>-0.01371486920071763</v>
      </c>
      <c r="H1252" s="121" t="n">
        <v>26.2194786235262</v>
      </c>
      <c r="I1252" s="118" t="n">
        <v>43.48303573608398</v>
      </c>
      <c r="J1252" s="118" t="n">
        <v>53.89589691162109</v>
      </c>
      <c r="K1252" s="120" t="n">
        <v>0.3088234703349953</v>
      </c>
      <c r="L1252" s="120" t="n">
        <v>-0.1116060343695682</v>
      </c>
      <c r="M1252" s="120" t="n">
        <v>-0.4587019908570656</v>
      </c>
      <c r="N1252" t="n">
        <v>43.89823761976756</v>
      </c>
      <c r="O1252" t="n">
        <v>-0.05152672010259046</v>
      </c>
      <c r="P1252" t="n">
        <v>180.6318959557302</v>
      </c>
      <c r="Q1252" t="n">
        <v>192.6125281903594</v>
      </c>
    </row>
    <row r="1253">
      <c r="A1253" s="117" t="n">
        <v>46237</v>
      </c>
      <c r="B1253" s="118" t="n">
        <v>42.56999969482422</v>
      </c>
      <c r="C1253" s="118" t="n">
        <v>43.20999908447266</v>
      </c>
      <c r="D1253" s="118" t="n">
        <v>42.06000137329102</v>
      </c>
      <c r="E1253" s="118" t="n">
        <v>42.63999938964844</v>
      </c>
      <c r="F1253" s="119" t="n">
        <v>21329900</v>
      </c>
      <c r="G1253" s="120" t="n">
        <v>0.0222968191222519</v>
      </c>
      <c r="H1253" s="121" t="n">
        <v>26.80408959587471</v>
      </c>
      <c r="I1253" s="118" t="n">
        <v>43.4598738861084</v>
      </c>
      <c r="J1253" s="118" t="n">
        <v>53.77821891784668</v>
      </c>
      <c r="K1253" s="120" t="n">
        <v>0.3159216917896821</v>
      </c>
      <c r="L1253" s="120" t="n">
        <v>-0.09179767480860634</v>
      </c>
      <c r="M1253" s="120" t="n">
        <v>-0.4466327670559705</v>
      </c>
      <c r="N1253" t="n">
        <v>48.93800960052424</v>
      </c>
      <c r="O1253" t="n">
        <v>-0.01485063567017486</v>
      </c>
      <c r="P1253" t="n">
        <v>183.2046372361002</v>
      </c>
      <c r="Q1253" t="n">
        <v>195.9944998255352</v>
      </c>
    </row>
    <row r="1254">
      <c r="A1254" s="117" t="n">
        <v>46238</v>
      </c>
      <c r="B1254" s="118" t="n">
        <v>41.34999847412109</v>
      </c>
      <c r="C1254" s="118" t="n">
        <v>42.09000015258789</v>
      </c>
      <c r="D1254" s="118" t="n">
        <v>40.90999984741211</v>
      </c>
      <c r="E1254" s="118" t="n">
        <v>41.52999877929688</v>
      </c>
      <c r="F1254" s="119" t="n">
        <v>27748500</v>
      </c>
      <c r="G1254" s="120" t="n">
        <v>-0.02603190962101731</v>
      </c>
      <c r="H1254" s="121" t="n">
        <v>26.10632795804125</v>
      </c>
      <c r="I1254" s="118" t="n">
        <v>43.41054748535156</v>
      </c>
      <c r="J1254" s="118" t="n">
        <v>53.65097972869873</v>
      </c>
      <c r="K1254" s="120" t="n">
        <v>0.3285423159738549</v>
      </c>
      <c r="L1254" s="120" t="n">
        <v>-0.1154399156555865</v>
      </c>
      <c r="M1254" s="120" t="n">
        <v>-0.4610379728512021</v>
      </c>
      <c r="N1254" t="n">
        <v>43.87220268321501</v>
      </c>
      <c r="O1254" t="n">
        <v>-0.05946829649556351</v>
      </c>
      <c r="P1254" t="n">
        <v>186.507634138406</v>
      </c>
      <c r="Q1254" t="n">
        <v>202.6520382667788</v>
      </c>
    </row>
  </sheetData>
  <autoFilter ref="A1:Q1"/>
  <conditionalFormatting sqref="G2:G1254">
    <cfRule type="colorScale" priority="1">
      <colorScale>
        <cfvo type="num" val="-0.05"/>
        <cfvo type="num" val="0"/>
        <cfvo type="num" val="0.05"/>
        <color rgb="00FFAAAA"/>
        <color rgb="00FFFFFF"/>
        <color rgb="00AAFFAA"/>
      </colorScale>
    </cfRule>
  </conditionalFormatting>
  <conditionalFormatting sqref="N2:N1254">
    <cfRule type="cellIs" priority="2" operator="greaterThan" dxfId="2">
      <formula>70</formula>
    </cfRule>
    <cfRule type="cellIs" priority="3" operator="lessThan" dxfId="3">
      <formula>30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8" customWidth="1" min="1" max="1"/>
    <col width="74" customWidth="1" min="2" max="2"/>
    <col width="20" customWidth="1" min="3" max="3"/>
    <col width="12" customWidth="1" min="4" max="4"/>
    <col width="11" customWidth="1" min="5" max="5"/>
    <col width="11" customWidth="1" min="6" max="6"/>
    <col width="14" customWidth="1" min="7" max="7"/>
  </cols>
  <sheetData>
    <row r="1">
      <c r="A1" s="116" t="inlineStr">
        <is>
          <t>Date</t>
        </is>
      </c>
      <c r="B1" s="116" t="inlineStr">
        <is>
          <t>Headline</t>
        </is>
      </c>
      <c r="C1" s="116" t="inlineStr">
        <is>
          <t>Publisher</t>
        </is>
      </c>
      <c r="D1" s="116" t="inlineStr">
        <is>
          <t>Theme</t>
        </is>
      </c>
      <c r="E1" s="116" t="inlineStr">
        <is>
          <t>Sentiment</t>
        </is>
      </c>
      <c r="F1" s="116" t="inlineStr">
        <is>
          <t>Relevance</t>
        </is>
      </c>
      <c r="G1" s="116" t="inlineStr">
        <is>
          <t>URL</t>
        </is>
      </c>
    </row>
    <row r="2">
      <c r="A2" s="18" t="inlineStr">
        <is>
          <t>2026-06-30</t>
        </is>
      </c>
      <c r="B2" s="18" t="inlineStr">
        <is>
          <t>8-K filing — 8-K</t>
        </is>
      </c>
      <c r="C2" s="18" t="inlineStr">
        <is>
          <t>SEC EDGAR</t>
        </is>
      </c>
      <c r="D2" s="18" t="inlineStr">
        <is>
          <t>General</t>
        </is>
      </c>
      <c r="E2" s="122" t="inlineStr">
        <is>
          <t>Neutral</t>
        </is>
      </c>
      <c r="F2" s="123" t="inlineStr">
        <is>
          <t>High</t>
        </is>
      </c>
      <c r="G2" s="124" t="inlineStr">
        <is>
          <t>Open article</t>
        </is>
      </c>
    </row>
    <row r="3">
      <c r="A3" s="29" t="inlineStr">
        <is>
          <t>2026-08-04</t>
        </is>
      </c>
      <c r="B3" s="29" t="inlineStr">
        <is>
          <t>Nike Inc. Cl B stock underperforms Tuesday when compared to competitors</t>
        </is>
      </c>
      <c r="C3" s="29" t="inlineStr">
        <is>
          <t>MarketWatch</t>
        </is>
      </c>
      <c r="D3" s="29" t="inlineStr">
        <is>
          <t>General</t>
        </is>
      </c>
      <c r="E3" s="122" t="inlineStr">
        <is>
          <t>Neutral</t>
        </is>
      </c>
      <c r="F3" s="125" t="inlineStr">
        <is>
          <t>High</t>
        </is>
      </c>
      <c r="G3" s="126" t="inlineStr">
        <is>
          <t>Open article</t>
        </is>
      </c>
    </row>
    <row r="4">
      <c r="A4" s="18" t="inlineStr">
        <is>
          <t>2026-08-04</t>
        </is>
      </c>
      <c r="B4" s="18" t="inlineStr">
        <is>
          <t>How Investors May Respond To NIKE (NKE) Ending Pou Sheng China Online Sales From 2027</t>
        </is>
      </c>
      <c r="C4" s="18" t="inlineStr">
        <is>
          <t>Yahoo</t>
        </is>
      </c>
      <c r="D4" s="18" t="inlineStr">
        <is>
          <t>Earnings</t>
        </is>
      </c>
      <c r="E4" s="127" t="inlineStr">
        <is>
          <t>Negative</t>
        </is>
      </c>
      <c r="F4" s="123" t="inlineStr">
        <is>
          <t>High</t>
        </is>
      </c>
      <c r="G4" s="124" t="inlineStr">
        <is>
          <t>Open article</t>
        </is>
      </c>
    </row>
    <row r="5">
      <c r="A5" s="29" t="inlineStr">
        <is>
          <t>2026-08-04</t>
        </is>
      </c>
      <c r="B5" s="29" t="inlineStr">
        <is>
          <t>Nike Stock Slides After JPMorgan Downgrades to Underweight</t>
        </is>
      </c>
      <c r="C5" s="29" t="inlineStr">
        <is>
          <t>benzinga.com</t>
        </is>
      </c>
      <c r="D5" s="29" t="inlineStr">
        <is>
          <t>Analyst</t>
        </is>
      </c>
      <c r="E5" s="127" t="inlineStr">
        <is>
          <t>Negative</t>
        </is>
      </c>
      <c r="F5" s="125" t="inlineStr">
        <is>
          <t>High</t>
        </is>
      </c>
      <c r="G5" s="126" t="inlineStr">
        <is>
          <t>Open article</t>
        </is>
      </c>
    </row>
    <row r="6">
      <c r="A6" s="18" t="inlineStr">
        <is>
          <t>2026-08-04</t>
        </is>
      </c>
      <c r="B6" s="18" t="inlineStr">
        <is>
          <t>Nike downgraded as 'Win Now' will create lingering financial headwinds -- J.P. Morgan (NKE:NYSE)</t>
        </is>
      </c>
      <c r="C6" s="18" t="inlineStr">
        <is>
          <t>Seeking Alpha</t>
        </is>
      </c>
      <c r="D6" s="18" t="inlineStr">
        <is>
          <t>Analyst</t>
        </is>
      </c>
      <c r="E6" s="128" t="inlineStr">
        <is>
          <t>Positive</t>
        </is>
      </c>
      <c r="F6" s="123" t="inlineStr">
        <is>
          <t>High</t>
        </is>
      </c>
      <c r="G6" s="124" t="inlineStr">
        <is>
          <t>Open article</t>
        </is>
      </c>
    </row>
    <row r="7">
      <c r="A7" s="29" t="inlineStr">
        <is>
          <t>2026-07-30</t>
        </is>
      </c>
      <c r="B7" s="29" t="inlineStr">
        <is>
          <t>Is Nike the Ultimate Dividend Stock You Should Buy Right Now?</t>
        </is>
      </c>
      <c r="C7" s="29" t="inlineStr">
        <is>
          <t>The Motley Fool</t>
        </is>
      </c>
      <c r="D7" s="29" t="inlineStr">
        <is>
          <t>Capital Return</t>
        </is>
      </c>
      <c r="E7" s="122" t="inlineStr">
        <is>
          <t>Neutral</t>
        </is>
      </c>
      <c r="F7" s="125" t="inlineStr">
        <is>
          <t>High</t>
        </is>
      </c>
      <c r="G7" s="126" t="inlineStr">
        <is>
          <t>Open article</t>
        </is>
      </c>
    </row>
    <row r="8">
      <c r="A8" s="18" t="inlineStr">
        <is>
          <t>2026-07-13</t>
        </is>
      </c>
      <c r="B8" s="18" t="inlineStr">
        <is>
          <t>Nike’s $40 Floor Reflects Deep Value but Not Yet a Confirmed Recovery</t>
        </is>
      </c>
      <c r="C8" s="18" t="inlineStr">
        <is>
          <t>Investing.com</t>
        </is>
      </c>
      <c r="D8" s="18" t="inlineStr">
        <is>
          <t>Earnings</t>
        </is>
      </c>
      <c r="E8" s="122" t="inlineStr">
        <is>
          <t>Neutral</t>
        </is>
      </c>
      <c r="F8" s="123" t="inlineStr">
        <is>
          <t>High</t>
        </is>
      </c>
      <c r="G8" s="124" t="inlineStr">
        <is>
          <t>Open article</t>
        </is>
      </c>
    </row>
    <row r="9">
      <c r="A9" s="29" t="inlineStr">
        <is>
          <t>2026-08-04</t>
        </is>
      </c>
      <c r="B9" s="29" t="inlineStr">
        <is>
          <t>Nike Stock Downgraded on Financial Concerns</t>
        </is>
      </c>
      <c r="C9" s="29" t="inlineStr">
        <is>
          <t>Schaeffer's Investment Research</t>
        </is>
      </c>
      <c r="D9" s="29" t="inlineStr">
        <is>
          <t>Analyst</t>
        </is>
      </c>
      <c r="E9" s="127" t="inlineStr">
        <is>
          <t>Negative</t>
        </is>
      </c>
      <c r="F9" s="125" t="inlineStr">
        <is>
          <t>High</t>
        </is>
      </c>
      <c r="G9" s="126" t="inlineStr">
        <is>
          <t>Open article</t>
        </is>
      </c>
    </row>
    <row r="10">
      <c r="A10" s="18" t="inlineStr">
        <is>
          <t>2026-08-04</t>
        </is>
      </c>
      <c r="B10" s="18" t="inlineStr">
        <is>
          <t>NKE Downgraded by JP Morgan -- Price Target Lowered to $40.00</t>
        </is>
      </c>
      <c r="C10" s="18" t="inlineStr">
        <is>
          <t>GuruFocus</t>
        </is>
      </c>
      <c r="D10" s="18" t="inlineStr">
        <is>
          <t>Analyst</t>
        </is>
      </c>
      <c r="E10" s="127" t="inlineStr">
        <is>
          <t>Negative</t>
        </is>
      </c>
      <c r="F10" s="123" t="inlineStr">
        <is>
          <t>High</t>
        </is>
      </c>
      <c r="G10" s="124" t="inlineStr">
        <is>
          <t>Open article</t>
        </is>
      </c>
    </row>
    <row r="11">
      <c r="A11" s="29" t="inlineStr">
        <is>
          <t>2026-08-04</t>
        </is>
      </c>
      <c r="B11" s="29" t="inlineStr">
        <is>
          <t>JP Morgan Downgrades NIKE (NKE)</t>
        </is>
      </c>
      <c r="C11" s="29" t="inlineStr">
        <is>
          <t>Fintel</t>
        </is>
      </c>
      <c r="D11" s="29" t="inlineStr">
        <is>
          <t>Analyst</t>
        </is>
      </c>
      <c r="E11" s="127" t="inlineStr">
        <is>
          <t>Negative</t>
        </is>
      </c>
      <c r="F11" s="125" t="inlineStr">
        <is>
          <t>High</t>
        </is>
      </c>
      <c r="G11" s="126" t="inlineStr">
        <is>
          <t>Open article</t>
        </is>
      </c>
    </row>
    <row r="12">
      <c r="A12" s="18" t="inlineStr">
        <is>
          <t>2026-08-04</t>
        </is>
      </c>
      <c r="B12" s="18" t="inlineStr">
        <is>
          <t>Cacti Asset Management LLC Boosts Stock Position in NIKE, Inc. $NKE</t>
        </is>
      </c>
      <c r="C12" s="18" t="inlineStr">
        <is>
          <t>MarketBeat</t>
        </is>
      </c>
      <c r="D12" s="18" t="inlineStr">
        <is>
          <t>General</t>
        </is>
      </c>
      <c r="E12" s="128" t="inlineStr">
        <is>
          <t>Positive</t>
        </is>
      </c>
      <c r="F12" s="123" t="inlineStr">
        <is>
          <t>High</t>
        </is>
      </c>
      <c r="G12" s="124" t="inlineStr">
        <is>
          <t>Open article</t>
        </is>
      </c>
    </row>
    <row r="13">
      <c r="A13" s="29" t="inlineStr">
        <is>
          <t>2026-08-04</t>
        </is>
      </c>
      <c r="B13" s="29" t="inlineStr">
        <is>
          <t>Dow, S&amp;P 500, Nasdaq Futures Climb After Brutal Quarter As Trump Signals Iran De-Escalation: Why APLD, NKE, RH, NASA, NCNO Are In Focus</t>
        </is>
      </c>
      <c r="C13" s="29" t="inlineStr">
        <is>
          <t>Stocktwits</t>
        </is>
      </c>
      <c r="D13" s="29" t="inlineStr">
        <is>
          <t>Earnings</t>
        </is>
      </c>
      <c r="E13" s="122" t="inlineStr">
        <is>
          <t>Neutral</t>
        </is>
      </c>
      <c r="F13" s="125" t="inlineStr">
        <is>
          <t>High</t>
        </is>
      </c>
      <c r="G13" s="126" t="inlineStr">
        <is>
          <t>Open article</t>
        </is>
      </c>
    </row>
    <row r="14">
      <c r="A14" s="18" t="inlineStr">
        <is>
          <t>2026-08-04</t>
        </is>
      </c>
      <c r="B14" s="18" t="inlineStr">
        <is>
          <t>What NIKE (NKE)'s China Online Partner Exit Means For Shareholders</t>
        </is>
      </c>
      <c r="C14" s="18" t="inlineStr">
        <is>
          <t>simplywall.st</t>
        </is>
      </c>
      <c r="D14" s="18" t="inlineStr">
        <is>
          <t>General</t>
        </is>
      </c>
      <c r="E14" s="122" t="inlineStr">
        <is>
          <t>Neutral</t>
        </is>
      </c>
      <c r="F14" s="123" t="inlineStr">
        <is>
          <t>High</t>
        </is>
      </c>
      <c r="G14" s="124" t="inlineStr">
        <is>
          <t>Open article</t>
        </is>
      </c>
    </row>
    <row r="15">
      <c r="A15" s="29" t="inlineStr">
        <is>
          <t>2026-07-30</t>
        </is>
      </c>
      <c r="B15" s="29" t="inlineStr">
        <is>
          <t>$NKE stock is down 5% today. Here's what we see in our data.</t>
        </is>
      </c>
      <c r="C15" s="29" t="inlineStr">
        <is>
          <t>quiverquant.com</t>
        </is>
      </c>
      <c r="D15" s="29" t="inlineStr">
        <is>
          <t>General</t>
        </is>
      </c>
      <c r="E15" s="122" t="inlineStr">
        <is>
          <t>Neutral</t>
        </is>
      </c>
      <c r="F15" s="125" t="inlineStr">
        <is>
          <t>High</t>
        </is>
      </c>
      <c r="G15" s="126" t="inlineStr">
        <is>
          <t>Open article</t>
        </is>
      </c>
    </row>
  </sheetData>
  <autoFilter ref="A1:G1"/>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9" customWidth="1" min="1" max="1"/>
    <col width="27" customWidth="1" min="2" max="2"/>
    <col width="11" customWidth="1" min="3" max="3"/>
    <col width="18" customWidth="1" min="4" max="4"/>
    <col width="12" customWidth="1" min="5" max="5"/>
    <col width="10" customWidth="1" min="6" max="6"/>
  </cols>
  <sheetData>
    <row r="1">
      <c r="A1" s="31" t="inlineStr">
        <is>
          <t>Ticker</t>
        </is>
      </c>
      <c r="B1" s="31" t="inlineStr">
        <is>
          <t>Company</t>
        </is>
      </c>
      <c r="C1" s="31" t="inlineStr">
        <is>
          <t>Exchange</t>
        </is>
      </c>
      <c r="D1" s="31" t="inlineStr">
        <is>
          <t>Market Cap ($B)</t>
        </is>
      </c>
      <c r="E1" s="31" t="inlineStr">
        <is>
          <t>Employees</t>
        </is>
      </c>
      <c r="F1" s="31" t="inlineStr">
        <is>
          <t>Country</t>
        </is>
      </c>
    </row>
    <row r="2">
      <c r="A2" s="129" t="inlineStr">
        <is>
          <t>NKE</t>
        </is>
      </c>
      <c r="B2" s="129" t="inlineStr">
        <is>
          <t>Nike, Inc.</t>
        </is>
      </c>
      <c r="C2" s="129" t="inlineStr">
        <is>
          <t>XNYS</t>
        </is>
      </c>
      <c r="D2" s="129" t="n">
        <v>63.26</v>
      </c>
      <c r="E2" s="129" t="n">
        <v>73000</v>
      </c>
      <c r="F2" s="129" t="inlineStr">
        <is>
          <t>us</t>
        </is>
      </c>
    </row>
    <row r="3">
      <c r="A3" s="15" t="inlineStr">
        <is>
          <t>ADDYY</t>
        </is>
      </c>
      <c r="B3" s="15" t="inlineStr">
        <is>
          <t>ADIDAS AG S/ADR</t>
        </is>
      </c>
      <c r="C3" s="15" t="inlineStr">
        <is>
          <t>OTC Link</t>
        </is>
      </c>
      <c r="D3" s="15" t="inlineStr">
        <is>
          <t>N/A</t>
        </is>
      </c>
      <c r="E3" s="15" t="inlineStr">
        <is>
          <t>N/A</t>
        </is>
      </c>
      <c r="F3" s="15" t="inlineStr">
        <is>
          <t>us</t>
        </is>
      </c>
    </row>
    <row r="4">
      <c r="A4" s="18" t="inlineStr">
        <is>
          <t>UAA</t>
        </is>
      </c>
      <c r="B4" s="18" t="inlineStr">
        <is>
          <t>Under Armour, Inc.</t>
        </is>
      </c>
      <c r="C4" s="18" t="inlineStr">
        <is>
          <t>XNYS</t>
        </is>
      </c>
      <c r="D4" s="18" t="n">
        <v>2.89</v>
      </c>
      <c r="E4" s="18" t="n">
        <v>14100</v>
      </c>
      <c r="F4" s="18" t="inlineStr">
        <is>
          <t>us</t>
        </is>
      </c>
    </row>
    <row r="5">
      <c r="A5" s="15" t="inlineStr">
        <is>
          <t>LULU</t>
        </is>
      </c>
      <c r="B5" s="15" t="inlineStr">
        <is>
          <t>lululemon athletica inc.</t>
        </is>
      </c>
      <c r="C5" s="15" t="inlineStr">
        <is>
          <t>XNAS</t>
        </is>
      </c>
      <c r="D5" s="15" t="n">
        <v>14.04</v>
      </c>
      <c r="E5" s="15" t="n">
        <v>39000</v>
      </c>
      <c r="F5" s="15" t="inlineStr">
        <is>
          <t>us</t>
        </is>
      </c>
    </row>
  </sheetData>
  <autoFilter ref="A1:F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min="1" max="1"/>
    <col width="9" customWidth="1" min="2" max="2"/>
    <col width="9" customWidth="1" min="3" max="3"/>
    <col width="9" customWidth="1" min="4" max="4"/>
  </cols>
  <sheetData>
    <row r="1">
      <c r="A1" s="7" t="inlineStr">
        <is>
          <t>Correlation Matrix (Daily Returns)</t>
        </is>
      </c>
    </row>
    <row r="2">
      <c r="B2" s="31" t="inlineStr">
        <is>
          <t>NKE</t>
        </is>
      </c>
      <c r="C2" s="31" t="inlineStr">
        <is>
          <t>SPY</t>
        </is>
      </c>
      <c r="D2" s="31" t="inlineStr">
        <is>
          <t>QQQ</t>
        </is>
      </c>
    </row>
    <row r="3">
      <c r="A3" s="31" t="inlineStr">
        <is>
          <t>NKE</t>
        </is>
      </c>
      <c r="B3" s="130" t="n">
        <v>1</v>
      </c>
      <c r="C3" s="130" t="n">
        <v>0.5162</v>
      </c>
      <c r="D3" s="130" t="n">
        <v>0.4565</v>
      </c>
    </row>
    <row r="4">
      <c r="A4" s="31" t="inlineStr">
        <is>
          <t>SPY</t>
        </is>
      </c>
      <c r="B4" s="130" t="n">
        <v>0.5162</v>
      </c>
      <c r="C4" s="130" t="n">
        <v>1</v>
      </c>
      <c r="D4" s="130" t="n">
        <v>0.9504</v>
      </c>
    </row>
    <row r="5">
      <c r="A5" s="31" t="inlineStr">
        <is>
          <t>QQQ</t>
        </is>
      </c>
      <c r="B5" s="130" t="n">
        <v>0.4565</v>
      </c>
      <c r="C5" s="130" t="n">
        <v>0.9504</v>
      </c>
      <c r="D5" s="130" t="n">
        <v>1</v>
      </c>
    </row>
  </sheetData>
  <mergeCells count="1">
    <mergeCell ref="A1:D1"/>
  </mergeCells>
  <conditionalFormatting sqref="B3:D5">
    <cfRule type="colorScale" priority="1">
      <colorScale>
        <cfvo type="num" val="-1"/>
        <cfvo type="num" val="0"/>
        <cfvo type="num" val="1"/>
        <color rgb="00FF9999"/>
        <color rgb="00FFFFFF"/>
        <color rgb="0099CCFF"/>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73"/>
  <sheetViews>
    <sheetView workbookViewId="0">
      <pane ySplit="20" topLeftCell="A21" activePane="bottomLeft" state="frozen"/>
      <selection pane="bottomLef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s>
  <sheetData>
    <row r="1">
      <c r="A1" s="131" t="inlineStr">
        <is>
          <t>Monte Carlo Simulation Summary</t>
        </is>
      </c>
    </row>
    <row r="2">
      <c r="A2" s="31" t="inlineStr">
        <is>
          <t>Field</t>
        </is>
      </c>
      <c r="B2" s="31" t="inlineStr">
        <is>
          <t>Value</t>
        </is>
      </c>
    </row>
    <row r="3">
      <c r="A3" s="132" t="inlineStr">
        <is>
          <t>Last Price</t>
        </is>
      </c>
      <c r="B3" s="133" t="n">
        <v>41.53</v>
      </c>
    </row>
    <row r="4">
      <c r="A4" s="132" t="inlineStr">
        <is>
          <t>Forecast Horizon (days)</t>
        </is>
      </c>
      <c r="B4" s="134" t="n">
        <v>252</v>
      </c>
    </row>
    <row r="5">
      <c r="A5" s="132" t="inlineStr">
        <is>
          <t>Simulations</t>
        </is>
      </c>
      <c r="B5" s="134" t="n">
        <v>1000</v>
      </c>
    </row>
    <row r="6">
      <c r="A6" s="132" t="inlineStr">
        <is>
          <t>Mean Forecast</t>
        </is>
      </c>
      <c r="B6" s="133" t="n">
        <v>46.01</v>
      </c>
    </row>
    <row r="7">
      <c r="A7" s="132" t="inlineStr">
        <is>
          <t>Median (P50)</t>
        </is>
      </c>
      <c r="B7" s="133" t="n">
        <v>42.69</v>
      </c>
    </row>
    <row r="8">
      <c r="A8" s="132" t="inlineStr">
        <is>
          <t>Bear Case (P5)</t>
        </is>
      </c>
      <c r="B8" s="133" t="n">
        <v>24.23</v>
      </c>
    </row>
    <row r="9">
      <c r="A9" s="132" t="inlineStr">
        <is>
          <t>Low Case (P25)</t>
        </is>
      </c>
      <c r="B9" s="133" t="n">
        <v>33.74</v>
      </c>
    </row>
    <row r="10">
      <c r="A10" s="132" t="inlineStr">
        <is>
          <t>Bull Case (P75)</t>
        </is>
      </c>
      <c r="B10" s="133" t="n">
        <v>55.87</v>
      </c>
    </row>
    <row r="11">
      <c r="A11" s="132" t="inlineStr">
        <is>
          <t>Best Case (P95)</t>
        </is>
      </c>
      <c r="B11" s="133" t="n">
        <v>76.31</v>
      </c>
    </row>
    <row r="12">
      <c r="A12" s="132" t="inlineStr">
        <is>
          <t>Prob. of Gain</t>
        </is>
      </c>
      <c r="B12" s="135" t="n">
        <v>0.532</v>
      </c>
    </row>
    <row r="13">
      <c r="A13" s="132" t="inlineStr">
        <is>
          <t>Ann. Volatility</t>
        </is>
      </c>
      <c r="B13" s="135" t="n">
        <v>0.3561</v>
      </c>
    </row>
    <row r="14">
      <c r="A14" s="132" t="inlineStr">
        <is>
          <t>Expected Return (CAPM)</t>
        </is>
      </c>
      <c r="B14" s="135" t="n">
        <v>0.099</v>
      </c>
    </row>
    <row r="15">
      <c r="A15" s="132" t="inlineStr">
        <is>
          <t>Beta (vs benchmark)</t>
        </is>
      </c>
      <c r="B15" s="133" t="n">
        <v>1.07</v>
      </c>
    </row>
    <row r="16">
      <c r="A16" s="132" t="inlineStr">
        <is>
          <t>Beta (adjusted, used)</t>
        </is>
      </c>
      <c r="B16" s="133" t="n">
        <v>1.04</v>
      </c>
    </row>
    <row r="19">
      <c r="A19" s="93" t="inlineStr">
        <is>
          <t>Percentile price paths across all 1,000 simulations — the bands the forecast chart draws.</t>
        </is>
      </c>
    </row>
    <row r="20">
      <c r="A20" s="31" t="inlineStr">
        <is>
          <t>Day</t>
        </is>
      </c>
      <c r="B20" s="31" t="inlineStr">
        <is>
          <t>P5 (Bear)</t>
        </is>
      </c>
      <c r="C20" s="31" t="inlineStr">
        <is>
          <t>P25 (Low)</t>
        </is>
      </c>
      <c r="D20" s="31" t="inlineStr">
        <is>
          <t>P50 (Median)</t>
        </is>
      </c>
      <c r="E20" s="31" t="inlineStr">
        <is>
          <t>P75 (Bull)</t>
        </is>
      </c>
      <c r="F20" s="31" t="inlineStr">
        <is>
          <t>P95 (Best)</t>
        </is>
      </c>
    </row>
    <row r="21">
      <c r="A21" t="n">
        <v>0</v>
      </c>
      <c r="B21" s="136" t="n">
        <v>41.53</v>
      </c>
      <c r="C21" s="136" t="n">
        <v>41.53</v>
      </c>
      <c r="D21" s="136" t="n">
        <v>41.53</v>
      </c>
      <c r="E21" s="136" t="n">
        <v>41.53</v>
      </c>
      <c r="F21" s="136" t="n">
        <v>41.53</v>
      </c>
    </row>
    <row r="22">
      <c r="A22" t="n">
        <v>1</v>
      </c>
      <c r="B22" s="136" t="n">
        <v>39.99</v>
      </c>
      <c r="C22" s="136" t="n">
        <v>40.89</v>
      </c>
      <c r="D22" s="136" t="n">
        <v>41.54</v>
      </c>
      <c r="E22" s="136" t="n">
        <v>42.09</v>
      </c>
      <c r="F22" s="136" t="n">
        <v>43.07</v>
      </c>
    </row>
    <row r="23">
      <c r="A23" t="n">
        <v>2</v>
      </c>
      <c r="B23" s="136" t="n">
        <v>39.25</v>
      </c>
      <c r="C23" s="136" t="n">
        <v>40.58</v>
      </c>
      <c r="D23" s="136" t="n">
        <v>41.47</v>
      </c>
      <c r="E23" s="136" t="n">
        <v>42.29</v>
      </c>
      <c r="F23" s="136" t="n">
        <v>43.62</v>
      </c>
    </row>
    <row r="24">
      <c r="A24" t="n">
        <v>3</v>
      </c>
      <c r="B24" s="136" t="n">
        <v>38.97</v>
      </c>
      <c r="C24" s="136" t="n">
        <v>40.38</v>
      </c>
      <c r="D24" s="136" t="n">
        <v>41.51</v>
      </c>
      <c r="E24" s="136" t="n">
        <v>42.54</v>
      </c>
      <c r="F24" s="136" t="n">
        <v>44.12</v>
      </c>
    </row>
    <row r="25">
      <c r="A25" t="n">
        <v>4</v>
      </c>
      <c r="B25" s="136" t="n">
        <v>38.42</v>
      </c>
      <c r="C25" s="136" t="n">
        <v>40.22</v>
      </c>
      <c r="D25" s="136" t="n">
        <v>41.44</v>
      </c>
      <c r="E25" s="136" t="n">
        <v>42.74</v>
      </c>
      <c r="F25" s="136" t="n">
        <v>44.76</v>
      </c>
    </row>
    <row r="26">
      <c r="A26" t="n">
        <v>5</v>
      </c>
      <c r="B26" s="136" t="n">
        <v>38.17</v>
      </c>
      <c r="C26" s="136" t="n">
        <v>40.12</v>
      </c>
      <c r="D26" s="136" t="n">
        <v>41.46</v>
      </c>
      <c r="E26" s="136" t="n">
        <v>42.87</v>
      </c>
      <c r="F26" s="136" t="n">
        <v>45.02</v>
      </c>
    </row>
    <row r="27">
      <c r="A27" t="n">
        <v>6</v>
      </c>
      <c r="B27" s="136" t="n">
        <v>37.91</v>
      </c>
      <c r="C27" s="136" t="n">
        <v>40.04</v>
      </c>
      <c r="D27" s="136" t="n">
        <v>41.53</v>
      </c>
      <c r="E27" s="136" t="n">
        <v>43.01</v>
      </c>
      <c r="F27" s="136" t="n">
        <v>45.57</v>
      </c>
    </row>
    <row r="28">
      <c r="A28" t="n">
        <v>7</v>
      </c>
      <c r="B28" s="136" t="n">
        <v>37.75</v>
      </c>
      <c r="C28" s="136" t="n">
        <v>39.92</v>
      </c>
      <c r="D28" s="136" t="n">
        <v>41.56</v>
      </c>
      <c r="E28" s="136" t="n">
        <v>43.04</v>
      </c>
      <c r="F28" s="136" t="n">
        <v>46.1</v>
      </c>
    </row>
    <row r="29">
      <c r="A29" t="n">
        <v>8</v>
      </c>
      <c r="B29" s="136" t="n">
        <v>37.29</v>
      </c>
      <c r="C29" s="136" t="n">
        <v>39.89</v>
      </c>
      <c r="D29" s="136" t="n">
        <v>41.47</v>
      </c>
      <c r="E29" s="136" t="n">
        <v>43.22</v>
      </c>
      <c r="F29" s="136" t="n">
        <v>46.26</v>
      </c>
    </row>
    <row r="30">
      <c r="A30" t="n">
        <v>9</v>
      </c>
      <c r="B30" s="136" t="n">
        <v>37.27</v>
      </c>
      <c r="C30" s="136" t="n">
        <v>39.74</v>
      </c>
      <c r="D30" s="136" t="n">
        <v>41.53</v>
      </c>
      <c r="E30" s="136" t="n">
        <v>43.28</v>
      </c>
      <c r="F30" s="136" t="n">
        <v>46.25</v>
      </c>
    </row>
    <row r="31">
      <c r="A31" t="n">
        <v>10</v>
      </c>
      <c r="B31" s="136" t="n">
        <v>36.92</v>
      </c>
      <c r="C31" s="136" t="n">
        <v>39.62</v>
      </c>
      <c r="D31" s="136" t="n">
        <v>41.51</v>
      </c>
      <c r="E31" s="136" t="n">
        <v>43.55</v>
      </c>
      <c r="F31" s="136" t="n">
        <v>46.44</v>
      </c>
    </row>
    <row r="32">
      <c r="A32" t="n">
        <v>11</v>
      </c>
      <c r="B32" s="136" t="n">
        <v>36.74</v>
      </c>
      <c r="C32" s="136" t="n">
        <v>39.52</v>
      </c>
      <c r="D32" s="136" t="n">
        <v>41.48</v>
      </c>
      <c r="E32" s="136" t="n">
        <v>43.6</v>
      </c>
      <c r="F32" s="136" t="n">
        <v>46.67</v>
      </c>
    </row>
    <row r="33">
      <c r="A33" t="n">
        <v>12</v>
      </c>
      <c r="B33" s="136" t="n">
        <v>36.6</v>
      </c>
      <c r="C33" s="136" t="n">
        <v>39.47</v>
      </c>
      <c r="D33" s="136" t="n">
        <v>41.5</v>
      </c>
      <c r="E33" s="136" t="n">
        <v>43.65</v>
      </c>
      <c r="F33" s="136" t="n">
        <v>46.94</v>
      </c>
    </row>
    <row r="34">
      <c r="A34" t="n">
        <v>13</v>
      </c>
      <c r="B34" s="136" t="n">
        <v>36.31</v>
      </c>
      <c r="C34" s="136" t="n">
        <v>39.29</v>
      </c>
      <c r="D34" s="136" t="n">
        <v>41.49</v>
      </c>
      <c r="E34" s="136" t="n">
        <v>43.66</v>
      </c>
      <c r="F34" s="136" t="n">
        <v>47.25</v>
      </c>
    </row>
    <row r="35">
      <c r="A35" t="n">
        <v>14</v>
      </c>
      <c r="B35" s="136" t="n">
        <v>36.27</v>
      </c>
      <c r="C35" s="136" t="n">
        <v>39.21</v>
      </c>
      <c r="D35" s="136" t="n">
        <v>41.43</v>
      </c>
      <c r="E35" s="136" t="n">
        <v>43.83</v>
      </c>
      <c r="F35" s="136" t="n">
        <v>47.77</v>
      </c>
    </row>
    <row r="36">
      <c r="A36" t="n">
        <v>15</v>
      </c>
      <c r="B36" s="136" t="n">
        <v>36.31</v>
      </c>
      <c r="C36" s="136" t="n">
        <v>39.09</v>
      </c>
      <c r="D36" s="136" t="n">
        <v>41.48</v>
      </c>
      <c r="E36" s="136" t="n">
        <v>43.85</v>
      </c>
      <c r="F36" s="136" t="n">
        <v>47.8</v>
      </c>
    </row>
    <row r="37">
      <c r="A37" t="n">
        <v>16</v>
      </c>
      <c r="B37" s="136" t="n">
        <v>35.89</v>
      </c>
      <c r="C37" s="136" t="n">
        <v>39.12</v>
      </c>
      <c r="D37" s="136" t="n">
        <v>41.51</v>
      </c>
      <c r="E37" s="136" t="n">
        <v>43.97</v>
      </c>
      <c r="F37" s="136" t="n">
        <v>47.84</v>
      </c>
    </row>
    <row r="38">
      <c r="A38" t="n">
        <v>17</v>
      </c>
      <c r="B38" s="136" t="n">
        <v>35.89</v>
      </c>
      <c r="C38" s="136" t="n">
        <v>39.12</v>
      </c>
      <c r="D38" s="136" t="n">
        <v>41.56</v>
      </c>
      <c r="E38" s="136" t="n">
        <v>44.09</v>
      </c>
      <c r="F38" s="136" t="n">
        <v>48.42</v>
      </c>
    </row>
    <row r="39">
      <c r="A39" t="n">
        <v>18</v>
      </c>
      <c r="B39" s="136" t="n">
        <v>35.78</v>
      </c>
      <c r="C39" s="136" t="n">
        <v>39.07</v>
      </c>
      <c r="D39" s="136" t="n">
        <v>41.62</v>
      </c>
      <c r="E39" s="136" t="n">
        <v>44.28</v>
      </c>
      <c r="F39" s="136" t="n">
        <v>48.63</v>
      </c>
    </row>
    <row r="40">
      <c r="A40" t="n">
        <v>19</v>
      </c>
      <c r="B40" s="136" t="n">
        <v>35.57</v>
      </c>
      <c r="C40" s="136" t="n">
        <v>39.04</v>
      </c>
      <c r="D40" s="136" t="n">
        <v>41.7</v>
      </c>
      <c r="E40" s="136" t="n">
        <v>44.42</v>
      </c>
      <c r="F40" s="136" t="n">
        <v>48.67</v>
      </c>
    </row>
    <row r="41">
      <c r="A41" t="n">
        <v>20</v>
      </c>
      <c r="B41" s="136" t="n">
        <v>35.34</v>
      </c>
      <c r="C41" s="136" t="n">
        <v>39.15</v>
      </c>
      <c r="D41" s="136" t="n">
        <v>41.73</v>
      </c>
      <c r="E41" s="136" t="n">
        <v>44.62</v>
      </c>
      <c r="F41" s="136" t="n">
        <v>49.05</v>
      </c>
    </row>
    <row r="42">
      <c r="A42" t="n">
        <v>21</v>
      </c>
      <c r="B42" s="136" t="n">
        <v>35.44</v>
      </c>
      <c r="C42" s="136" t="n">
        <v>38.86</v>
      </c>
      <c r="D42" s="136" t="n">
        <v>41.73</v>
      </c>
      <c r="E42" s="136" t="n">
        <v>44.67</v>
      </c>
      <c r="F42" s="136" t="n">
        <v>49.43</v>
      </c>
    </row>
    <row r="43">
      <c r="A43" t="n">
        <v>22</v>
      </c>
      <c r="B43" s="136" t="n">
        <v>35.36</v>
      </c>
      <c r="C43" s="136" t="n">
        <v>38.88</v>
      </c>
      <c r="D43" s="136" t="n">
        <v>41.79</v>
      </c>
      <c r="E43" s="136" t="n">
        <v>44.83</v>
      </c>
      <c r="F43" s="136" t="n">
        <v>49.3</v>
      </c>
    </row>
    <row r="44">
      <c r="A44" t="n">
        <v>23</v>
      </c>
      <c r="B44" s="136" t="n">
        <v>35.37</v>
      </c>
      <c r="C44" s="136" t="n">
        <v>38.85</v>
      </c>
      <c r="D44" s="136" t="n">
        <v>41.68</v>
      </c>
      <c r="E44" s="136" t="n">
        <v>44.72</v>
      </c>
      <c r="F44" s="136" t="n">
        <v>49.81</v>
      </c>
    </row>
    <row r="45">
      <c r="A45" t="n">
        <v>24</v>
      </c>
      <c r="B45" s="136" t="n">
        <v>35.46</v>
      </c>
      <c r="C45" s="136" t="n">
        <v>38.78</v>
      </c>
      <c r="D45" s="136" t="n">
        <v>41.66</v>
      </c>
      <c r="E45" s="136" t="n">
        <v>44.93</v>
      </c>
      <c r="F45" s="136" t="n">
        <v>49.97</v>
      </c>
    </row>
    <row r="46">
      <c r="A46" t="n">
        <v>25</v>
      </c>
      <c r="B46" s="136" t="n">
        <v>35.04</v>
      </c>
      <c r="C46" s="136" t="n">
        <v>38.9</v>
      </c>
      <c r="D46" s="136" t="n">
        <v>41.66</v>
      </c>
      <c r="E46" s="136" t="n">
        <v>45.23</v>
      </c>
      <c r="F46" s="136" t="n">
        <v>50.01</v>
      </c>
    </row>
    <row r="47">
      <c r="A47" t="n">
        <v>26</v>
      </c>
      <c r="B47" s="136" t="n">
        <v>34.84</v>
      </c>
      <c r="C47" s="136" t="n">
        <v>38.94</v>
      </c>
      <c r="D47" s="136" t="n">
        <v>41.59</v>
      </c>
      <c r="E47" s="136" t="n">
        <v>45.29</v>
      </c>
      <c r="F47" s="136" t="n">
        <v>50.12</v>
      </c>
    </row>
    <row r="48">
      <c r="A48" t="n">
        <v>27</v>
      </c>
      <c r="B48" s="136" t="n">
        <v>34.76</v>
      </c>
      <c r="C48" s="136" t="n">
        <v>38.9</v>
      </c>
      <c r="D48" s="136" t="n">
        <v>41.84</v>
      </c>
      <c r="E48" s="136" t="n">
        <v>45.36</v>
      </c>
      <c r="F48" s="136" t="n">
        <v>50.4</v>
      </c>
    </row>
    <row r="49">
      <c r="A49" t="n">
        <v>28</v>
      </c>
      <c r="B49" s="136" t="n">
        <v>34.76</v>
      </c>
      <c r="C49" s="136" t="n">
        <v>38.82</v>
      </c>
      <c r="D49" s="136" t="n">
        <v>41.82</v>
      </c>
      <c r="E49" s="136" t="n">
        <v>45.63</v>
      </c>
      <c r="F49" s="136" t="n">
        <v>50.67</v>
      </c>
    </row>
    <row r="50">
      <c r="A50" t="n">
        <v>29</v>
      </c>
      <c r="B50" s="136" t="n">
        <v>34.59</v>
      </c>
      <c r="C50" s="136" t="n">
        <v>38.89</v>
      </c>
      <c r="D50" s="136" t="n">
        <v>41.91</v>
      </c>
      <c r="E50" s="136" t="n">
        <v>45.56</v>
      </c>
      <c r="F50" s="136" t="n">
        <v>50.67</v>
      </c>
    </row>
    <row r="51">
      <c r="A51" t="n">
        <v>30</v>
      </c>
      <c r="B51" s="136" t="n">
        <v>34.61</v>
      </c>
      <c r="C51" s="136" t="n">
        <v>38.79</v>
      </c>
      <c r="D51" s="136" t="n">
        <v>41.94</v>
      </c>
      <c r="E51" s="136" t="n">
        <v>45.46</v>
      </c>
      <c r="F51" s="136" t="n">
        <v>50.91</v>
      </c>
    </row>
    <row r="52">
      <c r="A52" t="n">
        <v>31</v>
      </c>
      <c r="B52" s="136" t="n">
        <v>34.55</v>
      </c>
      <c r="C52" s="136" t="n">
        <v>38.77</v>
      </c>
      <c r="D52" s="136" t="n">
        <v>41.9</v>
      </c>
      <c r="E52" s="136" t="n">
        <v>45.65</v>
      </c>
      <c r="F52" s="136" t="n">
        <v>51.35</v>
      </c>
    </row>
    <row r="53">
      <c r="A53" t="n">
        <v>32</v>
      </c>
      <c r="B53" s="136" t="n">
        <v>34.26</v>
      </c>
      <c r="C53" s="136" t="n">
        <v>38.72</v>
      </c>
      <c r="D53" s="136" t="n">
        <v>41.83</v>
      </c>
      <c r="E53" s="136" t="n">
        <v>45.8</v>
      </c>
      <c r="F53" s="136" t="n">
        <v>51.11</v>
      </c>
    </row>
    <row r="54">
      <c r="A54" t="n">
        <v>33</v>
      </c>
      <c r="B54" s="136" t="n">
        <v>34.28</v>
      </c>
      <c r="C54" s="136" t="n">
        <v>38.53</v>
      </c>
      <c r="D54" s="136" t="n">
        <v>41.88</v>
      </c>
      <c r="E54" s="136" t="n">
        <v>45.98</v>
      </c>
      <c r="F54" s="136" t="n">
        <v>51.55</v>
      </c>
    </row>
    <row r="55">
      <c r="A55" t="n">
        <v>34</v>
      </c>
      <c r="B55" s="136" t="n">
        <v>34.03</v>
      </c>
      <c r="C55" s="136" t="n">
        <v>38.64</v>
      </c>
      <c r="D55" s="136" t="n">
        <v>41.93</v>
      </c>
      <c r="E55" s="136" t="n">
        <v>45.93</v>
      </c>
      <c r="F55" s="136" t="n">
        <v>51.78</v>
      </c>
    </row>
    <row r="56">
      <c r="A56" t="n">
        <v>35</v>
      </c>
      <c r="B56" s="136" t="n">
        <v>33.82</v>
      </c>
      <c r="C56" s="136" t="n">
        <v>38.69</v>
      </c>
      <c r="D56" s="136" t="n">
        <v>41.88</v>
      </c>
      <c r="E56" s="136" t="n">
        <v>45.86</v>
      </c>
      <c r="F56" s="136" t="n">
        <v>51.7</v>
      </c>
    </row>
    <row r="57">
      <c r="A57" t="n">
        <v>36</v>
      </c>
      <c r="B57" s="136" t="n">
        <v>33.7</v>
      </c>
      <c r="C57" s="136" t="n">
        <v>38.61</v>
      </c>
      <c r="D57" s="136" t="n">
        <v>41.96</v>
      </c>
      <c r="E57" s="136" t="n">
        <v>45.97</v>
      </c>
      <c r="F57" s="136" t="n">
        <v>51.95</v>
      </c>
    </row>
    <row r="58">
      <c r="A58" t="n">
        <v>37</v>
      </c>
      <c r="B58" s="136" t="n">
        <v>33.36</v>
      </c>
      <c r="C58" s="136" t="n">
        <v>38.57</v>
      </c>
      <c r="D58" s="136" t="n">
        <v>42.07</v>
      </c>
      <c r="E58" s="136" t="n">
        <v>46.16</v>
      </c>
      <c r="F58" s="136" t="n">
        <v>51.97</v>
      </c>
    </row>
    <row r="59">
      <c r="A59" t="n">
        <v>38</v>
      </c>
      <c r="B59" s="136" t="n">
        <v>33.55</v>
      </c>
      <c r="C59" s="136" t="n">
        <v>38.57</v>
      </c>
      <c r="D59" s="136" t="n">
        <v>42.11</v>
      </c>
      <c r="E59" s="136" t="n">
        <v>46.23</v>
      </c>
      <c r="F59" s="136" t="n">
        <v>52</v>
      </c>
    </row>
    <row r="60">
      <c r="A60" t="n">
        <v>39</v>
      </c>
      <c r="B60" s="136" t="n">
        <v>33.48</v>
      </c>
      <c r="C60" s="136" t="n">
        <v>38.51</v>
      </c>
      <c r="D60" s="136" t="n">
        <v>42.01</v>
      </c>
      <c r="E60" s="136" t="n">
        <v>46.29</v>
      </c>
      <c r="F60" s="136" t="n">
        <v>52.5</v>
      </c>
    </row>
    <row r="61">
      <c r="A61" t="n">
        <v>40</v>
      </c>
      <c r="B61" s="136" t="n">
        <v>33.28</v>
      </c>
      <c r="C61" s="136" t="n">
        <v>38.3</v>
      </c>
      <c r="D61" s="136" t="n">
        <v>41.84</v>
      </c>
      <c r="E61" s="136" t="n">
        <v>46.16</v>
      </c>
      <c r="F61" s="136" t="n">
        <v>52.84</v>
      </c>
    </row>
    <row r="62">
      <c r="A62" t="n">
        <v>41</v>
      </c>
      <c r="B62" s="136" t="n">
        <v>33.26</v>
      </c>
      <c r="C62" s="136" t="n">
        <v>38.16</v>
      </c>
      <c r="D62" s="136" t="n">
        <v>41.85</v>
      </c>
      <c r="E62" s="136" t="n">
        <v>46.36</v>
      </c>
      <c r="F62" s="136" t="n">
        <v>53.2</v>
      </c>
    </row>
    <row r="63">
      <c r="A63" t="n">
        <v>42</v>
      </c>
      <c r="B63" s="136" t="n">
        <v>33.13</v>
      </c>
      <c r="C63" s="136" t="n">
        <v>38.12</v>
      </c>
      <c r="D63" s="136" t="n">
        <v>41.82</v>
      </c>
      <c r="E63" s="136" t="n">
        <v>46.21</v>
      </c>
      <c r="F63" s="136" t="n">
        <v>53.19</v>
      </c>
    </row>
    <row r="64">
      <c r="A64" t="n">
        <v>43</v>
      </c>
      <c r="B64" s="136" t="n">
        <v>32.82</v>
      </c>
      <c r="C64" s="136" t="n">
        <v>38.04</v>
      </c>
      <c r="D64" s="136" t="n">
        <v>41.88</v>
      </c>
      <c r="E64" s="136" t="n">
        <v>46.36</v>
      </c>
      <c r="F64" s="136" t="n">
        <v>52.81</v>
      </c>
    </row>
    <row r="65">
      <c r="A65" t="n">
        <v>44</v>
      </c>
      <c r="B65" s="136" t="n">
        <v>32.92</v>
      </c>
      <c r="C65" s="136" t="n">
        <v>37.92</v>
      </c>
      <c r="D65" s="136" t="n">
        <v>41.87</v>
      </c>
      <c r="E65" s="136" t="n">
        <v>46.47</v>
      </c>
      <c r="F65" s="136" t="n">
        <v>52.85</v>
      </c>
    </row>
    <row r="66">
      <c r="A66" t="n">
        <v>45</v>
      </c>
      <c r="B66" s="136" t="n">
        <v>32.67</v>
      </c>
      <c r="C66" s="136" t="n">
        <v>37.82</v>
      </c>
      <c r="D66" s="136" t="n">
        <v>41.9</v>
      </c>
      <c r="E66" s="136" t="n">
        <v>46.36</v>
      </c>
      <c r="F66" s="136" t="n">
        <v>52.42</v>
      </c>
    </row>
    <row r="67">
      <c r="A67" t="n">
        <v>46</v>
      </c>
      <c r="B67" s="136" t="n">
        <v>32.49</v>
      </c>
      <c r="C67" s="136" t="n">
        <v>37.65</v>
      </c>
      <c r="D67" s="136" t="n">
        <v>42.09</v>
      </c>
      <c r="E67" s="136" t="n">
        <v>46.66</v>
      </c>
      <c r="F67" s="136" t="n">
        <v>52.83</v>
      </c>
    </row>
    <row r="68">
      <c r="A68" t="n">
        <v>47</v>
      </c>
      <c r="B68" s="136" t="n">
        <v>32.51</v>
      </c>
      <c r="C68" s="136" t="n">
        <v>37.78</v>
      </c>
      <c r="D68" s="136" t="n">
        <v>42</v>
      </c>
      <c r="E68" s="136" t="n">
        <v>46.68</v>
      </c>
      <c r="F68" s="136" t="n">
        <v>53.14</v>
      </c>
    </row>
    <row r="69">
      <c r="A69" t="n">
        <v>48</v>
      </c>
      <c r="B69" s="136" t="n">
        <v>32.62</v>
      </c>
      <c r="C69" s="136" t="n">
        <v>37.59</v>
      </c>
      <c r="D69" s="136" t="n">
        <v>41.96</v>
      </c>
      <c r="E69" s="136" t="n">
        <v>46.68</v>
      </c>
      <c r="F69" s="136" t="n">
        <v>53.51</v>
      </c>
    </row>
    <row r="70">
      <c r="A70" t="n">
        <v>49</v>
      </c>
      <c r="B70" s="136" t="n">
        <v>32.47</v>
      </c>
      <c r="C70" s="136" t="n">
        <v>37.62</v>
      </c>
      <c r="D70" s="136" t="n">
        <v>41.94</v>
      </c>
      <c r="E70" s="136" t="n">
        <v>46.67</v>
      </c>
      <c r="F70" s="136" t="n">
        <v>53.51</v>
      </c>
    </row>
    <row r="71">
      <c r="A71" t="n">
        <v>50</v>
      </c>
      <c r="B71" s="136" t="n">
        <v>32.03</v>
      </c>
      <c r="C71" s="136" t="n">
        <v>37.58</v>
      </c>
      <c r="D71" s="136" t="n">
        <v>41.96</v>
      </c>
      <c r="E71" s="136" t="n">
        <v>46.62</v>
      </c>
      <c r="F71" s="136" t="n">
        <v>53.58</v>
      </c>
    </row>
    <row r="72">
      <c r="A72" t="n">
        <v>51</v>
      </c>
      <c r="B72" s="136" t="n">
        <v>32.07</v>
      </c>
      <c r="C72" s="136" t="n">
        <v>37.64</v>
      </c>
      <c r="D72" s="136" t="n">
        <v>41.84</v>
      </c>
      <c r="E72" s="136" t="n">
        <v>46.63</v>
      </c>
      <c r="F72" s="136" t="n">
        <v>54.11</v>
      </c>
    </row>
    <row r="73">
      <c r="A73" t="n">
        <v>52</v>
      </c>
      <c r="B73" s="136" t="n">
        <v>31.97</v>
      </c>
      <c r="C73" s="136" t="n">
        <v>37.5</v>
      </c>
      <c r="D73" s="136" t="n">
        <v>41.88</v>
      </c>
      <c r="E73" s="136" t="n">
        <v>46.77</v>
      </c>
      <c r="F73" s="136" t="n">
        <v>54.02</v>
      </c>
    </row>
    <row r="74">
      <c r="A74" t="n">
        <v>53</v>
      </c>
      <c r="B74" s="136" t="n">
        <v>31.92</v>
      </c>
      <c r="C74" s="136" t="n">
        <v>37.41</v>
      </c>
      <c r="D74" s="136" t="n">
        <v>41.88</v>
      </c>
      <c r="E74" s="136" t="n">
        <v>47.04</v>
      </c>
      <c r="F74" s="136" t="n">
        <v>53.79</v>
      </c>
    </row>
    <row r="75">
      <c r="A75" t="n">
        <v>54</v>
      </c>
      <c r="B75" s="136" t="n">
        <v>32.07</v>
      </c>
      <c r="C75" s="136" t="n">
        <v>37.38</v>
      </c>
      <c r="D75" s="136" t="n">
        <v>41.97</v>
      </c>
      <c r="E75" s="136" t="n">
        <v>47.19</v>
      </c>
      <c r="F75" s="136" t="n">
        <v>53.8</v>
      </c>
    </row>
    <row r="76">
      <c r="A76" t="n">
        <v>55</v>
      </c>
      <c r="B76" s="136" t="n">
        <v>31.73</v>
      </c>
      <c r="C76" s="136" t="n">
        <v>37.15</v>
      </c>
      <c r="D76" s="136" t="n">
        <v>42</v>
      </c>
      <c r="E76" s="136" t="n">
        <v>47.15</v>
      </c>
      <c r="F76" s="136" t="n">
        <v>53.84</v>
      </c>
    </row>
    <row r="77">
      <c r="A77" t="n">
        <v>56</v>
      </c>
      <c r="B77" s="136" t="n">
        <v>31.82</v>
      </c>
      <c r="C77" s="136" t="n">
        <v>37.19</v>
      </c>
      <c r="D77" s="136" t="n">
        <v>42</v>
      </c>
      <c r="E77" s="136" t="n">
        <v>47.01</v>
      </c>
      <c r="F77" s="136" t="n">
        <v>54.13</v>
      </c>
    </row>
    <row r="78">
      <c r="A78" t="n">
        <v>57</v>
      </c>
      <c r="B78" s="136" t="n">
        <v>31.66</v>
      </c>
      <c r="C78" s="136" t="n">
        <v>37.23</v>
      </c>
      <c r="D78" s="136" t="n">
        <v>42.02</v>
      </c>
      <c r="E78" s="136" t="n">
        <v>47.07</v>
      </c>
      <c r="F78" s="136" t="n">
        <v>54.35</v>
      </c>
    </row>
    <row r="79">
      <c r="A79" t="n">
        <v>58</v>
      </c>
      <c r="B79" s="136" t="n">
        <v>31.29</v>
      </c>
      <c r="C79" s="136" t="n">
        <v>37.15</v>
      </c>
      <c r="D79" s="136" t="n">
        <v>42.17</v>
      </c>
      <c r="E79" s="136" t="n">
        <v>47.15</v>
      </c>
      <c r="F79" s="136" t="n">
        <v>54.44</v>
      </c>
    </row>
    <row r="80">
      <c r="A80" t="n">
        <v>59</v>
      </c>
      <c r="B80" s="136" t="n">
        <v>31.42</v>
      </c>
      <c r="C80" s="136" t="n">
        <v>37.27</v>
      </c>
      <c r="D80" s="136" t="n">
        <v>42.08</v>
      </c>
      <c r="E80" s="136" t="n">
        <v>47.18</v>
      </c>
      <c r="F80" s="136" t="n">
        <v>54.76</v>
      </c>
    </row>
    <row r="81">
      <c r="A81" t="n">
        <v>60</v>
      </c>
      <c r="B81" s="136" t="n">
        <v>31.14</v>
      </c>
      <c r="C81" s="136" t="n">
        <v>37.1</v>
      </c>
      <c r="D81" s="136" t="n">
        <v>42.26</v>
      </c>
      <c r="E81" s="136" t="n">
        <v>47.26</v>
      </c>
      <c r="F81" s="136" t="n">
        <v>54.79</v>
      </c>
    </row>
    <row r="82">
      <c r="A82" t="n">
        <v>61</v>
      </c>
      <c r="B82" s="136" t="n">
        <v>30.99</v>
      </c>
      <c r="C82" s="136" t="n">
        <v>37.14</v>
      </c>
      <c r="D82" s="136" t="n">
        <v>42.2</v>
      </c>
      <c r="E82" s="136" t="n">
        <v>47.23</v>
      </c>
      <c r="F82" s="136" t="n">
        <v>54.91</v>
      </c>
    </row>
    <row r="83">
      <c r="A83" t="n">
        <v>62</v>
      </c>
      <c r="B83" s="136" t="n">
        <v>31.13</v>
      </c>
      <c r="C83" s="136" t="n">
        <v>37.07</v>
      </c>
      <c r="D83" s="136" t="n">
        <v>42.27</v>
      </c>
      <c r="E83" s="136" t="n">
        <v>47.11</v>
      </c>
      <c r="F83" s="136" t="n">
        <v>54.73</v>
      </c>
    </row>
    <row r="84">
      <c r="A84" t="n">
        <v>63</v>
      </c>
      <c r="B84" s="136" t="n">
        <v>30.85</v>
      </c>
      <c r="C84" s="136" t="n">
        <v>36.92</v>
      </c>
      <c r="D84" s="136" t="n">
        <v>42.11</v>
      </c>
      <c r="E84" s="136" t="n">
        <v>47.38</v>
      </c>
      <c r="F84" s="136" t="n">
        <v>55.03</v>
      </c>
    </row>
    <row r="85">
      <c r="A85" t="n">
        <v>64</v>
      </c>
      <c r="B85" s="136" t="n">
        <v>30.67</v>
      </c>
      <c r="C85" s="136" t="n">
        <v>37.03</v>
      </c>
      <c r="D85" s="136" t="n">
        <v>41.97</v>
      </c>
      <c r="E85" s="136" t="n">
        <v>47.54</v>
      </c>
      <c r="F85" s="136" t="n">
        <v>55.39</v>
      </c>
    </row>
    <row r="86">
      <c r="A86" t="n">
        <v>65</v>
      </c>
      <c r="B86" s="136" t="n">
        <v>30.77</v>
      </c>
      <c r="C86" s="136" t="n">
        <v>37.03</v>
      </c>
      <c r="D86" s="136" t="n">
        <v>42.09</v>
      </c>
      <c r="E86" s="136" t="n">
        <v>47.43</v>
      </c>
      <c r="F86" s="136" t="n">
        <v>55.08</v>
      </c>
    </row>
    <row r="87">
      <c r="A87" t="n">
        <v>66</v>
      </c>
      <c r="B87" s="136" t="n">
        <v>30.91</v>
      </c>
      <c r="C87" s="136" t="n">
        <v>37.12</v>
      </c>
      <c r="D87" s="136" t="n">
        <v>42.05</v>
      </c>
      <c r="E87" s="136" t="n">
        <v>47.59</v>
      </c>
      <c r="F87" s="136" t="n">
        <v>55.48</v>
      </c>
    </row>
    <row r="88">
      <c r="A88" t="n">
        <v>67</v>
      </c>
      <c r="B88" s="136" t="n">
        <v>30.76</v>
      </c>
      <c r="C88" s="136" t="n">
        <v>36.97</v>
      </c>
      <c r="D88" s="136" t="n">
        <v>42.06</v>
      </c>
      <c r="E88" s="136" t="n">
        <v>47.6</v>
      </c>
      <c r="F88" s="136" t="n">
        <v>56.13</v>
      </c>
    </row>
    <row r="89">
      <c r="A89" t="n">
        <v>68</v>
      </c>
      <c r="B89" s="136" t="n">
        <v>30.63</v>
      </c>
      <c r="C89" s="136" t="n">
        <v>36.98</v>
      </c>
      <c r="D89" s="136" t="n">
        <v>41.98</v>
      </c>
      <c r="E89" s="136" t="n">
        <v>47.47</v>
      </c>
      <c r="F89" s="136" t="n">
        <v>56.07</v>
      </c>
    </row>
    <row r="90">
      <c r="A90" t="n">
        <v>69</v>
      </c>
      <c r="B90" s="136" t="n">
        <v>30.71</v>
      </c>
      <c r="C90" s="136" t="n">
        <v>37.07</v>
      </c>
      <c r="D90" s="136" t="n">
        <v>42.09</v>
      </c>
      <c r="E90" s="136" t="n">
        <v>47.5</v>
      </c>
      <c r="F90" s="136" t="n">
        <v>55.68</v>
      </c>
    </row>
    <row r="91">
      <c r="A91" t="n">
        <v>70</v>
      </c>
      <c r="B91" s="136" t="n">
        <v>30.28</v>
      </c>
      <c r="C91" s="136" t="n">
        <v>36.91</v>
      </c>
      <c r="D91" s="136" t="n">
        <v>42.06</v>
      </c>
      <c r="E91" s="136" t="n">
        <v>47.54</v>
      </c>
      <c r="F91" s="136" t="n">
        <v>56.19</v>
      </c>
    </row>
    <row r="92">
      <c r="A92" t="n">
        <v>71</v>
      </c>
      <c r="B92" s="136" t="n">
        <v>30.24</v>
      </c>
      <c r="C92" s="136" t="n">
        <v>36.89</v>
      </c>
      <c r="D92" s="136" t="n">
        <v>42.04</v>
      </c>
      <c r="E92" s="136" t="n">
        <v>47.64</v>
      </c>
      <c r="F92" s="136" t="n">
        <v>56.62</v>
      </c>
    </row>
    <row r="93">
      <c r="A93" t="n">
        <v>72</v>
      </c>
      <c r="B93" s="136" t="n">
        <v>30.24</v>
      </c>
      <c r="C93" s="136" t="n">
        <v>37.02</v>
      </c>
      <c r="D93" s="136" t="n">
        <v>42</v>
      </c>
      <c r="E93" s="136" t="n">
        <v>47.64</v>
      </c>
      <c r="F93" s="136" t="n">
        <v>56.44</v>
      </c>
    </row>
    <row r="94">
      <c r="A94" t="n">
        <v>73</v>
      </c>
      <c r="B94" s="136" t="n">
        <v>30.33</v>
      </c>
      <c r="C94" s="136" t="n">
        <v>37.01</v>
      </c>
      <c r="D94" s="136" t="n">
        <v>41.99</v>
      </c>
      <c r="E94" s="136" t="n">
        <v>47.64</v>
      </c>
      <c r="F94" s="136" t="n">
        <v>56.85</v>
      </c>
    </row>
    <row r="95">
      <c r="A95" t="n">
        <v>74</v>
      </c>
      <c r="B95" s="136" t="n">
        <v>30.42</v>
      </c>
      <c r="C95" s="136" t="n">
        <v>37.04</v>
      </c>
      <c r="D95" s="136" t="n">
        <v>41.96</v>
      </c>
      <c r="E95" s="136" t="n">
        <v>47.77</v>
      </c>
      <c r="F95" s="136" t="n">
        <v>57.08</v>
      </c>
    </row>
    <row r="96">
      <c r="A96" t="n">
        <v>75</v>
      </c>
      <c r="B96" s="136" t="n">
        <v>30.2</v>
      </c>
      <c r="C96" s="136" t="n">
        <v>36.92</v>
      </c>
      <c r="D96" s="136" t="n">
        <v>42.03</v>
      </c>
      <c r="E96" s="136" t="n">
        <v>47.98</v>
      </c>
      <c r="F96" s="136" t="n">
        <v>57.42</v>
      </c>
    </row>
    <row r="97">
      <c r="A97" t="n">
        <v>76</v>
      </c>
      <c r="B97" s="136" t="n">
        <v>30.13</v>
      </c>
      <c r="C97" s="136" t="n">
        <v>36.72</v>
      </c>
      <c r="D97" s="136" t="n">
        <v>42.11</v>
      </c>
      <c r="E97" s="136" t="n">
        <v>48.11</v>
      </c>
      <c r="F97" s="136" t="n">
        <v>56.95</v>
      </c>
    </row>
    <row r="98">
      <c r="A98" t="n">
        <v>77</v>
      </c>
      <c r="B98" s="136" t="n">
        <v>30.2</v>
      </c>
      <c r="C98" s="136" t="n">
        <v>36.69</v>
      </c>
      <c r="D98" s="136" t="n">
        <v>41.98</v>
      </c>
      <c r="E98" s="136" t="n">
        <v>47.95</v>
      </c>
      <c r="F98" s="136" t="n">
        <v>57.4</v>
      </c>
    </row>
    <row r="99">
      <c r="A99" t="n">
        <v>78</v>
      </c>
      <c r="B99" s="136" t="n">
        <v>30.13</v>
      </c>
      <c r="C99" s="136" t="n">
        <v>36.47</v>
      </c>
      <c r="D99" s="136" t="n">
        <v>41.94</v>
      </c>
      <c r="E99" s="136" t="n">
        <v>48.26</v>
      </c>
      <c r="F99" s="136" t="n">
        <v>57.39</v>
      </c>
    </row>
    <row r="100">
      <c r="A100" t="n">
        <v>79</v>
      </c>
      <c r="B100" s="136" t="n">
        <v>30.02</v>
      </c>
      <c r="C100" s="136" t="n">
        <v>36.49</v>
      </c>
      <c r="D100" s="136" t="n">
        <v>41.93</v>
      </c>
      <c r="E100" s="136" t="n">
        <v>48.35</v>
      </c>
      <c r="F100" s="136" t="n">
        <v>57.38</v>
      </c>
    </row>
    <row r="101">
      <c r="A101" t="n">
        <v>80</v>
      </c>
      <c r="B101" s="136" t="n">
        <v>29.92</v>
      </c>
      <c r="C101" s="136" t="n">
        <v>36.39</v>
      </c>
      <c r="D101" s="136" t="n">
        <v>41.86</v>
      </c>
      <c r="E101" s="136" t="n">
        <v>48.57</v>
      </c>
      <c r="F101" s="136" t="n">
        <v>57.68</v>
      </c>
    </row>
    <row r="102">
      <c r="A102" t="n">
        <v>81</v>
      </c>
      <c r="B102" s="136" t="n">
        <v>29.67</v>
      </c>
      <c r="C102" s="136" t="n">
        <v>36.54</v>
      </c>
      <c r="D102" s="136" t="n">
        <v>41.7</v>
      </c>
      <c r="E102" s="136" t="n">
        <v>48.34</v>
      </c>
      <c r="F102" s="136" t="n">
        <v>57.03</v>
      </c>
    </row>
    <row r="103">
      <c r="A103" t="n">
        <v>82</v>
      </c>
      <c r="B103" s="136" t="n">
        <v>29.62</v>
      </c>
      <c r="C103" s="136" t="n">
        <v>36.46</v>
      </c>
      <c r="D103" s="136" t="n">
        <v>41.74</v>
      </c>
      <c r="E103" s="136" t="n">
        <v>48.6</v>
      </c>
      <c r="F103" s="136" t="n">
        <v>57.01</v>
      </c>
    </row>
    <row r="104">
      <c r="A104" t="n">
        <v>83</v>
      </c>
      <c r="B104" s="136" t="n">
        <v>29.29</v>
      </c>
      <c r="C104" s="136" t="n">
        <v>36.29</v>
      </c>
      <c r="D104" s="136" t="n">
        <v>41.75</v>
      </c>
      <c r="E104" s="136" t="n">
        <v>48.54</v>
      </c>
      <c r="F104" s="136" t="n">
        <v>57.45</v>
      </c>
    </row>
    <row r="105">
      <c r="A105" t="n">
        <v>84</v>
      </c>
      <c r="B105" s="136" t="n">
        <v>29.4</v>
      </c>
      <c r="C105" s="136" t="n">
        <v>36.26</v>
      </c>
      <c r="D105" s="136" t="n">
        <v>41.86</v>
      </c>
      <c r="E105" s="136" t="n">
        <v>48.69</v>
      </c>
      <c r="F105" s="136" t="n">
        <v>57.5</v>
      </c>
    </row>
    <row r="106">
      <c r="A106" t="n">
        <v>85</v>
      </c>
      <c r="B106" s="136" t="n">
        <v>29.56</v>
      </c>
      <c r="C106" s="136" t="n">
        <v>36.51</v>
      </c>
      <c r="D106" s="136" t="n">
        <v>41.85</v>
      </c>
      <c r="E106" s="136" t="n">
        <v>48.56</v>
      </c>
      <c r="F106" s="136" t="n">
        <v>58.13</v>
      </c>
    </row>
    <row r="107">
      <c r="A107" t="n">
        <v>86</v>
      </c>
      <c r="B107" s="136" t="n">
        <v>29.3</v>
      </c>
      <c r="C107" s="136" t="n">
        <v>36.38</v>
      </c>
      <c r="D107" s="136" t="n">
        <v>41.84</v>
      </c>
      <c r="E107" s="136" t="n">
        <v>48.47</v>
      </c>
      <c r="F107" s="136" t="n">
        <v>58.03</v>
      </c>
    </row>
    <row r="108">
      <c r="A108" t="n">
        <v>87</v>
      </c>
      <c r="B108" s="136" t="n">
        <v>29.2</v>
      </c>
      <c r="C108" s="136" t="n">
        <v>36.19</v>
      </c>
      <c r="D108" s="136" t="n">
        <v>41.84</v>
      </c>
      <c r="E108" s="136" t="n">
        <v>48.85</v>
      </c>
      <c r="F108" s="136" t="n">
        <v>58.56</v>
      </c>
    </row>
    <row r="109">
      <c r="A109" t="n">
        <v>88</v>
      </c>
      <c r="B109" s="136" t="n">
        <v>29.03</v>
      </c>
      <c r="C109" s="136" t="n">
        <v>36.17</v>
      </c>
      <c r="D109" s="136" t="n">
        <v>41.94</v>
      </c>
      <c r="E109" s="136" t="n">
        <v>49.15</v>
      </c>
      <c r="F109" s="136" t="n">
        <v>58.93</v>
      </c>
    </row>
    <row r="110">
      <c r="A110" t="n">
        <v>89</v>
      </c>
      <c r="B110" s="136" t="n">
        <v>29.29</v>
      </c>
      <c r="C110" s="136" t="n">
        <v>36.08</v>
      </c>
      <c r="D110" s="136" t="n">
        <v>41.95</v>
      </c>
      <c r="E110" s="136" t="n">
        <v>49.15</v>
      </c>
      <c r="F110" s="136" t="n">
        <v>58.98</v>
      </c>
    </row>
    <row r="111">
      <c r="A111" t="n">
        <v>90</v>
      </c>
      <c r="B111" s="136" t="n">
        <v>29.24</v>
      </c>
      <c r="C111" s="136" t="n">
        <v>36.17</v>
      </c>
      <c r="D111" s="136" t="n">
        <v>41.93</v>
      </c>
      <c r="E111" s="136" t="n">
        <v>49.23</v>
      </c>
      <c r="F111" s="136" t="n">
        <v>59.21</v>
      </c>
    </row>
    <row r="112">
      <c r="A112" t="n">
        <v>91</v>
      </c>
      <c r="B112" s="136" t="n">
        <v>29.31</v>
      </c>
      <c r="C112" s="136" t="n">
        <v>36.05</v>
      </c>
      <c r="D112" s="136" t="n">
        <v>41.91</v>
      </c>
      <c r="E112" s="136" t="n">
        <v>49.16</v>
      </c>
      <c r="F112" s="136" t="n">
        <v>59.43</v>
      </c>
    </row>
    <row r="113">
      <c r="A113" t="n">
        <v>92</v>
      </c>
      <c r="B113" s="136" t="n">
        <v>29.08</v>
      </c>
      <c r="C113" s="136" t="n">
        <v>35.99</v>
      </c>
      <c r="D113" s="136" t="n">
        <v>41.93</v>
      </c>
      <c r="E113" s="136" t="n">
        <v>49.06</v>
      </c>
      <c r="F113" s="136" t="n">
        <v>59.89</v>
      </c>
    </row>
    <row r="114">
      <c r="A114" t="n">
        <v>93</v>
      </c>
      <c r="B114" s="136" t="n">
        <v>29.19</v>
      </c>
      <c r="C114" s="136" t="n">
        <v>36.01</v>
      </c>
      <c r="D114" s="136" t="n">
        <v>41.94</v>
      </c>
      <c r="E114" s="136" t="n">
        <v>49.21</v>
      </c>
      <c r="F114" s="136" t="n">
        <v>59.61</v>
      </c>
    </row>
    <row r="115">
      <c r="A115" t="n">
        <v>94</v>
      </c>
      <c r="B115" s="136" t="n">
        <v>28.71</v>
      </c>
      <c r="C115" s="136" t="n">
        <v>35.93</v>
      </c>
      <c r="D115" s="136" t="n">
        <v>42.12</v>
      </c>
      <c r="E115" s="136" t="n">
        <v>49.13</v>
      </c>
      <c r="F115" s="136" t="n">
        <v>59.69</v>
      </c>
    </row>
    <row r="116">
      <c r="A116" t="n">
        <v>95</v>
      </c>
      <c r="B116" s="136" t="n">
        <v>28.56</v>
      </c>
      <c r="C116" s="136" t="n">
        <v>35.89</v>
      </c>
      <c r="D116" s="136" t="n">
        <v>42.25</v>
      </c>
      <c r="E116" s="136" t="n">
        <v>49.42</v>
      </c>
      <c r="F116" s="136" t="n">
        <v>59.25</v>
      </c>
    </row>
    <row r="117">
      <c r="A117" t="n">
        <v>96</v>
      </c>
      <c r="B117" s="136" t="n">
        <v>28.44</v>
      </c>
      <c r="C117" s="136" t="n">
        <v>35.8</v>
      </c>
      <c r="D117" s="136" t="n">
        <v>42.17</v>
      </c>
      <c r="E117" s="136" t="n">
        <v>49.17</v>
      </c>
      <c r="F117" s="136" t="n">
        <v>59.28</v>
      </c>
    </row>
    <row r="118">
      <c r="A118" t="n">
        <v>97</v>
      </c>
      <c r="B118" s="136" t="n">
        <v>28.75</v>
      </c>
      <c r="C118" s="136" t="n">
        <v>35.94</v>
      </c>
      <c r="D118" s="136" t="n">
        <v>42.09</v>
      </c>
      <c r="E118" s="136" t="n">
        <v>49.31</v>
      </c>
      <c r="F118" s="136" t="n">
        <v>59.59</v>
      </c>
    </row>
    <row r="119">
      <c r="A119" t="n">
        <v>98</v>
      </c>
      <c r="B119" s="136" t="n">
        <v>28.44</v>
      </c>
      <c r="C119" s="136" t="n">
        <v>35.89</v>
      </c>
      <c r="D119" s="136" t="n">
        <v>41.98</v>
      </c>
      <c r="E119" s="136" t="n">
        <v>49.27</v>
      </c>
      <c r="F119" s="136" t="n">
        <v>59.28</v>
      </c>
    </row>
    <row r="120">
      <c r="A120" t="n">
        <v>99</v>
      </c>
      <c r="B120" s="136" t="n">
        <v>28.26</v>
      </c>
      <c r="C120" s="136" t="n">
        <v>35.72</v>
      </c>
      <c r="D120" s="136" t="n">
        <v>41.9</v>
      </c>
      <c r="E120" s="136" t="n">
        <v>49.38</v>
      </c>
      <c r="F120" s="136" t="n">
        <v>59.52</v>
      </c>
    </row>
    <row r="121">
      <c r="A121" t="n">
        <v>100</v>
      </c>
      <c r="B121" s="136" t="n">
        <v>28.26</v>
      </c>
      <c r="C121" s="136" t="n">
        <v>35.7</v>
      </c>
      <c r="D121" s="136" t="n">
        <v>41.92</v>
      </c>
      <c r="E121" s="136" t="n">
        <v>49.26</v>
      </c>
      <c r="F121" s="136" t="n">
        <v>59.51</v>
      </c>
    </row>
    <row r="122">
      <c r="A122" t="n">
        <v>101</v>
      </c>
      <c r="B122" s="136" t="n">
        <v>28.13</v>
      </c>
      <c r="C122" s="136" t="n">
        <v>35.66</v>
      </c>
      <c r="D122" s="136" t="n">
        <v>41.91</v>
      </c>
      <c r="E122" s="136" t="n">
        <v>49.38</v>
      </c>
      <c r="F122" s="136" t="n">
        <v>60.11</v>
      </c>
    </row>
    <row r="123">
      <c r="A123" t="n">
        <v>102</v>
      </c>
      <c r="B123" s="136" t="n">
        <v>28.1</v>
      </c>
      <c r="C123" s="136" t="n">
        <v>35.69</v>
      </c>
      <c r="D123" s="136" t="n">
        <v>41.74</v>
      </c>
      <c r="E123" s="136" t="n">
        <v>49.26</v>
      </c>
      <c r="F123" s="136" t="n">
        <v>60.13</v>
      </c>
    </row>
    <row r="124">
      <c r="A124" t="n">
        <v>103</v>
      </c>
      <c r="B124" s="136" t="n">
        <v>28.2</v>
      </c>
      <c r="C124" s="136" t="n">
        <v>35.68</v>
      </c>
      <c r="D124" s="136" t="n">
        <v>41.62</v>
      </c>
      <c r="E124" s="136" t="n">
        <v>49.32</v>
      </c>
      <c r="F124" s="136" t="n">
        <v>60.99</v>
      </c>
    </row>
    <row r="125">
      <c r="A125" t="n">
        <v>104</v>
      </c>
      <c r="B125" s="136" t="n">
        <v>27.99</v>
      </c>
      <c r="C125" s="136" t="n">
        <v>35.65</v>
      </c>
      <c r="D125" s="136" t="n">
        <v>41.9</v>
      </c>
      <c r="E125" s="136" t="n">
        <v>49.22</v>
      </c>
      <c r="F125" s="136" t="n">
        <v>61.15</v>
      </c>
    </row>
    <row r="126">
      <c r="A126" t="n">
        <v>105</v>
      </c>
      <c r="B126" s="136" t="n">
        <v>27.81</v>
      </c>
      <c r="C126" s="136" t="n">
        <v>35.6</v>
      </c>
      <c r="D126" s="136" t="n">
        <v>41.88</v>
      </c>
      <c r="E126" s="136" t="n">
        <v>49.31</v>
      </c>
      <c r="F126" s="136" t="n">
        <v>61.01</v>
      </c>
    </row>
    <row r="127">
      <c r="A127" t="n">
        <v>106</v>
      </c>
      <c r="B127" s="136" t="n">
        <v>27.94</v>
      </c>
      <c r="C127" s="136" t="n">
        <v>35.67</v>
      </c>
      <c r="D127" s="136" t="n">
        <v>41.93</v>
      </c>
      <c r="E127" s="136" t="n">
        <v>49.15</v>
      </c>
      <c r="F127" s="136" t="n">
        <v>60.85</v>
      </c>
    </row>
    <row r="128">
      <c r="A128" t="n">
        <v>107</v>
      </c>
      <c r="B128" s="136" t="n">
        <v>27.77</v>
      </c>
      <c r="C128" s="136" t="n">
        <v>35.78</v>
      </c>
      <c r="D128" s="136" t="n">
        <v>41.97</v>
      </c>
      <c r="E128" s="136" t="n">
        <v>48.98</v>
      </c>
      <c r="F128" s="136" t="n">
        <v>61.16</v>
      </c>
    </row>
    <row r="129">
      <c r="A129" t="n">
        <v>108</v>
      </c>
      <c r="B129" s="136" t="n">
        <v>27.7</v>
      </c>
      <c r="C129" s="136" t="n">
        <v>35.91</v>
      </c>
      <c r="D129" s="136" t="n">
        <v>42.06</v>
      </c>
      <c r="E129" s="136" t="n">
        <v>49.18</v>
      </c>
      <c r="F129" s="136" t="n">
        <v>60.56</v>
      </c>
    </row>
    <row r="130">
      <c r="A130" t="n">
        <v>109</v>
      </c>
      <c r="B130" s="136" t="n">
        <v>27.61</v>
      </c>
      <c r="C130" s="136" t="n">
        <v>35.99</v>
      </c>
      <c r="D130" s="136" t="n">
        <v>41.91</v>
      </c>
      <c r="E130" s="136" t="n">
        <v>49.13</v>
      </c>
      <c r="F130" s="136" t="n">
        <v>61.29</v>
      </c>
    </row>
    <row r="131">
      <c r="A131" t="n">
        <v>110</v>
      </c>
      <c r="B131" s="136" t="n">
        <v>27.53</v>
      </c>
      <c r="C131" s="136" t="n">
        <v>35.8</v>
      </c>
      <c r="D131" s="136" t="n">
        <v>41.9</v>
      </c>
      <c r="E131" s="136" t="n">
        <v>49.26</v>
      </c>
      <c r="F131" s="136" t="n">
        <v>61.69</v>
      </c>
    </row>
    <row r="132">
      <c r="A132" t="n">
        <v>111</v>
      </c>
      <c r="B132" s="136" t="n">
        <v>27.52</v>
      </c>
      <c r="C132" s="136" t="n">
        <v>35.77</v>
      </c>
      <c r="D132" s="136" t="n">
        <v>41.91</v>
      </c>
      <c r="E132" s="136" t="n">
        <v>49.24</v>
      </c>
      <c r="F132" s="136" t="n">
        <v>61.81</v>
      </c>
    </row>
    <row r="133">
      <c r="A133" t="n">
        <v>112</v>
      </c>
      <c r="B133" s="136" t="n">
        <v>27.54</v>
      </c>
      <c r="C133" s="136" t="n">
        <v>35.84</v>
      </c>
      <c r="D133" s="136" t="n">
        <v>41.93</v>
      </c>
      <c r="E133" s="136" t="n">
        <v>49.31</v>
      </c>
      <c r="F133" s="136" t="n">
        <v>61.07</v>
      </c>
    </row>
    <row r="134">
      <c r="A134" t="n">
        <v>113</v>
      </c>
      <c r="B134" s="136" t="n">
        <v>27.67</v>
      </c>
      <c r="C134" s="136" t="n">
        <v>35.69</v>
      </c>
      <c r="D134" s="136" t="n">
        <v>42.21</v>
      </c>
      <c r="E134" s="136" t="n">
        <v>49.28</v>
      </c>
      <c r="F134" s="136" t="n">
        <v>62.46</v>
      </c>
    </row>
    <row r="135">
      <c r="A135" t="n">
        <v>114</v>
      </c>
      <c r="B135" s="136" t="n">
        <v>27.42</v>
      </c>
      <c r="C135" s="136" t="n">
        <v>35.73</v>
      </c>
      <c r="D135" s="136" t="n">
        <v>41.99</v>
      </c>
      <c r="E135" s="136" t="n">
        <v>49.39</v>
      </c>
      <c r="F135" s="136" t="n">
        <v>62.58</v>
      </c>
    </row>
    <row r="136">
      <c r="A136" t="n">
        <v>115</v>
      </c>
      <c r="B136" s="136" t="n">
        <v>27.17</v>
      </c>
      <c r="C136" s="136" t="n">
        <v>35.66</v>
      </c>
      <c r="D136" s="136" t="n">
        <v>42.03</v>
      </c>
      <c r="E136" s="136" t="n">
        <v>49.36</v>
      </c>
      <c r="F136" s="136" t="n">
        <v>62.48</v>
      </c>
    </row>
    <row r="137">
      <c r="A137" t="n">
        <v>116</v>
      </c>
      <c r="B137" s="136" t="n">
        <v>27.29</v>
      </c>
      <c r="C137" s="136" t="n">
        <v>35.53</v>
      </c>
      <c r="D137" s="136" t="n">
        <v>42.18</v>
      </c>
      <c r="E137" s="136" t="n">
        <v>49.45</v>
      </c>
      <c r="F137" s="136" t="n">
        <v>62.92</v>
      </c>
    </row>
    <row r="138">
      <c r="A138" t="n">
        <v>117</v>
      </c>
      <c r="B138" s="136" t="n">
        <v>27.1</v>
      </c>
      <c r="C138" s="136" t="n">
        <v>35.67</v>
      </c>
      <c r="D138" s="136" t="n">
        <v>42.25</v>
      </c>
      <c r="E138" s="136" t="n">
        <v>50.02</v>
      </c>
      <c r="F138" s="136" t="n">
        <v>62.77</v>
      </c>
    </row>
    <row r="139">
      <c r="A139" t="n">
        <v>118</v>
      </c>
      <c r="B139" s="136" t="n">
        <v>26.84</v>
      </c>
      <c r="C139" s="136" t="n">
        <v>35.6</v>
      </c>
      <c r="D139" s="136" t="n">
        <v>42.06</v>
      </c>
      <c r="E139" s="136" t="n">
        <v>49.73</v>
      </c>
      <c r="F139" s="136" t="n">
        <v>62.41</v>
      </c>
    </row>
    <row r="140">
      <c r="A140" t="n">
        <v>119</v>
      </c>
      <c r="B140" s="136" t="n">
        <v>27.15</v>
      </c>
      <c r="C140" s="136" t="n">
        <v>35.47</v>
      </c>
      <c r="D140" s="136" t="n">
        <v>41.86</v>
      </c>
      <c r="E140" s="136" t="n">
        <v>49.91</v>
      </c>
      <c r="F140" s="136" t="n">
        <v>64.02</v>
      </c>
    </row>
    <row r="141">
      <c r="A141" t="n">
        <v>120</v>
      </c>
      <c r="B141" s="136" t="n">
        <v>26.9</v>
      </c>
      <c r="C141" s="136" t="n">
        <v>35.28</v>
      </c>
      <c r="D141" s="136" t="n">
        <v>41.96</v>
      </c>
      <c r="E141" s="136" t="n">
        <v>49.97</v>
      </c>
      <c r="F141" s="136" t="n">
        <v>63.26</v>
      </c>
    </row>
    <row r="142">
      <c r="A142" t="n">
        <v>121</v>
      </c>
      <c r="B142" s="136" t="n">
        <v>26.67</v>
      </c>
      <c r="C142" s="136" t="n">
        <v>35.14</v>
      </c>
      <c r="D142" s="136" t="n">
        <v>41.98</v>
      </c>
      <c r="E142" s="136" t="n">
        <v>50.09</v>
      </c>
      <c r="F142" s="136" t="n">
        <v>63.27</v>
      </c>
    </row>
    <row r="143">
      <c r="A143" t="n">
        <v>122</v>
      </c>
      <c r="B143" s="136" t="n">
        <v>26.78</v>
      </c>
      <c r="C143" s="136" t="n">
        <v>35.24</v>
      </c>
      <c r="D143" s="136" t="n">
        <v>42.04</v>
      </c>
      <c r="E143" s="136" t="n">
        <v>50.07</v>
      </c>
      <c r="F143" s="136" t="n">
        <v>63.15</v>
      </c>
    </row>
    <row r="144">
      <c r="A144" t="n">
        <v>123</v>
      </c>
      <c r="B144" s="136" t="n">
        <v>26.74</v>
      </c>
      <c r="C144" s="136" t="n">
        <v>35.23</v>
      </c>
      <c r="D144" s="136" t="n">
        <v>41.98</v>
      </c>
      <c r="E144" s="136" t="n">
        <v>50.02</v>
      </c>
      <c r="F144" s="136" t="n">
        <v>63.56</v>
      </c>
    </row>
    <row r="145">
      <c r="A145" t="n">
        <v>124</v>
      </c>
      <c r="B145" s="136" t="n">
        <v>26.62</v>
      </c>
      <c r="C145" s="136" t="n">
        <v>35.12</v>
      </c>
      <c r="D145" s="136" t="n">
        <v>42.01</v>
      </c>
      <c r="E145" s="136" t="n">
        <v>50.09</v>
      </c>
      <c r="F145" s="136" t="n">
        <v>63.68</v>
      </c>
    </row>
    <row r="146">
      <c r="A146" t="n">
        <v>125</v>
      </c>
      <c r="B146" s="136" t="n">
        <v>26.38</v>
      </c>
      <c r="C146" s="136" t="n">
        <v>35.26</v>
      </c>
      <c r="D146" s="136" t="n">
        <v>42.08</v>
      </c>
      <c r="E146" s="136" t="n">
        <v>50.24</v>
      </c>
      <c r="F146" s="136" t="n">
        <v>64.12</v>
      </c>
    </row>
    <row r="147">
      <c r="A147" t="n">
        <v>126</v>
      </c>
      <c r="B147" s="136" t="n">
        <v>26.73</v>
      </c>
      <c r="C147" s="136" t="n">
        <v>35.03</v>
      </c>
      <c r="D147" s="136" t="n">
        <v>42.21</v>
      </c>
      <c r="E147" s="136" t="n">
        <v>50.56</v>
      </c>
      <c r="F147" s="136" t="n">
        <v>64.33</v>
      </c>
    </row>
    <row r="148">
      <c r="A148" t="n">
        <v>127</v>
      </c>
      <c r="B148" s="136" t="n">
        <v>26.62</v>
      </c>
      <c r="C148" s="136" t="n">
        <v>34.99</v>
      </c>
      <c r="D148" s="136" t="n">
        <v>42.07</v>
      </c>
      <c r="E148" s="136" t="n">
        <v>50.76</v>
      </c>
      <c r="F148" s="136" t="n">
        <v>64.61</v>
      </c>
    </row>
    <row r="149">
      <c r="A149" t="n">
        <v>128</v>
      </c>
      <c r="B149" s="136" t="n">
        <v>26.63</v>
      </c>
      <c r="C149" s="136" t="n">
        <v>34.89</v>
      </c>
      <c r="D149" s="136" t="n">
        <v>41.82</v>
      </c>
      <c r="E149" s="136" t="n">
        <v>50.56</v>
      </c>
      <c r="F149" s="136" t="n">
        <v>64.15000000000001</v>
      </c>
    </row>
    <row r="150">
      <c r="A150" t="n">
        <v>129</v>
      </c>
      <c r="B150" s="136" t="n">
        <v>26.6</v>
      </c>
      <c r="C150" s="136" t="n">
        <v>34.79</v>
      </c>
      <c r="D150" s="136" t="n">
        <v>42</v>
      </c>
      <c r="E150" s="136" t="n">
        <v>50.6</v>
      </c>
      <c r="F150" s="136" t="n">
        <v>63.99</v>
      </c>
    </row>
    <row r="151">
      <c r="A151" t="n">
        <v>130</v>
      </c>
      <c r="B151" s="136" t="n">
        <v>26.55</v>
      </c>
      <c r="C151" s="136" t="n">
        <v>34.88</v>
      </c>
      <c r="D151" s="136" t="n">
        <v>42.01</v>
      </c>
      <c r="E151" s="136" t="n">
        <v>50.26</v>
      </c>
      <c r="F151" s="136" t="n">
        <v>64.13</v>
      </c>
    </row>
    <row r="152">
      <c r="A152" t="n">
        <v>131</v>
      </c>
      <c r="B152" s="136" t="n">
        <v>26.75</v>
      </c>
      <c r="C152" s="136" t="n">
        <v>34.71</v>
      </c>
      <c r="D152" s="136" t="n">
        <v>42.28</v>
      </c>
      <c r="E152" s="136" t="n">
        <v>50.4</v>
      </c>
      <c r="F152" s="136" t="n">
        <v>63.67</v>
      </c>
    </row>
    <row r="153">
      <c r="A153" t="n">
        <v>132</v>
      </c>
      <c r="B153" s="136" t="n">
        <v>26.99</v>
      </c>
      <c r="C153" s="136" t="n">
        <v>34.7</v>
      </c>
      <c r="D153" s="136" t="n">
        <v>42.03</v>
      </c>
      <c r="E153" s="136" t="n">
        <v>50.36</v>
      </c>
      <c r="F153" s="136" t="n">
        <v>64.65000000000001</v>
      </c>
    </row>
    <row r="154">
      <c r="A154" t="n">
        <v>133</v>
      </c>
      <c r="B154" s="136" t="n">
        <v>26.79</v>
      </c>
      <c r="C154" s="136" t="n">
        <v>34.76</v>
      </c>
      <c r="D154" s="136" t="n">
        <v>42.06</v>
      </c>
      <c r="E154" s="136" t="n">
        <v>50.26</v>
      </c>
      <c r="F154" s="136" t="n">
        <v>64.59</v>
      </c>
    </row>
    <row r="155">
      <c r="A155" t="n">
        <v>134</v>
      </c>
      <c r="B155" s="136" t="n">
        <v>26.48</v>
      </c>
      <c r="C155" s="136" t="n">
        <v>34.84</v>
      </c>
      <c r="D155" s="136" t="n">
        <v>42.1</v>
      </c>
      <c r="E155" s="136" t="n">
        <v>50.08</v>
      </c>
      <c r="F155" s="136" t="n">
        <v>65.26000000000001</v>
      </c>
    </row>
    <row r="156">
      <c r="A156" t="n">
        <v>135</v>
      </c>
      <c r="B156" s="136" t="n">
        <v>26.56</v>
      </c>
      <c r="C156" s="136" t="n">
        <v>34.85</v>
      </c>
      <c r="D156" s="136" t="n">
        <v>42.21</v>
      </c>
      <c r="E156" s="136" t="n">
        <v>50.27</v>
      </c>
      <c r="F156" s="136" t="n">
        <v>65.14</v>
      </c>
    </row>
    <row r="157">
      <c r="A157" t="n">
        <v>136</v>
      </c>
      <c r="B157" s="136" t="n">
        <v>26.44</v>
      </c>
      <c r="C157" s="136" t="n">
        <v>34.91</v>
      </c>
      <c r="D157" s="136" t="n">
        <v>42.29</v>
      </c>
      <c r="E157" s="136" t="n">
        <v>50.44</v>
      </c>
      <c r="F157" s="136" t="n">
        <v>65.25</v>
      </c>
    </row>
    <row r="158">
      <c r="A158" t="n">
        <v>137</v>
      </c>
      <c r="B158" s="136" t="n">
        <v>26.2</v>
      </c>
      <c r="C158" s="136" t="n">
        <v>34.87</v>
      </c>
      <c r="D158" s="136" t="n">
        <v>42.23</v>
      </c>
      <c r="E158" s="136" t="n">
        <v>50.49</v>
      </c>
      <c r="F158" s="136" t="n">
        <v>65.77</v>
      </c>
    </row>
    <row r="159">
      <c r="A159" t="n">
        <v>138</v>
      </c>
      <c r="B159" s="136" t="n">
        <v>26.38</v>
      </c>
      <c r="C159" s="136" t="n">
        <v>35</v>
      </c>
      <c r="D159" s="136" t="n">
        <v>42.15</v>
      </c>
      <c r="E159" s="136" t="n">
        <v>50.44</v>
      </c>
      <c r="F159" s="136" t="n">
        <v>66.02</v>
      </c>
    </row>
    <row r="160">
      <c r="A160" t="n">
        <v>139</v>
      </c>
      <c r="B160" s="136" t="n">
        <v>26.4</v>
      </c>
      <c r="C160" s="136" t="n">
        <v>34.7</v>
      </c>
      <c r="D160" s="136" t="n">
        <v>42.22</v>
      </c>
      <c r="E160" s="136" t="n">
        <v>50.43</v>
      </c>
      <c r="F160" s="136" t="n">
        <v>66.58</v>
      </c>
    </row>
    <row r="161">
      <c r="A161" t="n">
        <v>140</v>
      </c>
      <c r="B161" s="136" t="n">
        <v>26.49</v>
      </c>
      <c r="C161" s="136" t="n">
        <v>34.79</v>
      </c>
      <c r="D161" s="136" t="n">
        <v>42.32</v>
      </c>
      <c r="E161" s="136" t="n">
        <v>50.29</v>
      </c>
      <c r="F161" s="136" t="n">
        <v>66.56</v>
      </c>
    </row>
    <row r="162">
      <c r="A162" t="n">
        <v>141</v>
      </c>
      <c r="B162" s="136" t="n">
        <v>26.24</v>
      </c>
      <c r="C162" s="136" t="n">
        <v>34.63</v>
      </c>
      <c r="D162" s="136" t="n">
        <v>42.09</v>
      </c>
      <c r="E162" s="136" t="n">
        <v>50.25</v>
      </c>
      <c r="F162" s="136" t="n">
        <v>66.34999999999999</v>
      </c>
    </row>
    <row r="163">
      <c r="A163" t="n">
        <v>142</v>
      </c>
      <c r="B163" s="136" t="n">
        <v>26.22</v>
      </c>
      <c r="C163" s="136" t="n">
        <v>34.79</v>
      </c>
      <c r="D163" s="136" t="n">
        <v>42.21</v>
      </c>
      <c r="E163" s="136" t="n">
        <v>50.32</v>
      </c>
      <c r="F163" s="136" t="n">
        <v>66.20999999999999</v>
      </c>
    </row>
    <row r="164">
      <c r="A164" t="n">
        <v>143</v>
      </c>
      <c r="B164" s="136" t="n">
        <v>26.41</v>
      </c>
      <c r="C164" s="136" t="n">
        <v>34.71</v>
      </c>
      <c r="D164" s="136" t="n">
        <v>42.39</v>
      </c>
      <c r="E164" s="136" t="n">
        <v>50.32</v>
      </c>
      <c r="F164" s="136" t="n">
        <v>66.61</v>
      </c>
    </row>
    <row r="165">
      <c r="A165" t="n">
        <v>144</v>
      </c>
      <c r="B165" s="136" t="n">
        <v>26.4</v>
      </c>
      <c r="C165" s="136" t="n">
        <v>34.57</v>
      </c>
      <c r="D165" s="136" t="n">
        <v>42.31</v>
      </c>
      <c r="E165" s="136" t="n">
        <v>50.4</v>
      </c>
      <c r="F165" s="136" t="n">
        <v>66.34999999999999</v>
      </c>
    </row>
    <row r="166">
      <c r="A166" t="n">
        <v>145</v>
      </c>
      <c r="B166" s="136" t="n">
        <v>26.25</v>
      </c>
      <c r="C166" s="136" t="n">
        <v>34.54</v>
      </c>
      <c r="D166" s="136" t="n">
        <v>42.26</v>
      </c>
      <c r="E166" s="136" t="n">
        <v>50.42</v>
      </c>
      <c r="F166" s="136" t="n">
        <v>65.92</v>
      </c>
    </row>
    <row r="167">
      <c r="A167" t="n">
        <v>146</v>
      </c>
      <c r="B167" s="136" t="n">
        <v>26.44</v>
      </c>
      <c r="C167" s="136" t="n">
        <v>34.64</v>
      </c>
      <c r="D167" s="136" t="n">
        <v>42.18</v>
      </c>
      <c r="E167" s="136" t="n">
        <v>50.65</v>
      </c>
      <c r="F167" s="136" t="n">
        <v>66.72</v>
      </c>
    </row>
    <row r="168">
      <c r="A168" t="n">
        <v>147</v>
      </c>
      <c r="B168" s="136" t="n">
        <v>26.38</v>
      </c>
      <c r="C168" s="136" t="n">
        <v>34.46</v>
      </c>
      <c r="D168" s="136" t="n">
        <v>42.14</v>
      </c>
      <c r="E168" s="136" t="n">
        <v>50.61</v>
      </c>
      <c r="F168" s="136" t="n">
        <v>67.51000000000001</v>
      </c>
    </row>
    <row r="169">
      <c r="A169" t="n">
        <v>148</v>
      </c>
      <c r="B169" s="136" t="n">
        <v>26.26</v>
      </c>
      <c r="C169" s="136" t="n">
        <v>34.7</v>
      </c>
      <c r="D169" s="136" t="n">
        <v>42</v>
      </c>
      <c r="E169" s="136" t="n">
        <v>50.55</v>
      </c>
      <c r="F169" s="136" t="n">
        <v>66.95</v>
      </c>
    </row>
    <row r="170">
      <c r="A170" t="n">
        <v>149</v>
      </c>
      <c r="B170" s="136" t="n">
        <v>26.36</v>
      </c>
      <c r="C170" s="136" t="n">
        <v>34.55</v>
      </c>
      <c r="D170" s="136" t="n">
        <v>42.01</v>
      </c>
      <c r="E170" s="136" t="n">
        <v>50.51</v>
      </c>
      <c r="F170" s="136" t="n">
        <v>67.36</v>
      </c>
    </row>
    <row r="171">
      <c r="A171" t="n">
        <v>150</v>
      </c>
      <c r="B171" s="136" t="n">
        <v>26.29</v>
      </c>
      <c r="C171" s="136" t="n">
        <v>34.37</v>
      </c>
      <c r="D171" s="136" t="n">
        <v>42.07</v>
      </c>
      <c r="E171" s="136" t="n">
        <v>50.33</v>
      </c>
      <c r="F171" s="136" t="n">
        <v>67.34</v>
      </c>
    </row>
    <row r="172">
      <c r="A172" t="n">
        <v>151</v>
      </c>
      <c r="B172" s="136" t="n">
        <v>26.4</v>
      </c>
      <c r="C172" s="136" t="n">
        <v>34.4</v>
      </c>
      <c r="D172" s="136" t="n">
        <v>42.17</v>
      </c>
      <c r="E172" s="136" t="n">
        <v>50.54</v>
      </c>
      <c r="F172" s="136" t="n">
        <v>67.44</v>
      </c>
    </row>
    <row r="173">
      <c r="A173" t="n">
        <v>152</v>
      </c>
      <c r="B173" s="136" t="n">
        <v>26.33</v>
      </c>
      <c r="C173" s="136" t="n">
        <v>34.25</v>
      </c>
      <c r="D173" s="136" t="n">
        <v>42.11</v>
      </c>
      <c r="E173" s="136" t="n">
        <v>50.54</v>
      </c>
      <c r="F173" s="136" t="n">
        <v>66.95</v>
      </c>
    </row>
    <row r="174">
      <c r="A174" t="n">
        <v>153</v>
      </c>
      <c r="B174" s="136" t="n">
        <v>26.22</v>
      </c>
      <c r="C174" s="136" t="n">
        <v>34.62</v>
      </c>
      <c r="D174" s="136" t="n">
        <v>42.23</v>
      </c>
      <c r="E174" s="136" t="n">
        <v>50.84</v>
      </c>
      <c r="F174" s="136" t="n">
        <v>67.31</v>
      </c>
    </row>
    <row r="175">
      <c r="A175" t="n">
        <v>154</v>
      </c>
      <c r="B175" s="136" t="n">
        <v>25.92</v>
      </c>
      <c r="C175" s="136" t="n">
        <v>34.59</v>
      </c>
      <c r="D175" s="136" t="n">
        <v>42.12</v>
      </c>
      <c r="E175" s="136" t="n">
        <v>51.31</v>
      </c>
      <c r="F175" s="136" t="n">
        <v>66.83</v>
      </c>
    </row>
    <row r="176">
      <c r="A176" t="n">
        <v>155</v>
      </c>
      <c r="B176" s="136" t="n">
        <v>25.89</v>
      </c>
      <c r="C176" s="136" t="n">
        <v>34.5</v>
      </c>
      <c r="D176" s="136" t="n">
        <v>41.9</v>
      </c>
      <c r="E176" s="136" t="n">
        <v>50.85</v>
      </c>
      <c r="F176" s="136" t="n">
        <v>67.56</v>
      </c>
    </row>
    <row r="177">
      <c r="A177" t="n">
        <v>156</v>
      </c>
      <c r="B177" s="136" t="n">
        <v>26.08</v>
      </c>
      <c r="C177" s="136" t="n">
        <v>34.31</v>
      </c>
      <c r="D177" s="136" t="n">
        <v>42.02</v>
      </c>
      <c r="E177" s="136" t="n">
        <v>51.2</v>
      </c>
      <c r="F177" s="136" t="n">
        <v>67.61</v>
      </c>
    </row>
    <row r="178">
      <c r="A178" t="n">
        <v>157</v>
      </c>
      <c r="B178" s="136" t="n">
        <v>26.08</v>
      </c>
      <c r="C178" s="136" t="n">
        <v>34.23</v>
      </c>
      <c r="D178" s="136" t="n">
        <v>41.64</v>
      </c>
      <c r="E178" s="136" t="n">
        <v>51.79</v>
      </c>
      <c r="F178" s="136" t="n">
        <v>67.45999999999999</v>
      </c>
    </row>
    <row r="179">
      <c r="A179" t="n">
        <v>158</v>
      </c>
      <c r="B179" s="136" t="n">
        <v>26.12</v>
      </c>
      <c r="C179" s="136" t="n">
        <v>34.21</v>
      </c>
      <c r="D179" s="136" t="n">
        <v>41.88</v>
      </c>
      <c r="E179" s="136" t="n">
        <v>51.65</v>
      </c>
      <c r="F179" s="136" t="n">
        <v>67.26000000000001</v>
      </c>
    </row>
    <row r="180">
      <c r="A180" t="n">
        <v>159</v>
      </c>
      <c r="B180" s="136" t="n">
        <v>26.24</v>
      </c>
      <c r="C180" s="136" t="n">
        <v>34.29</v>
      </c>
      <c r="D180" s="136" t="n">
        <v>42.01</v>
      </c>
      <c r="E180" s="136" t="n">
        <v>51.8</v>
      </c>
      <c r="F180" s="136" t="n">
        <v>67.29000000000001</v>
      </c>
    </row>
    <row r="181">
      <c r="A181" t="n">
        <v>160</v>
      </c>
      <c r="B181" s="136" t="n">
        <v>26.17</v>
      </c>
      <c r="C181" s="136" t="n">
        <v>34.28</v>
      </c>
      <c r="D181" s="136" t="n">
        <v>41.94</v>
      </c>
      <c r="E181" s="136" t="n">
        <v>51.79</v>
      </c>
      <c r="F181" s="136" t="n">
        <v>68.09</v>
      </c>
    </row>
    <row r="182">
      <c r="A182" t="n">
        <v>161</v>
      </c>
      <c r="B182" s="136" t="n">
        <v>26.08</v>
      </c>
      <c r="C182" s="136" t="n">
        <v>34.21</v>
      </c>
      <c r="D182" s="136" t="n">
        <v>41.85</v>
      </c>
      <c r="E182" s="136" t="n">
        <v>51.98</v>
      </c>
      <c r="F182" s="136" t="n">
        <v>67.97</v>
      </c>
    </row>
    <row r="183">
      <c r="A183" t="n">
        <v>162</v>
      </c>
      <c r="B183" s="136" t="n">
        <v>26.11</v>
      </c>
      <c r="C183" s="136" t="n">
        <v>34.03</v>
      </c>
      <c r="D183" s="136" t="n">
        <v>42</v>
      </c>
      <c r="E183" s="136" t="n">
        <v>51.74</v>
      </c>
      <c r="F183" s="136" t="n">
        <v>68.05</v>
      </c>
    </row>
    <row r="184">
      <c r="A184" t="n">
        <v>163</v>
      </c>
      <c r="B184" s="136" t="n">
        <v>25.98</v>
      </c>
      <c r="C184" s="136" t="n">
        <v>34.07</v>
      </c>
      <c r="D184" s="136" t="n">
        <v>41.99</v>
      </c>
      <c r="E184" s="136" t="n">
        <v>51.77</v>
      </c>
      <c r="F184" s="136" t="n">
        <v>68.16</v>
      </c>
    </row>
    <row r="185">
      <c r="A185" t="n">
        <v>164</v>
      </c>
      <c r="B185" s="136" t="n">
        <v>26.01</v>
      </c>
      <c r="C185" s="136" t="n">
        <v>34.27</v>
      </c>
      <c r="D185" s="136" t="n">
        <v>41.74</v>
      </c>
      <c r="E185" s="136" t="n">
        <v>52.08</v>
      </c>
      <c r="F185" s="136" t="n">
        <v>67.98</v>
      </c>
    </row>
    <row r="186">
      <c r="A186" t="n">
        <v>165</v>
      </c>
      <c r="B186" s="136" t="n">
        <v>25.93</v>
      </c>
      <c r="C186" s="136" t="n">
        <v>34.23</v>
      </c>
      <c r="D186" s="136" t="n">
        <v>41.87</v>
      </c>
      <c r="E186" s="136" t="n">
        <v>52.11</v>
      </c>
      <c r="F186" s="136" t="n">
        <v>69.37</v>
      </c>
    </row>
    <row r="187">
      <c r="A187" t="n">
        <v>166</v>
      </c>
      <c r="B187" s="136" t="n">
        <v>25.73</v>
      </c>
      <c r="C187" s="136" t="n">
        <v>34.48</v>
      </c>
      <c r="D187" s="136" t="n">
        <v>41.85</v>
      </c>
      <c r="E187" s="136" t="n">
        <v>52.08</v>
      </c>
      <c r="F187" s="136" t="n">
        <v>68.45999999999999</v>
      </c>
    </row>
    <row r="188">
      <c r="A188" t="n">
        <v>167</v>
      </c>
      <c r="B188" s="136" t="n">
        <v>25.76</v>
      </c>
      <c r="C188" s="136" t="n">
        <v>34.31</v>
      </c>
      <c r="D188" s="136" t="n">
        <v>41.97</v>
      </c>
      <c r="E188" s="136" t="n">
        <v>52.03</v>
      </c>
      <c r="F188" s="136" t="n">
        <v>68.58</v>
      </c>
    </row>
    <row r="189">
      <c r="A189" t="n">
        <v>168</v>
      </c>
      <c r="B189" s="136" t="n">
        <v>25.58</v>
      </c>
      <c r="C189" s="136" t="n">
        <v>34.29</v>
      </c>
      <c r="D189" s="136" t="n">
        <v>42.02</v>
      </c>
      <c r="E189" s="136" t="n">
        <v>52.04</v>
      </c>
      <c r="F189" s="136" t="n">
        <v>68.55</v>
      </c>
    </row>
    <row r="190">
      <c r="A190" t="n">
        <v>169</v>
      </c>
      <c r="B190" s="136" t="n">
        <v>25.53</v>
      </c>
      <c r="C190" s="136" t="n">
        <v>34.21</v>
      </c>
      <c r="D190" s="136" t="n">
        <v>42.13</v>
      </c>
      <c r="E190" s="136" t="n">
        <v>52.04</v>
      </c>
      <c r="F190" s="136" t="n">
        <v>69.08</v>
      </c>
    </row>
    <row r="191">
      <c r="A191" t="n">
        <v>170</v>
      </c>
      <c r="B191" s="136" t="n">
        <v>25.46</v>
      </c>
      <c r="C191" s="136" t="n">
        <v>34.24</v>
      </c>
      <c r="D191" s="136" t="n">
        <v>41.99</v>
      </c>
      <c r="E191" s="136" t="n">
        <v>52.11</v>
      </c>
      <c r="F191" s="136" t="n">
        <v>68.48</v>
      </c>
    </row>
    <row r="192">
      <c r="A192" t="n">
        <v>171</v>
      </c>
      <c r="B192" s="136" t="n">
        <v>25.37</v>
      </c>
      <c r="C192" s="136" t="n">
        <v>34.38</v>
      </c>
      <c r="D192" s="136" t="n">
        <v>42</v>
      </c>
      <c r="E192" s="136" t="n">
        <v>52.45</v>
      </c>
      <c r="F192" s="136" t="n">
        <v>68.33</v>
      </c>
    </row>
    <row r="193">
      <c r="A193" t="n">
        <v>172</v>
      </c>
      <c r="B193" s="136" t="n">
        <v>25.56</v>
      </c>
      <c r="C193" s="136" t="n">
        <v>34.6</v>
      </c>
      <c r="D193" s="136" t="n">
        <v>42.14</v>
      </c>
      <c r="E193" s="136" t="n">
        <v>52.53</v>
      </c>
      <c r="F193" s="136" t="n">
        <v>68.09</v>
      </c>
    </row>
    <row r="194">
      <c r="A194" t="n">
        <v>173</v>
      </c>
      <c r="B194" s="136" t="n">
        <v>25.51</v>
      </c>
      <c r="C194" s="136" t="n">
        <v>34.55</v>
      </c>
      <c r="D194" s="136" t="n">
        <v>42.04</v>
      </c>
      <c r="E194" s="136" t="n">
        <v>52.73</v>
      </c>
      <c r="F194" s="136" t="n">
        <v>68.37</v>
      </c>
    </row>
    <row r="195">
      <c r="A195" t="n">
        <v>174</v>
      </c>
      <c r="B195" s="136" t="n">
        <v>25.65</v>
      </c>
      <c r="C195" s="136" t="n">
        <v>34.41</v>
      </c>
      <c r="D195" s="136" t="n">
        <v>42</v>
      </c>
      <c r="E195" s="136" t="n">
        <v>52.71</v>
      </c>
      <c r="F195" s="136" t="n">
        <v>68.47</v>
      </c>
    </row>
    <row r="196">
      <c r="A196" t="n">
        <v>175</v>
      </c>
      <c r="B196" s="136" t="n">
        <v>25.59</v>
      </c>
      <c r="C196" s="136" t="n">
        <v>34.49</v>
      </c>
      <c r="D196" s="136" t="n">
        <v>42.07</v>
      </c>
      <c r="E196" s="136" t="n">
        <v>52.97</v>
      </c>
      <c r="F196" s="136" t="n">
        <v>70.13</v>
      </c>
    </row>
    <row r="197">
      <c r="A197" t="n">
        <v>176</v>
      </c>
      <c r="B197" s="136" t="n">
        <v>25.72</v>
      </c>
      <c r="C197" s="136" t="n">
        <v>34.56</v>
      </c>
      <c r="D197" s="136" t="n">
        <v>42.22</v>
      </c>
      <c r="E197" s="136" t="n">
        <v>53.01</v>
      </c>
      <c r="F197" s="136" t="n">
        <v>69.09</v>
      </c>
    </row>
    <row r="198">
      <c r="A198" t="n">
        <v>177</v>
      </c>
      <c r="B198" s="136" t="n">
        <v>26.05</v>
      </c>
      <c r="C198" s="136" t="n">
        <v>34.48</v>
      </c>
      <c r="D198" s="136" t="n">
        <v>42.27</v>
      </c>
      <c r="E198" s="136" t="n">
        <v>52.63</v>
      </c>
      <c r="F198" s="136" t="n">
        <v>70.06</v>
      </c>
    </row>
    <row r="199">
      <c r="A199" t="n">
        <v>178</v>
      </c>
      <c r="B199" s="136" t="n">
        <v>25.77</v>
      </c>
      <c r="C199" s="136" t="n">
        <v>34.39</v>
      </c>
      <c r="D199" s="136" t="n">
        <v>42.21</v>
      </c>
      <c r="E199" s="136" t="n">
        <v>52.86</v>
      </c>
      <c r="F199" s="136" t="n">
        <v>69.40000000000001</v>
      </c>
    </row>
    <row r="200">
      <c r="A200" t="n">
        <v>179</v>
      </c>
      <c r="B200" s="136" t="n">
        <v>25.85</v>
      </c>
      <c r="C200" s="136" t="n">
        <v>34.26</v>
      </c>
      <c r="D200" s="136" t="n">
        <v>42.34</v>
      </c>
      <c r="E200" s="136" t="n">
        <v>52.72</v>
      </c>
      <c r="F200" s="136" t="n">
        <v>70.51000000000001</v>
      </c>
    </row>
    <row r="201">
      <c r="A201" t="n">
        <v>180</v>
      </c>
      <c r="B201" s="136" t="n">
        <v>25.79</v>
      </c>
      <c r="C201" s="136" t="n">
        <v>34.33</v>
      </c>
      <c r="D201" s="136" t="n">
        <v>42.22</v>
      </c>
      <c r="E201" s="136" t="n">
        <v>52.75</v>
      </c>
      <c r="F201" s="136" t="n">
        <v>69.77</v>
      </c>
    </row>
    <row r="202">
      <c r="A202" t="n">
        <v>181</v>
      </c>
      <c r="B202" s="136" t="n">
        <v>25.87</v>
      </c>
      <c r="C202" s="136" t="n">
        <v>34.34</v>
      </c>
      <c r="D202" s="136" t="n">
        <v>42.39</v>
      </c>
      <c r="E202" s="136" t="n">
        <v>53.01</v>
      </c>
      <c r="F202" s="136" t="n">
        <v>70.2</v>
      </c>
    </row>
    <row r="203">
      <c r="A203" t="n">
        <v>182</v>
      </c>
      <c r="B203" s="136" t="n">
        <v>25.66</v>
      </c>
      <c r="C203" s="136" t="n">
        <v>34.28</v>
      </c>
      <c r="D203" s="136" t="n">
        <v>42.75</v>
      </c>
      <c r="E203" s="136" t="n">
        <v>52.83</v>
      </c>
      <c r="F203" s="136" t="n">
        <v>70.36</v>
      </c>
    </row>
    <row r="204">
      <c r="A204" t="n">
        <v>183</v>
      </c>
      <c r="B204" s="136" t="n">
        <v>25.67</v>
      </c>
      <c r="C204" s="136" t="n">
        <v>34.32</v>
      </c>
      <c r="D204" s="136" t="n">
        <v>42.79</v>
      </c>
      <c r="E204" s="136" t="n">
        <v>52.7</v>
      </c>
      <c r="F204" s="136" t="n">
        <v>70.43000000000001</v>
      </c>
    </row>
    <row r="205">
      <c r="A205" t="n">
        <v>184</v>
      </c>
      <c r="B205" s="136" t="n">
        <v>25.86</v>
      </c>
      <c r="C205" s="136" t="n">
        <v>34.23</v>
      </c>
      <c r="D205" s="136" t="n">
        <v>42.79</v>
      </c>
      <c r="E205" s="136" t="n">
        <v>52.69</v>
      </c>
      <c r="F205" s="136" t="n">
        <v>70.26000000000001</v>
      </c>
    </row>
    <row r="206">
      <c r="A206" t="n">
        <v>185</v>
      </c>
      <c r="B206" s="136" t="n">
        <v>25.9</v>
      </c>
      <c r="C206" s="136" t="n">
        <v>34.35</v>
      </c>
      <c r="D206" s="136" t="n">
        <v>42.85</v>
      </c>
      <c r="E206" s="136" t="n">
        <v>52.88</v>
      </c>
      <c r="F206" s="136" t="n">
        <v>70.27</v>
      </c>
    </row>
    <row r="207">
      <c r="A207" t="n">
        <v>186</v>
      </c>
      <c r="B207" s="136" t="n">
        <v>25.84</v>
      </c>
      <c r="C207" s="136" t="n">
        <v>34.08</v>
      </c>
      <c r="D207" s="136" t="n">
        <v>42.98</v>
      </c>
      <c r="E207" s="136" t="n">
        <v>53.02</v>
      </c>
      <c r="F207" s="136" t="n">
        <v>70.25</v>
      </c>
    </row>
    <row r="208">
      <c r="A208" t="n">
        <v>187</v>
      </c>
      <c r="B208" s="136" t="n">
        <v>25.49</v>
      </c>
      <c r="C208" s="136" t="n">
        <v>34.23</v>
      </c>
      <c r="D208" s="136" t="n">
        <v>43.16</v>
      </c>
      <c r="E208" s="136" t="n">
        <v>52.79</v>
      </c>
      <c r="F208" s="136" t="n">
        <v>70.97</v>
      </c>
    </row>
    <row r="209">
      <c r="A209" t="n">
        <v>188</v>
      </c>
      <c r="B209" s="136" t="n">
        <v>25.33</v>
      </c>
      <c r="C209" s="136" t="n">
        <v>34.24</v>
      </c>
      <c r="D209" s="136" t="n">
        <v>42.84</v>
      </c>
      <c r="E209" s="136" t="n">
        <v>52.8</v>
      </c>
      <c r="F209" s="136" t="n">
        <v>71.54000000000001</v>
      </c>
    </row>
    <row r="210">
      <c r="A210" t="n">
        <v>189</v>
      </c>
      <c r="B210" s="136" t="n">
        <v>25.24</v>
      </c>
      <c r="C210" s="136" t="n">
        <v>34.37</v>
      </c>
      <c r="D210" s="136" t="n">
        <v>42.77</v>
      </c>
      <c r="E210" s="136" t="n">
        <v>53.2</v>
      </c>
      <c r="F210" s="136" t="n">
        <v>71.01000000000001</v>
      </c>
    </row>
    <row r="211">
      <c r="A211" t="n">
        <v>190</v>
      </c>
      <c r="B211" s="136" t="n">
        <v>25.57</v>
      </c>
      <c r="C211" s="136" t="n">
        <v>34.34</v>
      </c>
      <c r="D211" s="136" t="n">
        <v>42.23</v>
      </c>
      <c r="E211" s="136" t="n">
        <v>52.73</v>
      </c>
      <c r="F211" s="136" t="n">
        <v>71.52</v>
      </c>
    </row>
    <row r="212">
      <c r="A212" t="n">
        <v>191</v>
      </c>
      <c r="B212" s="136" t="n">
        <v>25.3</v>
      </c>
      <c r="C212" s="136" t="n">
        <v>34.42</v>
      </c>
      <c r="D212" s="136" t="n">
        <v>42.38</v>
      </c>
      <c r="E212" s="136" t="n">
        <v>52.62</v>
      </c>
      <c r="F212" s="136" t="n">
        <v>72.34</v>
      </c>
    </row>
    <row r="213">
      <c r="A213" t="n">
        <v>192</v>
      </c>
      <c r="B213" s="136" t="n">
        <v>25.33</v>
      </c>
      <c r="C213" s="136" t="n">
        <v>34.38</v>
      </c>
      <c r="D213" s="136" t="n">
        <v>42.14</v>
      </c>
      <c r="E213" s="136" t="n">
        <v>52.3</v>
      </c>
      <c r="F213" s="136" t="n">
        <v>72.12</v>
      </c>
    </row>
    <row r="214">
      <c r="A214" t="n">
        <v>193</v>
      </c>
      <c r="B214" s="136" t="n">
        <v>25.51</v>
      </c>
      <c r="C214" s="136" t="n">
        <v>34.26</v>
      </c>
      <c r="D214" s="136" t="n">
        <v>42.43</v>
      </c>
      <c r="E214" s="136" t="n">
        <v>52.73</v>
      </c>
      <c r="F214" s="136" t="n">
        <v>72.48</v>
      </c>
    </row>
    <row r="215">
      <c r="A215" t="n">
        <v>194</v>
      </c>
      <c r="B215" s="136" t="n">
        <v>25.52</v>
      </c>
      <c r="C215" s="136" t="n">
        <v>34.09</v>
      </c>
      <c r="D215" s="136" t="n">
        <v>42.36</v>
      </c>
      <c r="E215" s="136" t="n">
        <v>52.53</v>
      </c>
      <c r="F215" s="136" t="n">
        <v>72.41</v>
      </c>
    </row>
    <row r="216">
      <c r="A216" t="n">
        <v>195</v>
      </c>
      <c r="B216" s="136" t="n">
        <v>25.39</v>
      </c>
      <c r="C216" s="136" t="n">
        <v>34.11</v>
      </c>
      <c r="D216" s="136" t="n">
        <v>42.33</v>
      </c>
      <c r="E216" s="136" t="n">
        <v>52.4</v>
      </c>
      <c r="F216" s="136" t="n">
        <v>72.75</v>
      </c>
    </row>
    <row r="217">
      <c r="A217" t="n">
        <v>196</v>
      </c>
      <c r="B217" s="136" t="n">
        <v>25.29</v>
      </c>
      <c r="C217" s="136" t="n">
        <v>33.93</v>
      </c>
      <c r="D217" s="136" t="n">
        <v>42.57</v>
      </c>
      <c r="E217" s="136" t="n">
        <v>52.81</v>
      </c>
      <c r="F217" s="136" t="n">
        <v>73.12</v>
      </c>
    </row>
    <row r="218">
      <c r="A218" t="n">
        <v>197</v>
      </c>
      <c r="B218" s="136" t="n">
        <v>25.48</v>
      </c>
      <c r="C218" s="136" t="n">
        <v>34.03</v>
      </c>
      <c r="D218" s="136" t="n">
        <v>42.38</v>
      </c>
      <c r="E218" s="136" t="n">
        <v>52.76</v>
      </c>
      <c r="F218" s="136" t="n">
        <v>73.66</v>
      </c>
    </row>
    <row r="219">
      <c r="A219" t="n">
        <v>198</v>
      </c>
      <c r="B219" s="136" t="n">
        <v>25.25</v>
      </c>
      <c r="C219" s="136" t="n">
        <v>34.26</v>
      </c>
      <c r="D219" s="136" t="n">
        <v>42.51</v>
      </c>
      <c r="E219" s="136" t="n">
        <v>52.81</v>
      </c>
      <c r="F219" s="136" t="n">
        <v>73.47</v>
      </c>
    </row>
    <row r="220">
      <c r="A220" t="n">
        <v>199</v>
      </c>
      <c r="B220" s="136" t="n">
        <v>25.49</v>
      </c>
      <c r="C220" s="136" t="n">
        <v>33.95</v>
      </c>
      <c r="D220" s="136" t="n">
        <v>42.49</v>
      </c>
      <c r="E220" s="136" t="n">
        <v>52.99</v>
      </c>
      <c r="F220" s="136" t="n">
        <v>73.3</v>
      </c>
    </row>
    <row r="221">
      <c r="A221" t="n">
        <v>200</v>
      </c>
      <c r="B221" s="136" t="n">
        <v>25.23</v>
      </c>
      <c r="C221" s="136" t="n">
        <v>33.91</v>
      </c>
      <c r="D221" s="136" t="n">
        <v>42.52</v>
      </c>
      <c r="E221" s="136" t="n">
        <v>52.84</v>
      </c>
      <c r="F221" s="136" t="n">
        <v>74.28</v>
      </c>
    </row>
    <row r="222">
      <c r="A222" t="n">
        <v>201</v>
      </c>
      <c r="B222" s="136" t="n">
        <v>25.33</v>
      </c>
      <c r="C222" s="136" t="n">
        <v>33.84</v>
      </c>
      <c r="D222" s="136" t="n">
        <v>42.44</v>
      </c>
      <c r="E222" s="136" t="n">
        <v>52.62</v>
      </c>
      <c r="F222" s="136" t="n">
        <v>73.86</v>
      </c>
    </row>
    <row r="223">
      <c r="A223" t="n">
        <v>202</v>
      </c>
      <c r="B223" s="136" t="n">
        <v>25.25</v>
      </c>
      <c r="C223" s="136" t="n">
        <v>33.74</v>
      </c>
      <c r="D223" s="136" t="n">
        <v>42.51</v>
      </c>
      <c r="E223" s="136" t="n">
        <v>52.64</v>
      </c>
      <c r="F223" s="136" t="n">
        <v>73.47</v>
      </c>
    </row>
    <row r="224">
      <c r="A224" t="n">
        <v>203</v>
      </c>
      <c r="B224" s="136" t="n">
        <v>25.26</v>
      </c>
      <c r="C224" s="136" t="n">
        <v>33.81</v>
      </c>
      <c r="D224" s="136" t="n">
        <v>42.43</v>
      </c>
      <c r="E224" s="136" t="n">
        <v>52.97</v>
      </c>
      <c r="F224" s="136" t="n">
        <v>72.84999999999999</v>
      </c>
    </row>
    <row r="225">
      <c r="A225" t="n">
        <v>204</v>
      </c>
      <c r="B225" s="136" t="n">
        <v>25.45</v>
      </c>
      <c r="C225" s="136" t="n">
        <v>33.86</v>
      </c>
      <c r="D225" s="136" t="n">
        <v>42.49</v>
      </c>
      <c r="E225" s="136" t="n">
        <v>52.61</v>
      </c>
      <c r="F225" s="136" t="n">
        <v>72.95999999999999</v>
      </c>
    </row>
    <row r="226">
      <c r="A226" t="n">
        <v>205</v>
      </c>
      <c r="B226" s="136" t="n">
        <v>25.48</v>
      </c>
      <c r="C226" s="136" t="n">
        <v>33.86</v>
      </c>
      <c r="D226" s="136" t="n">
        <v>42.59</v>
      </c>
      <c r="E226" s="136" t="n">
        <v>52.71</v>
      </c>
      <c r="F226" s="136" t="n">
        <v>73.34</v>
      </c>
    </row>
    <row r="227">
      <c r="A227" t="n">
        <v>206</v>
      </c>
      <c r="B227" s="136" t="n">
        <v>25.38</v>
      </c>
      <c r="C227" s="136" t="n">
        <v>33.98</v>
      </c>
      <c r="D227" s="136" t="n">
        <v>42.56</v>
      </c>
      <c r="E227" s="136" t="n">
        <v>52.62</v>
      </c>
      <c r="F227" s="136" t="n">
        <v>74.27</v>
      </c>
    </row>
    <row r="228">
      <c r="A228" t="n">
        <v>207</v>
      </c>
      <c r="B228" s="136" t="n">
        <v>25.1</v>
      </c>
      <c r="C228" s="136" t="n">
        <v>33.97</v>
      </c>
      <c r="D228" s="136" t="n">
        <v>42.9</v>
      </c>
      <c r="E228" s="136" t="n">
        <v>52.8</v>
      </c>
      <c r="F228" s="136" t="n">
        <v>74.33</v>
      </c>
    </row>
    <row r="229">
      <c r="A229" t="n">
        <v>208</v>
      </c>
      <c r="B229" s="136" t="n">
        <v>25.12</v>
      </c>
      <c r="C229" s="136" t="n">
        <v>33.73</v>
      </c>
      <c r="D229" s="136" t="n">
        <v>42.67</v>
      </c>
      <c r="E229" s="136" t="n">
        <v>52.96</v>
      </c>
      <c r="F229" s="136" t="n">
        <v>73.68000000000001</v>
      </c>
    </row>
    <row r="230">
      <c r="A230" t="n">
        <v>209</v>
      </c>
      <c r="B230" s="136" t="n">
        <v>25.05</v>
      </c>
      <c r="C230" s="136" t="n">
        <v>34.01</v>
      </c>
      <c r="D230" s="136" t="n">
        <v>42.98</v>
      </c>
      <c r="E230" s="136" t="n">
        <v>52.94</v>
      </c>
      <c r="F230" s="136" t="n">
        <v>73.59999999999999</v>
      </c>
    </row>
    <row r="231">
      <c r="A231" t="n">
        <v>210</v>
      </c>
      <c r="B231" s="136" t="n">
        <v>25.11</v>
      </c>
      <c r="C231" s="136" t="n">
        <v>33.91</v>
      </c>
      <c r="D231" s="136" t="n">
        <v>42.8</v>
      </c>
      <c r="E231" s="136" t="n">
        <v>52.8</v>
      </c>
      <c r="F231" s="136" t="n">
        <v>74.04000000000001</v>
      </c>
    </row>
    <row r="232">
      <c r="A232" t="n">
        <v>211</v>
      </c>
      <c r="B232" s="136" t="n">
        <v>25.04</v>
      </c>
      <c r="C232" s="136" t="n">
        <v>33.95</v>
      </c>
      <c r="D232" s="136" t="n">
        <v>42.69</v>
      </c>
      <c r="E232" s="136" t="n">
        <v>52.58</v>
      </c>
      <c r="F232" s="136" t="n">
        <v>73.48999999999999</v>
      </c>
    </row>
    <row r="233">
      <c r="A233" t="n">
        <v>212</v>
      </c>
      <c r="B233" s="136" t="n">
        <v>25.24</v>
      </c>
      <c r="C233" s="136" t="n">
        <v>34.05</v>
      </c>
      <c r="D233" s="136" t="n">
        <v>42.7</v>
      </c>
      <c r="E233" s="136" t="n">
        <v>52.91</v>
      </c>
      <c r="F233" s="136" t="n">
        <v>74.36</v>
      </c>
    </row>
    <row r="234">
      <c r="A234" t="n">
        <v>213</v>
      </c>
      <c r="B234" s="136" t="n">
        <v>25.09</v>
      </c>
      <c r="C234" s="136" t="n">
        <v>34.32</v>
      </c>
      <c r="D234" s="136" t="n">
        <v>42.53</v>
      </c>
      <c r="E234" s="136" t="n">
        <v>52.86</v>
      </c>
      <c r="F234" s="136" t="n">
        <v>73.73</v>
      </c>
    </row>
    <row r="235">
      <c r="A235" t="n">
        <v>214</v>
      </c>
      <c r="B235" s="136" t="n">
        <v>25.21</v>
      </c>
      <c r="C235" s="136" t="n">
        <v>34.33</v>
      </c>
      <c r="D235" s="136" t="n">
        <v>42.72</v>
      </c>
      <c r="E235" s="136" t="n">
        <v>52.75</v>
      </c>
      <c r="F235" s="136" t="n">
        <v>73.92</v>
      </c>
    </row>
    <row r="236">
      <c r="A236" t="n">
        <v>215</v>
      </c>
      <c r="B236" s="136" t="n">
        <v>25.23</v>
      </c>
      <c r="C236" s="136" t="n">
        <v>34.19</v>
      </c>
      <c r="D236" s="136" t="n">
        <v>42.66</v>
      </c>
      <c r="E236" s="136" t="n">
        <v>52.9</v>
      </c>
      <c r="F236" s="136" t="n">
        <v>74.26000000000001</v>
      </c>
    </row>
    <row r="237">
      <c r="A237" t="n">
        <v>216</v>
      </c>
      <c r="B237" s="136" t="n">
        <v>24.95</v>
      </c>
      <c r="C237" s="136" t="n">
        <v>34.21</v>
      </c>
      <c r="D237" s="136" t="n">
        <v>42.85</v>
      </c>
      <c r="E237" s="136" t="n">
        <v>52.99</v>
      </c>
      <c r="F237" s="136" t="n">
        <v>74.51000000000001</v>
      </c>
    </row>
    <row r="238">
      <c r="A238" t="n">
        <v>217</v>
      </c>
      <c r="B238" s="136" t="n">
        <v>24.79</v>
      </c>
      <c r="C238" s="136" t="n">
        <v>34.08</v>
      </c>
      <c r="D238" s="136" t="n">
        <v>42.49</v>
      </c>
      <c r="E238" s="136" t="n">
        <v>53.09</v>
      </c>
      <c r="F238" s="136" t="n">
        <v>74.66</v>
      </c>
    </row>
    <row r="239">
      <c r="A239" t="n">
        <v>218</v>
      </c>
      <c r="B239" s="136" t="n">
        <v>24.43</v>
      </c>
      <c r="C239" s="136" t="n">
        <v>33.99</v>
      </c>
      <c r="D239" s="136" t="n">
        <v>42.66</v>
      </c>
      <c r="E239" s="136" t="n">
        <v>53.16</v>
      </c>
      <c r="F239" s="136" t="n">
        <v>74.36</v>
      </c>
    </row>
    <row r="240">
      <c r="A240" t="n">
        <v>219</v>
      </c>
      <c r="B240" s="136" t="n">
        <v>24.72</v>
      </c>
      <c r="C240" s="136" t="n">
        <v>33.79</v>
      </c>
      <c r="D240" s="136" t="n">
        <v>42.56</v>
      </c>
      <c r="E240" s="136" t="n">
        <v>53.34</v>
      </c>
      <c r="F240" s="136" t="n">
        <v>73.70999999999999</v>
      </c>
    </row>
    <row r="241">
      <c r="A241" t="n">
        <v>220</v>
      </c>
      <c r="B241" s="136" t="n">
        <v>24.58</v>
      </c>
      <c r="C241" s="136" t="n">
        <v>34.09</v>
      </c>
      <c r="D241" s="136" t="n">
        <v>42.53</v>
      </c>
      <c r="E241" s="136" t="n">
        <v>53.39</v>
      </c>
      <c r="F241" s="136" t="n">
        <v>74.2</v>
      </c>
    </row>
    <row r="242">
      <c r="A242" t="n">
        <v>221</v>
      </c>
      <c r="B242" s="136" t="n">
        <v>24.92</v>
      </c>
      <c r="C242" s="136" t="n">
        <v>34.05</v>
      </c>
      <c r="D242" s="136" t="n">
        <v>42.59</v>
      </c>
      <c r="E242" s="136" t="n">
        <v>53.47</v>
      </c>
      <c r="F242" s="136" t="n">
        <v>74.14</v>
      </c>
    </row>
    <row r="243">
      <c r="A243" t="n">
        <v>222</v>
      </c>
      <c r="B243" s="136" t="n">
        <v>24.72</v>
      </c>
      <c r="C243" s="136" t="n">
        <v>34.23</v>
      </c>
      <c r="D243" s="136" t="n">
        <v>42.42</v>
      </c>
      <c r="E243" s="136" t="n">
        <v>53.39</v>
      </c>
      <c r="F243" s="136" t="n">
        <v>74</v>
      </c>
    </row>
    <row r="244">
      <c r="A244" t="n">
        <v>223</v>
      </c>
      <c r="B244" s="136" t="n">
        <v>24.54</v>
      </c>
      <c r="C244" s="136" t="n">
        <v>34.14</v>
      </c>
      <c r="D244" s="136" t="n">
        <v>42.69</v>
      </c>
      <c r="E244" s="136" t="n">
        <v>53.64</v>
      </c>
      <c r="F244" s="136" t="n">
        <v>74.73</v>
      </c>
    </row>
    <row r="245">
      <c r="A245" t="n">
        <v>224</v>
      </c>
      <c r="B245" s="136" t="n">
        <v>24.42</v>
      </c>
      <c r="C245" s="136" t="n">
        <v>34.28</v>
      </c>
      <c r="D245" s="136" t="n">
        <v>42.65</v>
      </c>
      <c r="E245" s="136" t="n">
        <v>53.96</v>
      </c>
      <c r="F245" s="136" t="n">
        <v>74.92</v>
      </c>
    </row>
    <row r="246">
      <c r="A246" t="n">
        <v>225</v>
      </c>
      <c r="B246" s="136" t="n">
        <v>24.27</v>
      </c>
      <c r="C246" s="136" t="n">
        <v>34.18</v>
      </c>
      <c r="D246" s="136" t="n">
        <v>42.52</v>
      </c>
      <c r="E246" s="136" t="n">
        <v>53.93</v>
      </c>
      <c r="F246" s="136" t="n">
        <v>74.51000000000001</v>
      </c>
    </row>
    <row r="247">
      <c r="A247" t="n">
        <v>226</v>
      </c>
      <c r="B247" s="136" t="n">
        <v>24.57</v>
      </c>
      <c r="C247" s="136" t="n">
        <v>34.33</v>
      </c>
      <c r="D247" s="136" t="n">
        <v>42.5</v>
      </c>
      <c r="E247" s="136" t="n">
        <v>54.04</v>
      </c>
      <c r="F247" s="136" t="n">
        <v>75.02</v>
      </c>
    </row>
    <row r="248">
      <c r="A248" t="n">
        <v>227</v>
      </c>
      <c r="B248" s="136" t="n">
        <v>24.72</v>
      </c>
      <c r="C248" s="136" t="n">
        <v>34.39</v>
      </c>
      <c r="D248" s="136" t="n">
        <v>42.57</v>
      </c>
      <c r="E248" s="136" t="n">
        <v>53.85</v>
      </c>
      <c r="F248" s="136" t="n">
        <v>74.56999999999999</v>
      </c>
    </row>
    <row r="249">
      <c r="A249" t="n">
        <v>228</v>
      </c>
      <c r="B249" s="136" t="n">
        <v>24.79</v>
      </c>
      <c r="C249" s="136" t="n">
        <v>34.19</v>
      </c>
      <c r="D249" s="136" t="n">
        <v>42.56</v>
      </c>
      <c r="E249" s="136" t="n">
        <v>53.88</v>
      </c>
      <c r="F249" s="136" t="n">
        <v>75.39</v>
      </c>
    </row>
    <row r="250">
      <c r="A250" t="n">
        <v>229</v>
      </c>
      <c r="B250" s="136" t="n">
        <v>25.03</v>
      </c>
      <c r="C250" s="136" t="n">
        <v>34.23</v>
      </c>
      <c r="D250" s="136" t="n">
        <v>42.69</v>
      </c>
      <c r="E250" s="136" t="n">
        <v>54.09</v>
      </c>
      <c r="F250" s="136" t="n">
        <v>75.7</v>
      </c>
    </row>
    <row r="251">
      <c r="A251" t="n">
        <v>230</v>
      </c>
      <c r="B251" s="136" t="n">
        <v>24.86</v>
      </c>
      <c r="C251" s="136" t="n">
        <v>33.97</v>
      </c>
      <c r="D251" s="136" t="n">
        <v>42.55</v>
      </c>
      <c r="E251" s="136" t="n">
        <v>53.93</v>
      </c>
      <c r="F251" s="136" t="n">
        <v>75.59999999999999</v>
      </c>
    </row>
    <row r="252">
      <c r="A252" t="n">
        <v>231</v>
      </c>
      <c r="B252" s="136" t="n">
        <v>24.89</v>
      </c>
      <c r="C252" s="136" t="n">
        <v>34.06</v>
      </c>
      <c r="D252" s="136" t="n">
        <v>42.69</v>
      </c>
      <c r="E252" s="136" t="n">
        <v>54.16</v>
      </c>
      <c r="F252" s="136" t="n">
        <v>75.88</v>
      </c>
    </row>
    <row r="253">
      <c r="A253" t="n">
        <v>232</v>
      </c>
      <c r="B253" s="136" t="n">
        <v>24.76</v>
      </c>
      <c r="C253" s="136" t="n">
        <v>33.78</v>
      </c>
      <c r="D253" s="136" t="n">
        <v>42.86</v>
      </c>
      <c r="E253" s="136" t="n">
        <v>54.37</v>
      </c>
      <c r="F253" s="136" t="n">
        <v>76.18000000000001</v>
      </c>
    </row>
    <row r="254">
      <c r="A254" t="n">
        <v>233</v>
      </c>
      <c r="B254" s="136" t="n">
        <v>24.63</v>
      </c>
      <c r="C254" s="136" t="n">
        <v>34.15</v>
      </c>
      <c r="D254" s="136" t="n">
        <v>42.92</v>
      </c>
      <c r="E254" s="136" t="n">
        <v>54.73</v>
      </c>
      <c r="F254" s="136" t="n">
        <v>77.19</v>
      </c>
    </row>
    <row r="255">
      <c r="A255" t="n">
        <v>234</v>
      </c>
      <c r="B255" s="136" t="n">
        <v>24.24</v>
      </c>
      <c r="C255" s="136" t="n">
        <v>34.14</v>
      </c>
      <c r="D255" s="136" t="n">
        <v>42.87</v>
      </c>
      <c r="E255" s="136" t="n">
        <v>54.75</v>
      </c>
      <c r="F255" s="136" t="n">
        <v>76.89</v>
      </c>
    </row>
    <row r="256">
      <c r="A256" t="n">
        <v>235</v>
      </c>
      <c r="B256" s="136" t="n">
        <v>24.33</v>
      </c>
      <c r="C256" s="136" t="n">
        <v>34.14</v>
      </c>
      <c r="D256" s="136" t="n">
        <v>42.66</v>
      </c>
      <c r="E256" s="136" t="n">
        <v>54.65</v>
      </c>
      <c r="F256" s="136" t="n">
        <v>76.16</v>
      </c>
    </row>
    <row r="257">
      <c r="A257" t="n">
        <v>236</v>
      </c>
      <c r="B257" s="136" t="n">
        <v>23.95</v>
      </c>
      <c r="C257" s="136" t="n">
        <v>34.03</v>
      </c>
      <c r="D257" s="136" t="n">
        <v>42.54</v>
      </c>
      <c r="E257" s="136" t="n">
        <v>54.67</v>
      </c>
      <c r="F257" s="136" t="n">
        <v>76.83</v>
      </c>
    </row>
    <row r="258">
      <c r="A258" t="n">
        <v>237</v>
      </c>
      <c r="B258" s="136" t="n">
        <v>24.14</v>
      </c>
      <c r="C258" s="136" t="n">
        <v>33.96</v>
      </c>
      <c r="D258" s="136" t="n">
        <v>42.63</v>
      </c>
      <c r="E258" s="136" t="n">
        <v>54.63</v>
      </c>
      <c r="F258" s="136" t="n">
        <v>76.09</v>
      </c>
    </row>
    <row r="259">
      <c r="A259" t="n">
        <v>238</v>
      </c>
      <c r="B259" s="136" t="n">
        <v>23.98</v>
      </c>
      <c r="C259" s="136" t="n">
        <v>33.93</v>
      </c>
      <c r="D259" s="136" t="n">
        <v>42.51</v>
      </c>
      <c r="E259" s="136" t="n">
        <v>54.64</v>
      </c>
      <c r="F259" s="136" t="n">
        <v>76.43000000000001</v>
      </c>
    </row>
    <row r="260">
      <c r="A260" t="n">
        <v>239</v>
      </c>
      <c r="B260" s="136" t="n">
        <v>24.17</v>
      </c>
      <c r="C260" s="136" t="n">
        <v>33.91</v>
      </c>
      <c r="D260" s="136" t="n">
        <v>42.92</v>
      </c>
      <c r="E260" s="136" t="n">
        <v>54.39</v>
      </c>
      <c r="F260" s="136" t="n">
        <v>77.73999999999999</v>
      </c>
    </row>
    <row r="261">
      <c r="A261" t="n">
        <v>240</v>
      </c>
      <c r="B261" s="136" t="n">
        <v>24.15</v>
      </c>
      <c r="C261" s="136" t="n">
        <v>33.9</v>
      </c>
      <c r="D261" s="136" t="n">
        <v>42.8</v>
      </c>
      <c r="E261" s="136" t="n">
        <v>54.75</v>
      </c>
      <c r="F261" s="136" t="n">
        <v>77.31</v>
      </c>
    </row>
    <row r="262">
      <c r="A262" t="n">
        <v>241</v>
      </c>
      <c r="B262" s="136" t="n">
        <v>24.3</v>
      </c>
      <c r="C262" s="136" t="n">
        <v>34.01</v>
      </c>
      <c r="D262" s="136" t="n">
        <v>42.85</v>
      </c>
      <c r="E262" s="136" t="n">
        <v>54.51</v>
      </c>
      <c r="F262" s="136" t="n">
        <v>77.40000000000001</v>
      </c>
    </row>
    <row r="263">
      <c r="A263" t="n">
        <v>242</v>
      </c>
      <c r="B263" s="136" t="n">
        <v>24.2</v>
      </c>
      <c r="C263" s="136" t="n">
        <v>33.81</v>
      </c>
      <c r="D263" s="136" t="n">
        <v>42.93</v>
      </c>
      <c r="E263" s="136" t="n">
        <v>54.54</v>
      </c>
      <c r="F263" s="136" t="n">
        <v>77.09999999999999</v>
      </c>
    </row>
    <row r="264">
      <c r="A264" t="n">
        <v>243</v>
      </c>
      <c r="B264" s="136" t="n">
        <v>24.36</v>
      </c>
      <c r="C264" s="136" t="n">
        <v>33.7</v>
      </c>
      <c r="D264" s="136" t="n">
        <v>42.8</v>
      </c>
      <c r="E264" s="136" t="n">
        <v>54.59</v>
      </c>
      <c r="F264" s="136" t="n">
        <v>76.65000000000001</v>
      </c>
    </row>
    <row r="265">
      <c r="A265" t="n">
        <v>244</v>
      </c>
      <c r="B265" s="136" t="n">
        <v>24.19</v>
      </c>
      <c r="C265" s="136" t="n">
        <v>33.93</v>
      </c>
      <c r="D265" s="136" t="n">
        <v>43</v>
      </c>
      <c r="E265" s="136" t="n">
        <v>54.68</v>
      </c>
      <c r="F265" s="136" t="n">
        <v>76.72</v>
      </c>
    </row>
    <row r="266">
      <c r="A266" t="n">
        <v>245</v>
      </c>
      <c r="B266" s="136" t="n">
        <v>24.31</v>
      </c>
      <c r="C266" s="136" t="n">
        <v>34.04</v>
      </c>
      <c r="D266" s="136" t="n">
        <v>42.79</v>
      </c>
      <c r="E266" s="136" t="n">
        <v>54.96</v>
      </c>
      <c r="F266" s="136" t="n">
        <v>77.08</v>
      </c>
    </row>
    <row r="267">
      <c r="A267" t="n">
        <v>246</v>
      </c>
      <c r="B267" s="136" t="n">
        <v>24.28</v>
      </c>
      <c r="C267" s="136" t="n">
        <v>33.86</v>
      </c>
      <c r="D267" s="136" t="n">
        <v>42.76</v>
      </c>
      <c r="E267" s="136" t="n">
        <v>55.1</v>
      </c>
      <c r="F267" s="136" t="n">
        <v>77.43000000000001</v>
      </c>
    </row>
    <row r="268">
      <c r="A268" t="n">
        <v>247</v>
      </c>
      <c r="B268" s="136" t="n">
        <v>24.32</v>
      </c>
      <c r="C268" s="136" t="n">
        <v>33.7</v>
      </c>
      <c r="D268" s="136" t="n">
        <v>42.56</v>
      </c>
      <c r="E268" s="136" t="n">
        <v>55.65</v>
      </c>
      <c r="F268" s="136" t="n">
        <v>77.51000000000001</v>
      </c>
    </row>
    <row r="269">
      <c r="A269" t="n">
        <v>248</v>
      </c>
      <c r="B269" s="136" t="n">
        <v>24.36</v>
      </c>
      <c r="C269" s="136" t="n">
        <v>33.95</v>
      </c>
      <c r="D269" s="136" t="n">
        <v>42.47</v>
      </c>
      <c r="E269" s="136" t="n">
        <v>55.62</v>
      </c>
      <c r="F269" s="136" t="n">
        <v>77.09999999999999</v>
      </c>
    </row>
    <row r="270">
      <c r="A270" t="n">
        <v>249</v>
      </c>
      <c r="B270" s="136" t="n">
        <v>24.26</v>
      </c>
      <c r="C270" s="136" t="n">
        <v>33.82</v>
      </c>
      <c r="D270" s="136" t="n">
        <v>42.85</v>
      </c>
      <c r="E270" s="136" t="n">
        <v>55.37</v>
      </c>
      <c r="F270" s="136" t="n">
        <v>78.13</v>
      </c>
    </row>
    <row r="271">
      <c r="A271" t="n">
        <v>250</v>
      </c>
      <c r="B271" s="136" t="n">
        <v>24.36</v>
      </c>
      <c r="C271" s="136" t="n">
        <v>34</v>
      </c>
      <c r="D271" s="136" t="n">
        <v>42.48</v>
      </c>
      <c r="E271" s="136" t="n">
        <v>55.53</v>
      </c>
      <c r="F271" s="136" t="n">
        <v>77.19</v>
      </c>
    </row>
    <row r="272">
      <c r="A272" t="n">
        <v>251</v>
      </c>
      <c r="B272" s="136" t="n">
        <v>24.39</v>
      </c>
      <c r="C272" s="136" t="n">
        <v>33.63</v>
      </c>
      <c r="D272" s="136" t="n">
        <v>42.78</v>
      </c>
      <c r="E272" s="136" t="n">
        <v>55.34</v>
      </c>
      <c r="F272" s="136" t="n">
        <v>76.29000000000001</v>
      </c>
    </row>
    <row r="273">
      <c r="A273" t="n">
        <v>252</v>
      </c>
      <c r="B273" s="136" t="n">
        <v>24.23</v>
      </c>
      <c r="C273" s="136" t="n">
        <v>33.74</v>
      </c>
      <c r="D273" s="136" t="n">
        <v>42.69</v>
      </c>
      <c r="E273" s="136" t="n">
        <v>55.87</v>
      </c>
      <c r="F273" s="136" t="n">
        <v>76.31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3" customWidth="1" min="1" max="1"/>
  </cols>
  <sheetData>
    <row r="1">
      <c r="A1" s="59" t="inlineStr">
        <is>
          <t>NKE — Charts</t>
        </is>
      </c>
    </row>
    <row r="2">
      <c r="A2" s="93" t="inlineStr">
        <is>
          <t>Live charts, not images: every series points at the Price_Indicators sheet, so edits there redraw these.</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40"/>
  <sheetViews>
    <sheetView showGridLines="0" workbookViewId="0">
      <pane ySplit="2" topLeftCell="A3" activePane="bottomLeft" state="frozen"/>
      <selection pane="bottomLeft" activeCell="A1" sqref="A1"/>
    </sheetView>
  </sheetViews>
  <sheetFormatPr baseColWidth="8" defaultRowHeight="15"/>
  <cols>
    <col width="26" customWidth="1" min="1" max="1"/>
    <col width="98" customWidth="1" min="2" max="2"/>
  </cols>
  <sheetData>
    <row r="1">
      <c r="A1" s="59" t="inlineStr">
        <is>
          <t>Methodology &amp; Definitions</t>
        </is>
      </c>
    </row>
    <row r="2">
      <c r="A2" s="60" t="inlineStr">
        <is>
          <t>Every metric in this report, in plain language and with its key assumptions — so nothing reads as a black box.</t>
        </is>
      </c>
    </row>
    <row r="4" ht="18" customHeight="1">
      <c r="A4" s="61" t="inlineStr">
        <is>
          <t>Risk &amp; Return</t>
        </is>
      </c>
    </row>
    <row r="5" ht="24" customHeight="1">
      <c r="A5" s="137" t="inlineStr">
        <is>
          <t>Annualised Volatility</t>
        </is>
      </c>
      <c r="B5" s="138" t="inlineStr">
        <is>
          <t>Standard deviation of daily returns × √252. How much the price swings; higher = riskier.</t>
        </is>
      </c>
    </row>
    <row r="6" ht="31" customHeight="1">
      <c r="A6" s="137" t="inlineStr">
        <is>
          <t>Sharpe Ratio</t>
        </is>
      </c>
      <c r="B6" s="138" t="inlineStr">
        <is>
          <t>(Annualised return − risk-free rate) ÷ annualised volatility — excess return per unit of total risk. Risk-free rate = current 3-month US Treasury yield via FRED (3.91% now). Above 1 is strong.</t>
        </is>
      </c>
    </row>
    <row r="7" ht="43.5" customHeight="1">
      <c r="A7" s="137" t="inlineStr">
        <is>
          <t>Sortino Ratio</t>
        </is>
      </c>
      <c r="B7" s="138" t="inlineStr">
        <is>
          <t>Like Sharpe, but the denominator is downside deviation about zero — √(mean of squared shortfalls below zero, over ALL days) × √252 — so upside volatility isn't penalised. Note this is not the standard deviation of the losing days, which would understate the denominator and flatter the ratio.</t>
        </is>
      </c>
    </row>
    <row r="8" ht="56" customHeight="1">
      <c r="A8" s="137" t="inlineStr">
        <is>
          <t>Max Drawdown (60d)</t>
        </is>
      </c>
      <c r="B8" s="138" t="inlineStr">
        <is>
          <t>Deepest fall from a rolling 60-day peak — how bad the worst quarter-ish stretch was. A decline that unfolds over longer than 60 trading days shows up here only in part, so this reads shallower than a full peak-to-trough figure. The Scorecard's risk factor and the PowerPoint deck use the full peak-to-trough drawdown over the whole window.</t>
        </is>
      </c>
    </row>
    <row r="10" ht="18" customHeight="1">
      <c r="A10" s="61" t="inlineStr">
        <is>
          <t>Technical Indicators</t>
        </is>
      </c>
    </row>
    <row r="11" ht="31" customHeight="1">
      <c r="A11" s="137" t="inlineStr">
        <is>
          <t>Moving Average (20/50/200-day)</t>
        </is>
      </c>
      <c r="B11" s="138" t="inlineStr">
        <is>
          <t>Average close over the last N sessions; smooths the trend. Price above the average is bullish, below is cautionary.</t>
        </is>
      </c>
    </row>
    <row r="12" ht="24" customHeight="1">
      <c r="A12" s="137" t="inlineStr">
        <is>
          <t>RSI (14)</t>
        </is>
      </c>
      <c r="B12" s="138" t="inlineStr">
        <is>
          <t>Relative Strength Index, 0–100. &gt;70 overbought (stretched up), &lt;30 oversold, 30–70 neutral.</t>
        </is>
      </c>
    </row>
    <row r="13" ht="31" customHeight="1">
      <c r="A13" s="137" t="inlineStr">
        <is>
          <t>MACD</t>
        </is>
      </c>
      <c r="B13" s="138" t="inlineStr">
        <is>
          <t>12-day minus 26-day exponential moving average vs a 9-day signal line. MACD above signal = bullish momentum.</t>
        </is>
      </c>
    </row>
    <row r="14" ht="31" customHeight="1">
      <c r="A14" s="137" t="inlineStr">
        <is>
          <t>Bollinger Bands (20, 2σ)</t>
        </is>
      </c>
      <c r="B14" s="138" t="inlineStr">
        <is>
          <t>20-day average ± 2 standard deviations. %B shows where price sits within the bands; near the upper band is relatively high.</t>
        </is>
      </c>
    </row>
    <row r="15" ht="31" customHeight="1">
      <c r="A15" s="137" t="inlineStr">
        <is>
          <t>Support / Resistance</t>
        </is>
      </c>
      <c r="B15" s="138" t="inlineStr">
        <is>
          <t>Recent levels where the stock repeatedly stalled (resistance) or bounced (support), detected from local highs/lows.</t>
        </is>
      </c>
    </row>
    <row r="17" ht="18" customHeight="1">
      <c r="A17" s="61" t="inlineStr">
        <is>
          <t>Valuation</t>
        </is>
      </c>
    </row>
    <row r="18" ht="31" customHeight="1">
      <c r="A18" s="137" t="inlineStr">
        <is>
          <t>P/E · P/S · P/B</t>
        </is>
      </c>
      <c r="B18" s="138" t="inlineStr">
        <is>
          <t>Market cap ÷ net income / revenue / book equity — dollars paid per dollar of earnings, sales, or book value.</t>
        </is>
      </c>
    </row>
    <row r="19" ht="24" customHeight="1">
      <c r="A19" s="137" t="inlineStr">
        <is>
          <t>EV / EBITDA</t>
        </is>
      </c>
      <c r="B19" s="138" t="inlineStr">
        <is>
          <t>Enterprise value (market cap + debt − cash) ÷ EBITDA — a capital-structure-neutral earnings multiple.</t>
        </is>
      </c>
    </row>
    <row r="20" ht="24" customHeight="1">
      <c r="A20" s="137" t="inlineStr">
        <is>
          <t>FCF / Earnings Yield</t>
        </is>
      </c>
      <c r="B20" s="138" t="inlineStr">
        <is>
          <t>Free cash flow / net income ÷ market cap — the cash or earnings return at today's price; higher = cheaper.</t>
        </is>
      </c>
    </row>
    <row r="21" ht="93.5" customHeight="1">
      <c r="A21" s="137" t="inlineStr">
        <is>
          <t>What a Reverse DCF Is</t>
        </is>
      </c>
      <c r="B21" s="138" t="inlineStr">
        <is>
          <t>A normal DCF starts with a growth forecast and produces a value. A reverse DCF runs the same model backwards: it takes today's share price as given and solves for the one number that would justify it — the rate at which free cash flow would have to compound over the forecast horizon. That flips the question from 'what do I think this is worth?' (which needs a forecast you may not have) to 'what would I have to believe to pay this price?' (which you can judge against the company's history, its competitors and its market size). It needs no analyst estimates, so it cannot inherit their optimism, and it gives you a single falsifiable claim to argue with.</t>
        </is>
      </c>
    </row>
    <row r="22" ht="81" customHeight="1">
      <c r="A22" s="137" t="inlineStr">
        <is>
          <t>Reverse-DCF Implied Growth</t>
        </is>
      </c>
      <c r="B22" s="138" t="inlineStr">
        <is>
          <t>The stage-1 free-cash-flow growth rate the current price implies, solved numerically from the same 10-year two-stage DCF used for fair value (9.3% discount rate, 2.5% terminal growth). Read it as a hurdle: if the implied rate is comfortably below what the business has actually delivered, the price is undemanding; if it is far above, the price already assumes a lot must go right. It is blank when today's price falls outside the range of growth rates the model can solve (roughly −20% to +50% a year) — usually a sign the price is being driven by something other than free-cash-flow growth.</t>
        </is>
      </c>
    </row>
    <row r="23" ht="68.5" customHeight="1">
      <c r="A23" s="137" t="inlineStr">
        <is>
          <t>DCF Fair Value</t>
        </is>
      </c>
      <c r="B23" s="138" t="inlineStr">
        <is>
          <t>Two-stage DCF on free cash flow: PV of 10-year of projected FCF + PV of terminal value − net debt, ÷ shares (market cap ÷ price). Discount rate 9.3%, terminal growth 2.5%; base FCF normalised over the last three positive annual figures; stage-1 growth fades linearly to the terminal rate. The Valuation sheet holds the whole model as live Excel formulas over a block of editable assumption cells — change the discount rate, the terminal growth rate or the growth path and every downstream figure recalculates. A model, not a price target.</t>
        </is>
      </c>
    </row>
    <row r="24" ht="43.5" customHeight="1">
      <c r="A24" s="137" t="inlineStr">
        <is>
          <t>Sensitivity Grid</t>
        </is>
      </c>
      <c r="B24" s="138" t="inlineStr">
        <is>
          <t>Base-case fair value per share across a 5×5 grid of discount rates and terminal growth rates, on the Valuation sheet. Green cells sit above today's price, red below. The spread across that grid is the honest measure of how much confidence a DCF deserves for this company.</t>
        </is>
      </c>
    </row>
    <row r="26" ht="18" customHeight="1">
      <c r="A26" s="61" t="inlineStr">
        <is>
          <t>Quality Scores</t>
        </is>
      </c>
    </row>
    <row r="27" ht="31" customHeight="1">
      <c r="A27" s="137" t="inlineStr">
        <is>
          <t>Piotroski F-Score (0–9)</t>
        </is>
      </c>
      <c r="B27" s="138" t="inlineStr">
        <is>
          <t>Nine pass/fail fundamental-quality tests (profitability, leverage, efficiency) across the two latest fiscal years. Higher = higher quality.</t>
        </is>
      </c>
    </row>
    <row r="28" ht="24" customHeight="1">
      <c r="A28" s="137" t="inlineStr">
        <is>
          <t>Altman Z-Score</t>
        </is>
      </c>
      <c r="B28" s="138" t="inlineStr">
        <is>
          <t>Bankruptcy-risk score from five ratios. &gt;2.99 'safe', 1.81–2.99 'grey', &lt;1.81 'distress'.</t>
        </is>
      </c>
    </row>
    <row r="29" ht="31" customHeight="1">
      <c r="A29" s="137" t="inlineStr">
        <is>
          <t>Technical Posture (0–100)</t>
        </is>
      </c>
      <c r="B29" s="138" t="inlineStr">
        <is>
          <t>A blend of trend (vs 50/200-day MA), RSI, MACD, 52-week location and relative strength. Describes what the indicators say — not a recommendation.</t>
        </is>
      </c>
    </row>
    <row r="30" ht="31" customHeight="1">
      <c r="A30" s="137" t="inlineStr">
        <is>
          <t>Stock Scorecard (0–100)</t>
        </is>
      </c>
      <c r="B30" s="138" t="inlineStr">
        <is>
          <t>Weighted composite of seven factors — valuation, growth, profitability, financial health, momentum, risk, sentiment. Describes the stock's profile; not a buy/sell call.</t>
        </is>
      </c>
    </row>
    <row r="32" ht="18" customHeight="1">
      <c r="A32" s="61" t="inlineStr">
        <is>
          <t>Forecasting</t>
        </is>
      </c>
    </row>
    <row r="33" ht="56" customHeight="1">
      <c r="A33" s="137" t="inlineStr">
        <is>
          <t>Monte Carlo Simulation</t>
        </is>
      </c>
      <c r="B33" s="138" t="inlineStr">
        <is>
          <t>Thousands of simulated 1-year price paths (geometric Brownian motion) with drift and volatility from the stock's own daily-return history. P5–P95 are percentiles of simulated ending prices (P5 = only 5% of paths ended lower) — NOT predictions. Assumes log-normal returns and constant volatility; real markets have fat tails and regime shifts. 'Probability of gain' = share of paths ending above today's price.</t>
        </is>
      </c>
    </row>
    <row r="34" ht="31" customHeight="1">
      <c r="A34" s="137" t="inlineStr">
        <is>
          <t>Custom Forecast (GARCH + ML)</t>
        </is>
      </c>
      <c r="B34" s="138" t="inlineStr">
        <is>
          <t>Optional variant modelling time-varying volatility (GARCH) and a machine-learned drift before simulating; same percentile interpretation.</t>
        </is>
      </c>
    </row>
    <row r="36" ht="18" customHeight="1">
      <c r="A36" s="61" t="inlineStr">
        <is>
          <t>Sentiment &amp; Data Sources</t>
        </is>
      </c>
    </row>
    <row r="37" ht="31" customHeight="1">
      <c r="A37" s="137" t="inlineStr">
        <is>
          <t>Analyst Consensus</t>
        </is>
      </c>
      <c r="B37" s="138" t="inlineStr">
        <is>
          <t>Wall-Street Buy/Hold/Sell counts aggregated by Finnhub, scored into one verdict. Analysts' view, not QuantWizard's.</t>
        </is>
      </c>
    </row>
    <row r="38" ht="31" customHeight="1">
      <c r="A38" s="137" t="inlineStr">
        <is>
          <t>News Relevance &amp; Sentiment</t>
        </is>
      </c>
      <c r="B38" s="138" t="inlineStr">
        <is>
          <t>Headlines are ranked High/Medium/Low for how directly they concern the company (broad round-ups are dropped) and tagged with Polygon's per-article sentiment.</t>
        </is>
      </c>
    </row>
    <row r="39" ht="31" customHeight="1">
      <c r="A39" s="137" t="inlineStr">
        <is>
          <t>Data Sources</t>
        </is>
      </c>
      <c r="B39" s="138" t="inlineStr">
        <is>
          <t>Prices: Yahoo Finance (Polygon fallback), split/dividend-adjusted. Fundamentals: SEC EDGAR (Polygon fallback). News &amp; analyst data: Finnhub / Polygon. Risk-free rate: US Treasury via FRED.</t>
        </is>
      </c>
    </row>
    <row r="40" ht="31" customHeight="1">
      <c r="A40" s="137" t="inlineStr">
        <is>
          <t>Disclaimer</t>
        </is>
      </c>
      <c r="B40" s="138" t="inlineStr">
        <is>
          <t>For informational purposes only. Not investment advice. Past performance does not guarantee future results. Figures are generated programmatically for information and education only.</t>
        </is>
      </c>
    </row>
  </sheetData>
  <mergeCells count="8">
    <mergeCell ref="A4:B4"/>
    <mergeCell ref="A26:B26"/>
    <mergeCell ref="A2:B2"/>
    <mergeCell ref="A10:B10"/>
    <mergeCell ref="A32:B32"/>
    <mergeCell ref="A36:B36"/>
    <mergeCell ref="A1:B1"/>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2026-08-05T05:19:11Z</dcterms:created>
  <dcterms:modified xmlns:dcterms="http://purl.org/dc/terms/" xmlns:xsi="http://www.w3.org/2001/XMLSchema-instance" xsi:type="dcterms:W3CDTF">2026-08-05T05:19:12Z</dcterms:modified>
</cp:coreProperties>
</file>
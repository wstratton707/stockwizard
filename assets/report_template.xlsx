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Financials" sheetId="2" state="visible" r:id="rId2"/>
    <sheet xmlns:r="http://schemas.openxmlformats.org/officeDocument/2006/relationships" name="DCF" sheetId="3" state="visible" r:id="rId3"/>
    <sheet xmlns:r="http://schemas.openxmlformats.org/officeDocument/2006/relationships" name="Scenarios" sheetId="4" state="visible" r:id="rId4"/>
    <sheet xmlns:r="http://schemas.openxmlformats.org/officeDocument/2006/relationships" name="Multiples" sheetId="5" state="visible" r:id="rId5"/>
    <sheet xmlns:r="http://schemas.openxmlformats.org/officeDocument/2006/relationships" name="Risk" sheetId="6" state="visible" r:id="rId6"/>
    <sheet xmlns:r="http://schemas.openxmlformats.org/officeDocument/2006/relationships" name="Catalysts_News" sheetId="7" state="visible" r:id="rId7"/>
    <sheet xmlns:r="http://schemas.openxmlformats.org/officeDocument/2006/relationships" name="Methodology" sheetId="8" state="visible" r:id="rId8"/>
    <sheet xmlns:r="http://schemas.openxmlformats.org/officeDocument/2006/relationships" name="Sources" sheetId="9" state="visible" r:id="rId9"/>
    <sheet xmlns:r="http://schemas.openxmlformats.org/officeDocument/2006/relationships" name="Raw_Fundamentals" sheetId="10" state="visible" r:id="rId10"/>
    <sheet xmlns:r="http://schemas.openxmlformats.org/officeDocument/2006/relationships" name="Price_Data" sheetId="11" state="visible" r:id="rId11"/>
    <sheet xmlns:r="http://schemas.openxmlformats.org/officeDocument/2006/relationships" name="Raw_News" sheetId="12" state="visible" r:id="rId12"/>
    <sheet xmlns:r="http://schemas.openxmlformats.org/officeDocument/2006/relationships" name="Raw_Peers" sheetId="13" state="visible" r:id="rId13"/>
    <sheet xmlns:r="http://schemas.openxmlformats.org/officeDocument/2006/relationships" name="Monte_Carlo" sheetId="14" state="visible" r:id="rId14"/>
  </sheets>
  <definedNames>
    <definedName name="_xlnm._FilterDatabase" localSheetId="10" hidden="1">'Price_Data'!$A$1:$Q$1</definedName>
    <definedName name="_xlnm._FilterDatabase" localSheetId="11" hidden="1">'Raw_News'!$A$1:$G$1</definedName>
    <definedName name="_xlnm._FilterDatabase" localSheetId="12" hidden="1">'Raw_Peers'!$A$1:$F$1</definedName>
  </definedNames>
  <calcPr calcId="191029" fullCalcOnLoad="1"/>
</workbook>
</file>

<file path=xl/styles.xml><?xml version="1.0" encoding="utf-8"?>
<styleSheet xmlns="http://schemas.openxmlformats.org/spreadsheetml/2006/main">
  <numFmts count="21">
    <numFmt numFmtId="164" formatCode="&quot;$&quot;#,##0.00"/>
    <numFmt numFmtId="165" formatCode="0.0000"/>
    <numFmt numFmtId="166" formatCode="0.0%"/>
    <numFmt numFmtId="167" formatCode="\+0.0%;\-0.0%"/>
    <numFmt numFmtId="168" formatCode="_(\$* #,##0.00_)"/>
    <numFmt numFmtId="169" formatCode="\$#,##0.0,,,&quot;B&quot;"/>
    <numFmt numFmtId="170" formatCode="#,##0.00,,,&quot;B&quot;"/>
    <numFmt numFmtId="171" formatCode="0.000"/>
    <numFmt numFmtId="172" formatCode="0.00&quot;x&quot;"/>
    <numFmt numFmtId="173" formatCode="&quot;$&quot;#,##0.0,,,&quot;B&quot;"/>
    <numFmt numFmtId="174" formatCode="0.0"/>
    <numFmt numFmtId="175" formatCode="yyyy\-mm\-dd"/>
    <numFmt numFmtId="176" formatCode="#,##0.0;\(#,##0.0\);&quot;–&quot;"/>
    <numFmt numFmtId="177" formatCode="0.0%;\(0.0%\);&quot;–&quot;"/>
    <numFmt numFmtId="178" formatCode="&quot;$&quot;#,##0.00;\(&quot;$&quot;#,##0.00\);&quot;–&quot;"/>
    <numFmt numFmtId="179" formatCode="#,##0.000"/>
    <numFmt numFmtId="180" formatCode="0.00;\(0.00\);&quot;0.00 ✓&quot;"/>
    <numFmt numFmtId="181" formatCode="0.0&quot;x&quot;;\(0.0&quot;x&quot;\);&quot;–&quot;"/>
    <numFmt numFmtId="182" formatCode="mmm\-yyyy"/>
    <numFmt numFmtId="183" formatCode="dd\-mmm\-yyyy"/>
    <numFmt numFmtId="184" formatCode="&quot;$&quot;#,##0.00_);[Red]\(&quot;$&quot;#,##0.00\)"/>
  </numFmts>
  <fonts count="74">
    <font>
      <name val="Calibri"/>
      <family val="2"/>
      <color theme="1"/>
      <sz val="11"/>
      <scheme val="minor"/>
    </font>
    <font>
      <name val="Calibri"/>
      <family val="2"/>
      <b val="1"/>
      <color rgb="FF1F4E79"/>
      <sz val="18"/>
    </font>
    <font>
      <name val="Calibri"/>
      <family val="2"/>
      <i val="1"/>
      <color rgb="FF888888"/>
      <sz val="9"/>
    </font>
    <font>
      <name val="Calibri"/>
      <family val="2"/>
      <b val="1"/>
      <color rgb="FFFFFFFF"/>
      <sz val="11"/>
    </font>
    <font>
      <name val="Calibri"/>
      <family val="2"/>
      <sz val="10"/>
    </font>
    <font>
      <name val="Calibri"/>
      <family val="2"/>
      <b val="1"/>
      <sz val="10"/>
    </font>
    <font>
      <name val="Calibri"/>
      <family val="2"/>
      <b val="1"/>
      <color rgb="FFFFFFFF"/>
      <sz val="10"/>
    </font>
    <font>
      <name val="Calibri"/>
      <family val="2"/>
      <b val="1"/>
      <color rgb="FFFFFFFF"/>
      <sz val="12"/>
    </font>
    <font>
      <name val="Calibri"/>
      <family val="2"/>
      <i val="1"/>
      <sz val="10"/>
    </font>
    <font>
      <name val="Calibri"/>
      <family val="2"/>
      <b val="1"/>
      <color rgb="FF1F4E79"/>
      <sz val="10"/>
    </font>
    <font>
      <name val="Calibri"/>
      <family val="2"/>
      <sz val="9"/>
    </font>
    <font>
      <name val="Calibri"/>
      <family val="2"/>
      <i val="1"/>
      <color rgb="FF888888"/>
      <sz val="8"/>
    </font>
    <font>
      <name val="Calibri"/>
      <family val="2"/>
      <b val="1"/>
      <color rgb="FFFFFFFF"/>
      <sz val="11"/>
    </font>
    <font>
      <name val="Calibri"/>
      <family val="2"/>
      <b val="1"/>
      <sz val="9"/>
    </font>
    <font>
      <name val="Calibri"/>
      <family val="2"/>
      <b val="1"/>
      <color rgb="FF1F4E79"/>
      <sz val="14"/>
    </font>
    <font>
      <name val="Calibri"/>
      <family val="2"/>
      <b val="1"/>
      <color rgb="FF9C0006"/>
      <sz val="10"/>
    </font>
    <font>
      <name val="Calibri"/>
      <family val="2"/>
      <b val="1"/>
      <color rgb="FF7F6000"/>
      <sz val="10"/>
    </font>
    <font>
      <name val="Calibri"/>
      <family val="2"/>
      <color rgb="FF2E75B6"/>
      <sz val="10"/>
      <u val="single"/>
    </font>
    <font>
      <name val="Calibri"/>
      <family val="2"/>
      <b val="1"/>
      <color rgb="FF006100"/>
      <sz val="10"/>
    </font>
    <font>
      <name val="Calibri"/>
      <family val="2"/>
      <b val="1"/>
      <color rgb="FF1F4E79"/>
      <sz val="12"/>
    </font>
    <font>
      <name val="Calibri"/>
      <family val="2"/>
      <b val="1"/>
      <color rgb="FF1F4E79"/>
      <sz val="13"/>
    </font>
    <font>
      <name val="Calibri"/>
      <family val="2"/>
      <b val="1"/>
      <color rgb="FF1F4E79"/>
      <sz val="30"/>
    </font>
    <font>
      <name val="Calibri"/>
      <family val="2"/>
      <sz val="11"/>
    </font>
    <font>
      <name val="Calibri"/>
      <family val="2"/>
      <i val="1"/>
      <sz val="9"/>
    </font>
    <font>
      <name val="Calibri"/>
      <family val="2"/>
      <b val="1"/>
      <color rgb="FF000000"/>
      <sz val="10"/>
    </font>
    <font>
      <name val="Calibri"/>
      <family val="2"/>
      <b val="1"/>
      <color rgb="FFFFFFFF"/>
      <sz val="22"/>
    </font>
    <font>
      <name val="Calibri"/>
      <family val="2"/>
      <b val="1"/>
      <color rgb="FF1F4E79"/>
      <sz val="16"/>
    </font>
    <font>
      <name val="Calibri"/>
      <family val="2"/>
      <b val="1"/>
      <color rgb="FF808080"/>
      <sz val="8"/>
    </font>
    <font>
      <name val="Calibri"/>
      <family val="2"/>
      <b val="1"/>
      <color rgb="FF70AD47"/>
      <sz val="16"/>
    </font>
    <font>
      <name val="Calibri"/>
      <family val="2"/>
      <b val="1"/>
      <color rgb="FF2E75B6"/>
      <sz val="10"/>
      <u val="single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rgb="FFFFFFFF"/>
      <sz val="16"/>
      <scheme val="minor"/>
    </font>
    <font>
      <name val="Calibri"/>
      <i val="1"/>
      <color rgb="FFD9E1F2"/>
      <sz val="9"/>
      <scheme val="minor"/>
    </font>
    <font>
      <name val="Calibri"/>
      <family val="2"/>
      <color rgb="FFFFFFFF"/>
      <sz val="9"/>
      <u val="single"/>
      <scheme val="minor"/>
    </font>
    <font>
      <name val="Calibri"/>
      <b val="1"/>
      <color theme="1"/>
      <sz val="10"/>
      <scheme val="minor"/>
    </font>
    <font>
      <name val="Calibri"/>
      <b val="1"/>
      <color rgb="FF1F3864"/>
      <sz val="10"/>
      <scheme val="minor"/>
    </font>
    <font>
      <name val="Calibri"/>
      <b val="1"/>
      <color rgb="FF1F3864"/>
      <sz val="11"/>
      <scheme val="minor"/>
    </font>
    <font>
      <name val="Calibri"/>
      <color rgb="FF008000"/>
      <sz val="10"/>
      <scheme val="minor"/>
    </font>
    <font>
      <name val="Calibri"/>
      <i val="1"/>
      <color rgb="FF595959"/>
      <sz val="10"/>
      <scheme val="minor"/>
    </font>
    <font>
      <name val="Calibri"/>
      <b val="1"/>
      <color rgb="FF008000"/>
      <sz val="10"/>
      <scheme val="minor"/>
    </font>
    <font>
      <name val="Calibri"/>
      <color rgb="FF595959"/>
      <sz val="10"/>
      <scheme val="minor"/>
    </font>
    <font>
      <name val="Calibri"/>
      <color rgb="FF0000FF"/>
      <sz val="10"/>
      <scheme val="minor"/>
    </font>
    <font>
      <name val="Calibri"/>
      <b val="1"/>
      <color rgb="FF0000FF"/>
      <sz val="10"/>
      <scheme val="minor"/>
    </font>
    <font>
      <name val="Calibri"/>
      <i val="1"/>
      <color theme="1"/>
      <sz val="9"/>
      <scheme val="minor"/>
    </font>
    <font>
      <name val="Calibri"/>
      <i val="1"/>
      <color rgb="FF595959"/>
      <sz val="9"/>
      <scheme val="minor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Calibri"/>
      <color theme="1"/>
      <sz val="9"/>
      <scheme val="minor"/>
    </font>
    <font>
      <name val="Calibri"/>
      <b val="1"/>
      <color theme="1"/>
      <sz val="12"/>
      <scheme val="minor"/>
    </font>
    <font>
      <name val="Calibri"/>
      <b val="1"/>
      <color rgb="FF7F7F7F"/>
      <sz val="10"/>
      <scheme val="minor"/>
    </font>
    <font>
      <name val="Calibri"/>
      <color rgb="FF7F7F7F"/>
      <sz val="10"/>
      <scheme val="minor"/>
    </font>
    <font>
      <name val="Calibri"/>
      <color rgb="FF595959"/>
      <sz val="9"/>
      <scheme val="minor"/>
    </font>
    <font>
      <name val="Calibri"/>
      <b val="1"/>
      <color rgb="FF595959"/>
      <sz val="9"/>
      <scheme val="minor"/>
    </font>
    <font>
      <name val="Calibri"/>
      <b val="1"/>
      <color theme="1"/>
      <sz val="9"/>
      <scheme val="minor"/>
    </font>
    <font>
      <name val="Calibri"/>
      <b val="1"/>
      <color rgb="FF1F3864"/>
      <sz val="9"/>
      <scheme val="minor"/>
    </font>
    <font>
      <name val="Calibri"/>
      <b val="1"/>
      <color rgb="FFC00000"/>
      <sz val="10"/>
      <scheme val="minor"/>
    </font>
    <font>
      <name val="Calibri"/>
      <family val="2"/>
      <b val="1"/>
      <color rgb="FFFFFFFF"/>
      <sz val="16"/>
      <scheme val="minor"/>
    </font>
    <font>
      <name val="Calibri"/>
      <family val="2"/>
      <i val="1"/>
      <color rgb="FFD9E1F2"/>
      <sz val="9"/>
      <scheme val="minor"/>
    </font>
    <font>
      <name val="Calibri"/>
      <family val="2"/>
      <b val="1"/>
      <color rgb="FF1F3864"/>
      <sz val="11"/>
      <scheme val="minor"/>
    </font>
    <font>
      <name val="Calibri"/>
      <family val="2"/>
      <color rgb="FF7F7F7F"/>
      <sz val="8"/>
      <scheme val="minor"/>
    </font>
    <font>
      <name val="Calibri"/>
      <family val="2"/>
      <color theme="1"/>
      <sz val="10"/>
      <scheme val="minor"/>
    </font>
    <font>
      <name val="Calibri"/>
      <family val="2"/>
      <i val="1"/>
      <color rgb="FF7F7F7F"/>
      <sz val="8"/>
      <scheme val="minor"/>
    </font>
    <font>
      <name val="Calibri"/>
      <family val="2"/>
      <b val="1"/>
      <color rgb="FF006100"/>
      <sz val="11"/>
      <scheme val="minor"/>
    </font>
    <font>
      <name val="Calibri"/>
      <family val="2"/>
      <b val="1"/>
      <color rgb="FFC00000"/>
      <sz val="11"/>
      <scheme val="minor"/>
    </font>
    <font>
      <name val="Calibri"/>
      <family val="2"/>
      <color theme="1"/>
      <sz val="9"/>
      <scheme val="minor"/>
    </font>
    <font>
      <name val="Calibri"/>
      <family val="2"/>
      <color rgb="FF2E75B6"/>
      <sz val="11"/>
      <u val="single"/>
      <scheme val="minor"/>
    </font>
    <font>
      <name val="Calibri"/>
      <family val="2"/>
      <color rgb="FF595959"/>
      <sz val="9"/>
      <scheme val="minor"/>
    </font>
    <font>
      <name val="Calibri"/>
      <family val="2"/>
      <b val="1"/>
      <color theme="1"/>
      <sz val="12"/>
      <scheme val="minor"/>
    </font>
    <font>
      <name val="Calibri"/>
      <i val="1"/>
      <color rgb="FF7F7F7F"/>
      <sz val="8"/>
      <scheme val="minor"/>
    </font>
    <font>
      <name val="Calibri"/>
      <family val="2"/>
      <color rgb="FF2E75B6"/>
      <sz val="9"/>
      <u val="single"/>
      <scheme val="minor"/>
    </font>
    <font>
      <name val="Calibri"/>
      <family val="2"/>
      <i val="1"/>
      <color theme="1"/>
      <sz val="9"/>
      <scheme val="minor"/>
    </font>
    <font>
      <name val="Calibri"/>
      <family val="2"/>
      <b val="1"/>
      <color rgb="FF1F3864"/>
      <sz val="9"/>
      <scheme val="minor"/>
    </font>
  </fonts>
  <fills count="2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FFFFFF"/>
      </patternFill>
    </fill>
    <fill>
      <patternFill patternType="solid">
        <fgColor rgb="FF70AD47"/>
      </patternFill>
    </fill>
    <fill>
      <patternFill patternType="solid">
        <fgColor rgb="FFF2F2F2"/>
      </patternFill>
    </fill>
    <fill>
      <patternFill patternType="solid">
        <fgColor rgb="FFFF0000"/>
      </patternFill>
    </fill>
    <fill>
      <patternFill patternType="solid">
        <fgColor rgb="FFF0F5FB"/>
      </patternFill>
    </fill>
    <fill>
      <patternFill patternType="solid">
        <fgColor rgb="FFBF8F00"/>
      </patternFill>
    </fill>
    <fill>
      <patternFill patternType="solid">
        <fgColor rgb="FF2E75B6"/>
      </patternFill>
    </fill>
    <fill>
      <patternFill patternType="solid">
        <fgColor rgb="FF548235"/>
      </patternFill>
    </fill>
    <fill>
      <patternFill patternType="solid">
        <fgColor rgb="FFFFF8E1"/>
      </patternFill>
    </fill>
    <fill>
      <patternFill patternType="solid">
        <fgColor rgb="FF16A34A"/>
      </patternFill>
    </fill>
    <fill>
      <patternFill patternType="solid">
        <fgColor rgb="FFFFC7CE"/>
      </patternFill>
    </fill>
    <fill>
      <patternFill patternType="solid">
        <fgColor rgb="FFFFF2CC"/>
      </patternFill>
    </fill>
    <fill>
      <patternFill patternType="solid">
        <fgColor rgb="FFC6EFCE"/>
      </patternFill>
    </fill>
    <fill>
      <patternFill patternType="solid">
        <fgColor rgb="FFD6E4F0"/>
      </patternFill>
    </fill>
    <fill>
      <patternFill patternType="solid">
        <fgColor rgb="FF1F3864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EDF3F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AF1FB"/>
        <bgColor indexed="64"/>
      </patternFill>
    </fill>
    <fill>
      <patternFill patternType="solid">
        <fgColor rgb="FFF2F2F2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rgb="FF2E75B6"/>
      </bottom>
      <diagonal/>
    </border>
    <border>
      <left/>
      <right/>
      <top style="thin">
        <color rgb="FF2E75B6"/>
      </top>
      <bottom style="thin">
        <color rgb="FF1F3864"/>
      </bottom>
      <diagonal/>
    </border>
    <border>
      <left/>
      <right/>
      <top style="thin">
        <color rgb="FF1F3864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2E75B6"/>
      </top>
      <bottom/>
      <diagonal/>
    </border>
    <border>
      <left style="thick">
        <color rgb="FF2E75B6"/>
      </left>
      <right/>
      <top style="thin">
        <color rgb="FF2E75B6"/>
      </top>
      <bottom/>
      <diagonal/>
    </border>
    <border>
      <left style="thick">
        <color rgb="FF2E75B6"/>
      </left>
      <right/>
      <top/>
      <bottom/>
      <diagonal/>
    </border>
    <border>
      <left/>
      <right/>
      <top/>
      <bottom style="thin">
        <color rgb="FF1F3864"/>
      </bottom>
      <diagonal/>
    </border>
    <border>
      <left/>
      <right/>
      <top style="thin">
        <color rgb="FF1F3864"/>
      </top>
      <bottom style="thin">
        <color rgb="FF2E75B6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30" fillId="0" borderId="0"/>
  </cellStyleXfs>
  <cellXfs count="379">
    <xf numFmtId="0" fontId="0" fillId="0" borderId="0" pivotButton="0" quotePrefix="0" xfId="0"/>
    <xf numFmtId="0" fontId="26" fillId="7" borderId="1" applyAlignment="1" pivotButton="0" quotePrefix="0" xfId="0">
      <alignment horizontal="center" vertical="center"/>
    </xf>
    <xf numFmtId="0" fontId="28" fillId="7" borderId="1" applyAlignment="1" pivotButton="0" quotePrefix="0" xfId="0">
      <alignment horizontal="center" vertical="center"/>
    </xf>
    <xf numFmtId="0" fontId="27" fillId="7" borderId="1" applyAlignment="1" pivotButton="0" quotePrefix="0" xfId="0">
      <alignment horizontal="center" vertical="center"/>
    </xf>
    <xf numFmtId="0" fontId="19" fillId="0" borderId="0" pivotButton="0" quotePrefix="0" xfId="0"/>
    <xf numFmtId="0" fontId="17" fillId="0" borderId="0" pivotButton="0" quotePrefix="0" xfId="0"/>
    <xf numFmtId="0" fontId="29" fillId="0" borderId="0" pivotButton="0" quotePrefix="0" xfId="0"/>
    <xf numFmtId="0" fontId="11" fillId="0" borderId="0" pivotButton="0" quotePrefix="0" xfId="0"/>
    <xf numFmtId="0" fontId="12" fillId="9" borderId="0" pivotButton="0" quotePrefix="0" xfId="0"/>
    <xf numFmtId="0" fontId="4" fillId="3" borderId="1" pivotButton="0" quotePrefix="0" xfId="0"/>
    <xf numFmtId="164" fontId="5" fillId="3" borderId="1" applyAlignment="1" pivotButton="0" quotePrefix="0" xfId="0">
      <alignment horizontal="right"/>
    </xf>
    <xf numFmtId="0" fontId="13" fillId="0" borderId="0" pivotButton="0" quotePrefix="0" xfId="0"/>
    <xf numFmtId="0" fontId="4" fillId="5" borderId="1" pivotButton="0" quotePrefix="0" xfId="0"/>
    <xf numFmtId="10" fontId="6" fillId="4" borderId="1" applyAlignment="1" pivotButton="0" quotePrefix="0" xfId="0">
      <alignment horizontal="right"/>
    </xf>
    <xf numFmtId="164" fontId="5" fillId="5" borderId="1" applyAlignment="1" pivotButton="0" quotePrefix="0" xfId="0">
      <alignment horizontal="right"/>
    </xf>
    <xf numFmtId="165" fontId="5" fillId="3" borderId="1" applyAlignment="1" pivotButton="0" quotePrefix="0" xfId="0">
      <alignment horizontal="right"/>
    </xf>
    <xf numFmtId="10" fontId="5" fillId="5" borderId="1" applyAlignment="1" pivotButton="0" quotePrefix="0" xfId="0">
      <alignment horizontal="right"/>
    </xf>
    <xf numFmtId="10" fontId="5" fillId="3" borderId="1" applyAlignment="1" pivotButton="0" quotePrefix="0" xfId="0">
      <alignment horizontal="right"/>
    </xf>
    <xf numFmtId="10" fontId="6" fillId="6" borderId="1" applyAlignment="1" pivotButton="0" quotePrefix="0" xfId="0">
      <alignment horizontal="right"/>
    </xf>
    <xf numFmtId="0" fontId="5" fillId="3" borderId="1" applyAlignment="1" pivotButton="0" quotePrefix="0" xfId="0">
      <alignment horizontal="right"/>
    </xf>
    <xf numFmtId="0" fontId="6" fillId="6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5" fillId="0" borderId="1" pivotButton="0" quotePrefix="0" xfId="0"/>
    <xf numFmtId="0" fontId="7" fillId="8" borderId="1" applyAlignment="1" pivotButton="0" quotePrefix="0" xfId="0">
      <alignment horizontal="right"/>
    </xf>
    <xf numFmtId="0" fontId="4" fillId="0" borderId="1" pivotButton="0" quotePrefix="0" xfId="0"/>
    <xf numFmtId="0" fontId="6" fillId="9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/>
    </xf>
    <xf numFmtId="0" fontId="6" fillId="6" borderId="1" applyAlignment="1" pivotButton="0" quotePrefix="0" xfId="0">
      <alignment horizontal="center"/>
    </xf>
    <xf numFmtId="0" fontId="6" fillId="4" borderId="1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8" borderId="1" applyAlignment="1" pivotButton="0" quotePrefix="0" xfId="0">
      <alignment horizontal="center"/>
    </xf>
    <xf numFmtId="0" fontId="9" fillId="0" borderId="0" pivotButton="0" quotePrefix="0" xfId="0"/>
    <xf numFmtId="0" fontId="5" fillId="5" borderId="1" applyAlignment="1" pivotButton="0" quotePrefix="0" xfId="0">
      <alignment horizontal="right"/>
    </xf>
    <xf numFmtId="0" fontId="6" fillId="12" borderId="1" applyAlignment="1" pivotButton="0" quotePrefix="0" xfId="0">
      <alignment horizontal="right"/>
    </xf>
    <xf numFmtId="166" fontId="5" fillId="3" borderId="1" applyAlignment="1" pivotButton="0" quotePrefix="0" xfId="0">
      <alignment horizontal="right"/>
    </xf>
    <xf numFmtId="167" fontId="6" fillId="6" borderId="1" applyAlignment="1" pivotButton="0" quotePrefix="0" xfId="0">
      <alignment horizontal="right"/>
    </xf>
    <xf numFmtId="2" fontId="5" fillId="3" borderId="1" applyAlignment="1" pivotButton="0" quotePrefix="0" xfId="0">
      <alignment horizontal="right"/>
    </xf>
    <xf numFmtId="1" fontId="5" fillId="5" borderId="1" applyAlignment="1" pivotButton="0" quotePrefix="0" xfId="0">
      <alignment horizontal="right"/>
    </xf>
    <xf numFmtId="1" fontId="5" fillId="3" borderId="1" applyAlignment="1" pivotButton="0" quotePrefix="0" xfId="0">
      <alignment horizontal="right"/>
    </xf>
    <xf numFmtId="2" fontId="5" fillId="5" borderId="1" applyAlignment="1" pivotButton="0" quotePrefix="0" xfId="0">
      <alignment horizontal="right"/>
    </xf>
    <xf numFmtId="166" fontId="5" fillId="5" borderId="1" applyAlignment="1" pivotButton="0" quotePrefix="0" xfId="0">
      <alignment horizontal="right"/>
    </xf>
    <xf numFmtId="0" fontId="14" fillId="0" borderId="0" pivotButton="0" quotePrefix="0" xfId="0"/>
    <xf numFmtId="0" fontId="3" fillId="2" borderId="0" pivotButton="0" quotePrefix="0" xfId="0"/>
    <xf numFmtId="168" fontId="5" fillId="0" borderId="1" applyAlignment="1" pivotButton="0" quotePrefix="0" xfId="0">
      <alignment horizontal="right"/>
    </xf>
    <xf numFmtId="167" fontId="5" fillId="0" borderId="1" applyAlignment="1" pivotButton="0" quotePrefix="0" xfId="0">
      <alignment horizontal="right"/>
    </xf>
    <xf numFmtId="0" fontId="4" fillId="0" borderId="1" applyAlignment="1" pivotButton="0" quotePrefix="0" xfId="0">
      <alignment horizontal="left"/>
    </xf>
    <xf numFmtId="166" fontId="4" fillId="0" borderId="1" applyAlignment="1" pivotButton="0" quotePrefix="0" xfId="0">
      <alignment horizontal="right"/>
    </xf>
    <xf numFmtId="168" fontId="4" fillId="0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5" fillId="16" borderId="1" applyAlignment="1" pivotButton="0" quotePrefix="0" xfId="0">
      <alignment horizontal="left"/>
    </xf>
    <xf numFmtId="166" fontId="5" fillId="16" borderId="1" applyAlignment="1" pivotButton="0" quotePrefix="0" xfId="0">
      <alignment horizontal="right"/>
    </xf>
    <xf numFmtId="168" fontId="5" fillId="16" borderId="1" applyAlignment="1" pivotButton="0" quotePrefix="0" xfId="0">
      <alignment horizontal="right"/>
    </xf>
    <xf numFmtId="167" fontId="5" fillId="16" borderId="1" applyAlignment="1" pivotButton="0" quotePrefix="0" xfId="0">
      <alignment horizontal="right"/>
    </xf>
    <xf numFmtId="0" fontId="5" fillId="7" borderId="1" applyAlignment="1" pivotButton="0" quotePrefix="0" xfId="0">
      <alignment horizontal="left"/>
    </xf>
    <xf numFmtId="166" fontId="5" fillId="7" borderId="1" applyAlignment="1" pivotButton="0" quotePrefix="0" xfId="0">
      <alignment horizontal="right"/>
    </xf>
    <xf numFmtId="168" fontId="5" fillId="7" borderId="1" applyAlignment="1" pivotButton="0" quotePrefix="0" xfId="0">
      <alignment horizontal="right"/>
    </xf>
    <xf numFmtId="167" fontId="5" fillId="7" borderId="1" applyAlignment="1" pivotButton="0" quotePrefix="0" xfId="0">
      <alignment horizontal="right"/>
    </xf>
    <xf numFmtId="10" fontId="5" fillId="14" borderId="1" applyAlignment="1" pivotButton="0" quotePrefix="0" xfId="0">
      <alignment horizontal="right"/>
    </xf>
    <xf numFmtId="1" fontId="5" fillId="14" borderId="1" applyAlignment="1" pivotButton="0" quotePrefix="0" xfId="0">
      <alignment horizontal="right"/>
    </xf>
    <xf numFmtId="169" fontId="5" fillId="14" borderId="1" applyAlignment="1" pivotButton="0" quotePrefix="0" xfId="0">
      <alignment horizontal="right"/>
    </xf>
    <xf numFmtId="166" fontId="5" fillId="14" borderId="1" applyAlignment="1" pivotButton="0" quotePrefix="0" xfId="0">
      <alignment horizontal="right"/>
    </xf>
    <xf numFmtId="170" fontId="5" fillId="14" borderId="1" applyAlignment="1" pivotButton="0" quotePrefix="0" xfId="0">
      <alignment horizontal="right"/>
    </xf>
    <xf numFmtId="168" fontId="5" fillId="14" borderId="1" applyAlignment="1" pivotButton="0" quotePrefix="0" xfId="0">
      <alignment horizontal="right"/>
    </xf>
    <xf numFmtId="1" fontId="4" fillId="0" borderId="1" applyAlignment="1" pivotButton="0" quotePrefix="0" xfId="0">
      <alignment horizontal="right"/>
    </xf>
    <xf numFmtId="169" fontId="4" fillId="0" borderId="1" applyAlignment="1" pivotButton="0" quotePrefix="0" xfId="0">
      <alignment horizontal="right"/>
    </xf>
    <xf numFmtId="171" fontId="4" fillId="0" borderId="1" applyAlignment="1" pivotButton="0" quotePrefix="0" xfId="0">
      <alignment horizontal="right"/>
    </xf>
    <xf numFmtId="1" fontId="4" fillId="5" borderId="1" applyAlignment="1" pivotButton="0" quotePrefix="0" xfId="0">
      <alignment horizontal="right"/>
    </xf>
    <xf numFmtId="166" fontId="4" fillId="5" borderId="1" applyAlignment="1" pivotButton="0" quotePrefix="0" xfId="0">
      <alignment horizontal="right"/>
    </xf>
    <xf numFmtId="169" fontId="4" fillId="5" borderId="1" applyAlignment="1" pivotButton="0" quotePrefix="0" xfId="0">
      <alignment horizontal="right"/>
    </xf>
    <xf numFmtId="171" fontId="4" fillId="5" borderId="1" applyAlignment="1" pivotButton="0" quotePrefix="0" xfId="0">
      <alignment horizontal="right"/>
    </xf>
    <xf numFmtId="0" fontId="2" fillId="0" borderId="0" pivotButton="0" quotePrefix="0" xfId="0"/>
    <xf numFmtId="169" fontId="5" fillId="16" borderId="1" applyAlignment="1" pivotButton="0" quotePrefix="0" xfId="0">
      <alignment horizontal="right"/>
    </xf>
    <xf numFmtId="0" fontId="13" fillId="0" borderId="1" pivotButton="0" quotePrefix="0" xfId="0"/>
    <xf numFmtId="172" fontId="24" fillId="5" borderId="1" applyAlignment="1" pivotButton="0" quotePrefix="0" xfId="0">
      <alignment horizontal="right"/>
    </xf>
    <xf numFmtId="172" fontId="24" fillId="0" borderId="1" applyAlignment="1" pivotButton="0" quotePrefix="0" xfId="0">
      <alignment horizontal="right"/>
    </xf>
    <xf numFmtId="166" fontId="24" fillId="5" borderId="1" applyAlignment="1" pivotButton="0" quotePrefix="0" xfId="0">
      <alignment horizontal="right"/>
    </xf>
    <xf numFmtId="166" fontId="24" fillId="0" borderId="1" applyAlignment="1" pivotButton="0" quotePrefix="0" xfId="0">
      <alignment horizontal="right"/>
    </xf>
    <xf numFmtId="0" fontId="24" fillId="0" borderId="1" applyAlignment="1" pivotButton="0" quotePrefix="0" xfId="0">
      <alignment horizontal="right"/>
    </xf>
    <xf numFmtId="173" fontId="24" fillId="0" borderId="1" applyAlignment="1" pivotButton="0" quotePrefix="0" xfId="0">
      <alignment horizontal="right"/>
    </xf>
    <xf numFmtId="2" fontId="24" fillId="5" borderId="1" applyAlignment="1" pivotButton="0" quotePrefix="0" xfId="0">
      <alignment horizontal="right"/>
    </xf>
    <xf numFmtId="2" fontId="24" fillId="0" borderId="1" applyAlignment="1" pivotButton="0" quotePrefix="0" xfId="0">
      <alignment horizontal="right"/>
    </xf>
    <xf numFmtId="0" fontId="24" fillId="5" borderId="1" applyAlignment="1" pivotButton="0" quotePrefix="0" xfId="0">
      <alignment horizontal="right"/>
    </xf>
    <xf numFmtId="0" fontId="6" fillId="9" borderId="1" pivotButton="0" quotePrefix="0" xfId="0"/>
    <xf numFmtId="174" fontId="4" fillId="0" borderId="1" pivotButton="0" quotePrefix="0" xfId="0"/>
    <xf numFmtId="1" fontId="4" fillId="3" borderId="1" pivotButton="0" quotePrefix="0" xfId="0"/>
    <xf numFmtId="10" fontId="6" fillId="4" borderId="1" pivotButton="0" quotePrefix="0" xfId="0"/>
    <xf numFmtId="10" fontId="4" fillId="3" borderId="1" pivotButton="0" quotePrefix="0" xfId="0"/>
    <xf numFmtId="1" fontId="4" fillId="5" borderId="1" pivotButton="0" quotePrefix="0" xfId="0"/>
    <xf numFmtId="10" fontId="15" fillId="13" borderId="1" pivotButton="0" quotePrefix="0" xfId="0"/>
    <xf numFmtId="10" fontId="4" fillId="5" borderId="1" pivotButton="0" quotePrefix="0" xfId="0"/>
    <xf numFmtId="0" fontId="6" fillId="2" borderId="1" applyAlignment="1" pivotButton="0" quotePrefix="0" xfId="0">
      <alignment horizontal="center" vertical="center" wrapText="1"/>
    </xf>
    <xf numFmtId="175" fontId="0" fillId="0" borderId="0" pivotButton="0" quotePrefix="0" xfId="0"/>
    <xf numFmtId="168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  <xf numFmtId="4" fontId="0" fillId="0" borderId="0" pivotButton="0" quotePrefix="0" xfId="0"/>
    <xf numFmtId="175" fontId="4" fillId="5" borderId="1" pivotButton="0" quotePrefix="0" xfId="0"/>
    <xf numFmtId="0" fontId="16" fillId="14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17" fillId="5" borderId="1" pivotButton="0" quotePrefix="0" xfId="0"/>
    <xf numFmtId="175" fontId="4" fillId="0" borderId="1" pivotButton="0" quotePrefix="0" xfId="0"/>
    <xf numFmtId="0" fontId="4" fillId="0" borderId="1" applyAlignment="1" pivotButton="0" quotePrefix="0" xfId="0">
      <alignment horizontal="center"/>
    </xf>
    <xf numFmtId="0" fontId="17" fillId="0" borderId="1" pivotButton="0" quotePrefix="0" xfId="0"/>
    <xf numFmtId="0" fontId="18" fillId="15" borderId="1" applyAlignment="1" pivotButton="0" quotePrefix="0" xfId="0">
      <alignment horizontal="center"/>
    </xf>
    <xf numFmtId="0" fontId="15" fillId="13" borderId="1" applyAlignment="1" pivotButton="0" quotePrefix="0" xfId="0">
      <alignment horizontal="center"/>
    </xf>
    <xf numFmtId="0" fontId="5" fillId="16" borderId="1" pivotButton="0" quotePrefix="0" xfId="0"/>
    <xf numFmtId="0" fontId="20" fillId="0" borderId="0" pivotButton="0" quotePrefix="0" xfId="0"/>
    <xf numFmtId="0" fontId="4" fillId="0" borderId="0" pivotButton="0" quotePrefix="0" xfId="0"/>
    <xf numFmtId="164" fontId="5" fillId="0" borderId="0" applyAlignment="1" pivotButton="0" quotePrefix="0" xfId="0">
      <alignment horizontal="right"/>
    </xf>
    <xf numFmtId="3" fontId="5" fillId="0" borderId="0" applyAlignment="1" pivotButton="0" quotePrefix="0" xfId="0">
      <alignment horizontal="right"/>
    </xf>
    <xf numFmtId="166" fontId="5" fillId="0" borderId="0" applyAlignment="1" pivotButton="0" quotePrefix="0" xfId="0">
      <alignment horizontal="right"/>
    </xf>
    <xf numFmtId="0" fontId="5" fillId="0" borderId="0" applyAlignment="1" pivotButton="0" quotePrefix="0" xfId="0">
      <alignment horizontal="right"/>
    </xf>
    <xf numFmtId="2" fontId="5" fillId="0" borderId="0" applyAlignment="1" pivotButton="0" quotePrefix="0" xfId="0">
      <alignment horizontal="right"/>
    </xf>
    <xf numFmtId="164" fontId="0" fillId="0" borderId="0" pivotButton="0" quotePrefix="0" xfId="0"/>
    <xf numFmtId="0" fontId="5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25" fillId="2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0" fillId="2" borderId="0" pivotButton="0" quotePrefix="0" xfId="0"/>
    <xf numFmtId="0" fontId="2" fillId="0" borderId="0" applyAlignment="1" pivotButton="0" quotePrefix="0" xfId="0">
      <alignment horizontal="left" indent="1"/>
    </xf>
    <xf numFmtId="0" fontId="3" fillId="2" borderId="0" applyAlignment="1" pivotButton="0" quotePrefix="0" xfId="0">
      <alignment horizontal="left" vertical="center"/>
    </xf>
    <xf numFmtId="0" fontId="10" fillId="0" borderId="0" applyAlignment="1" pivotButton="0" quotePrefix="0" xfId="0">
      <alignment vertical="center" wrapText="1"/>
    </xf>
    <xf numFmtId="0" fontId="4" fillId="7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8" fillId="11" borderId="1" applyAlignment="1" pivotButton="0" quotePrefix="0" xfId="0">
      <alignment vertical="top" wrapText="1"/>
    </xf>
    <xf numFmtId="0" fontId="5" fillId="0" borderId="1" applyAlignment="1" pivotButton="0" quotePrefix="0" xfId="0">
      <alignment horizontal="left"/>
    </xf>
    <xf numFmtId="0" fontId="1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vertical="top" wrapText="1"/>
    </xf>
    <xf numFmtId="0" fontId="6" fillId="8" borderId="1" applyAlignment="1" pivotButton="0" quotePrefix="0" xfId="0">
      <alignment horizontal="right"/>
    </xf>
    <xf numFmtId="0" fontId="2" fillId="0" borderId="0" applyAlignment="1" pivotButton="0" quotePrefix="0" xfId="0">
      <alignment horizontal="center"/>
    </xf>
    <xf numFmtId="0" fontId="11" fillId="0" borderId="0" pivotButton="0" quotePrefix="0" xfId="0"/>
    <xf numFmtId="0" fontId="2" fillId="0" borderId="0" applyAlignment="1" pivotButton="0" quotePrefix="0" xfId="0">
      <alignment vertical="center"/>
    </xf>
    <xf numFmtId="0" fontId="8" fillId="7" borderId="1" applyAlignment="1" pivotButton="0" quotePrefix="0" xfId="0">
      <alignment vertical="top" wrapText="1"/>
    </xf>
    <xf numFmtId="166" fontId="21" fillId="7" borderId="1" applyAlignment="1" pivotButton="0" quotePrefix="0" xfId="0">
      <alignment horizontal="center" vertical="center"/>
    </xf>
    <xf numFmtId="0" fontId="14" fillId="0" borderId="0" pivotButton="0" quotePrefix="0" xfId="0"/>
    <xf numFmtId="0" fontId="6" fillId="6" borderId="1" applyAlignment="1" pivotButton="0" quotePrefix="0" xfId="0">
      <alignment horizontal="right"/>
    </xf>
    <xf numFmtId="0" fontId="0" fillId="0" borderId="2" pivotButton="0" quotePrefix="0" xfId="0"/>
    <xf numFmtId="0" fontId="3" fillId="2" borderId="0" pivotButton="0" quotePrefix="0" xfId="0"/>
    <xf numFmtId="0" fontId="22" fillId="7" borderId="1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23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center" vertical="center"/>
    </xf>
    <xf numFmtId="2" fontId="0" fillId="0" borderId="0" pivotButton="0" quotePrefix="0" xfId="0"/>
    <xf numFmtId="166" fontId="0" fillId="0" borderId="0" pivotButton="0" quotePrefix="0" xfId="0"/>
    <xf numFmtId="0" fontId="32" fillId="0" borderId="0" pivotButton="0" quotePrefix="0" xfId="0"/>
    <xf numFmtId="0" fontId="33" fillId="17" borderId="0" applyAlignment="1" pivotButton="0" quotePrefix="0" xfId="0">
      <alignment vertical="center"/>
    </xf>
    <xf numFmtId="0" fontId="34" fillId="17" borderId="0" pivotButton="0" quotePrefix="0" xfId="0"/>
    <xf numFmtId="0" fontId="35" fillId="17" borderId="0" pivotButton="0" quotePrefix="0" xfId="1"/>
    <xf numFmtId="0" fontId="38" fillId="18" borderId="3" pivotButton="0" quotePrefix="0" xfId="0"/>
    <xf numFmtId="0" fontId="36" fillId="0" borderId="0" pivotButton="0" quotePrefix="0" xfId="0"/>
    <xf numFmtId="0" fontId="37" fillId="0" borderId="0" pivotButton="0" quotePrefix="0" xfId="0"/>
    <xf numFmtId="0" fontId="37" fillId="0" borderId="4" applyAlignment="1" pivotButton="0" quotePrefix="0" xfId="0">
      <alignment horizontal="right"/>
    </xf>
    <xf numFmtId="0" fontId="37" fillId="0" borderId="4" applyAlignment="1" pivotButton="0" quotePrefix="0" xfId="0">
      <alignment horizontal="left"/>
    </xf>
    <xf numFmtId="176" fontId="39" fillId="0" borderId="0" pivotButton="0" quotePrefix="0" xfId="0"/>
    <xf numFmtId="176" fontId="32" fillId="0" borderId="0" pivotButton="0" quotePrefix="0" xfId="0"/>
    <xf numFmtId="177" fontId="32" fillId="0" borderId="0" pivotButton="0" quotePrefix="0" xfId="0"/>
    <xf numFmtId="0" fontId="40" fillId="0" borderId="0" pivotButton="0" quotePrefix="0" xfId="0"/>
    <xf numFmtId="177" fontId="40" fillId="0" borderId="0" pivotButton="0" quotePrefix="0" xfId="0"/>
    <xf numFmtId="176" fontId="41" fillId="0" borderId="0" pivotButton="0" quotePrefix="0" xfId="0"/>
    <xf numFmtId="177" fontId="36" fillId="0" borderId="0" pivotButton="0" quotePrefix="0" xfId="0"/>
    <xf numFmtId="172" fontId="40" fillId="0" borderId="0" pivotButton="0" quotePrefix="0" xfId="0"/>
    <xf numFmtId="0" fontId="42" fillId="0" borderId="0" pivotButton="0" quotePrefix="0" xfId="0"/>
    <xf numFmtId="15" fontId="42" fillId="0" borderId="0" applyAlignment="1" pivotButton="0" quotePrefix="0" xfId="0">
      <alignment horizontal="right"/>
    </xf>
    <xf numFmtId="176" fontId="43" fillId="0" borderId="0" pivotButton="0" quotePrefix="0" xfId="0"/>
    <xf numFmtId="177" fontId="43" fillId="0" borderId="0" pivotButton="0" quotePrefix="0" xfId="0"/>
    <xf numFmtId="178" fontId="32" fillId="0" borderId="0" pivotButton="0" quotePrefix="0" xfId="0"/>
    <xf numFmtId="176" fontId="44" fillId="0" borderId="0" pivotButton="0" quotePrefix="0" xfId="0"/>
    <xf numFmtId="176" fontId="36" fillId="0" borderId="0" pivotButton="0" quotePrefix="0" xfId="0"/>
    <xf numFmtId="178" fontId="44" fillId="0" borderId="0" pivotButton="0" quotePrefix="0" xfId="0"/>
    <xf numFmtId="178" fontId="36" fillId="0" borderId="0" pivotButton="0" quotePrefix="0" xfId="0"/>
    <xf numFmtId="176" fontId="36" fillId="19" borderId="0" pivotButton="0" quotePrefix="0" xfId="0"/>
    <xf numFmtId="177" fontId="32" fillId="19" borderId="0" pivotButton="0" quotePrefix="0" xfId="0"/>
    <xf numFmtId="178" fontId="36" fillId="19" borderId="0" pivotButton="0" quotePrefix="0" xfId="0"/>
    <xf numFmtId="0" fontId="45" fillId="0" borderId="0" pivotButton="0" quotePrefix="0" xfId="0"/>
    <xf numFmtId="0" fontId="46" fillId="0" borderId="0" pivotButton="0" quotePrefix="0" xfId="0"/>
    <xf numFmtId="176" fontId="32" fillId="0" borderId="0" applyAlignment="1" pivotButton="0" quotePrefix="0" xfId="0">
      <alignment horizontal="right"/>
    </xf>
    <xf numFmtId="176" fontId="43" fillId="0" borderId="0" applyAlignment="1" pivotButton="0" quotePrefix="0" xfId="0">
      <alignment horizontal="right"/>
    </xf>
    <xf numFmtId="179" fontId="43" fillId="0" borderId="0" pivotButton="0" quotePrefix="0" xfId="0"/>
    <xf numFmtId="176" fontId="36" fillId="0" borderId="0" applyAlignment="1" pivotButton="0" quotePrefix="0" xfId="0">
      <alignment horizontal="right"/>
    </xf>
    <xf numFmtId="0" fontId="36" fillId="0" borderId="5" pivotButton="0" quotePrefix="0" xfId="0"/>
    <xf numFmtId="176" fontId="36" fillId="0" borderId="5" pivotButton="0" quotePrefix="0" xfId="0"/>
    <xf numFmtId="176" fontId="36" fillId="0" borderId="5" applyAlignment="1" pivotButton="0" quotePrefix="0" xfId="0">
      <alignment horizontal="right"/>
    </xf>
    <xf numFmtId="0" fontId="49" fillId="0" borderId="0" pivotButton="0" quotePrefix="0" xfId="0"/>
    <xf numFmtId="0" fontId="37" fillId="0" borderId="4" applyAlignment="1" pivotButton="0" quotePrefix="0" xfId="0">
      <alignment horizontal="right" wrapText="1"/>
    </xf>
    <xf numFmtId="177" fontId="43" fillId="20" borderId="0" pivotButton="0" quotePrefix="0" xfId="0"/>
    <xf numFmtId="0" fontId="43" fillId="20" borderId="0" applyAlignment="1" pivotButton="0" quotePrefix="0" xfId="0">
      <alignment horizontal="right"/>
    </xf>
    <xf numFmtId="0" fontId="32" fillId="0" borderId="0" applyAlignment="1" pivotButton="0" quotePrefix="0" xfId="0">
      <alignment horizontal="right"/>
    </xf>
    <xf numFmtId="174" fontId="32" fillId="0" borderId="0" pivotButton="0" quotePrefix="0" xfId="0"/>
    <xf numFmtId="171" fontId="32" fillId="0" borderId="0" pivotButton="0" quotePrefix="0" xfId="0"/>
    <xf numFmtId="0" fontId="50" fillId="21" borderId="0" pivotButton="0" quotePrefix="0" xfId="0"/>
    <xf numFmtId="0" fontId="51" fillId="0" borderId="0" pivotButton="0" quotePrefix="0" xfId="0"/>
    <xf numFmtId="166" fontId="52" fillId="0" borderId="0" pivotButton="0" quotePrefix="0" xfId="0"/>
    <xf numFmtId="178" fontId="52" fillId="0" borderId="0" pivotButton="0" quotePrefix="0" xfId="0"/>
    <xf numFmtId="0" fontId="36" fillId="21" borderId="0" pivotButton="0" quotePrefix="0" xfId="0"/>
    <xf numFmtId="0" fontId="32" fillId="0" borderId="0" pivotButton="0" quotePrefix="0" xfId="0"/>
    <xf numFmtId="0" fontId="46" fillId="0" borderId="0" applyAlignment="1" pivotButton="0" quotePrefix="0" xfId="0">
      <alignment vertical="top" wrapText="1"/>
    </xf>
    <xf numFmtId="0" fontId="53" fillId="0" borderId="0" pivotButton="0" quotePrefix="0" xfId="0"/>
    <xf numFmtId="0" fontId="54" fillId="18" borderId="3" pivotButton="0" quotePrefix="0" xfId="0"/>
    <xf numFmtId="0" fontId="54" fillId="0" borderId="4" applyAlignment="1" pivotButton="0" quotePrefix="0" xfId="0">
      <alignment horizontal="right"/>
    </xf>
    <xf numFmtId="177" fontId="53" fillId="0" borderId="0" pivotButton="0" quotePrefix="0" xfId="0"/>
    <xf numFmtId="178" fontId="39" fillId="0" borderId="0" applyAlignment="1" pivotButton="0" quotePrefix="0" xfId="0">
      <alignment horizontal="right"/>
    </xf>
    <xf numFmtId="179" fontId="39" fillId="0" borderId="0" applyAlignment="1" pivotButton="0" quotePrefix="0" xfId="0">
      <alignment horizontal="right"/>
    </xf>
    <xf numFmtId="177" fontId="43" fillId="20" borderId="0" applyAlignment="1" pivotButton="0" quotePrefix="0" xfId="0">
      <alignment horizontal="right"/>
    </xf>
    <xf numFmtId="177" fontId="39" fillId="20" borderId="0" applyAlignment="1" pivotButton="0" quotePrefix="0" xfId="0">
      <alignment horizontal="right"/>
    </xf>
    <xf numFmtId="10" fontId="43" fillId="20" borderId="0" applyAlignment="1" pivotButton="0" quotePrefix="0" xfId="0">
      <alignment horizontal="right"/>
    </xf>
    <xf numFmtId="0" fontId="38" fillId="18" borderId="3" applyAlignment="1" pivotButton="0" quotePrefix="0" xfId="0">
      <alignment horizontal="right"/>
    </xf>
    <xf numFmtId="1" fontId="32" fillId="0" borderId="0" applyAlignment="1" pivotButton="0" quotePrefix="0" xfId="0">
      <alignment horizontal="right"/>
    </xf>
    <xf numFmtId="177" fontId="32" fillId="0" borderId="0" applyAlignment="1" pivotButton="0" quotePrefix="0" xfId="0">
      <alignment horizontal="right"/>
    </xf>
    <xf numFmtId="178" fontId="50" fillId="21" borderId="0" applyAlignment="1" pivotButton="0" quotePrefix="0" xfId="0">
      <alignment horizontal="right"/>
    </xf>
    <xf numFmtId="178" fontId="32" fillId="0" borderId="0" applyAlignment="1" pivotButton="0" quotePrefix="0" xfId="0">
      <alignment horizontal="right"/>
    </xf>
    <xf numFmtId="177" fontId="36" fillId="0" borderId="0" applyAlignment="1" pivotButton="0" quotePrefix="0" xfId="0">
      <alignment horizontal="right"/>
    </xf>
    <xf numFmtId="180" fontId="32" fillId="0" borderId="0" applyAlignment="1" pivotButton="0" quotePrefix="0" xfId="0">
      <alignment horizontal="right"/>
    </xf>
    <xf numFmtId="177" fontId="36" fillId="21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77" fontId="39" fillId="0" borderId="0" pivotButton="0" quotePrefix="0" xfId="0"/>
    <xf numFmtId="178" fontId="36" fillId="21" borderId="0" pivotButton="0" quotePrefix="0" xfId="0"/>
    <xf numFmtId="0" fontId="49" fillId="0" borderId="0" applyAlignment="1" pivotButton="0" quotePrefix="0" xfId="0">
      <alignment vertical="top" wrapText="1"/>
    </xf>
    <xf numFmtId="0" fontId="55" fillId="0" borderId="0" applyAlignment="1" pivotButton="0" quotePrefix="0" xfId="0">
      <alignment vertical="top"/>
    </xf>
    <xf numFmtId="177" fontId="36" fillId="18" borderId="0" pivotButton="0" quotePrefix="0" xfId="0"/>
    <xf numFmtId="178" fontId="32" fillId="0" borderId="6" applyAlignment="1" pivotButton="0" quotePrefix="0" xfId="0">
      <alignment horizontal="center"/>
    </xf>
    <xf numFmtId="178" fontId="32" fillId="0" borderId="8" applyAlignment="1" pivotButton="0" quotePrefix="0" xfId="0">
      <alignment horizontal="center"/>
    </xf>
    <xf numFmtId="178" fontId="32" fillId="0" borderId="7" applyAlignment="1" pivotButton="0" quotePrefix="0" xfId="0">
      <alignment horizontal="center"/>
    </xf>
    <xf numFmtId="178" fontId="32" fillId="0" borderId="9" applyAlignment="1" pivotButton="0" quotePrefix="0" xfId="0">
      <alignment horizontal="center"/>
    </xf>
    <xf numFmtId="178" fontId="32" fillId="0" borderId="10" applyAlignment="1" pivotButton="0" quotePrefix="0" xfId="0">
      <alignment horizontal="center"/>
    </xf>
    <xf numFmtId="178" fontId="36" fillId="22" borderId="11" applyAlignment="1" pivotButton="0" quotePrefix="0" xfId="0">
      <alignment horizontal="center"/>
    </xf>
    <xf numFmtId="181" fontId="32" fillId="0" borderId="0" applyAlignment="1" pivotButton="0" quotePrefix="0" xfId="0">
      <alignment horizontal="right"/>
    </xf>
    <xf numFmtId="181" fontId="36" fillId="0" borderId="0" applyAlignment="1" pivotButton="0" quotePrefix="0" xfId="0">
      <alignment horizontal="right"/>
    </xf>
    <xf numFmtId="177" fontId="39" fillId="0" borderId="0" applyAlignment="1" pivotButton="0" quotePrefix="0" xfId="0">
      <alignment horizontal="right"/>
    </xf>
    <xf numFmtId="177" fontId="43" fillId="0" borderId="0" applyAlignment="1" pivotButton="0" quotePrefix="0" xfId="0">
      <alignment horizontal="right"/>
    </xf>
    <xf numFmtId="172" fontId="32" fillId="0" borderId="0" applyAlignment="1" pivotButton="0" quotePrefix="0" xfId="0">
      <alignment horizontal="right"/>
    </xf>
    <xf numFmtId="0" fontId="32" fillId="0" borderId="12" pivotButton="0" quotePrefix="0" xfId="0"/>
    <xf numFmtId="0" fontId="49" fillId="0" borderId="12" applyAlignment="1" pivotButton="0" quotePrefix="0" xfId="0">
      <alignment vertical="top" wrapText="1"/>
    </xf>
    <xf numFmtId="176" fontId="39" fillId="0" borderId="0" applyAlignment="1" pivotButton="0" quotePrefix="0" xfId="0">
      <alignment horizontal="right"/>
    </xf>
    <xf numFmtId="178" fontId="43" fillId="0" borderId="0" applyAlignment="1" pivotButton="0" quotePrefix="0" xfId="0">
      <alignment horizontal="right"/>
    </xf>
    <xf numFmtId="10" fontId="32" fillId="0" borderId="0" applyAlignment="1" pivotButton="0" quotePrefix="0" xfId="0">
      <alignment horizontal="right"/>
    </xf>
    <xf numFmtId="1" fontId="32" fillId="0" borderId="0" applyAlignment="1" pivotButton="0" quotePrefix="0" xfId="0">
      <alignment horizontal="left"/>
    </xf>
    <xf numFmtId="182" fontId="32" fillId="0" borderId="0" pivotButton="0" quotePrefix="0" xfId="0"/>
    <xf numFmtId="0" fontId="36" fillId="0" borderId="0" applyAlignment="1" pivotButton="0" quotePrefix="0" xfId="0">
      <alignment horizontal="right"/>
    </xf>
    <xf numFmtId="183" fontId="32" fillId="0" borderId="0" applyAlignment="1" pivotButton="0" quotePrefix="0" xfId="0">
      <alignment horizontal="right"/>
    </xf>
    <xf numFmtId="2" fontId="32" fillId="0" borderId="0" applyAlignment="1" pivotButton="0" quotePrefix="0" xfId="0">
      <alignment horizontal="right"/>
    </xf>
    <xf numFmtId="3" fontId="32" fillId="0" borderId="0" applyAlignment="1" pivotButton="0" quotePrefix="0" xfId="0">
      <alignment horizontal="right"/>
    </xf>
    <xf numFmtId="0" fontId="57" fillId="0" borderId="0" applyAlignment="1" pivotButton="0" quotePrefix="0" xfId="0">
      <alignment horizontal="right"/>
    </xf>
    <xf numFmtId="174" fontId="32" fillId="0" borderId="0" applyAlignment="1" pivotButton="0" quotePrefix="0" xfId="0">
      <alignment horizontal="right"/>
    </xf>
    <xf numFmtId="3" fontId="39" fillId="0" borderId="0" applyAlignment="1" pivotButton="0" quotePrefix="0" xfId="0">
      <alignment horizontal="right"/>
    </xf>
    <xf numFmtId="0" fontId="58" fillId="17" borderId="0" applyAlignment="1" pivotButton="0" quotePrefix="0" xfId="0">
      <alignment vertical="center"/>
    </xf>
    <xf numFmtId="0" fontId="59" fillId="17" borderId="0" pivotButton="0" quotePrefix="0" xfId="0"/>
    <xf numFmtId="0" fontId="60" fillId="18" borderId="3" pivotButton="0" quotePrefix="0" xfId="0"/>
    <xf numFmtId="0" fontId="31" fillId="0" borderId="0" pivotButton="0" quotePrefix="0" xfId="0"/>
    <xf numFmtId="0" fontId="60" fillId="0" borderId="4" applyAlignment="1" pivotButton="0" quotePrefix="0" xfId="0">
      <alignment horizontal="right"/>
    </xf>
    <xf numFmtId="0" fontId="60" fillId="0" borderId="4" applyAlignment="1" pivotButton="0" quotePrefix="0" xfId="0">
      <alignment horizontal="left"/>
    </xf>
    <xf numFmtId="0" fontId="0" fillId="0" borderId="12" pivotButton="0" quotePrefix="0" xfId="0"/>
    <xf numFmtId="0" fontId="0" fillId="0" borderId="0" pivotButton="0" quotePrefix="0" xfId="0"/>
    <xf numFmtId="0" fontId="60" fillId="18" borderId="0" pivotButton="0" quotePrefix="0" xfId="0"/>
    <xf numFmtId="0" fontId="62" fillId="23" borderId="13" applyAlignment="1" pivotButton="0" quotePrefix="0" xfId="0">
      <alignment vertical="top" wrapText="1"/>
    </xf>
    <xf numFmtId="0" fontId="0" fillId="0" borderId="14" pivotButton="0" quotePrefix="0" xfId="0"/>
    <xf numFmtId="0" fontId="63" fillId="0" borderId="0" pivotButton="0" quotePrefix="0" xfId="0"/>
    <xf numFmtId="0" fontId="31" fillId="0" borderId="12" pivotButton="0" quotePrefix="0" xfId="0"/>
    <xf numFmtId="0" fontId="64" fillId="0" borderId="12" pivotButton="0" quotePrefix="0" xfId="0"/>
    <xf numFmtId="0" fontId="65" fillId="0" borderId="12" pivotButton="0" quotePrefix="0" xfId="0"/>
    <xf numFmtId="0" fontId="66" fillId="0" borderId="0" applyAlignment="1" pivotButton="0" quotePrefix="0" xfId="0">
      <alignment vertical="top" wrapText="1"/>
    </xf>
    <xf numFmtId="0" fontId="31" fillId="0" borderId="0" pivotButton="0" quotePrefix="0" xfId="0"/>
    <xf numFmtId="0" fontId="60" fillId="0" borderId="0" pivotButton="0" quotePrefix="0" xfId="0"/>
    <xf numFmtId="0" fontId="67" fillId="0" borderId="0" pivotButton="0" quotePrefix="0" xfId="1"/>
    <xf numFmtId="0" fontId="68" fillId="0" borderId="0" pivotButton="0" quotePrefix="0" xfId="0"/>
    <xf numFmtId="178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76" fontId="0" fillId="0" borderId="0" applyAlignment="1" pivotButton="0" quotePrefix="0" xfId="0">
      <alignment horizontal="right"/>
    </xf>
    <xf numFmtId="177" fontId="0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right"/>
    </xf>
    <xf numFmtId="0" fontId="60" fillId="18" borderId="3" applyAlignment="1" pivotButton="0" quotePrefix="0" xfId="0">
      <alignment horizontal="right"/>
    </xf>
    <xf numFmtId="181" fontId="0" fillId="0" borderId="0" applyAlignment="1" pivotButton="0" quotePrefix="0" xfId="0">
      <alignment horizontal="right"/>
    </xf>
    <xf numFmtId="0" fontId="61" fillId="0" borderId="0" applyAlignment="1" pivotButton="0" quotePrefix="0" xfId="0">
      <alignment horizontal="right"/>
    </xf>
    <xf numFmtId="0" fontId="31" fillId="0" borderId="0" applyAlignment="1" pivotButton="0" quotePrefix="0" xfId="0">
      <alignment horizontal="right"/>
    </xf>
    <xf numFmtId="178" fontId="31" fillId="0" borderId="0" applyAlignment="1" pivotButton="0" quotePrefix="0" xfId="0">
      <alignment horizontal="right"/>
    </xf>
    <xf numFmtId="177" fontId="31" fillId="0" borderId="0" applyAlignment="1" pivotButton="0" quotePrefix="0" xfId="0">
      <alignment horizontal="right"/>
    </xf>
    <xf numFmtId="178" fontId="69" fillId="0" borderId="0" applyAlignment="1" pivotButton="0" quotePrefix="0" xfId="0">
      <alignment horizontal="right"/>
    </xf>
    <xf numFmtId="0" fontId="31" fillId="24" borderId="0" pivotButton="0" quotePrefix="0" xfId="0"/>
    <xf numFmtId="178" fontId="31" fillId="24" borderId="0" applyAlignment="1" pivotButton="0" quotePrefix="0" xfId="0">
      <alignment horizontal="right"/>
    </xf>
    <xf numFmtId="0" fontId="0" fillId="24" borderId="0" applyAlignment="1" pivotButton="0" quotePrefix="0" xfId="0">
      <alignment horizontal="right"/>
    </xf>
    <xf numFmtId="177" fontId="31" fillId="24" borderId="0" applyAlignment="1" pivotButton="0" quotePrefix="0" xfId="0">
      <alignment horizontal="right"/>
    </xf>
    <xf numFmtId="0" fontId="70" fillId="0" borderId="0" pivotButton="0" quotePrefix="0" xfId="0"/>
    <xf numFmtId="0" fontId="56" fillId="18" borderId="3" applyAlignment="1" pivotButton="0" quotePrefix="0" xfId="0">
      <alignment vertical="top" wrapText="1"/>
    </xf>
    <xf numFmtId="0" fontId="56" fillId="0" borderId="4" applyAlignment="1" pivotButton="0" quotePrefix="0" xfId="0">
      <alignment horizontal="left" vertical="top" wrapText="1"/>
    </xf>
    <xf numFmtId="0" fontId="56" fillId="0" borderId="4" applyAlignment="1" pivotButton="0" quotePrefix="0" xfId="0">
      <alignment horizontal="right" vertical="top" wrapText="1"/>
    </xf>
    <xf numFmtId="183" fontId="49" fillId="0" borderId="0" applyAlignment="1" pivotButton="0" quotePrefix="0" xfId="0">
      <alignment vertical="top" wrapText="1"/>
    </xf>
    <xf numFmtId="0" fontId="37" fillId="0" borderId="15" applyAlignment="1" pivotButton="0" quotePrefix="0" xfId="0">
      <alignment horizontal="right"/>
    </xf>
    <xf numFmtId="0" fontId="37" fillId="0" borderId="15" applyAlignment="1" pivotButton="0" quotePrefix="0" xfId="0">
      <alignment horizontal="left"/>
    </xf>
    <xf numFmtId="0" fontId="56" fillId="18" borderId="16" applyAlignment="1" pivotButton="0" quotePrefix="0" xfId="0">
      <alignment vertical="top" wrapText="1"/>
    </xf>
    <xf numFmtId="0" fontId="55" fillId="0" borderId="0" applyAlignment="1" pivotButton="0" quotePrefix="0" xfId="0">
      <alignment vertical="top" wrapText="1"/>
    </xf>
    <xf numFmtId="0" fontId="71" fillId="0" borderId="0" applyAlignment="1" pivotButton="0" quotePrefix="0" xfId="1">
      <alignment vertical="top" wrapText="1"/>
    </xf>
    <xf numFmtId="184" fontId="49" fillId="0" borderId="0" applyAlignment="1" pivotButton="0" quotePrefix="0" xfId="0">
      <alignment vertical="top" wrapText="1"/>
    </xf>
    <xf numFmtId="10" fontId="49" fillId="0" borderId="0" applyAlignment="1" pivotButton="0" quotePrefix="0" xfId="0">
      <alignment vertical="top" wrapText="1"/>
    </xf>
    <xf numFmtId="49" fontId="72" fillId="0" borderId="0" pivotButton="0" quotePrefix="0" xfId="0"/>
    <xf numFmtId="0" fontId="73" fillId="18" borderId="3" applyAlignment="1" pivotButton="0" quotePrefix="0" xfId="0">
      <alignment vertical="top"/>
    </xf>
    <xf numFmtId="0" fontId="66" fillId="0" borderId="0" applyAlignment="1" pivotButton="0" quotePrefix="0" xfId="0">
      <alignment vertical="top"/>
    </xf>
    <xf numFmtId="0" fontId="66" fillId="0" borderId="12" applyAlignment="1" pivotButton="0" quotePrefix="0" xfId="0">
      <alignment vertical="top" wrapText="1"/>
    </xf>
    <xf numFmtId="0" fontId="73" fillId="0" borderId="4" applyAlignment="1" pivotButton="0" quotePrefix="0" xfId="0">
      <alignment horizontal="left" vertical="top"/>
    </xf>
    <xf numFmtId="0" fontId="73" fillId="0" borderId="4" applyAlignment="1" pivotButton="0" quotePrefix="0" xfId="0">
      <alignment horizontal="right" vertical="top"/>
    </xf>
    <xf numFmtId="0" fontId="66" fillId="0" borderId="5" applyAlignment="1" pivotButton="0" quotePrefix="0" xfId="0">
      <alignment vertical="top"/>
    </xf>
    <xf numFmtId="0" fontId="66" fillId="0" borderId="0" applyAlignment="1" pivotButton="0" quotePrefix="0" xfId="0">
      <alignment vertical="top"/>
    </xf>
    <xf numFmtId="0" fontId="66" fillId="0" borderId="0" applyAlignment="1" pivotButton="0" quotePrefix="0" xfId="0">
      <alignment vertical="top" wrapText="1"/>
    </xf>
    <xf numFmtId="49" fontId="66" fillId="0" borderId="0" applyAlignment="1" pivotButton="0" quotePrefix="0" xfId="0">
      <alignment vertical="top"/>
    </xf>
    <xf numFmtId="0" fontId="73" fillId="18" borderId="3" applyAlignment="1" pivotButton="0" quotePrefix="0" xfId="0">
      <alignment horizontal="left" vertical="top"/>
    </xf>
    <xf numFmtId="49" fontId="66" fillId="0" borderId="0" applyAlignment="1" pivotButton="0" quotePrefix="0" xfId="0">
      <alignment horizontal="left" vertical="top" wrapText="1"/>
    </xf>
    <xf numFmtId="178" fontId="69" fillId="0" borderId="0" applyAlignment="1" pivotButton="0" quotePrefix="0" xfId="0">
      <alignment horizontal="right"/>
    </xf>
    <xf numFmtId="176" fontId="0" fillId="0" borderId="0" applyAlignment="1" pivotButton="0" quotePrefix="0" xfId="0">
      <alignment horizontal="right"/>
    </xf>
    <xf numFmtId="178" fontId="31" fillId="0" borderId="0" applyAlignment="1" pivotButton="0" quotePrefix="0" xfId="0">
      <alignment horizontal="right"/>
    </xf>
    <xf numFmtId="177" fontId="0" fillId="0" borderId="0" applyAlignment="1" pivotButton="0" quotePrefix="0" xfId="0">
      <alignment horizontal="right"/>
    </xf>
    <xf numFmtId="178" fontId="0" fillId="0" borderId="0" applyAlignment="1" pivotButton="0" quotePrefix="0" xfId="0">
      <alignment horizontal="right"/>
    </xf>
    <xf numFmtId="178" fontId="31" fillId="24" borderId="0" applyAlignment="1" pivotButton="0" quotePrefix="0" xfId="0">
      <alignment horizontal="right"/>
    </xf>
    <xf numFmtId="177" fontId="31" fillId="24" borderId="0" applyAlignment="1" pivotButton="0" quotePrefix="0" xfId="0">
      <alignment horizontal="right"/>
    </xf>
    <xf numFmtId="177" fontId="31" fillId="0" borderId="0" applyAlignment="1" pivotButton="0" quotePrefix="0" xfId="0">
      <alignment horizontal="right"/>
    </xf>
    <xf numFmtId="181" fontId="0" fillId="0" borderId="0" applyAlignment="1" pivotButton="0" quotePrefix="0" xfId="0">
      <alignment horizontal="right"/>
    </xf>
    <xf numFmtId="176" fontId="41" fillId="0" borderId="0" pivotButton="0" quotePrefix="0" xfId="0"/>
    <xf numFmtId="177" fontId="36" fillId="0" borderId="0" pivotButton="0" quotePrefix="0" xfId="0"/>
    <xf numFmtId="177" fontId="40" fillId="0" borderId="0" pivotButton="0" quotePrefix="0" xfId="0"/>
    <xf numFmtId="172" fontId="40" fillId="0" borderId="0" pivotButton="0" quotePrefix="0" xfId="0"/>
    <xf numFmtId="176" fontId="44" fillId="0" borderId="0" pivotButton="0" quotePrefix="0" xfId="0"/>
    <xf numFmtId="176" fontId="36" fillId="19" borderId="0" pivotButton="0" quotePrefix="0" xfId="0"/>
    <xf numFmtId="177" fontId="43" fillId="0" borderId="0" pivotButton="0" quotePrefix="0" xfId="0"/>
    <xf numFmtId="177" fontId="32" fillId="19" borderId="0" pivotButton="0" quotePrefix="0" xfId="0"/>
    <xf numFmtId="178" fontId="44" fillId="0" borderId="0" pivotButton="0" quotePrefix="0" xfId="0"/>
    <xf numFmtId="178" fontId="36" fillId="19" borderId="0" pivotButton="0" quotePrefix="0" xfId="0"/>
    <xf numFmtId="176" fontId="43" fillId="0" borderId="0" pivotButton="0" quotePrefix="0" xfId="0"/>
    <xf numFmtId="176" fontId="32" fillId="0" borderId="0" applyAlignment="1" pivotButton="0" quotePrefix="0" xfId="0">
      <alignment horizontal="right"/>
    </xf>
    <xf numFmtId="176" fontId="36" fillId="0" borderId="0" pivotButton="0" quotePrefix="0" xfId="0"/>
    <xf numFmtId="176" fontId="36" fillId="0" borderId="0" applyAlignment="1" pivotButton="0" quotePrefix="0" xfId="0">
      <alignment horizontal="right"/>
    </xf>
    <xf numFmtId="176" fontId="43" fillId="0" borderId="0" applyAlignment="1" pivotButton="0" quotePrefix="0" xfId="0">
      <alignment horizontal="right"/>
    </xf>
    <xf numFmtId="176" fontId="36" fillId="0" borderId="5" pivotButton="0" quotePrefix="0" xfId="0"/>
    <xf numFmtId="176" fontId="36" fillId="0" borderId="5" applyAlignment="1" pivotButton="0" quotePrefix="0" xfId="0">
      <alignment horizontal="right"/>
    </xf>
    <xf numFmtId="176" fontId="32" fillId="0" borderId="0" pivotButton="0" quotePrefix="0" xfId="0"/>
    <xf numFmtId="176" fontId="39" fillId="0" borderId="0" pivotButton="0" quotePrefix="0" xfId="0"/>
    <xf numFmtId="179" fontId="43" fillId="0" borderId="0" pivotButton="0" quotePrefix="0" xfId="0"/>
    <xf numFmtId="178" fontId="39" fillId="0" borderId="0" applyAlignment="1" pivotButton="0" quotePrefix="0" xfId="0">
      <alignment horizontal="right"/>
    </xf>
    <xf numFmtId="179" fontId="39" fillId="0" borderId="0" applyAlignment="1" pivotButton="0" quotePrefix="0" xfId="0">
      <alignment horizontal="right"/>
    </xf>
    <xf numFmtId="177" fontId="43" fillId="20" borderId="0" applyAlignment="1" pivotButton="0" quotePrefix="0" xfId="0">
      <alignment horizontal="right"/>
    </xf>
    <xf numFmtId="177" fontId="39" fillId="20" borderId="0" applyAlignment="1" pivotButton="0" quotePrefix="0" xfId="0">
      <alignment horizontal="right"/>
    </xf>
    <xf numFmtId="177" fontId="32" fillId="0" borderId="0" applyAlignment="1" pivotButton="0" quotePrefix="0" xfId="0">
      <alignment horizontal="right"/>
    </xf>
    <xf numFmtId="177" fontId="53" fillId="0" borderId="0" pivotButton="0" quotePrefix="0" xfId="0"/>
    <xf numFmtId="174" fontId="32" fillId="0" borderId="0" pivotButton="0" quotePrefix="0" xfId="0"/>
    <xf numFmtId="171" fontId="32" fillId="0" borderId="0" pivotButton="0" quotePrefix="0" xfId="0"/>
    <xf numFmtId="178" fontId="52" fillId="0" borderId="0" pivotButton="0" quotePrefix="0" xfId="0"/>
    <xf numFmtId="178" fontId="50" fillId="21" borderId="0" applyAlignment="1" pivotButton="0" quotePrefix="0" xfId="0">
      <alignment horizontal="right"/>
    </xf>
    <xf numFmtId="178" fontId="32" fillId="0" borderId="0" applyAlignment="1" pivotButton="0" quotePrefix="0" xfId="0">
      <alignment horizontal="right"/>
    </xf>
    <xf numFmtId="177" fontId="36" fillId="0" borderId="0" applyAlignment="1" pivotButton="0" quotePrefix="0" xfId="0">
      <alignment horizontal="right"/>
    </xf>
    <xf numFmtId="180" fontId="32" fillId="0" borderId="0" applyAlignment="1" pivotButton="0" quotePrefix="0" xfId="0">
      <alignment horizontal="right"/>
    </xf>
    <xf numFmtId="177" fontId="36" fillId="21" borderId="0" applyAlignment="1" pivotButton="0" quotePrefix="0" xfId="0">
      <alignment horizontal="right"/>
    </xf>
    <xf numFmtId="177" fontId="43" fillId="20" borderId="0" pivotButton="0" quotePrefix="0" xfId="0"/>
    <xf numFmtId="177" fontId="39" fillId="0" borderId="0" pivotButton="0" quotePrefix="0" xfId="0"/>
    <xf numFmtId="178" fontId="36" fillId="0" borderId="0" pivotButton="0" quotePrefix="0" xfId="0"/>
    <xf numFmtId="177" fontId="32" fillId="0" borderId="0" pivotButton="0" quotePrefix="0" xfId="0"/>
    <xf numFmtId="178" fontId="36" fillId="21" borderId="0" pivotButton="0" quotePrefix="0" xfId="0"/>
    <xf numFmtId="177" fontId="36" fillId="18" borderId="0" pivotButton="0" quotePrefix="0" xfId="0"/>
    <xf numFmtId="178" fontId="32" fillId="0" borderId="7" applyAlignment="1" pivotButton="0" quotePrefix="0" xfId="0">
      <alignment horizontal="center"/>
    </xf>
    <xf numFmtId="178" fontId="32" fillId="0" borderId="9" applyAlignment="1" pivotButton="0" quotePrefix="0" xfId="0">
      <alignment horizontal="center"/>
    </xf>
    <xf numFmtId="178" fontId="32" fillId="0" borderId="6" applyAlignment="1" pivotButton="0" quotePrefix="0" xfId="0">
      <alignment horizontal="center"/>
    </xf>
    <xf numFmtId="178" fontId="36" fillId="22" borderId="11" applyAlignment="1" pivotButton="0" quotePrefix="0" xfId="0">
      <alignment horizontal="center"/>
    </xf>
    <xf numFmtId="178" fontId="32" fillId="0" borderId="8" applyAlignment="1" pivotButton="0" quotePrefix="0" xfId="0">
      <alignment horizontal="center"/>
    </xf>
    <xf numFmtId="178" fontId="32" fillId="0" borderId="10" applyAlignment="1" pivotButton="0" quotePrefix="0" xfId="0">
      <alignment horizontal="center"/>
    </xf>
    <xf numFmtId="178" fontId="32" fillId="0" borderId="0" pivotButton="0" quotePrefix="0" xfId="0"/>
    <xf numFmtId="176" fontId="39" fillId="0" borderId="0" applyAlignment="1" pivotButton="0" quotePrefix="0" xfId="0">
      <alignment horizontal="right"/>
    </xf>
    <xf numFmtId="178" fontId="43" fillId="0" borderId="0" applyAlignment="1" pivotButton="0" quotePrefix="0" xfId="0">
      <alignment horizontal="right"/>
    </xf>
    <xf numFmtId="181" fontId="36" fillId="0" borderId="0" applyAlignment="1" pivotButton="0" quotePrefix="0" xfId="0">
      <alignment horizontal="right"/>
    </xf>
    <xf numFmtId="181" fontId="32" fillId="0" borderId="0" applyAlignment="1" pivotButton="0" quotePrefix="0" xfId="0">
      <alignment horizontal="right"/>
    </xf>
    <xf numFmtId="177" fontId="39" fillId="0" borderId="0" applyAlignment="1" pivotButton="0" quotePrefix="0" xfId="0">
      <alignment horizontal="right"/>
    </xf>
    <xf numFmtId="177" fontId="43" fillId="0" borderId="0" applyAlignment="1" pivotButton="0" quotePrefix="0" xfId="0">
      <alignment horizontal="right"/>
    </xf>
    <xf numFmtId="172" fontId="32" fillId="0" borderId="0" applyAlignment="1" pivotButton="0" quotePrefix="0" xfId="0">
      <alignment horizontal="right"/>
    </xf>
    <xf numFmtId="182" fontId="32" fillId="0" borderId="0" pivotButton="0" quotePrefix="0" xfId="0"/>
    <xf numFmtId="174" fontId="32" fillId="0" borderId="0" applyAlignment="1" pivotButton="0" quotePrefix="0" xfId="0">
      <alignment horizontal="right"/>
    </xf>
    <xf numFmtId="184" fontId="49" fillId="0" borderId="0" applyAlignment="1" pivotButton="0" quotePrefix="0" xfId="0">
      <alignment vertical="top" wrapText="1"/>
    </xf>
    <xf numFmtId="172" fontId="24" fillId="5" borderId="1" applyAlignment="1" pivotButton="0" quotePrefix="0" xfId="0">
      <alignment horizontal="right"/>
    </xf>
    <xf numFmtId="172" fontId="24" fillId="0" borderId="1" applyAlignment="1" pivotButton="0" quotePrefix="0" xfId="0">
      <alignment horizontal="right"/>
    </xf>
    <xf numFmtId="173" fontId="24" fillId="0" borderId="1" applyAlignment="1" pivotButton="0" quotePrefix="0" xfId="0">
      <alignment horizontal="right"/>
    </xf>
    <xf numFmtId="174" fontId="4" fillId="0" borderId="1" pivotButton="0" quotePrefix="0" xfId="0"/>
    <xf numFmtId="175" fontId="0" fillId="0" borderId="0" pivotButton="0" quotePrefix="0" xfId="0"/>
    <xf numFmtId="168" fontId="0" fillId="0" borderId="0" pivotButton="0" quotePrefix="0" xfId="0"/>
    <xf numFmtId="175" fontId="4" fillId="5" borderId="1" pivotButton="0" quotePrefix="0" xfId="0"/>
    <xf numFmtId="175" fontId="4" fillId="0" borderId="1" pivotButton="0" quotePrefix="0" xfId="0"/>
  </cellXfs>
  <cellStyles count="2">
    <cellStyle name="Normal" xfId="0" builtinId="0"/>
    <cellStyle name="Hyperlink" xfId="1" builtinId="8"/>
  </cellStyles>
  <dxfs count="12">
    <dxf>
      <font>
        <color rgb="FF0000FF"/>
      </font>
      <fill>
        <patternFill patternType="solid">
          <fgColor indexed="64"/>
          <bgColor rgb="FFFFF2CC"/>
        </patternFill>
      </fill>
    </dxf>
    <dxf>
      <fill>
        <patternFill patternType="solid">
          <fgColor indexed="64"/>
          <bgColor rgb="FFFFF2CC"/>
        </patternFill>
      </fill>
    </dxf>
    <dxf>
      <font>
        <color rgb="FF0061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rgb="FF99FF99"/>
        </patternFill>
      </fill>
    </dxf>
    <dxf>
      <fill>
        <patternFill patternType="solid">
          <fgColor rgb="FFFF9999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 val="1"/>
        <color rgb="FF006100"/>
      </font>
      <fill>
        <patternFill patternType="solid">
          <b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A1:Z48"/>
  <sheetViews>
    <sheetView showGridLines="0" tabSelected="1" workbookViewId="0">
      <pane ySplit="2" topLeftCell="A3" activePane="bottomLeft" state="frozen"/>
      <selection pane="bottomLeft" activeCell="A1" sqref="A1"/>
    </sheetView>
  </sheetViews>
  <sheetFormatPr baseColWidth="8" defaultRowHeight="14.5"/>
  <cols>
    <col width="36.36328125" customWidth="1" style="195" min="1" max="1"/>
    <col width="14.54296875" customWidth="1" style="195" min="2" max="3"/>
    <col width="3.6328125" customWidth="1" style="195" min="4" max="4"/>
    <col width="30.90625" customWidth="1" style="195" min="5" max="5"/>
    <col width="14.54296875" customWidth="1" style="195" min="6" max="8"/>
    <col width="8.7265625" customWidth="1" style="195" min="9" max="26"/>
  </cols>
  <sheetData>
    <row r="1" ht="30" customHeight="1" s="252">
      <c r="A1" s="245" t="n"/>
      <c r="B1" s="245" t="n"/>
      <c r="C1" s="245" t="n"/>
      <c r="D1" s="245" t="n"/>
      <c r="E1" s="245" t="n"/>
      <c r="F1" s="245" t="n"/>
      <c r="G1" s="245" t="n"/>
      <c r="H1" s="245" t="n"/>
    </row>
    <row r="2">
      <c r="A2" s="246" t="n"/>
      <c r="B2" s="246" t="n"/>
      <c r="C2" s="246" t="n"/>
      <c r="D2" s="246" t="n"/>
      <c r="E2" s="246" t="n"/>
      <c r="F2" s="246" t="n"/>
      <c r="G2" s="246" t="n"/>
      <c r="H2" s="246" t="n"/>
    </row>
    <row r="3"/>
    <row r="4">
      <c r="A4" s="247" t="inlineStr">
        <is>
          <t>Market snapshot</t>
        </is>
      </c>
      <c r="B4" s="247" t="n"/>
      <c r="C4" s="247" t="n"/>
      <c r="E4" s="247" t="inlineStr">
        <is>
          <t>Intrinsic value (DCF)</t>
        </is>
      </c>
      <c r="F4" s="247" t="n"/>
      <c r="G4" s="247" t="n"/>
      <c r="H4" s="247" t="n"/>
    </row>
    <row r="5" ht="15.5" customHeight="1" s="252">
      <c r="A5" t="inlineStr">
        <is>
          <t>Share price</t>
        </is>
      </c>
      <c r="B5" s="305">
        <f>DCF!B5</f>
        <v/>
      </c>
      <c r="C5" s="266" t="n"/>
      <c r="E5" s="250" t="n"/>
      <c r="F5" s="249" t="inlineStr">
        <is>
          <t>Bear</t>
        </is>
      </c>
      <c r="G5" s="249" t="inlineStr">
        <is>
          <t>Base</t>
        </is>
      </c>
      <c r="H5" s="249" t="inlineStr">
        <is>
          <t>Bull</t>
        </is>
      </c>
    </row>
    <row r="6">
      <c r="A6" t="inlineStr">
        <is>
          <t>Market capitalisation ($B)</t>
        </is>
      </c>
      <c r="B6" s="306">
        <f>Multiples!B7</f>
        <v/>
      </c>
      <c r="C6" s="266" t="n"/>
      <c r="E6" s="261" t="inlineStr">
        <is>
          <t>Fair value / share</t>
        </is>
      </c>
      <c r="F6" s="307">
        <f>Scenarios!B10</f>
        <v/>
      </c>
      <c r="G6" s="307">
        <f>Scenarios!C10</f>
        <v/>
      </c>
      <c r="H6" s="307">
        <f>Scenarios!D10</f>
        <v/>
      </c>
    </row>
    <row r="7">
      <c r="A7" t="inlineStr">
        <is>
          <t>Enterprise value ($B)</t>
        </is>
      </c>
      <c r="B7" s="306">
        <f>Multiples!B9</f>
        <v/>
      </c>
      <c r="C7" s="266" t="n"/>
      <c r="E7" t="inlineStr">
        <is>
          <t>vs current price</t>
        </is>
      </c>
      <c r="F7" s="308">
        <f>Scenarios!B11</f>
        <v/>
      </c>
      <c r="G7" s="308">
        <f>Scenarios!C11</f>
        <v/>
      </c>
      <c r="H7" s="308">
        <f>Scenarios!D11</f>
        <v/>
      </c>
    </row>
    <row r="8">
      <c r="B8" s="309">
        <f>Risk!B30</f>
        <v/>
      </c>
      <c r="C8" s="266" t="n"/>
      <c r="E8" t="inlineStr">
        <is>
          <t>Scenario weight</t>
        </is>
      </c>
      <c r="F8" s="308">
        <f>Scenarios!B9</f>
        <v/>
      </c>
      <c r="G8" s="308">
        <f>Scenarios!C9</f>
        <v/>
      </c>
      <c r="H8" s="308">
        <f>Scenarios!D9</f>
        <v/>
      </c>
    </row>
    <row r="9">
      <c r="B9" s="309">
        <f>Risk!B29</f>
        <v/>
      </c>
      <c r="C9" s="266" t="n"/>
      <c r="E9" s="277" t="inlineStr">
        <is>
          <t>Probability-weighted value</t>
        </is>
      </c>
      <c r="F9" s="310">
        <f>Scenarios!B12</f>
        <v/>
      </c>
      <c r="G9" s="279" t="n"/>
      <c r="H9" s="279" t="n"/>
    </row>
    <row r="10">
      <c r="B10" s="308">
        <f>Risk!C40</f>
        <v/>
      </c>
      <c r="C10" s="266" t="n"/>
      <c r="E10" s="277" t="inlineStr">
        <is>
          <t>Upside / (downside)</t>
        </is>
      </c>
      <c r="F10" s="311">
        <f>Scenarios!B13</f>
        <v/>
      </c>
      <c r="G10" s="279" t="n"/>
      <c r="H10" s="279" t="n"/>
    </row>
    <row r="11">
      <c r="A11" t="inlineStr">
        <is>
          <t>Dividend yield</t>
        </is>
      </c>
      <c r="B11" s="269">
        <f>Multiples!B11</f>
        <v/>
      </c>
      <c r="C11" s="266" t="n"/>
      <c r="F11" s="266" t="n"/>
      <c r="G11" s="266" t="n"/>
      <c r="H11" s="266" t="n"/>
    </row>
    <row r="12">
      <c r="A12" t="inlineStr">
        <is>
          <t>Net cash ($B)</t>
        </is>
      </c>
      <c r="B12" s="306">
        <f>-Multiples!B8</f>
        <v/>
      </c>
      <c r="C12" s="266" t="n"/>
      <c r="E12" s="247" t="inlineStr">
        <is>
          <t>What is the market pricing in? (reverse DCF)</t>
        </is>
      </c>
      <c r="F12" s="270" t="n"/>
      <c r="G12" s="270" t="n"/>
      <c r="H12" s="270" t="n"/>
    </row>
    <row r="13">
      <c r="B13" s="266" t="n"/>
      <c r="C13" s="266" t="n"/>
      <c r="F13" s="308">
        <f>DCF!B49</f>
        <v/>
      </c>
      <c r="G13" s="266" t="n"/>
      <c r="H13" s="266" t="n"/>
    </row>
    <row r="14">
      <c r="A14" s="247" t="inlineStr">
        <is>
          <t>Valuation multiples</t>
        </is>
      </c>
      <c r="B14" s="270" t="n"/>
      <c r="C14" s="270" t="n"/>
      <c r="E14" s="261" t="n"/>
      <c r="F14" s="312">
        <f>DCF!B50</f>
        <v/>
      </c>
      <c r="G14" s="266" t="n"/>
      <c r="H14" s="266" t="n"/>
    </row>
    <row r="15">
      <c r="B15" s="273" t="n"/>
      <c r="C15" s="273" t="inlineStr">
        <is>
          <t>TTM</t>
        </is>
      </c>
      <c r="F15" s="308">
        <f>DCF!B52</f>
        <v/>
      </c>
      <c r="G15" s="266" t="n"/>
      <c r="H15" s="266" t="n"/>
    </row>
    <row r="16">
      <c r="A16" t="inlineStr">
        <is>
          <t>P/E</t>
        </is>
      </c>
      <c r="B16" s="313">
        <f>Multiples!B15</f>
        <v/>
      </c>
      <c r="C16" s="313">
        <f>Multiples!C15</f>
        <v/>
      </c>
      <c r="F16" s="306">
        <f>DCF!B51</f>
        <v/>
      </c>
      <c r="G16" s="266" t="n"/>
      <c r="H16" s="266" t="n"/>
    </row>
    <row r="17">
      <c r="A17" t="inlineStr">
        <is>
          <t>Price / Sales</t>
        </is>
      </c>
      <c r="B17" s="313">
        <f>Multiples!B17</f>
        <v/>
      </c>
      <c r="C17" s="313">
        <f>Multiples!C17</f>
        <v/>
      </c>
    </row>
    <row r="18">
      <c r="A18" t="inlineStr">
        <is>
          <t>EV / EBITDA</t>
        </is>
      </c>
      <c r="B18" s="313">
        <f>Multiples!B18</f>
        <v/>
      </c>
      <c r="C18" s="313" t="inlineStr">
        <is>
          <t>n/a</t>
        </is>
      </c>
      <c r="E18" s="253" t="inlineStr">
        <is>
          <t>Analyst view</t>
        </is>
      </c>
      <c r="F18" s="253" t="n"/>
      <c r="G18" s="253" t="n"/>
      <c r="H18" s="253" t="n"/>
    </row>
    <row r="19">
      <c r="A19" t="inlineStr">
        <is>
          <t>FCF yield</t>
        </is>
      </c>
      <c r="B19" s="308">
        <f>Multiples!B20</f>
        <v/>
      </c>
      <c r="C19" s="308" t="inlineStr">
        <is>
          <t>n/a</t>
        </is>
      </c>
      <c r="E19" s="254" t="n"/>
      <c r="F19" s="251" t="n"/>
      <c r="G19" s="251" t="n"/>
      <c r="H19" s="251" t="n"/>
    </row>
    <row r="20">
      <c r="A20" t="inlineStr">
        <is>
          <t>FCF yield after stock comp</t>
        </is>
      </c>
      <c r="B20" s="308">
        <f>Multiples!B21</f>
        <v/>
      </c>
      <c r="C20" s="308" t="inlineStr">
        <is>
          <t>n/a</t>
        </is>
      </c>
      <c r="E20" s="255" t="n"/>
    </row>
    <row r="21">
      <c r="B21" s="266" t="n"/>
      <c r="C21" s="266" t="n"/>
      <c r="E21" s="255" t="n"/>
    </row>
    <row r="22">
      <c r="A22" s="247" t="inlineStr">
        <is>
          <t>Fundamentals</t>
        </is>
      </c>
      <c r="B22" s="270" t="n"/>
      <c r="C22" s="270" t="n"/>
      <c r="E22" s="255" t="n"/>
    </row>
    <row r="23">
      <c r="B23" s="306">
        <f>Financials!F17</f>
        <v/>
      </c>
      <c r="C23" s="272" t="n"/>
      <c r="E23" s="255" t="n"/>
    </row>
    <row r="24">
      <c r="B24" s="308">
        <f>DCF!B53</f>
        <v/>
      </c>
      <c r="C24" s="272" t="n"/>
      <c r="E24" s="255" t="n"/>
    </row>
    <row r="25">
      <c r="A25" t="inlineStr">
        <is>
          <t>Diluted EPS, TTM ($)</t>
        </is>
      </c>
      <c r="B25" s="309">
        <f>Financials!F19</f>
        <v/>
      </c>
      <c r="C25" s="272" t="n"/>
      <c r="E25" s="255" t="n"/>
    </row>
    <row r="26">
      <c r="B26" s="308">
        <f>Multiples!C27</f>
        <v/>
      </c>
      <c r="C26" s="272" t="n"/>
      <c r="E26" s="255" t="n"/>
    </row>
    <row r="27">
      <c r="B27" s="306">
        <f>Financials!K10</f>
        <v/>
      </c>
      <c r="C27" s="272" t="n"/>
      <c r="E27" s="256" t="inlineStr">
        <is>
          <t>Valuation view only — not a recommendation to buy or sell.</t>
        </is>
      </c>
    </row>
    <row r="28">
      <c r="B28" s="308">
        <f>Financials!L10</f>
        <v/>
      </c>
      <c r="C28" s="272" t="n"/>
    </row>
    <row r="29"/>
    <row r="30">
      <c r="A30" s="247" t="inlineStr">
        <is>
          <t>Bull case, bear case, catalysts and risks</t>
        </is>
      </c>
      <c r="B30" s="247" t="n"/>
      <c r="C30" s="247" t="n"/>
      <c r="D30" s="247" t="n"/>
      <c r="E30" s="247" t="n"/>
      <c r="F30" s="247" t="n"/>
      <c r="G30" s="247" t="n"/>
      <c r="H30" s="247" t="n"/>
    </row>
    <row r="31">
      <c r="A31" s="258" t="inlineStr">
        <is>
          <t>Bull case</t>
        </is>
      </c>
      <c r="B31" s="251" t="n"/>
      <c r="C31" s="251" t="n"/>
      <c r="D31" s="259" t="inlineStr">
        <is>
          <t>Bear case</t>
        </is>
      </c>
      <c r="E31" s="251" t="n"/>
      <c r="F31" s="251" t="n"/>
      <c r="G31" s="251" t="n"/>
      <c r="H31" s="251" t="n"/>
    </row>
    <row r="32" ht="30" customHeight="1" s="252">
      <c r="A32" s="301" t="n"/>
      <c r="D32" s="301" t="n"/>
    </row>
    <row r="33" ht="30" customHeight="1" s="252">
      <c r="A33" s="301" t="n"/>
      <c r="D33" s="301" t="n"/>
    </row>
    <row r="34" ht="30" customHeight="1" s="252">
      <c r="A34" s="301" t="n"/>
      <c r="D34" s="301" t="inlineStr">
        <is>
          <t>• September-quarter growth guide slowed (company cited supply constraints and FX).</t>
        </is>
      </c>
    </row>
    <row r="35" ht="30" customHeight="1" s="252">
      <c r="A35" s="301" t="n"/>
      <c r="D35" s="301" t="n"/>
    </row>
    <row r="36"/>
    <row r="37">
      <c r="A37" s="262" t="inlineStr">
        <is>
          <t>Upcoming catalysts</t>
        </is>
      </c>
      <c r="D37" s="262" t="inlineStr">
        <is>
          <t>Data-quality flags</t>
        </is>
      </c>
    </row>
    <row r="38" ht="30" customHeight="1" s="252">
      <c r="A38" s="301" t="n"/>
      <c r="D38" s="301" t="n"/>
    </row>
    <row r="39" ht="30" customHeight="1" s="252">
      <c r="A39" s="301" t="n"/>
      <c r="D39" s="301" t="n"/>
    </row>
    <row r="40" ht="30" customHeight="1" s="252">
      <c r="A40" s="301" t="n"/>
      <c r="D40" s="301" t="n"/>
    </row>
    <row r="41" ht="30" customHeight="1" s="252">
      <c r="A41" s="301" t="n"/>
      <c r="D41" s="301" t="inlineStr">
        <is>
          <t>• Every external figure and its link is on the Sources tab.</t>
        </is>
      </c>
    </row>
    <row r="42"/>
    <row r="43">
      <c r="A43" s="247" t="inlineStr">
        <is>
          <t>Contents — click to jump</t>
        </is>
      </c>
      <c r="B43" s="247" t="n"/>
      <c r="C43" s="247" t="n"/>
      <c r="D43" s="247" t="n"/>
      <c r="E43" s="247" t="n"/>
      <c r="F43" s="247" t="n"/>
      <c r="G43" s="247" t="n"/>
      <c r="H43" s="247" t="n"/>
    </row>
    <row r="44">
      <c r="A44" s="263" t="inlineStr">
        <is>
          <t>→ Financials</t>
        </is>
      </c>
      <c r="B44" s="264" t="n"/>
      <c r="E44" s="263" t="inlineStr">
        <is>
          <t>→ Risk</t>
        </is>
      </c>
      <c r="F44" s="264" t="inlineStr">
        <is>
          <t>Performance, drawdown, volatility</t>
        </is>
      </c>
    </row>
    <row r="45">
      <c r="A45" s="263" t="inlineStr">
        <is>
          <t>→ DCF</t>
        </is>
      </c>
      <c r="B45" s="264" t="inlineStr">
        <is>
          <t>Live model &amp; reverse DCF</t>
        </is>
      </c>
      <c r="E45" s="263" t="inlineStr">
        <is>
          <t>→ Catalysts_News</t>
        </is>
      </c>
      <c r="F45" s="264" t="inlineStr">
        <is>
          <t>Catalysts &amp; filtered headlines</t>
        </is>
      </c>
    </row>
    <row r="46">
      <c r="A46" s="263" t="inlineStr">
        <is>
          <t>→ Scenarios</t>
        </is>
      </c>
      <c r="B46" s="264" t="inlineStr">
        <is>
          <t>Bear/base/bull &amp; sensitivities</t>
        </is>
      </c>
      <c r="E46" s="263" t="inlineStr">
        <is>
          <t>→ Methodology</t>
        </is>
      </c>
      <c r="F46" s="264" t="inlineStr">
        <is>
          <t>How every number is built</t>
        </is>
      </c>
    </row>
    <row r="47">
      <c r="A47" s="263" t="inlineStr">
        <is>
          <t>→ Multiples</t>
        </is>
      </c>
      <c r="B47" s="264" t="inlineStr">
        <is>
          <t>Valuation &amp; quality ratios</t>
        </is>
      </c>
      <c r="E47" s="263" t="inlineStr">
        <is>
          <t>→ Sources</t>
        </is>
      </c>
      <c r="F47" s="264" t="inlineStr">
        <is>
          <t>Every external figure, linked</t>
        </is>
      </c>
    </row>
    <row r="48"/>
    <row r="49" s="252"/>
    <row r="50" s="252"/>
    <row r="51" s="252"/>
    <row r="52" s="252"/>
    <row r="53" s="252"/>
    <row r="54" s="252"/>
    <row r="55" s="252"/>
    <row r="56" s="252"/>
    <row r="57" s="252"/>
    <row r="58" s="252"/>
    <row r="59" s="252"/>
    <row r="60" s="252"/>
    <row r="61" s="252"/>
    <row r="62" s="252"/>
    <row r="63" s="252"/>
    <row r="64" s="252"/>
    <row r="65" s="252"/>
    <row r="66" s="252"/>
    <row r="67" s="252"/>
    <row r="68" s="252"/>
    <row r="69" s="252"/>
    <row r="70" s="252"/>
    <row r="71" s="252"/>
    <row r="72" s="252"/>
    <row r="73" s="252"/>
    <row r="74" s="252"/>
    <row r="75" s="252"/>
    <row r="76" s="252"/>
    <row r="77" s="252"/>
    <row r="78" s="252"/>
    <row r="79" s="252"/>
    <row r="80" s="252"/>
  </sheetData>
  <mergeCells count="21">
    <mergeCell ref="D35:H35"/>
    <mergeCell ref="A41:C41"/>
    <mergeCell ref="D34:H34"/>
    <mergeCell ref="A37:C37"/>
    <mergeCell ref="D31:H31"/>
    <mergeCell ref="D40:H40"/>
    <mergeCell ref="A33:C33"/>
    <mergeCell ref="A32:C32"/>
    <mergeCell ref="D41:H41"/>
    <mergeCell ref="D32:H32"/>
    <mergeCell ref="A35:C35"/>
    <mergeCell ref="A38:C38"/>
    <mergeCell ref="E19:H26"/>
    <mergeCell ref="A31:C31"/>
    <mergeCell ref="A40:C40"/>
    <mergeCell ref="D37:H37"/>
    <mergeCell ref="A39:C39"/>
    <mergeCell ref="A34:C34"/>
    <mergeCell ref="D39:H39"/>
    <mergeCell ref="D33:H33"/>
    <mergeCell ref="D38:H38"/>
  </mergeCells>
  <conditionalFormatting sqref="F7:H7">
    <cfRule type="cellIs" priority="1" operator="lessThan" dxfId="3">
      <formula>0</formula>
    </cfRule>
  </conditionalFormatting>
  <conditionalFormatting sqref="F10">
    <cfRule type="cellIs" priority="2" operator="lessThan" dxfId="3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2E75B6"/>
    <outlinePr summaryBelow="1" summaryRight="1"/>
    <pageSetUpPr/>
  </sheetPr>
  <dimension ref="A1:M43"/>
  <sheetViews>
    <sheetView showGridLines="0" workbookViewId="0">
      <pane ySplit="2" topLeftCell="A18" activePane="bottomLeft" state="frozen"/>
      <selection pane="bottomLeft" activeCell="A1" sqref="A1"/>
    </sheetView>
  </sheetViews>
  <sheetFormatPr baseColWidth="8" defaultRowHeight="14.5"/>
  <cols>
    <col width="45.453125" customWidth="1" style="195" min="1" max="1"/>
    <col width="12.7265625" customWidth="1" style="195" min="2" max="13"/>
    <col width="8.7265625" customWidth="1" style="195" min="14" max="26"/>
  </cols>
  <sheetData>
    <row r="1" ht="30" customHeight="1" s="252">
      <c r="A1" s="146" t="n"/>
      <c r="B1" s="146" t="n"/>
      <c r="C1" s="146" t="n"/>
      <c r="D1" s="146" t="n"/>
      <c r="E1" s="146" t="n"/>
      <c r="F1" s="146" t="n"/>
      <c r="G1" s="146" t="n"/>
      <c r="H1" s="146" t="n"/>
      <c r="I1" s="146" t="n"/>
      <c r="J1" s="146" t="n"/>
      <c r="K1" s="146" t="n"/>
      <c r="L1" s="146" t="n"/>
      <c r="M1" s="146" t="n"/>
    </row>
    <row r="2">
      <c r="A2" s="147" t="n"/>
      <c r="B2" s="147" t="n"/>
      <c r="C2" s="147" t="n"/>
      <c r="D2" s="147" t="n"/>
      <c r="E2" s="147" t="n"/>
      <c r="F2" s="147" t="n"/>
      <c r="G2" s="147" t="n"/>
      <c r="H2" s="147" t="n"/>
      <c r="I2" s="147" t="n"/>
      <c r="J2" s="147" t="n"/>
      <c r="K2" s="147" t="n"/>
      <c r="L2" s="148" t="inlineStr">
        <is>
          <t>← Back to Summary</t>
        </is>
      </c>
      <c r="M2" s="147" t="n"/>
    </row>
    <row r="3"/>
    <row r="4">
      <c r="A4" s="149" t="inlineStr">
        <is>
          <t>Annual income &amp; cash flow ($B)</t>
        </is>
      </c>
      <c r="B4" s="149" t="n"/>
      <c r="C4" s="149" t="n"/>
      <c r="D4" s="149" t="n"/>
      <c r="E4" s="149" t="n"/>
      <c r="F4" s="149" t="n"/>
      <c r="G4" s="149" t="n"/>
      <c r="H4" s="149" t="n"/>
      <c r="I4" s="149" t="n"/>
      <c r="J4" s="149" t="n"/>
      <c r="K4" s="149" t="n"/>
      <c r="L4" s="149" t="n"/>
      <c r="M4" s="149" t="n"/>
    </row>
    <row r="5">
      <c r="A5" s="153" t="inlineStr">
        <is>
          <t>Fiscal year</t>
        </is>
      </c>
      <c r="B5" s="152" t="n"/>
      <c r="C5" s="152" t="n"/>
      <c r="D5" s="152" t="n"/>
      <c r="E5" s="152" t="n"/>
      <c r="F5" s="152" t="n"/>
      <c r="G5" s="152" t="n"/>
      <c r="H5" s="152" t="n"/>
      <c r="I5" s="152" t="n"/>
      <c r="J5" s="152" t="n"/>
      <c r="K5" s="152" t="n"/>
      <c r="L5" s="152" t="n"/>
      <c r="M5" s="152" t="n"/>
    </row>
    <row r="6">
      <c r="A6" s="150" t="inlineStr">
        <is>
          <t>Revenue</t>
        </is>
      </c>
      <c r="B6" s="314">
        <f>Raw_Fundamentals!B34</f>
        <v/>
      </c>
      <c r="C6" s="314">
        <f>Raw_Fundamentals!C34</f>
        <v/>
      </c>
      <c r="D6" s="314">
        <f>Raw_Fundamentals!D34</f>
        <v/>
      </c>
      <c r="E6" s="314">
        <f>Raw_Fundamentals!E34</f>
        <v/>
      </c>
      <c r="F6" s="314">
        <f>Raw_Fundamentals!F34</f>
        <v/>
      </c>
      <c r="G6" s="314">
        <f>Raw_Fundamentals!G34</f>
        <v/>
      </c>
      <c r="H6" s="314">
        <f>Raw_Fundamentals!H34</f>
        <v/>
      </c>
      <c r="I6" s="314">
        <f>Raw_Fundamentals!I34</f>
        <v/>
      </c>
      <c r="J6" s="314">
        <f>Raw_Fundamentals!J34</f>
        <v/>
      </c>
      <c r="K6" s="314">
        <f>Raw_Fundamentals!K34</f>
        <v/>
      </c>
      <c r="L6" s="315">
        <f>(K6/B6)^(1/9)-1</f>
        <v/>
      </c>
      <c r="M6" s="315">
        <f>(K6/F6)^(1/5)-1</f>
        <v/>
      </c>
    </row>
    <row r="7">
      <c r="A7" s="157" t="inlineStr">
        <is>
          <t xml:space="preserve">  Growth y/y</t>
        </is>
      </c>
      <c r="B7" s="316" t="n"/>
      <c r="C7" s="316">
        <f>C6/B6-1</f>
        <v/>
      </c>
      <c r="D7" s="316">
        <f>D6/C6-1</f>
        <v/>
      </c>
      <c r="E7" s="316">
        <f>E6/D6-1</f>
        <v/>
      </c>
      <c r="F7" s="316">
        <f>F6/E6-1</f>
        <v/>
      </c>
      <c r="G7" s="316">
        <f>G6/F6-1</f>
        <v/>
      </c>
      <c r="H7" s="316">
        <f>H6/G6-1</f>
        <v/>
      </c>
      <c r="I7" s="316">
        <f>I6/H6-1</f>
        <v/>
      </c>
      <c r="J7" s="316">
        <f>J6/I6-1</f>
        <v/>
      </c>
      <c r="K7" s="316">
        <f>K6/J6-1</f>
        <v/>
      </c>
      <c r="L7" s="316" t="n"/>
      <c r="M7" s="316" t="n"/>
    </row>
    <row r="8">
      <c r="A8" s="150" t="inlineStr">
        <is>
          <t>Net income</t>
        </is>
      </c>
      <c r="B8" s="314">
        <f>Raw_Fundamentals!B35</f>
        <v/>
      </c>
      <c r="C8" s="314">
        <f>Raw_Fundamentals!C35</f>
        <v/>
      </c>
      <c r="D8" s="314">
        <f>Raw_Fundamentals!D35</f>
        <v/>
      </c>
      <c r="E8" s="314">
        <f>Raw_Fundamentals!E35</f>
        <v/>
      </c>
      <c r="F8" s="314">
        <f>Raw_Fundamentals!F35</f>
        <v/>
      </c>
      <c r="G8" s="314">
        <f>Raw_Fundamentals!G35</f>
        <v/>
      </c>
      <c r="H8" s="314">
        <f>Raw_Fundamentals!H35</f>
        <v/>
      </c>
      <c r="I8" s="314">
        <f>Raw_Fundamentals!I35</f>
        <v/>
      </c>
      <c r="J8" s="314">
        <f>Raw_Fundamentals!J35</f>
        <v/>
      </c>
      <c r="K8" s="314">
        <f>Raw_Fundamentals!K35</f>
        <v/>
      </c>
      <c r="L8" s="315">
        <f>(K8/B8)^(1/9)-1</f>
        <v/>
      </c>
      <c r="M8" s="315">
        <f>(K8/F8)^(1/5)-1</f>
        <v/>
      </c>
    </row>
    <row r="9">
      <c r="A9" s="157" t="inlineStr">
        <is>
          <t xml:space="preserve">  Net margin</t>
        </is>
      </c>
      <c r="B9" s="316">
        <f>B8/B6</f>
        <v/>
      </c>
      <c r="C9" s="316">
        <f>C8/C6</f>
        <v/>
      </c>
      <c r="D9" s="316">
        <f>D8/D6</f>
        <v/>
      </c>
      <c r="E9" s="316">
        <f>E8/E6</f>
        <v/>
      </c>
      <c r="F9" s="316">
        <f>F8/F6</f>
        <v/>
      </c>
      <c r="G9" s="316">
        <f>G8/G6</f>
        <v/>
      </c>
      <c r="H9" s="316">
        <f>H8/H6</f>
        <v/>
      </c>
      <c r="I9" s="316">
        <f>I8/I6</f>
        <v/>
      </c>
      <c r="J9" s="316">
        <f>J8/J6</f>
        <v/>
      </c>
      <c r="K9" s="316">
        <f>K8/K6</f>
        <v/>
      </c>
      <c r="L9" s="316" t="n"/>
      <c r="M9" s="316" t="n"/>
    </row>
    <row r="10">
      <c r="A10" s="150" t="inlineStr">
        <is>
          <t>Free cash flow (CFO − capex)</t>
        </is>
      </c>
      <c r="B10" s="314">
        <f>Raw_Fundamentals!B36</f>
        <v/>
      </c>
      <c r="C10" s="314">
        <f>Raw_Fundamentals!C36</f>
        <v/>
      </c>
      <c r="D10" s="314">
        <f>Raw_Fundamentals!D36</f>
        <v/>
      </c>
      <c r="E10" s="314">
        <f>Raw_Fundamentals!E36</f>
        <v/>
      </c>
      <c r="F10" s="314">
        <f>Raw_Fundamentals!F36</f>
        <v/>
      </c>
      <c r="G10" s="314">
        <f>Raw_Fundamentals!G36</f>
        <v/>
      </c>
      <c r="H10" s="314">
        <f>Raw_Fundamentals!H36</f>
        <v/>
      </c>
      <c r="I10" s="314">
        <f>Raw_Fundamentals!I36</f>
        <v/>
      </c>
      <c r="J10" s="314">
        <f>Raw_Fundamentals!J36</f>
        <v/>
      </c>
      <c r="K10" s="314">
        <f>Raw_Fundamentals!K36</f>
        <v/>
      </c>
      <c r="L10" s="315">
        <f>(K10/B10)^(1/9)-1</f>
        <v/>
      </c>
      <c r="M10" s="315">
        <f>(K10/F10)^(1/5)-1</f>
        <v/>
      </c>
    </row>
    <row r="11">
      <c r="A11" s="157" t="inlineStr">
        <is>
          <t xml:space="preserve">  FCF margin</t>
        </is>
      </c>
      <c r="B11" s="316">
        <f>B10/B6</f>
        <v/>
      </c>
      <c r="C11" s="316">
        <f>C10/C6</f>
        <v/>
      </c>
      <c r="D11" s="316">
        <f>D10/D6</f>
        <v/>
      </c>
      <c r="E11" s="316">
        <f>E10/E6</f>
        <v/>
      </c>
      <c r="F11" s="316">
        <f>F10/F6</f>
        <v/>
      </c>
      <c r="G11" s="316">
        <f>G10/G6</f>
        <v/>
      </c>
      <c r="H11" s="316">
        <f>H10/H6</f>
        <v/>
      </c>
      <c r="I11" s="316">
        <f>I10/I6</f>
        <v/>
      </c>
      <c r="J11" s="316">
        <f>J10/J6</f>
        <v/>
      </c>
      <c r="K11" s="316">
        <f>K10/K6</f>
        <v/>
      </c>
      <c r="L11" s="316" t="n"/>
      <c r="M11" s="316" t="n"/>
    </row>
    <row r="12">
      <c r="A12" s="157" t="inlineStr">
        <is>
          <t xml:space="preserve">  FCF ÷ net income</t>
        </is>
      </c>
      <c r="B12" s="317">
        <f>B10/B8</f>
        <v/>
      </c>
      <c r="C12" s="317">
        <f>C10/C8</f>
        <v/>
      </c>
      <c r="D12" s="317">
        <f>D10/D8</f>
        <v/>
      </c>
      <c r="E12" s="317">
        <f>E10/E8</f>
        <v/>
      </c>
      <c r="F12" s="317">
        <f>F10/F8</f>
        <v/>
      </c>
      <c r="G12" s="317">
        <f>G10/G8</f>
        <v/>
      </c>
      <c r="H12" s="317">
        <f>H10/H8</f>
        <v/>
      </c>
      <c r="I12" s="317">
        <f>I10/I8</f>
        <v/>
      </c>
      <c r="J12" s="317">
        <f>J10/J8</f>
        <v/>
      </c>
      <c r="K12" s="317">
        <f>K10/K8</f>
        <v/>
      </c>
      <c r="L12" s="316" t="n"/>
      <c r="M12" s="316" t="n"/>
    </row>
    <row r="13"/>
    <row r="14">
      <c r="A14" s="149" t="n"/>
      <c r="B14" s="149" t="n"/>
      <c r="C14" s="149" t="n"/>
      <c r="D14" s="149" t="n"/>
      <c r="E14" s="149" t="n"/>
      <c r="F14" s="149" t="n"/>
      <c r="G14" s="149" t="n"/>
      <c r="H14" s="149" t="n"/>
      <c r="I14" s="149" t="n"/>
      <c r="J14" s="149" t="n"/>
      <c r="K14" s="149" t="n"/>
      <c r="L14" s="149" t="n"/>
      <c r="M14" s="149" t="n"/>
    </row>
    <row r="15">
      <c r="A15" s="153" t="inlineStr">
        <is>
          <t>Fiscal quarter</t>
        </is>
      </c>
      <c r="B15" s="152" t="n"/>
      <c r="C15" s="152" t="n"/>
      <c r="D15" s="152" t="n"/>
      <c r="E15" s="152" t="n"/>
      <c r="F15" s="152" t="inlineStr">
        <is>
          <t>TTM</t>
        </is>
      </c>
    </row>
    <row r="16">
      <c r="A16" s="162" t="inlineStr">
        <is>
          <t>Quarter ended</t>
        </is>
      </c>
      <c r="B16" s="163" t="n"/>
      <c r="C16" s="163" t="n"/>
      <c r="D16" s="163" t="n"/>
      <c r="E16" s="163" t="n"/>
      <c r="F16" s="163" t="n"/>
    </row>
    <row r="17">
      <c r="A17" s="150" t="inlineStr">
        <is>
          <t>Revenue</t>
        </is>
      </c>
      <c r="B17" s="318" t="n"/>
      <c r="C17" s="318" t="n"/>
      <c r="D17" s="318" t="n"/>
      <c r="E17" s="318" t="n"/>
      <c r="F17" s="319">
        <f>SUM(B17:E17)</f>
        <v/>
      </c>
    </row>
    <row r="18">
      <c r="A18" s="195" t="inlineStr">
        <is>
          <t xml:space="preserve">  Revenue growth y/y (as reported)</t>
        </is>
      </c>
      <c r="B18" s="320" t="n"/>
      <c r="C18" s="320" t="n"/>
      <c r="D18" s="320" t="n"/>
      <c r="E18" s="320" t="n"/>
      <c r="F18" s="321" t="n"/>
    </row>
    <row r="19">
      <c r="A19" s="150" t="inlineStr">
        <is>
          <t>Diluted EPS ($)</t>
        </is>
      </c>
      <c r="B19" s="322" t="n"/>
      <c r="C19" s="322" t="n"/>
      <c r="D19" s="322" t="n"/>
      <c r="E19" s="322" t="n"/>
      <c r="F19" s="323">
        <f>SUM(B19:E19)</f>
        <v/>
      </c>
    </row>
    <row r="20">
      <c r="A20" s="195" t="inlineStr">
        <is>
          <t xml:space="preserve">  Diluted EPS growth y/y (as reported)</t>
        </is>
      </c>
      <c r="B20" s="320" t="n"/>
      <c r="C20" s="320" t="n"/>
      <c r="D20" s="320" t="n"/>
      <c r="E20" s="320" t="n"/>
      <c r="F20" s="321" t="n"/>
    </row>
    <row r="21">
      <c r="A21" s="175" t="n"/>
    </row>
    <row r="22"/>
    <row r="23">
      <c r="A23" s="149" t="inlineStr">
        <is>
          <t>Balance sheet &amp; other items ($B)</t>
        </is>
      </c>
      <c r="B23" s="149" t="n"/>
      <c r="C23" s="149" t="n"/>
      <c r="D23" s="149" t="n"/>
      <c r="E23" s="149" t="n"/>
      <c r="F23" s="149" t="n"/>
      <c r="G23" s="149" t="n"/>
      <c r="H23" s="149" t="n"/>
      <c r="I23" s="149" t="n"/>
      <c r="J23" s="149" t="n"/>
      <c r="K23" s="149" t="n"/>
      <c r="L23" s="149" t="n"/>
      <c r="M23" s="149" t="n"/>
    </row>
    <row r="24" ht="28" customHeight="1" s="252">
      <c r="A24" s="153" t="n"/>
      <c r="B24" s="184" t="n"/>
      <c r="C24" s="184" t="n"/>
    </row>
    <row r="25">
      <c r="A25" s="195" t="inlineStr">
        <is>
          <t>Cash &amp; cash equivalents</t>
        </is>
      </c>
      <c r="B25" s="324" t="n"/>
      <c r="C25" s="325" t="inlineStr">
        <is>
          <t>n/a</t>
        </is>
      </c>
    </row>
    <row r="26">
      <c r="A26" s="195" t="inlineStr">
        <is>
          <t>Current marketable securities</t>
        </is>
      </c>
      <c r="B26" s="324" t="n"/>
      <c r="C26" s="325" t="inlineStr">
        <is>
          <t>n/a</t>
        </is>
      </c>
    </row>
    <row r="27">
      <c r="A27" s="195" t="inlineStr">
        <is>
          <t>Non-current marketable securities</t>
        </is>
      </c>
      <c r="B27" s="324" t="n"/>
      <c r="C27" s="325" t="inlineStr">
        <is>
          <t>n/a</t>
        </is>
      </c>
    </row>
    <row r="28">
      <c r="A28" s="150" t="inlineStr">
        <is>
          <t>Total cash &amp; marketable securities</t>
        </is>
      </c>
      <c r="B28" s="326">
        <f>SUM(B25:B27)</f>
        <v/>
      </c>
      <c r="C28" s="327" t="n"/>
    </row>
    <row r="29">
      <c r="A29" s="195" t="inlineStr">
        <is>
          <t>Commercial paper</t>
        </is>
      </c>
      <c r="B29" s="324" t="n"/>
      <c r="C29" s="328" t="n"/>
    </row>
    <row r="30">
      <c r="A30" s="195" t="inlineStr">
        <is>
          <t>Term debt (notes, carrying amount)</t>
        </is>
      </c>
      <c r="B30" s="324" t="n"/>
      <c r="C30" s="328" t="n"/>
    </row>
    <row r="31">
      <c r="A31" s="150" t="inlineStr">
        <is>
          <t>Total debt</t>
        </is>
      </c>
      <c r="B31" s="326">
        <f>B29+B30</f>
        <v/>
      </c>
      <c r="C31" s="327">
        <f>C29+C30</f>
        <v/>
      </c>
    </row>
    <row r="32">
      <c r="A32" s="180" t="inlineStr">
        <is>
          <t>Net cash / (net debt) — all securities</t>
        </is>
      </c>
      <c r="B32" s="329">
        <f>B28-B31</f>
        <v/>
      </c>
      <c r="C32" s="330" t="n"/>
    </row>
    <row r="33">
      <c r="A33" s="195" t="inlineStr">
        <is>
          <t>Shareholders' equity</t>
        </is>
      </c>
      <c r="B33" s="324" t="n"/>
      <c r="C33" s="325" t="inlineStr">
        <is>
          <t>n/a</t>
        </is>
      </c>
    </row>
    <row r="34">
      <c r="A34" s="195" t="inlineStr">
        <is>
          <t>Total assets</t>
        </is>
      </c>
      <c r="B34" s="324" t="n"/>
      <c r="C34" s="325" t="inlineStr">
        <is>
          <t>n/a</t>
        </is>
      </c>
    </row>
    <row r="35">
      <c r="A35" s="195" t="n"/>
      <c r="B35" s="324" t="n"/>
      <c r="C35" s="325" t="n"/>
    </row>
    <row r="36">
      <c r="A36" s="195" t="n"/>
      <c r="B36" s="331">
        <f>B35-K10</f>
        <v/>
      </c>
      <c r="C36" s="325" t="n"/>
    </row>
    <row r="37">
      <c r="A37" s="195" t="n"/>
      <c r="B37" s="324" t="n"/>
      <c r="C37" s="325" t="n"/>
    </row>
    <row r="38">
      <c r="A38" s="195" t="n"/>
      <c r="B38" s="331">
        <f>K10-B37</f>
        <v/>
      </c>
      <c r="C38" s="325" t="n"/>
    </row>
    <row r="39">
      <c r="A39" s="195" t="n"/>
      <c r="B39" s="324" t="n"/>
      <c r="C39" s="325" t="n"/>
    </row>
    <row r="40">
      <c r="A40" s="195" t="n"/>
      <c r="B40" s="332">
        <f>Raw_Fundamentals!B15*K6</f>
        <v/>
      </c>
      <c r="C40" s="325" t="n"/>
    </row>
    <row r="41">
      <c r="A41" s="195" t="n"/>
      <c r="B41" s="333" t="n"/>
      <c r="C41" s="325" t="n"/>
    </row>
    <row r="42"/>
    <row r="43">
      <c r="A43" s="175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2E75B6"/>
    <outlinePr summaryBelow="1" summaryRight="1"/>
    <pageSetUpPr/>
  </sheetPr>
  <dimension ref="A1:K154"/>
  <sheetViews>
    <sheetView showGridLines="0" workbookViewId="0">
      <pane ySplit="2" topLeftCell="A25" activePane="bottomLeft" state="frozen"/>
      <selection pane="bottomLeft" activeCell="A1" sqref="A1"/>
    </sheetView>
  </sheetViews>
  <sheetFormatPr baseColWidth="8" defaultRowHeight="14.5"/>
  <cols>
    <col width="43.6328125" customWidth="1" style="195" min="1" max="1"/>
    <col width="15.453125" customWidth="1" style="195" min="2" max="7"/>
    <col width="3.6328125" customWidth="1" style="195" min="8" max="9"/>
    <col outlineLevel="1" width="8.7265625" customWidth="1" style="195" min="10" max="11"/>
    <col width="8.7265625" customWidth="1" style="195" min="12" max="26"/>
  </cols>
  <sheetData>
    <row r="1" ht="30" customHeight="1" s="252">
      <c r="A1" s="146" t="n"/>
      <c r="B1" s="146" t="n"/>
      <c r="C1" s="146" t="n"/>
      <c r="D1" s="146" t="n"/>
      <c r="E1" s="146" t="n"/>
      <c r="F1" s="146" t="n"/>
      <c r="G1" s="146" t="n"/>
      <c r="H1" s="146" t="n"/>
    </row>
    <row r="2">
      <c r="A2" s="147" t="n"/>
      <c r="B2" s="147" t="n"/>
      <c r="C2" s="147" t="n"/>
      <c r="D2" s="147" t="n"/>
      <c r="E2" s="147" t="n"/>
      <c r="F2" s="147" t="n"/>
      <c r="G2" s="148" t="inlineStr">
        <is>
          <t>← Back to Summary</t>
        </is>
      </c>
      <c r="H2" s="147" t="n"/>
    </row>
    <row r="3"/>
    <row r="4">
      <c r="A4" s="149" t="inlineStr">
        <is>
          <t>Inputs</t>
        </is>
      </c>
      <c r="B4" s="149" t="n"/>
      <c r="C4" s="149" t="n"/>
      <c r="D4" s="149" t="n"/>
      <c r="E4" s="149" t="n"/>
      <c r="F4" s="149" t="n"/>
      <c r="G4" s="149" t="n"/>
      <c r="H4" s="149" t="n"/>
    </row>
    <row r="5">
      <c r="A5" s="195" t="inlineStr">
        <is>
          <t>Current share price ($)</t>
        </is>
      </c>
      <c r="B5" s="334" t="n"/>
      <c r="C5" s="197" t="n"/>
    </row>
    <row r="6">
      <c r="A6" s="195" t="inlineStr">
        <is>
          <t>Shares outstanding (B)</t>
        </is>
      </c>
      <c r="B6" s="335">
        <f>Financials!B41</f>
        <v/>
      </c>
      <c r="C6" s="197" t="n"/>
    </row>
    <row r="7">
      <c r="A7" s="195" t="inlineStr">
        <is>
          <t>Discount rate (WACC)</t>
        </is>
      </c>
      <c r="B7" s="336" t="n"/>
      <c r="C7" s="197" t="n"/>
    </row>
    <row r="8">
      <c r="A8" s="195" t="inlineStr">
        <is>
          <t>Terminal growth rate</t>
        </is>
      </c>
      <c r="B8" s="336" t="n"/>
      <c r="C8" s="197" t="n"/>
    </row>
    <row r="9">
      <c r="A9" s="195" t="n"/>
      <c r="B9" s="337">
        <f>Financials!L10</f>
        <v/>
      </c>
      <c r="C9" s="197" t="n"/>
    </row>
    <row r="10">
      <c r="A10" s="195" t="inlineStr">
        <is>
          <t>Base FCF method</t>
        </is>
      </c>
      <c r="B10" s="186" t="n"/>
      <c r="C10" s="197" t="n"/>
    </row>
    <row r="11">
      <c r="A11" s="195" t="inlineStr">
        <is>
          <t>Deduct stock-based compensation?</t>
        </is>
      </c>
      <c r="B11" s="186" t="inlineStr">
        <is>
          <t>No</t>
        </is>
      </c>
      <c r="C11" s="197" t="n"/>
    </row>
    <row r="12">
      <c r="A12" s="195" t="inlineStr">
        <is>
          <t>Count non-current securities as cash?</t>
        </is>
      </c>
      <c r="B12" s="186" t="inlineStr">
        <is>
          <t>Yes</t>
        </is>
      </c>
      <c r="C12" s="197" t="n"/>
    </row>
    <row r="13">
      <c r="A13" s="195" t="inlineStr">
        <is>
          <t>Mid-year discounting?</t>
        </is>
      </c>
      <c r="B13" s="186" t="inlineStr">
        <is>
          <t>Yes</t>
        </is>
      </c>
      <c r="C13" s="197" t="inlineStr">
        <is>
          <t>Yes = cash flows arrive mid-year on average (standard practice).</t>
        </is>
      </c>
    </row>
    <row r="14">
      <c r="A14" s="195" t="n"/>
      <c r="B14" s="205" t="n"/>
      <c r="C14" s="197" t="inlineStr">
        <is>
          <t>Used only for the ERP cross-check below.</t>
        </is>
      </c>
    </row>
    <row r="15">
      <c r="B15" s="187" t="n"/>
      <c r="C15" s="197" t="n"/>
    </row>
    <row r="16">
      <c r="A16" s="149" t="inlineStr">
        <is>
          <t>Derived inputs</t>
        </is>
      </c>
      <c r="B16" s="206" t="n"/>
      <c r="C16" s="198" t="n"/>
      <c r="D16" s="149" t="n"/>
      <c r="E16" s="149" t="n"/>
      <c r="F16" s="149" t="n"/>
      <c r="G16" s="149" t="n"/>
      <c r="H16" s="149" t="n"/>
    </row>
    <row r="17">
      <c r="A17" s="195" t="inlineStr">
        <is>
          <t>Base free cash flow ($B)</t>
        </is>
      </c>
      <c r="B17" s="325">
        <f>IF(B10="3-yr average",AVERAGE(Financials!I10:K10),Financials!K10)-IF(B11="Yes",Financials!B37,0)</f>
        <v/>
      </c>
      <c r="C17" s="197" t="inlineStr">
        <is>
          <t>FCF = cash from operations − capex (SBC added back unless deducted above).</t>
        </is>
      </c>
    </row>
    <row r="18">
      <c r="A18" s="195" t="inlineStr">
        <is>
          <t>Net debt / (net cash) ($B)</t>
        </is>
      </c>
      <c r="B18" s="325">
        <f>Financials!B31-Financials!B25-Financials!B26-IF(B12="Yes",Financials!B27,0)</f>
        <v/>
      </c>
      <c r="C18" s="197" t="n"/>
    </row>
    <row r="19">
      <c r="A19" s="195" t="inlineStr">
        <is>
          <t>Mid-year flag</t>
        </is>
      </c>
      <c r="B19" s="207">
        <f>IF(B13="Yes",1,0)</f>
        <v/>
      </c>
      <c r="C19" s="197" t="n"/>
    </row>
    <row r="20">
      <c r="A20" s="195" t="n"/>
      <c r="B20" s="338">
        <f>B7-B14</f>
        <v/>
      </c>
      <c r="C20" s="197" t="n"/>
    </row>
    <row r="21">
      <c r="B21" s="187" t="n"/>
      <c r="C21" s="197" t="n"/>
    </row>
    <row r="22">
      <c r="A22" s="149" t="n"/>
      <c r="B22" s="206" t="n"/>
      <c r="C22" s="198" t="n"/>
      <c r="D22" s="149" t="n"/>
      <c r="E22" s="149" t="n"/>
      <c r="F22" s="149" t="n"/>
      <c r="G22" s="149" t="n"/>
      <c r="H22" s="149" t="n"/>
      <c r="J22" s="191" t="inlineStr">
        <is>
          <t>Reverse-DCF helper</t>
        </is>
      </c>
      <c r="K22" s="191" t="n"/>
    </row>
    <row r="23">
      <c r="A23" s="153" t="inlineStr">
        <is>
          <t>Year</t>
        </is>
      </c>
      <c r="B23" s="152" t="inlineStr">
        <is>
          <t>Fiscal year</t>
        </is>
      </c>
      <c r="C23" s="199" t="inlineStr">
        <is>
          <t>FCF growth</t>
        </is>
      </c>
      <c r="D23" s="152" t="inlineStr">
        <is>
          <t>Free cash flow</t>
        </is>
      </c>
      <c r="E23" s="152" t="inlineStr">
        <is>
          <t>Discount period</t>
        </is>
      </c>
      <c r="F23" s="152" t="inlineStr">
        <is>
          <t>Discount factor</t>
        </is>
      </c>
      <c r="G23" s="152" t="inlineStr">
        <is>
          <t>PV of FCF</t>
        </is>
      </c>
      <c r="J23" s="191" t="n"/>
      <c r="K23" s="191" t="inlineStr">
        <is>
          <t>Fair value ($)</t>
        </is>
      </c>
    </row>
    <row r="24">
      <c r="A24" s="187" t="n"/>
      <c r="B24" s="187" t="n"/>
      <c r="C24" s="339">
        <f>$B$9-($B$9-$B$8)*(A24-1)/9</f>
        <v/>
      </c>
      <c r="D24" s="331">
        <f>$B$17*(1+C24)</f>
        <v/>
      </c>
      <c r="E24" s="340">
        <f>A24-0.5*$B$19</f>
        <v/>
      </c>
      <c r="F24" s="341">
        <f>1/(1+$B$7)^E24</f>
        <v/>
      </c>
      <c r="G24" s="331">
        <f>D24*F24</f>
        <v/>
      </c>
      <c r="J24" s="192" t="n"/>
      <c r="K24" s="342">
        <f t="array" ref="K24">_xlfn.LET(_xlpm.gs,J24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25">
      <c r="A25" s="187" t="n"/>
      <c r="B25" s="187" t="n"/>
      <c r="C25" s="339">
        <f>$B$9-($B$9-$B$8)*(A25-1)/9</f>
        <v/>
      </c>
      <c r="D25" s="331">
        <f>D24*(1+C25)</f>
        <v/>
      </c>
      <c r="E25" s="340">
        <f>A25-0.5*$B$19</f>
        <v/>
      </c>
      <c r="F25" s="341">
        <f>1/(1+$B$7)^E25</f>
        <v/>
      </c>
      <c r="G25" s="331">
        <f>D25*F25</f>
        <v/>
      </c>
      <c r="J25" s="192">
        <f>J24+0.005</f>
        <v/>
      </c>
      <c r="K25" s="342">
        <f t="array" ref="K25">_xlfn.LET(_xlpm.gs,J25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26">
      <c r="A26" s="187" t="n"/>
      <c r="B26" s="187" t="n"/>
      <c r="C26" s="339">
        <f>$B$9-($B$9-$B$8)*(A26-1)/9</f>
        <v/>
      </c>
      <c r="D26" s="331">
        <f>D25*(1+C26)</f>
        <v/>
      </c>
      <c r="E26" s="340">
        <f>A26-0.5*$B$19</f>
        <v/>
      </c>
      <c r="F26" s="341">
        <f>1/(1+$B$7)^E26</f>
        <v/>
      </c>
      <c r="G26" s="331">
        <f>D26*F26</f>
        <v/>
      </c>
      <c r="J26" s="192">
        <f>J25+0.005</f>
        <v/>
      </c>
      <c r="K26" s="342">
        <f t="array" ref="K26">_xlfn.LET(_xlpm.gs,J26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27">
      <c r="A27" s="187" t="n"/>
      <c r="B27" s="187" t="n"/>
      <c r="C27" s="339">
        <f>$B$9-($B$9-$B$8)*(A27-1)/9</f>
        <v/>
      </c>
      <c r="D27" s="331">
        <f>D26*(1+C27)</f>
        <v/>
      </c>
      <c r="E27" s="340">
        <f>A27-0.5*$B$19</f>
        <v/>
      </c>
      <c r="F27" s="341">
        <f>1/(1+$B$7)^E27</f>
        <v/>
      </c>
      <c r="G27" s="331">
        <f>D27*F27</f>
        <v/>
      </c>
      <c r="J27" s="192">
        <f>J26+0.005</f>
        <v/>
      </c>
      <c r="K27" s="342">
        <f t="array" ref="K27">_xlfn.LET(_xlpm.gs,J27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28">
      <c r="A28" s="187" t="n"/>
      <c r="B28" s="187" t="n"/>
      <c r="C28" s="339">
        <f>$B$9-($B$9-$B$8)*(A28-1)/9</f>
        <v/>
      </c>
      <c r="D28" s="331">
        <f>D27*(1+C28)</f>
        <v/>
      </c>
      <c r="E28" s="340">
        <f>A28-0.5*$B$19</f>
        <v/>
      </c>
      <c r="F28" s="341">
        <f>1/(1+$B$7)^E28</f>
        <v/>
      </c>
      <c r="G28" s="331">
        <f>D28*F28</f>
        <v/>
      </c>
      <c r="J28" s="192">
        <f>J27+0.005</f>
        <v/>
      </c>
      <c r="K28" s="342">
        <f t="array" ref="K28">_xlfn.LET(_xlpm.gs,J28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29">
      <c r="A29" s="187" t="n"/>
      <c r="B29" s="187" t="n"/>
      <c r="C29" s="339">
        <f>$B$9-($B$9-$B$8)*(A29-1)/9</f>
        <v/>
      </c>
      <c r="D29" s="331">
        <f>D28*(1+C29)</f>
        <v/>
      </c>
      <c r="E29" s="340">
        <f>A29-0.5*$B$19</f>
        <v/>
      </c>
      <c r="F29" s="341">
        <f>1/(1+$B$7)^E29</f>
        <v/>
      </c>
      <c r="G29" s="331">
        <f>D29*F29</f>
        <v/>
      </c>
      <c r="J29" s="192">
        <f>J28+0.005</f>
        <v/>
      </c>
      <c r="K29" s="342">
        <f t="array" ref="K29">_xlfn.LET(_xlpm.gs,J29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30">
      <c r="A30" s="187" t="n"/>
      <c r="B30" s="187" t="n"/>
      <c r="C30" s="339">
        <f>$B$9-($B$9-$B$8)*(A30-1)/9</f>
        <v/>
      </c>
      <c r="D30" s="331">
        <f>D29*(1+C30)</f>
        <v/>
      </c>
      <c r="E30" s="340">
        <f>A30-0.5*$B$19</f>
        <v/>
      </c>
      <c r="F30" s="341">
        <f>1/(1+$B$7)^E30</f>
        <v/>
      </c>
      <c r="G30" s="331">
        <f>D30*F30</f>
        <v/>
      </c>
      <c r="J30" s="192">
        <f>J29+0.005</f>
        <v/>
      </c>
      <c r="K30" s="342">
        <f t="array" ref="K30">_xlfn.LET(_xlpm.gs,J30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31">
      <c r="A31" s="187" t="n"/>
      <c r="B31" s="187" t="n"/>
      <c r="C31" s="339">
        <f>$B$9-($B$9-$B$8)*(A31-1)/9</f>
        <v/>
      </c>
      <c r="D31" s="331">
        <f>D30*(1+C31)</f>
        <v/>
      </c>
      <c r="E31" s="340">
        <f>A31-0.5*$B$19</f>
        <v/>
      </c>
      <c r="F31" s="341">
        <f>1/(1+$B$7)^E31</f>
        <v/>
      </c>
      <c r="G31" s="331">
        <f>D31*F31</f>
        <v/>
      </c>
      <c r="J31" s="192">
        <f>J30+0.005</f>
        <v/>
      </c>
      <c r="K31" s="342">
        <f t="array" ref="K31">_xlfn.LET(_xlpm.gs,J31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32">
      <c r="A32" s="187" t="n"/>
      <c r="B32" s="187" t="n"/>
      <c r="C32" s="339">
        <f>$B$9-($B$9-$B$8)*(A32-1)/9</f>
        <v/>
      </c>
      <c r="D32" s="331">
        <f>D31*(1+C32)</f>
        <v/>
      </c>
      <c r="E32" s="340">
        <f>A32-0.5*$B$19</f>
        <v/>
      </c>
      <c r="F32" s="341">
        <f>1/(1+$B$7)^E32</f>
        <v/>
      </c>
      <c r="G32" s="331">
        <f>D32*F32</f>
        <v/>
      </c>
      <c r="J32" s="192">
        <f>J31+0.005</f>
        <v/>
      </c>
      <c r="K32" s="342">
        <f t="array" ref="K32">_xlfn.LET(_xlpm.gs,J32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33">
      <c r="A33" s="187" t="n"/>
      <c r="B33" s="187" t="n"/>
      <c r="C33" s="339">
        <f>$B$9-($B$9-$B$8)*(A33-1)/9</f>
        <v/>
      </c>
      <c r="D33" s="331">
        <f>D32*(1+C33)</f>
        <v/>
      </c>
      <c r="E33" s="340">
        <f>A33-0.5*$B$19</f>
        <v/>
      </c>
      <c r="F33" s="341">
        <f>1/(1+$B$7)^E33</f>
        <v/>
      </c>
      <c r="G33" s="331">
        <f>D33*F33</f>
        <v/>
      </c>
      <c r="J33" s="192">
        <f>J32+0.005</f>
        <v/>
      </c>
      <c r="K33" s="342">
        <f t="array" ref="K33">_xlfn.LET(_xlpm.gs,J33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34">
      <c r="B34" s="187" t="n"/>
      <c r="C34" s="197" t="n"/>
      <c r="J34" s="192">
        <f>J33+0.005</f>
        <v/>
      </c>
      <c r="K34" s="342">
        <f t="array" ref="K34">_xlfn.LET(_xlpm.gs,J34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35">
      <c r="A35" s="149" t="inlineStr">
        <is>
          <t>Valuation bridge</t>
        </is>
      </c>
      <c r="B35" s="206" t="n"/>
      <c r="C35" s="198" t="n"/>
      <c r="D35" s="149" t="n"/>
      <c r="E35" s="149" t="n"/>
      <c r="F35" s="149" t="n"/>
      <c r="G35" s="149" t="n"/>
      <c r="H35" s="149" t="n"/>
      <c r="J35" s="192">
        <f>J34+0.005</f>
        <v/>
      </c>
      <c r="K35" s="342">
        <f t="array" ref="K35">_xlfn.LET(_xlpm.gs,J35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36">
      <c r="A36" s="195" t="inlineStr">
        <is>
          <t>PV of forecast FCF ($B)</t>
        </is>
      </c>
      <c r="B36" s="325">
        <f>SUM(G24:G33)</f>
        <v/>
      </c>
      <c r="C36" s="197" t="n"/>
      <c r="J36" s="192">
        <f>J35+0.005</f>
        <v/>
      </c>
      <c r="K36" s="342">
        <f t="array" ref="K36">_xlfn.LET(_xlpm.gs,J36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37">
      <c r="A37" s="195" t="n"/>
      <c r="B37" s="325">
        <f>D33*(1+B8)/(B7-B8)</f>
        <v/>
      </c>
      <c r="C37" s="197" t="n"/>
      <c r="J37" s="192">
        <f>J36+0.005</f>
        <v/>
      </c>
      <c r="K37" s="342">
        <f t="array" ref="K37">_xlfn.LET(_xlpm.gs,J37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38">
      <c r="A38" s="195" t="inlineStr">
        <is>
          <t>PV of terminal value ($B)</t>
        </is>
      </c>
      <c r="B38" s="325">
        <f>B37/(1+B7)^A33</f>
        <v/>
      </c>
      <c r="C38" s="197" t="n"/>
      <c r="J38" s="192">
        <f>J37+0.005</f>
        <v/>
      </c>
      <c r="K38" s="342">
        <f t="array" ref="K38">_xlfn.LET(_xlpm.gs,J38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39">
      <c r="A39" s="150" t="inlineStr">
        <is>
          <t>Enterprise value ($B)</t>
        </is>
      </c>
      <c r="B39" s="327">
        <f>B36+B38</f>
        <v/>
      </c>
      <c r="C39" s="197" t="n"/>
      <c r="J39" s="192">
        <f>J38+0.005</f>
        <v/>
      </c>
      <c r="K39" s="342">
        <f t="array" ref="K39">_xlfn.LET(_xlpm.gs,J39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40">
      <c r="A40" s="195" t="inlineStr">
        <is>
          <t>Less: net debt / add: net cash ($B)</t>
        </is>
      </c>
      <c r="B40" s="325">
        <f>-B18</f>
        <v/>
      </c>
      <c r="C40" s="197" t="n"/>
      <c r="J40" s="192">
        <f>J39+0.005</f>
        <v/>
      </c>
      <c r="K40" s="342">
        <f t="array" ref="K40">_xlfn.LET(_xlpm.gs,J40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41">
      <c r="A41" s="150" t="inlineStr">
        <is>
          <t>Equity value ($B)</t>
        </is>
      </c>
      <c r="B41" s="327">
        <f>B39+B40</f>
        <v/>
      </c>
      <c r="C41" s="197" t="n"/>
      <c r="J41" s="192">
        <f>J40+0.005</f>
        <v/>
      </c>
      <c r="K41" s="342">
        <f t="array" ref="K41">_xlfn.LET(_xlpm.gs,J41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42" ht="15.5" customHeight="1" s="252">
      <c r="A42" s="190" t="inlineStr">
        <is>
          <t>Fair value per share ($)</t>
        </is>
      </c>
      <c r="B42" s="343">
        <f>B41/B6</f>
        <v/>
      </c>
      <c r="C42" s="197" t="n"/>
      <c r="J42" s="192">
        <f>J41+0.005</f>
        <v/>
      </c>
      <c r="K42" s="342">
        <f t="array" ref="K42">_xlfn.LET(_xlpm.gs,J42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43">
      <c r="A43" s="195" t="inlineStr">
        <is>
          <t>Current share price ($)</t>
        </is>
      </c>
      <c r="B43" s="344">
        <f>B5</f>
        <v/>
      </c>
      <c r="C43" s="197" t="n"/>
      <c r="J43" s="192">
        <f>J42+0.005</f>
        <v/>
      </c>
      <c r="K43" s="342">
        <f t="array" ref="K43">_xlfn.LET(_xlpm.gs,J43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44">
      <c r="A44" s="150" t="inlineStr">
        <is>
          <t>Upside / (downside)</t>
        </is>
      </c>
      <c r="B44" s="345">
        <f>B42/B43-1</f>
        <v/>
      </c>
      <c r="C44" s="197" t="n"/>
      <c r="J44" s="192">
        <f>J43+0.005</f>
        <v/>
      </c>
      <c r="K44" s="342">
        <f t="array" ref="K44">_xlfn.LET(_xlpm.gs,J44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45">
      <c r="A45" s="195" t="inlineStr">
        <is>
          <t>Terminal value as % of EV</t>
        </is>
      </c>
      <c r="B45" s="338">
        <f>B38/B39</f>
        <v/>
      </c>
      <c r="C45" s="197" t="n"/>
      <c r="J45" s="192">
        <f>J44+0.005</f>
        <v/>
      </c>
      <c r="K45" s="342">
        <f t="array" ref="K45">_xlfn.LET(_xlpm.gs,J45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46">
      <c r="A46" s="195" t="inlineStr">
        <is>
          <t>Model check (closed-form recompute − table)</t>
        </is>
      </c>
      <c r="B46" s="346">
        <f t="array" ref="B46">_xlfn.LET(_xlpm.gs,$B$9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-B42</f>
        <v/>
      </c>
      <c r="C46" s="197" t="n"/>
      <c r="J46" s="192">
        <f>J45+0.005</f>
        <v/>
      </c>
      <c r="K46" s="342">
        <f t="array" ref="K46">_xlfn.LET(_xlpm.gs,J46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47">
      <c r="B47" s="187" t="n"/>
      <c r="C47" s="197" t="n"/>
      <c r="J47" s="192">
        <f>J46+0.005</f>
        <v/>
      </c>
      <c r="K47" s="342">
        <f t="array" ref="K47">_xlfn.LET(_xlpm.gs,J47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48">
      <c r="A48" s="149" t="inlineStr">
        <is>
          <t>Reverse DCF — what growth is the current price discounting?</t>
        </is>
      </c>
      <c r="B48" s="206" t="n"/>
      <c r="C48" s="198" t="n"/>
      <c r="D48" s="149" t="n"/>
      <c r="E48" s="149" t="n"/>
      <c r="F48" s="149" t="n"/>
      <c r="G48" s="149" t="n"/>
      <c r="H48" s="149" t="n"/>
      <c r="J48" s="192">
        <f>J47+0.005</f>
        <v/>
      </c>
      <c r="K48" s="342">
        <f t="array" ref="K48">_xlfn.LET(_xlpm.gs,J48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49">
      <c r="A49" s="195" t="n"/>
      <c r="B49" s="338">
        <f t="array" ref="B49">_xlfn.LET(_xlpm.p,B5,_xlpm.lo,MATCH(_xlpm.p,K24:K154,1),_xlpm.glo,INDEX(J24:J154,_xlpm.lo),_xlpm.flo,INDEX(K24:K154,_xlpm.lo),_xlpm.fhi,INDEX(K24:K154,_xlpm.lo+1),_xlpm.glo+(_xlpm.p-_xlpm.flo)/(_xlpm.fhi-_xlpm.flo)*0.005)</f>
        <v/>
      </c>
      <c r="C49" s="197" t="inlineStr">
        <is>
          <t>Solved so the DCF equals today's price, holding WACC, terminal growth and base FCF constant.</t>
        </is>
      </c>
      <c r="J49" s="192">
        <f>J48+0.005</f>
        <v/>
      </c>
      <c r="K49" s="342">
        <f t="array" ref="K49">_xlfn.LET(_xlpm.gs,J49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50">
      <c r="A50" s="194" t="n"/>
      <c r="B50" s="347">
        <f t="array" ref="B50">_xlfn.LET(_xlpm.gs,B49,_xlpm.tgr,B8,_xlpm.t,_xlfn.SEQUENCE(10),_xlpm.g,_xlpm.gs-(_xlpm.gs-_xlpm.tgr)*(_xlpm.t-1)/9,EXP(SUM(LN(1+_xlpm.g)))^(1/10)-1)</f>
        <v/>
      </c>
      <c r="C50" s="197" t="n"/>
      <c r="J50" s="192">
        <f>J49+0.005</f>
        <v/>
      </c>
      <c r="K50" s="342">
        <f t="array" ref="K50">_xlfn.LET(_xlpm.gs,J50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51">
      <c r="A51" s="195" t="n"/>
      <c r="B51" s="325">
        <f>B17*(1+B50)^10</f>
        <v/>
      </c>
      <c r="C51" s="197" t="n"/>
      <c r="J51" s="192">
        <f>J50+0.005</f>
        <v/>
      </c>
      <c r="K51" s="342">
        <f t="array" ref="K51">_xlfn.LET(_xlpm.gs,J51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52">
      <c r="A52" s="195" t="n"/>
      <c r="B52" s="338">
        <f>Financials!L10</f>
        <v/>
      </c>
      <c r="C52" s="197" t="n"/>
      <c r="J52" s="192">
        <f>J51+0.005</f>
        <v/>
      </c>
      <c r="K52" s="342">
        <f t="array" ref="K52">_xlfn.LET(_xlpm.gs,J52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53">
      <c r="A53" s="195" t="n"/>
      <c r="B53" s="338">
        <f>AVERAGE(Financials!C18:E18)</f>
        <v/>
      </c>
      <c r="C53" s="197" t="n"/>
      <c r="J53" s="192">
        <f>J52+0.005</f>
        <v/>
      </c>
      <c r="K53" s="342">
        <f t="array" ref="K53">_xlfn.LET(_xlpm.gs,J53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54">
      <c r="A54" s="195" t="inlineStr">
        <is>
          <t>Market-implied CAGR minus historical CAGR</t>
        </is>
      </c>
      <c r="B54" s="214">
        <f>B50-B52</f>
        <v/>
      </c>
      <c r="C54" s="197" t="inlineStr">
        <is>
          <t>Positive = the market expects a clear acceleration vs history.</t>
        </is>
      </c>
      <c r="J54" s="192">
        <f>J53+0.005</f>
        <v/>
      </c>
      <c r="K54" s="342">
        <f t="array" ref="K54">_xlfn.LET(_xlpm.gs,J54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55">
      <c r="J55" s="192">
        <f>J54+0.005</f>
        <v/>
      </c>
      <c r="K55" s="342">
        <f t="array" ref="K55">_xlfn.LET(_xlpm.gs,J55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56" ht="40" customHeight="1" s="252">
      <c r="A56" s="196" t="n"/>
      <c r="J56" s="192">
        <f>J55+0.005</f>
        <v/>
      </c>
      <c r="K56" s="342">
        <f t="array" ref="K56">_xlfn.LET(_xlpm.gs,J56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57">
      <c r="J57" s="192">
        <f>J56+0.005</f>
        <v/>
      </c>
      <c r="K57" s="342">
        <f t="array" ref="K57">_xlfn.LET(_xlpm.gs,J57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58">
      <c r="J58" s="192">
        <f>J57+0.005</f>
        <v/>
      </c>
      <c r="K58" s="342">
        <f t="array" ref="K58">_xlfn.LET(_xlpm.gs,J58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59">
      <c r="J59" s="192">
        <f>J58+0.005</f>
        <v/>
      </c>
      <c r="K59" s="342">
        <f t="array" ref="K59">_xlfn.LET(_xlpm.gs,J59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60">
      <c r="J60" s="192">
        <f>J59+0.005</f>
        <v/>
      </c>
      <c r="K60" s="342">
        <f t="array" ref="K60">_xlfn.LET(_xlpm.gs,J60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61">
      <c r="J61" s="192">
        <f>J60+0.005</f>
        <v/>
      </c>
      <c r="K61" s="342">
        <f t="array" ref="K61">_xlfn.LET(_xlpm.gs,J61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62">
      <c r="J62" s="192">
        <f>J61+0.005</f>
        <v/>
      </c>
      <c r="K62" s="342">
        <f t="array" ref="K62">_xlfn.LET(_xlpm.gs,J62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63">
      <c r="J63" s="192">
        <f>J62+0.005</f>
        <v/>
      </c>
      <c r="K63" s="342">
        <f t="array" ref="K63">_xlfn.LET(_xlpm.gs,J63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64">
      <c r="J64" s="192">
        <f>J63+0.005</f>
        <v/>
      </c>
      <c r="K64" s="342">
        <f t="array" ref="K64">_xlfn.LET(_xlpm.gs,J64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65">
      <c r="J65" s="192">
        <f>J64+0.005</f>
        <v/>
      </c>
      <c r="K65" s="342">
        <f t="array" ref="K65">_xlfn.LET(_xlpm.gs,J65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66">
      <c r="J66" s="192">
        <f>J65+0.005</f>
        <v/>
      </c>
      <c r="K66" s="342">
        <f t="array" ref="K66">_xlfn.LET(_xlpm.gs,J66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67">
      <c r="J67" s="192">
        <f>J66+0.005</f>
        <v/>
      </c>
      <c r="K67" s="342">
        <f t="array" ref="K67">_xlfn.LET(_xlpm.gs,J67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68">
      <c r="J68" s="192">
        <f>J67+0.005</f>
        <v/>
      </c>
      <c r="K68" s="342">
        <f t="array" ref="K68">_xlfn.LET(_xlpm.gs,J68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69">
      <c r="J69" s="192">
        <f>J68+0.005</f>
        <v/>
      </c>
      <c r="K69" s="342">
        <f t="array" ref="K69">_xlfn.LET(_xlpm.gs,J69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70">
      <c r="J70" s="192">
        <f>J69+0.005</f>
        <v/>
      </c>
      <c r="K70" s="342">
        <f t="array" ref="K70">_xlfn.LET(_xlpm.gs,J70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71">
      <c r="J71" s="192">
        <f>J70+0.005</f>
        <v/>
      </c>
      <c r="K71" s="342">
        <f t="array" ref="K71">_xlfn.LET(_xlpm.gs,J71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72">
      <c r="J72" s="192">
        <f>J71+0.005</f>
        <v/>
      </c>
      <c r="K72" s="342">
        <f t="array" ref="K72">_xlfn.LET(_xlpm.gs,J72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73">
      <c r="J73" s="192">
        <f>J72+0.005</f>
        <v/>
      </c>
      <c r="K73" s="342">
        <f t="array" ref="K73">_xlfn.LET(_xlpm.gs,J73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74">
      <c r="J74" s="192">
        <f>J73+0.005</f>
        <v/>
      </c>
      <c r="K74" s="342">
        <f t="array" ref="K74">_xlfn.LET(_xlpm.gs,J74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75">
      <c r="J75" s="192">
        <f>J74+0.005</f>
        <v/>
      </c>
      <c r="K75" s="342">
        <f t="array" ref="K75">_xlfn.LET(_xlpm.gs,J75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76">
      <c r="J76" s="192">
        <f>J75+0.005</f>
        <v/>
      </c>
      <c r="K76" s="342">
        <f t="array" ref="K76">_xlfn.LET(_xlpm.gs,J76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77">
      <c r="J77" s="192">
        <f>J76+0.005</f>
        <v/>
      </c>
      <c r="K77" s="342">
        <f t="array" ref="K77">_xlfn.LET(_xlpm.gs,J77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78">
      <c r="J78" s="192">
        <f>J77+0.005</f>
        <v/>
      </c>
      <c r="K78" s="342">
        <f t="array" ref="K78">_xlfn.LET(_xlpm.gs,J78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79">
      <c r="J79" s="192">
        <f>J78+0.005</f>
        <v/>
      </c>
      <c r="K79" s="342">
        <f t="array" ref="K79">_xlfn.LET(_xlpm.gs,J79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80">
      <c r="J80" s="192">
        <f>J79+0.005</f>
        <v/>
      </c>
      <c r="K80" s="342">
        <f t="array" ref="K80">_xlfn.LET(_xlpm.gs,J80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81">
      <c r="J81" s="192">
        <f>J80+0.005</f>
        <v/>
      </c>
      <c r="K81" s="342">
        <f t="array" ref="K81">_xlfn.LET(_xlpm.gs,J81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82">
      <c r="J82" s="192">
        <f>J81+0.005</f>
        <v/>
      </c>
      <c r="K82" s="342">
        <f t="array" ref="K82">_xlfn.LET(_xlpm.gs,J82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83">
      <c r="J83" s="192">
        <f>J82+0.005</f>
        <v/>
      </c>
      <c r="K83" s="342">
        <f t="array" ref="K83">_xlfn.LET(_xlpm.gs,J83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84">
      <c r="J84" s="192">
        <f>J83+0.005</f>
        <v/>
      </c>
      <c r="K84" s="342">
        <f t="array" ref="K84">_xlfn.LET(_xlpm.gs,J84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85">
      <c r="J85" s="192">
        <f>J84+0.005</f>
        <v/>
      </c>
      <c r="K85" s="342">
        <f t="array" ref="K85">_xlfn.LET(_xlpm.gs,J85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86">
      <c r="J86" s="192">
        <f>J85+0.005</f>
        <v/>
      </c>
      <c r="K86" s="342">
        <f t="array" ref="K86">_xlfn.LET(_xlpm.gs,J86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87">
      <c r="J87" s="192">
        <f>J86+0.005</f>
        <v/>
      </c>
      <c r="K87" s="342">
        <f t="array" ref="K87">_xlfn.LET(_xlpm.gs,J87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88">
      <c r="J88" s="192">
        <f>J87+0.005</f>
        <v/>
      </c>
      <c r="K88" s="342">
        <f t="array" ref="K88">_xlfn.LET(_xlpm.gs,J88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89">
      <c r="J89" s="192">
        <f>J88+0.005</f>
        <v/>
      </c>
      <c r="K89" s="342">
        <f t="array" ref="K89">_xlfn.LET(_xlpm.gs,J89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90">
      <c r="J90" s="192">
        <f>J89+0.005</f>
        <v/>
      </c>
      <c r="K90" s="342">
        <f t="array" ref="K90">_xlfn.LET(_xlpm.gs,J90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91">
      <c r="J91" s="192">
        <f>J90+0.005</f>
        <v/>
      </c>
      <c r="K91" s="342">
        <f t="array" ref="K91">_xlfn.LET(_xlpm.gs,J91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92">
      <c r="J92" s="192">
        <f>J91+0.005</f>
        <v/>
      </c>
      <c r="K92" s="342">
        <f t="array" ref="K92">_xlfn.LET(_xlpm.gs,J92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93">
      <c r="J93" s="192">
        <f>J92+0.005</f>
        <v/>
      </c>
      <c r="K93" s="342">
        <f t="array" ref="K93">_xlfn.LET(_xlpm.gs,J93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94">
      <c r="J94" s="192">
        <f>J93+0.005</f>
        <v/>
      </c>
      <c r="K94" s="342">
        <f t="array" ref="K94">_xlfn.LET(_xlpm.gs,J94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95">
      <c r="J95" s="192">
        <f>J94+0.005</f>
        <v/>
      </c>
      <c r="K95" s="342">
        <f t="array" ref="K95">_xlfn.LET(_xlpm.gs,J95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96">
      <c r="J96" s="192">
        <f>J95+0.005</f>
        <v/>
      </c>
      <c r="K96" s="342">
        <f t="array" ref="K96">_xlfn.LET(_xlpm.gs,J96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97">
      <c r="J97" s="192">
        <f>J96+0.005</f>
        <v/>
      </c>
      <c r="K97" s="342">
        <f t="array" ref="K97">_xlfn.LET(_xlpm.gs,J97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98">
      <c r="J98" s="192">
        <f>J97+0.005</f>
        <v/>
      </c>
      <c r="K98" s="342">
        <f t="array" ref="K98">_xlfn.LET(_xlpm.gs,J98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99">
      <c r="J99" s="192">
        <f>J98+0.005</f>
        <v/>
      </c>
      <c r="K99" s="342">
        <f t="array" ref="K99">_xlfn.LET(_xlpm.gs,J99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00">
      <c r="J100" s="192">
        <f>J99+0.005</f>
        <v/>
      </c>
      <c r="K100" s="342">
        <f t="array" ref="K100">_xlfn.LET(_xlpm.gs,J100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01">
      <c r="J101" s="192">
        <f>J100+0.005</f>
        <v/>
      </c>
      <c r="K101" s="342">
        <f t="array" ref="K101">_xlfn.LET(_xlpm.gs,J101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02">
      <c r="J102" s="192">
        <f>J101+0.005</f>
        <v/>
      </c>
      <c r="K102" s="342">
        <f t="array" ref="K102">_xlfn.LET(_xlpm.gs,J102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03">
      <c r="J103" s="192">
        <f>J102+0.005</f>
        <v/>
      </c>
      <c r="K103" s="342">
        <f t="array" ref="K103">_xlfn.LET(_xlpm.gs,J103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04">
      <c r="J104" s="192">
        <f>J103+0.005</f>
        <v/>
      </c>
      <c r="K104" s="342">
        <f t="array" ref="K104">_xlfn.LET(_xlpm.gs,J104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05">
      <c r="J105" s="192">
        <f>J104+0.005</f>
        <v/>
      </c>
      <c r="K105" s="342">
        <f t="array" ref="K105">_xlfn.LET(_xlpm.gs,J105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06">
      <c r="J106" s="192">
        <f>J105+0.005</f>
        <v/>
      </c>
      <c r="K106" s="342">
        <f t="array" ref="K106">_xlfn.LET(_xlpm.gs,J106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07">
      <c r="J107" s="192">
        <f>J106+0.005</f>
        <v/>
      </c>
      <c r="K107" s="342">
        <f t="array" ref="K107">_xlfn.LET(_xlpm.gs,J107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08">
      <c r="J108" s="192">
        <f>J107+0.005</f>
        <v/>
      </c>
      <c r="K108" s="342">
        <f t="array" ref="K108">_xlfn.LET(_xlpm.gs,J108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09">
      <c r="J109" s="192">
        <f>J108+0.005</f>
        <v/>
      </c>
      <c r="K109" s="342">
        <f t="array" ref="K109">_xlfn.LET(_xlpm.gs,J109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10">
      <c r="J110" s="192">
        <f>J109+0.005</f>
        <v/>
      </c>
      <c r="K110" s="342">
        <f t="array" ref="K110">_xlfn.LET(_xlpm.gs,J110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11">
      <c r="J111" s="192">
        <f>J110+0.005</f>
        <v/>
      </c>
      <c r="K111" s="342">
        <f t="array" ref="K111">_xlfn.LET(_xlpm.gs,J111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12">
      <c r="J112" s="192">
        <f>J111+0.005</f>
        <v/>
      </c>
      <c r="K112" s="342">
        <f t="array" ref="K112">_xlfn.LET(_xlpm.gs,J112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13">
      <c r="J113" s="192">
        <f>J112+0.005</f>
        <v/>
      </c>
      <c r="K113" s="342">
        <f t="array" ref="K113">_xlfn.LET(_xlpm.gs,J113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14">
      <c r="J114" s="192">
        <f>J113+0.005</f>
        <v/>
      </c>
      <c r="K114" s="342">
        <f t="array" ref="K114">_xlfn.LET(_xlpm.gs,J114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15">
      <c r="J115" s="192">
        <f>J114+0.005</f>
        <v/>
      </c>
      <c r="K115" s="342">
        <f t="array" ref="K115">_xlfn.LET(_xlpm.gs,J115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16">
      <c r="J116" s="192">
        <f>J115+0.005</f>
        <v/>
      </c>
      <c r="K116" s="342">
        <f t="array" ref="K116">_xlfn.LET(_xlpm.gs,J116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17">
      <c r="J117" s="192">
        <f>J116+0.005</f>
        <v/>
      </c>
      <c r="K117" s="342">
        <f t="array" ref="K117">_xlfn.LET(_xlpm.gs,J117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18">
      <c r="J118" s="192">
        <f>J117+0.005</f>
        <v/>
      </c>
      <c r="K118" s="342">
        <f t="array" ref="K118">_xlfn.LET(_xlpm.gs,J118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19">
      <c r="J119" s="192">
        <f>J118+0.005</f>
        <v/>
      </c>
      <c r="K119" s="342">
        <f t="array" ref="K119">_xlfn.LET(_xlpm.gs,J119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20">
      <c r="J120" s="192">
        <f>J119+0.005</f>
        <v/>
      </c>
      <c r="K120" s="342">
        <f t="array" ref="K120">_xlfn.LET(_xlpm.gs,J120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21">
      <c r="J121" s="192">
        <f>J120+0.005</f>
        <v/>
      </c>
      <c r="K121" s="342">
        <f t="array" ref="K121">_xlfn.LET(_xlpm.gs,J121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22">
      <c r="J122" s="192">
        <f>J121+0.005</f>
        <v/>
      </c>
      <c r="K122" s="342">
        <f t="array" ref="K122">_xlfn.LET(_xlpm.gs,J122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23">
      <c r="J123" s="192">
        <f>J122+0.005</f>
        <v/>
      </c>
      <c r="K123" s="342">
        <f t="array" ref="K123">_xlfn.LET(_xlpm.gs,J123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24">
      <c r="J124" s="192">
        <f>J123+0.005</f>
        <v/>
      </c>
      <c r="K124" s="342">
        <f t="array" ref="K124">_xlfn.LET(_xlpm.gs,J124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25">
      <c r="J125" s="192">
        <f>J124+0.005</f>
        <v/>
      </c>
      <c r="K125" s="342">
        <f t="array" ref="K125">_xlfn.LET(_xlpm.gs,J125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26">
      <c r="J126" s="192">
        <f>J125+0.005</f>
        <v/>
      </c>
      <c r="K126" s="342">
        <f t="array" ref="K126">_xlfn.LET(_xlpm.gs,J126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27">
      <c r="J127" s="192">
        <f>J126+0.005</f>
        <v/>
      </c>
      <c r="K127" s="342">
        <f t="array" ref="K127">_xlfn.LET(_xlpm.gs,J127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28">
      <c r="J128" s="192">
        <f>J127+0.005</f>
        <v/>
      </c>
      <c r="K128" s="342">
        <f t="array" ref="K128">_xlfn.LET(_xlpm.gs,J128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29">
      <c r="J129" s="192">
        <f>J128+0.005</f>
        <v/>
      </c>
      <c r="K129" s="342">
        <f t="array" ref="K129">_xlfn.LET(_xlpm.gs,J129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30">
      <c r="J130" s="192">
        <f>J129+0.005</f>
        <v/>
      </c>
      <c r="K130" s="342">
        <f t="array" ref="K130">_xlfn.LET(_xlpm.gs,J130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31">
      <c r="J131" s="192">
        <f>J130+0.005</f>
        <v/>
      </c>
      <c r="K131" s="342">
        <f t="array" ref="K131">_xlfn.LET(_xlpm.gs,J131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32">
      <c r="J132" s="192">
        <f>J131+0.005</f>
        <v/>
      </c>
      <c r="K132" s="342">
        <f t="array" ref="K132">_xlfn.LET(_xlpm.gs,J132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33">
      <c r="J133" s="192">
        <f>J132+0.005</f>
        <v/>
      </c>
      <c r="K133" s="342">
        <f t="array" ref="K133">_xlfn.LET(_xlpm.gs,J133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34">
      <c r="J134" s="192">
        <f>J133+0.005</f>
        <v/>
      </c>
      <c r="K134" s="342">
        <f t="array" ref="K134">_xlfn.LET(_xlpm.gs,J134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35">
      <c r="J135" s="192">
        <f>J134+0.005</f>
        <v/>
      </c>
      <c r="K135" s="342">
        <f t="array" ref="K135">_xlfn.LET(_xlpm.gs,J135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36">
      <c r="J136" s="192">
        <f>J135+0.005</f>
        <v/>
      </c>
      <c r="K136" s="342">
        <f t="array" ref="K136">_xlfn.LET(_xlpm.gs,J136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37">
      <c r="J137" s="192">
        <f>J136+0.005</f>
        <v/>
      </c>
      <c r="K137" s="342">
        <f t="array" ref="K137">_xlfn.LET(_xlpm.gs,J137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38">
      <c r="J138" s="192">
        <f>J137+0.005</f>
        <v/>
      </c>
      <c r="K138" s="342">
        <f t="array" ref="K138">_xlfn.LET(_xlpm.gs,J138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39">
      <c r="J139" s="192">
        <f>J138+0.005</f>
        <v/>
      </c>
      <c r="K139" s="342">
        <f t="array" ref="K139">_xlfn.LET(_xlpm.gs,J139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40">
      <c r="J140" s="192">
        <f>J139+0.005</f>
        <v/>
      </c>
      <c r="K140" s="342">
        <f t="array" ref="K140">_xlfn.LET(_xlpm.gs,J140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41">
      <c r="J141" s="192">
        <f>J140+0.005</f>
        <v/>
      </c>
      <c r="K141" s="342">
        <f t="array" ref="K141">_xlfn.LET(_xlpm.gs,J141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42">
      <c r="J142" s="192">
        <f>J141+0.005</f>
        <v/>
      </c>
      <c r="K142" s="342">
        <f t="array" ref="K142">_xlfn.LET(_xlpm.gs,J142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43">
      <c r="J143" s="192">
        <f>J142+0.005</f>
        <v/>
      </c>
      <c r="K143" s="342">
        <f t="array" ref="K143">_xlfn.LET(_xlpm.gs,J143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44">
      <c r="J144" s="192">
        <f>J143+0.005</f>
        <v/>
      </c>
      <c r="K144" s="342">
        <f t="array" ref="K144">_xlfn.LET(_xlpm.gs,J144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45">
      <c r="J145" s="192">
        <f>J144+0.005</f>
        <v/>
      </c>
      <c r="K145" s="342">
        <f t="array" ref="K145">_xlfn.LET(_xlpm.gs,J145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46">
      <c r="J146" s="192">
        <f>J145+0.005</f>
        <v/>
      </c>
      <c r="K146" s="342">
        <f t="array" ref="K146">_xlfn.LET(_xlpm.gs,J146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47">
      <c r="J147" s="192">
        <f>J146+0.005</f>
        <v/>
      </c>
      <c r="K147" s="342">
        <f t="array" ref="K147">_xlfn.LET(_xlpm.gs,J147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48">
      <c r="J148" s="192">
        <f>J147+0.005</f>
        <v/>
      </c>
      <c r="K148" s="342">
        <f t="array" ref="K148">_xlfn.LET(_xlpm.gs,J148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49">
      <c r="J149" s="192">
        <f>J148+0.005</f>
        <v/>
      </c>
      <c r="K149" s="342">
        <f t="array" ref="K149">_xlfn.LET(_xlpm.gs,J149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50">
      <c r="J150" s="192">
        <f>J149+0.005</f>
        <v/>
      </c>
      <c r="K150" s="342">
        <f t="array" ref="K150">_xlfn.LET(_xlpm.gs,J150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51">
      <c r="J151" s="192">
        <f>J150+0.005</f>
        <v/>
      </c>
      <c r="K151" s="342">
        <f t="array" ref="K151">_xlfn.LET(_xlpm.gs,J151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52">
      <c r="J152" s="192">
        <f>J151+0.005</f>
        <v/>
      </c>
      <c r="K152" s="342">
        <f t="array" ref="K152">_xlfn.LET(_xlpm.gs,J152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53">
      <c r="J153" s="192">
        <f>J152+0.005</f>
        <v/>
      </c>
      <c r="K153" s="342">
        <f t="array" ref="K153">_xlfn.LET(_xlpm.gs,J153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54">
      <c r="J154" s="192">
        <f>J153+0.005</f>
        <v/>
      </c>
      <c r="K154" s="342">
        <f t="array" ref="K154">_xlfn.LET(_xlpm.gs,J154,_xlpm.w,$B$7,_xlpm.tgr,$B$8,_xlpm.b,$B$17,_xlpm.nd,$B$18,_xlpm.shs,$B$6,_xlpm.m,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</sheetData>
  <mergeCells count="1">
    <mergeCell ref="A56:H56"/>
  </mergeCells>
  <dataValidations count="2">
    <dataValidation sqref="B10" showDropDown="0" showInputMessage="1" showErrorMessage="1" allowBlank="1" type="list">
      <formula1>"FY25 reported,3-yr average"</formula1>
    </dataValidation>
    <dataValidation sqref="B11 B12 B13" showDropDown="0" showInputMessage="1" showErrorMessage="1" allowBlank="1" type="list">
      <formula1>"Yes,No"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2E75B6"/>
    <outlinePr summaryBelow="1" summaryRight="1"/>
    <pageSetUpPr/>
  </sheetPr>
  <dimension ref="A1:H4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4.5"/>
  <cols>
    <col width="41.81640625" customWidth="1" style="195" min="1" max="1"/>
    <col width="27.26953125" customWidth="1" style="195" min="2" max="4"/>
    <col width="16.36328125" customWidth="1" style="195" min="5" max="7"/>
    <col width="8.7265625" customWidth="1" style="195" min="8" max="26"/>
  </cols>
  <sheetData>
    <row r="1" ht="30" customHeight="1" s="252">
      <c r="A1" s="146" t="n"/>
      <c r="B1" s="146" t="n"/>
      <c r="C1" s="146" t="n"/>
      <c r="D1" s="146" t="n"/>
      <c r="E1" s="146" t="n"/>
      <c r="F1" s="146" t="n"/>
      <c r="G1" s="146" t="n"/>
      <c r="H1" s="146" t="n"/>
    </row>
    <row r="2">
      <c r="A2" s="147" t="n"/>
      <c r="B2" s="147" t="n"/>
      <c r="C2" s="147" t="n"/>
      <c r="D2" s="147" t="n"/>
      <c r="E2" s="147" t="n"/>
      <c r="F2" s="147" t="n"/>
      <c r="G2" s="148" t="inlineStr">
        <is>
          <t>← Back to Summary</t>
        </is>
      </c>
      <c r="H2" s="147" t="n"/>
    </row>
    <row r="3"/>
    <row r="4">
      <c r="A4" s="149" t="inlineStr">
        <is>
          <t>Bear / base / bull scenarios</t>
        </is>
      </c>
      <c r="B4" s="149" t="n"/>
      <c r="C4" s="149" t="n"/>
      <c r="D4" s="149" t="n"/>
      <c r="E4" s="149" t="n"/>
      <c r="F4" s="149" t="n"/>
      <c r="G4" s="149" t="n"/>
      <c r="H4" s="149" t="n"/>
    </row>
    <row r="5">
      <c r="A5" s="153" t="n"/>
      <c r="B5" s="152" t="inlineStr">
        <is>
          <t>Bear</t>
        </is>
      </c>
      <c r="C5" s="152" t="inlineStr">
        <is>
          <t>Base</t>
        </is>
      </c>
      <c r="D5" s="152" t="inlineStr">
        <is>
          <t>Bull</t>
        </is>
      </c>
    </row>
    <row r="6">
      <c r="A6" s="195" t="n"/>
      <c r="B6" s="348" t="n"/>
      <c r="C6" s="349">
        <f>DCF!B9</f>
        <v/>
      </c>
      <c r="D6" s="348" t="n"/>
      <c r="E6" s="281" t="inlineStr">
        <is>
          <t>Bear and bull are fixed inputs (blue); base links to the DCF tab.</t>
        </is>
      </c>
    </row>
    <row r="7">
      <c r="A7" s="195" t="inlineStr">
        <is>
          <t>Discount rate (WACC)</t>
        </is>
      </c>
      <c r="B7" s="348" t="n"/>
      <c r="C7" s="349">
        <f>DCF!B7</f>
        <v/>
      </c>
      <c r="D7" s="348" t="n"/>
    </row>
    <row r="8">
      <c r="A8" s="195" t="inlineStr">
        <is>
          <t>Terminal growth</t>
        </is>
      </c>
      <c r="B8" s="348" t="n"/>
      <c r="C8" s="349">
        <f>DCF!B8</f>
        <v/>
      </c>
      <c r="D8" s="348" t="n"/>
    </row>
    <row r="9">
      <c r="A9" s="195" t="inlineStr">
        <is>
          <t>Scenario probability</t>
        </is>
      </c>
      <c r="B9" s="348" t="n"/>
      <c r="C9" s="348" t="n"/>
      <c r="D9" s="348" t="n"/>
      <c r="E9" s="195">
        <f>IF(ABS(SUM(B9:D9)-1)&lt;0.0001,"✓ sums to 100%","⚠ must sum to 100%")</f>
        <v/>
      </c>
    </row>
    <row r="10">
      <c r="A10" s="150" t="inlineStr">
        <is>
          <t>Fair value per share ($)</t>
        </is>
      </c>
      <c r="B10" s="350">
        <f t="array" ref="B10">_xlfn.LET(_xlpm.gs,B6,_xlpm.w,B7,_xlpm.tgr,B8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C10" s="350">
        <f t="array" ref="C10">_xlfn.LET(_xlpm.gs,C6,_xlpm.w,C7,_xlpm.tgr,C8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D10" s="350">
        <f t="array" ref="D10">_xlfn.LET(_xlpm.gs,D6,_xlpm.w,D7,_xlpm.tgr,D8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11">
      <c r="A11" s="195" t="inlineStr">
        <is>
          <t>Upside / (downside) vs price</t>
        </is>
      </c>
      <c r="B11" s="351">
        <f>B10/DCF!$B$5-1</f>
        <v/>
      </c>
      <c r="C11" s="351">
        <f>C10/DCF!$B$5-1</f>
        <v/>
      </c>
      <c r="D11" s="351">
        <f>D10/DCF!$B$5-1</f>
        <v/>
      </c>
    </row>
    <row r="12">
      <c r="A12" s="194" t="inlineStr">
        <is>
          <t>Probability-weighted fair value ($)</t>
        </is>
      </c>
      <c r="B12" s="352">
        <f>SUMPRODUCT(B9:D9,B10:D10)</f>
        <v/>
      </c>
    </row>
    <row r="13">
      <c r="A13" s="195" t="inlineStr">
        <is>
          <t>Probability-weighted upside / (downside)</t>
        </is>
      </c>
      <c r="B13" s="351">
        <f>B12/DCF!B5-1</f>
        <v/>
      </c>
    </row>
    <row r="14" ht="78" customHeight="1" s="252">
      <c r="A14" s="218" t="inlineStr">
        <is>
          <t>What has to happen</t>
        </is>
      </c>
      <c r="B14" s="217" t="n"/>
      <c r="C14" s="217" t="n"/>
      <c r="D14" s="217" t="n"/>
    </row>
    <row r="15"/>
    <row r="16"/>
    <row r="17"/>
    <row r="18">
      <c r="A18" s="149" t="n"/>
      <c r="B18" s="149" t="n"/>
      <c r="C18" s="149" t="n"/>
      <c r="D18" s="149" t="n"/>
      <c r="E18" s="149" t="n"/>
      <c r="F18" s="149" t="n"/>
      <c r="G18" s="149" t="n"/>
      <c r="H18" s="149" t="n"/>
    </row>
    <row r="19">
      <c r="B19" s="183" t="inlineStr">
        <is>
          <t>WACC ↓ · g →</t>
        </is>
      </c>
      <c r="C19" s="353">
        <f>DCF!$B$8+(-0.01)</f>
        <v/>
      </c>
      <c r="D19" s="353">
        <f>DCF!$B$8+(-0.005)</f>
        <v/>
      </c>
      <c r="E19" s="353">
        <f>DCF!$B$8+(0)</f>
        <v/>
      </c>
      <c r="F19" s="353">
        <f>DCF!$B$8+(0.005)</f>
        <v/>
      </c>
      <c r="G19" s="353">
        <f>DCF!$B$8+(0.01)</f>
        <v/>
      </c>
    </row>
    <row r="20">
      <c r="B20" s="353">
        <f>DCF!$B$7+(-0.01)</f>
        <v/>
      </c>
      <c r="C20" s="354">
        <f t="array" ref="C20">_xlfn.LET(_xlpm.gs,DCF!$B$9,_xlpm.w,$B20,_xlpm.tgr,C$19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D20" s="354">
        <f t="array" ref="D20">_xlfn.LET(_xlpm.gs,DCF!$B$9,_xlpm.w,$B20,_xlpm.tgr,D$19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E20" s="354">
        <f t="array" ref="E20">_xlfn.LET(_xlpm.gs,DCF!$B$9,_xlpm.w,$B20,_xlpm.tgr,E$19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F20" s="354">
        <f t="array" ref="F20">_xlfn.LET(_xlpm.gs,DCF!$B$9,_xlpm.w,$B20,_xlpm.tgr,F$19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G20" s="354">
        <f t="array" ref="G20">_xlfn.LET(_xlpm.gs,DCF!$B$9,_xlpm.w,$B20,_xlpm.tgr,G$19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21" ht="15" customHeight="1" s="252" thickBot="1">
      <c r="B21" s="353">
        <f>DCF!$B$7+(-0.005)</f>
        <v/>
      </c>
      <c r="C21" s="354">
        <f t="array" ref="C21">_xlfn.LET(_xlpm.gs,DCF!$B$9,_xlpm.w,$B21,_xlpm.tgr,C$19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D21" s="354">
        <f t="array" ref="D21">_xlfn.LET(_xlpm.gs,DCF!$B$9,_xlpm.w,$B21,_xlpm.tgr,D$19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E21" s="355">
        <f t="array" ref="E21">_xlfn.LET(_xlpm.gs,DCF!$B$9,_xlpm.w,$B21,_xlpm.tgr,E$19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F21" s="354">
        <f t="array" ref="F21">_xlfn.LET(_xlpm.gs,DCF!$B$9,_xlpm.w,$B21,_xlpm.tgr,F$19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G21" s="354">
        <f t="array" ref="G21">_xlfn.LET(_xlpm.gs,DCF!$B$9,_xlpm.w,$B21,_xlpm.tgr,G$19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22" ht="15" customHeight="1" s="252" thickBot="1">
      <c r="B22" s="353">
        <f>DCF!$B$7+(0)</f>
        <v/>
      </c>
      <c r="C22" s="354">
        <f t="array" ref="C22">_xlfn.LET(_xlpm.gs,DCF!$B$9,_xlpm.w,$B22,_xlpm.tgr,C$19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D22" s="356">
        <f t="array" ref="D22">_xlfn.LET(_xlpm.gs,DCF!$B$9,_xlpm.w,$B22,_xlpm.tgr,D$19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E22" s="357">
        <f t="array" ref="E22">_xlfn.LET(_xlpm.gs,DCF!$B$9,_xlpm.w,$B22,_xlpm.tgr,E$19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F22" s="358">
        <f t="array" ref="F22">_xlfn.LET(_xlpm.gs,DCF!$B$9,_xlpm.w,$B22,_xlpm.tgr,F$19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G22" s="354">
        <f t="array" ref="G22">_xlfn.LET(_xlpm.gs,DCF!$B$9,_xlpm.w,$B22,_xlpm.tgr,G$19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23">
      <c r="B23" s="353">
        <f>DCF!$B$7+(0.005)</f>
        <v/>
      </c>
      <c r="C23" s="354">
        <f t="array" ref="C23">_xlfn.LET(_xlpm.gs,DCF!$B$9,_xlpm.w,$B23,_xlpm.tgr,C$19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D23" s="354">
        <f t="array" ref="D23">_xlfn.LET(_xlpm.gs,DCF!$B$9,_xlpm.w,$B23,_xlpm.tgr,D$19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E23" s="359">
        <f t="array" ref="E23">_xlfn.LET(_xlpm.gs,DCF!$B$9,_xlpm.w,$B23,_xlpm.tgr,E$19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F23" s="354">
        <f t="array" ref="F23">_xlfn.LET(_xlpm.gs,DCF!$B$9,_xlpm.w,$B23,_xlpm.tgr,F$19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G23" s="354">
        <f t="array" ref="G23">_xlfn.LET(_xlpm.gs,DCF!$B$9,_xlpm.w,$B23,_xlpm.tgr,G$19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24">
      <c r="B24" s="353">
        <f>DCF!$B$7+(0.01)</f>
        <v/>
      </c>
      <c r="C24" s="354">
        <f t="array" ref="C24">_xlfn.LET(_xlpm.gs,DCF!$B$9,_xlpm.w,$B24,_xlpm.tgr,C$19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D24" s="354">
        <f t="array" ref="D24">_xlfn.LET(_xlpm.gs,DCF!$B$9,_xlpm.w,$B24,_xlpm.tgr,D$19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E24" s="354">
        <f t="array" ref="E24">_xlfn.LET(_xlpm.gs,DCF!$B$9,_xlpm.w,$B24,_xlpm.tgr,E$19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F24" s="354">
        <f t="array" ref="F24">_xlfn.LET(_xlpm.gs,DCF!$B$9,_xlpm.w,$B24,_xlpm.tgr,F$19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G24" s="354">
        <f t="array" ref="G24">_xlfn.LET(_xlpm.gs,DCF!$B$9,_xlpm.w,$B24,_xlpm.tgr,G$19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25"/>
    <row r="26">
      <c r="A26" s="149" t="n"/>
      <c r="B26" s="149" t="n"/>
      <c r="C26" s="149" t="n"/>
      <c r="D26" s="149" t="n"/>
      <c r="E26" s="149" t="n"/>
      <c r="F26" s="149" t="n"/>
      <c r="G26" s="149" t="n"/>
      <c r="H26" s="149" t="n"/>
    </row>
    <row r="27">
      <c r="B27" s="183" t="inlineStr">
        <is>
          <t>Growth ↓ · WACC →</t>
        </is>
      </c>
      <c r="C27" s="353">
        <f>DCF!$B$7+(-0.01)</f>
        <v/>
      </c>
      <c r="D27" s="353">
        <f>DCF!$B$7+(-0.005)</f>
        <v/>
      </c>
      <c r="E27" s="353">
        <f>DCF!$B$7+(0)</f>
        <v/>
      </c>
      <c r="F27" s="353">
        <f>DCF!$B$7+(0.005)</f>
        <v/>
      </c>
      <c r="G27" s="353">
        <f>DCF!$B$7+(0.01)</f>
        <v/>
      </c>
    </row>
    <row r="28">
      <c r="B28" s="353">
        <f>DCF!$B$9+(-0.06)</f>
        <v/>
      </c>
      <c r="C28" s="354">
        <f t="array" ref="C28">_xlfn.LET(_xlpm.gs,$B28,_xlpm.w,C$27,_xlpm.tgr,DCF!$B$8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D28" s="354">
        <f t="array" ref="D28">_xlfn.LET(_xlpm.gs,$B28,_xlpm.w,D$27,_xlpm.tgr,DCF!$B$8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E28" s="354">
        <f t="array" ref="E28">_xlfn.LET(_xlpm.gs,$B28,_xlpm.w,E$27,_xlpm.tgr,DCF!$B$8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F28" s="354">
        <f t="array" ref="F28">_xlfn.LET(_xlpm.gs,$B28,_xlpm.w,F$27,_xlpm.tgr,DCF!$B$8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G28" s="354">
        <f t="array" ref="G28">_xlfn.LET(_xlpm.gs,$B28,_xlpm.w,G$27,_xlpm.tgr,DCF!$B$8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29" ht="15" customHeight="1" s="252" thickBot="1">
      <c r="B29" s="353">
        <f>DCF!$B$9+(-0.03)</f>
        <v/>
      </c>
      <c r="C29" s="354">
        <f t="array" ref="C29">_xlfn.LET(_xlpm.gs,$B29,_xlpm.w,C$27,_xlpm.tgr,DCF!$B$8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D29" s="354">
        <f t="array" ref="D29">_xlfn.LET(_xlpm.gs,$B29,_xlpm.w,D$27,_xlpm.tgr,DCF!$B$8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E29" s="355">
        <f t="array" ref="E29">_xlfn.LET(_xlpm.gs,$B29,_xlpm.w,E$27,_xlpm.tgr,DCF!$B$8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F29" s="354">
        <f t="array" ref="F29">_xlfn.LET(_xlpm.gs,$B29,_xlpm.w,F$27,_xlpm.tgr,DCF!$B$8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G29" s="354">
        <f t="array" ref="G29">_xlfn.LET(_xlpm.gs,$B29,_xlpm.w,G$27,_xlpm.tgr,DCF!$B$8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30" ht="15" customHeight="1" s="252" thickBot="1">
      <c r="B30" s="353">
        <f>DCF!$B$9+(0)</f>
        <v/>
      </c>
      <c r="C30" s="354">
        <f t="array" ref="C30">_xlfn.LET(_xlpm.gs,$B30,_xlpm.w,C$27,_xlpm.tgr,DCF!$B$8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D30" s="356">
        <f t="array" ref="D30">_xlfn.LET(_xlpm.gs,$B30,_xlpm.w,D$27,_xlpm.tgr,DCF!$B$8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E30" s="357">
        <f t="array" ref="E30">_xlfn.LET(_xlpm.gs,$B30,_xlpm.w,E$27,_xlpm.tgr,DCF!$B$8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F30" s="358">
        <f t="array" ref="F30">_xlfn.LET(_xlpm.gs,$B30,_xlpm.w,F$27,_xlpm.tgr,DCF!$B$8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G30" s="354">
        <f t="array" ref="G30">_xlfn.LET(_xlpm.gs,$B30,_xlpm.w,G$27,_xlpm.tgr,DCF!$B$8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31">
      <c r="B31" s="353">
        <f>DCF!$B$9+(0.03)</f>
        <v/>
      </c>
      <c r="C31" s="354">
        <f t="array" ref="C31">_xlfn.LET(_xlpm.gs,$B31,_xlpm.w,C$27,_xlpm.tgr,DCF!$B$8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D31" s="354">
        <f t="array" ref="D31">_xlfn.LET(_xlpm.gs,$B31,_xlpm.w,D$27,_xlpm.tgr,DCF!$B$8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E31" s="359">
        <f t="array" ref="E31">_xlfn.LET(_xlpm.gs,$B31,_xlpm.w,E$27,_xlpm.tgr,DCF!$B$8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F31" s="354">
        <f t="array" ref="F31">_xlfn.LET(_xlpm.gs,$B31,_xlpm.w,F$27,_xlpm.tgr,DCF!$B$8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G31" s="354">
        <f t="array" ref="G31">_xlfn.LET(_xlpm.gs,$B31,_xlpm.w,G$27,_xlpm.tgr,DCF!$B$8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32">
      <c r="B32" s="353">
        <f>DCF!$B$9+(0.06)</f>
        <v/>
      </c>
      <c r="C32" s="354">
        <f t="array" ref="C32">_xlfn.LET(_xlpm.gs,$B32,_xlpm.w,C$27,_xlpm.tgr,DCF!$B$8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D32" s="354">
        <f t="array" ref="D32">_xlfn.LET(_xlpm.gs,$B32,_xlpm.w,D$27,_xlpm.tgr,DCF!$B$8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E32" s="354">
        <f t="array" ref="E32">_xlfn.LET(_xlpm.gs,$B32,_xlpm.w,E$27,_xlpm.tgr,DCF!$B$8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F32" s="354">
        <f t="array" ref="F32">_xlfn.LET(_xlpm.gs,$B32,_xlpm.w,F$27,_xlpm.tgr,DCF!$B$8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  <c r="G32" s="354">
        <f t="array" ref="G32">_xlfn.LET(_xlpm.gs,$B32,_xlpm.w,G$27,_xlpm.tgr,DCF!$B$8,_xlpm.b,DCF!$B$17,_xlpm.nd,DCF!$B$18,_xlpm.shs,DCF!$B$6,_xlpm.m,DCF!$B$19,_xlpm.t,_xlfn.SEQUENCE(10),_xlpm.g,_xlpm.gs-(_xlpm.gs-_xlpm.tgr)*(_xlpm.t-1)/9,_xlpm.f,_xlpm.b*EXP(MMULT(--(_xlpm.t&gt;=TRANSPOSE(_xlpm.t)),LN(1+_xlpm.g))),_xlpm.pv,SUM(_xlpm.f/(1+_xlpm.w)^(_xlpm.t-0.5*_xlpm.m)),_xlpm.tv,INDEX(_xlpm.f,10)*(1+_xlpm.tgr)/(_xlpm.w-_xlpm.tgr)/(1+_xlpm.w)^10,(_xlpm.pv+_xlpm.tv-_xlpm.nd)/_xlpm.shs)</f>
        <v/>
      </c>
    </row>
    <row r="33"/>
    <row r="34">
      <c r="A34" s="175">
        <f>"Yellow = base case. Green = fair value at or above today's price of "&amp;TEXT(DCF!B5,"$0.00")&amp;". The base case assumes "&amp;TEXT(DCF!B9,"0.0%")&amp;" year-1 growth; the market price implies "&amp;TEXT(DCF!B49,"0.0%")&amp;" (≈"&amp;TEXT(DCF!B50,"0.0%")&amp;" 10-yr CAGR)."</f>
        <v/>
      </c>
    </row>
    <row r="35"/>
    <row r="36">
      <c r="A36" s="149" t="inlineStr">
        <is>
          <t>Valuation range (feeds the Summary chart)</t>
        </is>
      </c>
      <c r="B36" s="149" t="n"/>
      <c r="C36" s="149" t="n"/>
      <c r="D36" s="149" t="n"/>
      <c r="E36" s="149" t="n"/>
      <c r="F36" s="149" t="n"/>
      <c r="G36" s="149" t="n"/>
      <c r="H36" s="149" t="n"/>
    </row>
    <row r="37">
      <c r="A37" s="153" t="inlineStr">
        <is>
          <t>Measure</t>
        </is>
      </c>
      <c r="B37" s="152" t="inlineStr">
        <is>
          <t>$ per share</t>
        </is>
      </c>
    </row>
    <row r="38">
      <c r="A38" s="195" t="inlineStr">
        <is>
          <t>DCF — bear</t>
        </is>
      </c>
      <c r="B38" s="360">
        <f>B10</f>
        <v/>
      </c>
    </row>
    <row r="39">
      <c r="A39" s="195" t="inlineStr">
        <is>
          <t>DCF — base</t>
        </is>
      </c>
      <c r="B39" s="360">
        <f>C10</f>
        <v/>
      </c>
    </row>
    <row r="40">
      <c r="A40" s="195" t="inlineStr">
        <is>
          <t>DCF — bull</t>
        </is>
      </c>
      <c r="B40" s="360">
        <f>D10</f>
        <v/>
      </c>
    </row>
    <row r="41">
      <c r="A41" s="195" t="inlineStr">
        <is>
          <t>DCF — probability-weighted</t>
        </is>
      </c>
      <c r="B41" s="360">
        <f>B12</f>
        <v/>
      </c>
    </row>
    <row r="42">
      <c r="A42" s="195" t="n"/>
      <c r="B42" s="360" t="n"/>
    </row>
    <row r="43">
      <c r="A43" s="195" t="n"/>
      <c r="B43" s="360" t="n"/>
    </row>
    <row r="44">
      <c r="A44" s="195" t="inlineStr">
        <is>
          <t>Current price</t>
        </is>
      </c>
      <c r="B44" s="360">
        <f>DCF!B5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2E75B6"/>
    <outlinePr summaryBelow="1" summaryRight="1"/>
    <pageSetUpPr/>
  </sheetPr>
  <dimension ref="A1:E3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4.5"/>
  <cols>
    <col width="40" customWidth="1" style="195" min="1" max="1"/>
    <col width="16.36328125" customWidth="1" style="195" min="2" max="3"/>
    <col width="69.08984375" customWidth="1" style="195" min="4" max="4"/>
    <col width="3.6328125" customWidth="1" style="195" min="5" max="5"/>
    <col width="8.7265625" customWidth="1" style="195" min="6" max="26"/>
  </cols>
  <sheetData>
    <row r="1" ht="30" customHeight="1" s="252">
      <c r="A1" s="146" t="n"/>
      <c r="B1" s="146" t="n"/>
      <c r="C1" s="146" t="n"/>
      <c r="D1" s="146" t="n"/>
      <c r="E1" s="146" t="n"/>
    </row>
    <row r="2">
      <c r="A2" s="147" t="n"/>
      <c r="B2" s="147" t="n"/>
      <c r="C2" s="147" t="n"/>
      <c r="D2" s="148" t="inlineStr">
        <is>
          <t>← Back to Summary</t>
        </is>
      </c>
      <c r="E2" s="147" t="n"/>
    </row>
    <row r="3"/>
    <row r="4">
      <c r="A4" s="149" t="inlineStr">
        <is>
          <t>Market value</t>
        </is>
      </c>
      <c r="B4" s="149" t="n"/>
      <c r="C4" s="149" t="n"/>
      <c r="D4" s="149" t="n"/>
      <c r="E4" s="149" t="n"/>
    </row>
    <row r="5">
      <c r="A5" s="195" t="inlineStr">
        <is>
          <t>Share price ($)</t>
        </is>
      </c>
      <c r="B5" s="334">
        <f>DCF!B5</f>
        <v/>
      </c>
      <c r="C5" s="197" t="n"/>
    </row>
    <row r="6">
      <c r="A6" s="195" t="inlineStr">
        <is>
          <t>Shares outstanding (B)</t>
        </is>
      </c>
      <c r="B6" s="335">
        <f>Financials!B41</f>
        <v/>
      </c>
      <c r="C6" s="197" t="n"/>
    </row>
    <row r="7">
      <c r="A7" s="195" t="inlineStr">
        <is>
          <t>Market capitalisation ($B)</t>
        </is>
      </c>
      <c r="B7" s="325">
        <f>B5*B6</f>
        <v/>
      </c>
      <c r="C7" s="197" t="n"/>
    </row>
    <row r="8">
      <c r="A8" s="195" t="inlineStr">
        <is>
          <t>Net debt / (net cash) ($B)</t>
        </is>
      </c>
      <c r="B8" s="361">
        <f>DCF!B18</f>
        <v/>
      </c>
      <c r="C8" s="197" t="inlineStr">
        <is>
          <t>Per DCF tab treatment</t>
        </is>
      </c>
    </row>
    <row r="9">
      <c r="A9" s="195" t="inlineStr">
        <is>
          <t>Enterprise value ($B)</t>
        </is>
      </c>
      <c r="B9" s="325">
        <f>B7+B8</f>
        <v/>
      </c>
      <c r="C9" s="197" t="n"/>
    </row>
    <row r="10">
      <c r="A10" s="195" t="inlineStr">
        <is>
          <t>Quarterly dividend per share ($)</t>
        </is>
      </c>
      <c r="B10" s="362" t="n"/>
      <c r="C10" s="197" t="n"/>
    </row>
    <row r="11">
      <c r="A11" s="195" t="inlineStr">
        <is>
          <t>Dividend yield (run-rate)</t>
        </is>
      </c>
      <c r="B11" s="235">
        <f>B10*4/B5</f>
        <v/>
      </c>
      <c r="C11" s="197" t="n"/>
    </row>
    <row r="12"/>
    <row r="13">
      <c r="A13" s="149" t="inlineStr">
        <is>
          <t>Valuation multiples</t>
        </is>
      </c>
      <c r="B13" s="149" t="n"/>
      <c r="C13" s="149" t="n"/>
      <c r="D13" s="149" t="n"/>
      <c r="E13" s="149" t="n"/>
    </row>
    <row r="14">
      <c r="A14" s="153" t="inlineStr">
        <is>
          <t>Metric</t>
        </is>
      </c>
      <c r="B14" s="152" t="n"/>
      <c r="C14" s="152" t="n"/>
      <c r="D14" s="151" t="inlineStr">
        <is>
          <t>Definition</t>
        </is>
      </c>
    </row>
    <row r="15">
      <c r="A15" s="150" t="inlineStr">
        <is>
          <t>P/E</t>
        </is>
      </c>
      <c r="B15" s="363">
        <f>B7/Financials!K8</f>
        <v/>
      </c>
      <c r="C15" s="363">
        <f>B5/Financials!F19</f>
        <v/>
      </c>
      <c r="D15" s="197" t="n"/>
    </row>
    <row r="16">
      <c r="A16" s="195" t="inlineStr">
        <is>
          <t>EV / Sales</t>
        </is>
      </c>
      <c r="B16" s="364">
        <f>B9/Financials!K6</f>
        <v/>
      </c>
      <c r="C16" s="364">
        <f>B9/Financials!F17</f>
        <v/>
      </c>
      <c r="D16" s="197" t="inlineStr">
        <is>
          <t>Enterprise value ÷ revenue</t>
        </is>
      </c>
    </row>
    <row r="17">
      <c r="A17" s="195" t="inlineStr">
        <is>
          <t>Price / Sales</t>
        </is>
      </c>
      <c r="B17" s="364">
        <f>B7/Financials!K6</f>
        <v/>
      </c>
      <c r="C17" s="364">
        <f>B7/Financials!F17</f>
        <v/>
      </c>
      <c r="D17" s="197" t="inlineStr">
        <is>
          <t>Market cap ÷ revenue</t>
        </is>
      </c>
    </row>
    <row r="18">
      <c r="A18" s="195" t="inlineStr">
        <is>
          <t>EV / EBITDA</t>
        </is>
      </c>
      <c r="B18" s="364">
        <f>B9/(Financials!B40+Financials!B39)</f>
        <v/>
      </c>
      <c r="C18" s="364" t="inlineStr">
        <is>
          <t>n/a</t>
        </is>
      </c>
      <c r="D18" s="197" t="inlineStr">
        <is>
          <t>EBITDA = operating income + D&amp;A (TTM EBITDA not yet captured)</t>
        </is>
      </c>
    </row>
    <row r="19">
      <c r="A19" s="195" t="inlineStr">
        <is>
          <t>Price / FCF</t>
        </is>
      </c>
      <c r="B19" s="364">
        <f>B7/Financials!K10</f>
        <v/>
      </c>
      <c r="C19" s="364" t="inlineStr">
        <is>
          <t>n/a</t>
        </is>
      </c>
      <c r="D19" s="197" t="inlineStr">
        <is>
          <t>Market cap ÷ (CFO − capex)</t>
        </is>
      </c>
    </row>
    <row r="20">
      <c r="A20" s="195" t="inlineStr">
        <is>
          <t>FCF yield</t>
        </is>
      </c>
      <c r="B20" s="338">
        <f>Financials!K10/B7</f>
        <v/>
      </c>
      <c r="C20" s="338" t="inlineStr">
        <is>
          <t>n/a</t>
        </is>
      </c>
      <c r="D20" s="197" t="inlineStr">
        <is>
          <t>Inverse of P/FCF</t>
        </is>
      </c>
    </row>
    <row r="21">
      <c r="A21" s="195" t="inlineStr">
        <is>
          <t>FCF yield after SBC</t>
        </is>
      </c>
      <c r="B21" s="338">
        <f>Financials!B38/B7</f>
        <v/>
      </c>
      <c r="C21" s="338" t="inlineStr">
        <is>
          <t>n/a</t>
        </is>
      </c>
      <c r="D21" s="197" t="inlineStr">
        <is>
          <t>Treats stock comp as a cash-equivalent cost</t>
        </is>
      </c>
    </row>
    <row r="22">
      <c r="A22" s="195" t="inlineStr">
        <is>
          <t>Earnings yield</t>
        </is>
      </c>
      <c r="B22" s="338">
        <f>1/B15</f>
        <v/>
      </c>
      <c r="C22" s="338">
        <f>1/C15</f>
        <v/>
      </c>
      <c r="D22" s="197" t="inlineStr">
        <is>
          <t>Inverse of P/E</t>
        </is>
      </c>
    </row>
    <row r="23">
      <c r="A23" s="195" t="inlineStr">
        <is>
          <t>Earnings yield − risk-free rate</t>
        </is>
      </c>
      <c r="B23" s="338">
        <f>B22-DCF!$B$14</f>
        <v/>
      </c>
      <c r="C23" s="338">
        <f>C22-DCF!$B$14</f>
        <v/>
      </c>
      <c r="D23" s="197" t="n"/>
    </row>
    <row r="24">
      <c r="A24" s="195" t="inlineStr">
        <is>
          <t>Price / Book</t>
        </is>
      </c>
      <c r="B24" s="364">
        <f>B7/Financials!B33</f>
        <v/>
      </c>
      <c r="C24" s="364" t="inlineStr">
        <is>
          <t>n/a</t>
        </is>
      </c>
      <c r="D24" s="197" t="inlineStr">
        <is>
          <t>Distorted by buybacks — equity is small relative to earnings power</t>
        </is>
      </c>
    </row>
    <row r="25">
      <c r="D25" s="197" t="n"/>
    </row>
    <row r="26">
      <c r="A26" s="149" t="n"/>
      <c r="B26" s="149" t="n"/>
      <c r="C26" s="149" t="inlineStr">
        <is>
          <t>Latest qtr</t>
        </is>
      </c>
      <c r="D26" s="198" t="n"/>
      <c r="E26" s="149" t="n"/>
    </row>
    <row r="27">
      <c r="A27" s="195" t="inlineStr">
        <is>
          <t>Gross margin</t>
        </is>
      </c>
      <c r="B27" s="365">
        <f>Raw_Fundamentals!B14</f>
        <v/>
      </c>
      <c r="C27" s="366" t="n"/>
      <c r="D27" s="197" t="n"/>
    </row>
    <row r="28">
      <c r="A28" s="195" t="inlineStr">
        <is>
          <t>Operating margin</t>
        </is>
      </c>
      <c r="B28" s="338">
        <f>Financials!B40/Financials!K6</f>
        <v/>
      </c>
      <c r="C28" s="338" t="n"/>
      <c r="D28" s="197" t="n"/>
    </row>
    <row r="29">
      <c r="A29" s="195" t="inlineStr">
        <is>
          <t>Net margin</t>
        </is>
      </c>
      <c r="B29" s="338">
        <f>Financials!K9</f>
        <v/>
      </c>
      <c r="C29" s="338" t="n"/>
      <c r="D29" s="197" t="n"/>
    </row>
    <row r="30">
      <c r="A30" s="195" t="inlineStr">
        <is>
          <t>FCF margin</t>
        </is>
      </c>
      <c r="B30" s="338">
        <f>Financials!K11</f>
        <v/>
      </c>
      <c r="C30" s="338" t="n"/>
      <c r="D30" s="197" t="n"/>
    </row>
    <row r="31">
      <c r="A31" s="195" t="inlineStr">
        <is>
          <t>FCF ÷ net income (cash conversion)</t>
        </is>
      </c>
      <c r="B31" s="367">
        <f>Financials!K12</f>
        <v/>
      </c>
      <c r="C31" s="338" t="n"/>
      <c r="D31" s="197" t="n"/>
    </row>
    <row r="32">
      <c r="A32" s="195" t="inlineStr">
        <is>
          <t>Return on assets</t>
        </is>
      </c>
      <c r="B32" s="338">
        <f>Financials!K8/Financials!B34</f>
        <v/>
      </c>
      <c r="C32" s="338" t="n"/>
      <c r="D32" s="197" t="n"/>
    </row>
    <row r="33">
      <c r="A33" s="195" t="inlineStr">
        <is>
          <t>Stock-based comp as % of revenue</t>
        </is>
      </c>
      <c r="B33" s="338">
        <f>Financials!B37/Financials!K6</f>
        <v/>
      </c>
      <c r="C33" s="338" t="n"/>
      <c r="D33" s="197" t="n"/>
    </row>
    <row r="34">
      <c r="A34" s="195" t="inlineStr">
        <is>
          <t>Stock-based comp as % of FCF</t>
        </is>
      </c>
      <c r="B34" s="338">
        <f>Financials!B37/Financials!K10</f>
        <v/>
      </c>
      <c r="C34" s="338" t="n"/>
      <c r="D34" s="197" t="n"/>
    </row>
    <row r="35">
      <c r="A35" s="195" t="inlineStr">
        <is>
          <t>Net cash as % of market cap</t>
        </is>
      </c>
      <c r="B35" s="338">
        <f>-B8/B7</f>
        <v/>
      </c>
      <c r="C35" s="338" t="n"/>
      <c r="D35" s="197" t="n"/>
    </row>
    <row r="36">
      <c r="A36" s="195" t="inlineStr">
        <is>
          <t>Total debt ÷ EBITDA</t>
        </is>
      </c>
      <c r="B36" s="367">
        <f>Financials!B31/(Financials!B40+Financials!B39)</f>
        <v/>
      </c>
      <c r="C36" s="187" t="n"/>
      <c r="D36" s="197" t="n"/>
    </row>
    <row r="37"/>
    <row r="38">
      <c r="A38" s="149" t="inlineStr">
        <is>
          <t>Peer comparison</t>
        </is>
      </c>
      <c r="B38" s="149" t="n"/>
      <c r="C38" s="149" t="n"/>
      <c r="D38" s="149" t="n"/>
      <c r="E38" s="149" t="n"/>
    </row>
    <row r="39" ht="48" customHeight="1" s="252">
      <c r="A39" s="232" t="n"/>
      <c r="B39" s="251" t="n"/>
      <c r="C39" s="251" t="n"/>
      <c r="D39" s="251" t="n"/>
      <c r="E39" s="251" t="n"/>
    </row>
  </sheetData>
  <mergeCells count="1">
    <mergeCell ref="A39:E3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2E75B6"/>
    <outlinePr summaryBelow="1" summaryRight="1"/>
    <pageSetUpPr/>
  </sheetPr>
  <dimension ref="A1:I50"/>
  <sheetViews>
    <sheetView showGridLines="0" workbookViewId="0">
      <pane ySplit="2" topLeftCell="A27" activePane="bottomLeft" state="frozen"/>
      <selection pane="bottomLeft" activeCell="A1" sqref="A1"/>
    </sheetView>
  </sheetViews>
  <sheetFormatPr baseColWidth="8" defaultRowHeight="14.5"/>
  <cols>
    <col width="38.1796875" customWidth="1" style="195" min="1" max="1"/>
    <col width="17.26953125" customWidth="1" style="195" min="2" max="2"/>
    <col width="54.54296875" customWidth="1" style="195" min="3" max="3"/>
    <col width="15.453125" customWidth="1" style="195" min="4" max="4"/>
    <col width="3.6328125" customWidth="1" style="195" min="5" max="5"/>
    <col width="14.54296875" customWidth="1" style="195" min="6" max="6"/>
    <col width="16.36328125" customWidth="1" style="195" min="7" max="8"/>
    <col width="8.7265625" customWidth="1" style="195" min="9" max="26"/>
  </cols>
  <sheetData>
    <row r="1" ht="30" customHeight="1" s="252">
      <c r="A1" s="146" t="n"/>
      <c r="B1" s="146" t="n"/>
      <c r="C1" s="146" t="n"/>
      <c r="D1" s="146" t="n"/>
      <c r="E1" s="146" t="n"/>
      <c r="F1" s="146" t="n"/>
      <c r="G1" s="146" t="n"/>
      <c r="H1" s="146" t="n"/>
      <c r="I1" s="146" t="n"/>
    </row>
    <row r="2">
      <c r="A2" s="147" t="n"/>
      <c r="B2" s="147" t="n"/>
      <c r="C2" s="147" t="n"/>
      <c r="D2" s="147" t="n"/>
      <c r="E2" s="147" t="n"/>
      <c r="F2" s="147" t="n"/>
      <c r="G2" s="147" t="n"/>
      <c r="H2" s="148" t="n"/>
      <c r="I2" s="147" t="n"/>
    </row>
    <row r="3"/>
    <row r="4">
      <c r="A4" s="149" t="n"/>
      <c r="B4" s="149" t="n"/>
      <c r="C4" s="149" t="n"/>
      <c r="D4" s="149" t="n"/>
      <c r="F4" s="149" t="n"/>
      <c r="G4" s="149" t="n"/>
      <c r="H4" s="149" t="n"/>
      <c r="I4" s="149" t="n"/>
    </row>
    <row r="5">
      <c r="A5" s="195" t="n"/>
      <c r="B5" s="239" t="n"/>
      <c r="C5" s="197" t="n"/>
      <c r="F5" s="153" t="n"/>
      <c r="G5" s="152" t="n"/>
      <c r="H5" s="152" t="n"/>
    </row>
    <row r="6">
      <c r="A6" s="195" t="n"/>
      <c r="B6" s="239" t="n"/>
      <c r="C6" s="197" t="n"/>
      <c r="F6" s="368" t="n"/>
      <c r="G6" s="360" t="n"/>
      <c r="H6" s="351" t="n"/>
    </row>
    <row r="7">
      <c r="A7" s="195" t="n"/>
      <c r="B7" s="240" t="n"/>
      <c r="C7" s="197" t="n"/>
      <c r="F7" s="368" t="n"/>
      <c r="G7" s="360" t="n"/>
      <c r="H7" s="351" t="n"/>
    </row>
    <row r="8">
      <c r="A8" s="195" t="n"/>
      <c r="B8" s="344" t="n"/>
      <c r="C8" s="197" t="n"/>
      <c r="F8" s="368" t="n"/>
      <c r="G8" s="360" t="n"/>
      <c r="H8" s="351" t="n"/>
    </row>
    <row r="9">
      <c r="A9" s="195" t="n"/>
      <c r="B9" s="344" t="n"/>
      <c r="C9" s="197" t="n"/>
      <c r="F9" s="368" t="n"/>
      <c r="G9" s="360" t="n"/>
      <c r="H9" s="351" t="n"/>
    </row>
    <row r="10">
      <c r="A10" s="195" t="n"/>
      <c r="B10" s="338" t="n"/>
      <c r="C10" s="197" t="n"/>
      <c r="F10" s="368" t="n"/>
      <c r="G10" s="360" t="n"/>
      <c r="H10" s="351" t="n"/>
    </row>
    <row r="11">
      <c r="A11" s="195" t="n"/>
      <c r="B11" s="338" t="n"/>
      <c r="C11" s="197" t="n"/>
      <c r="F11" s="368" t="n"/>
      <c r="G11" s="360" t="n"/>
      <c r="H11" s="351" t="n"/>
    </row>
    <row r="12">
      <c r="A12" s="195" t="n"/>
      <c r="B12" s="241" t="n"/>
      <c r="C12" s="197" t="n"/>
      <c r="F12" s="368" t="n"/>
      <c r="G12" s="360" t="n"/>
      <c r="H12" s="351" t="n"/>
    </row>
    <row r="13">
      <c r="B13" s="187" t="n"/>
      <c r="C13" s="197" t="n"/>
      <c r="F13" s="368" t="n"/>
      <c r="G13" s="360" t="n"/>
      <c r="H13" s="351" t="n"/>
    </row>
    <row r="14">
      <c r="A14" s="149" t="n"/>
      <c r="B14" s="206" t="n"/>
      <c r="C14" s="198" t="n"/>
      <c r="D14" s="149" t="n"/>
      <c r="F14" s="368" t="n"/>
      <c r="G14" s="360" t="n"/>
      <c r="H14" s="351" t="n"/>
    </row>
    <row r="15">
      <c r="A15" s="195" t="n"/>
      <c r="B15" s="338" t="n"/>
      <c r="C15" s="197" t="n"/>
      <c r="F15" s="368" t="n"/>
      <c r="G15" s="360" t="n"/>
      <c r="H15" s="351" t="n"/>
    </row>
    <row r="16">
      <c r="A16" s="195" t="n"/>
      <c r="B16" s="338" t="n"/>
      <c r="C16" s="197" t="n"/>
      <c r="F16" s="368" t="n"/>
      <c r="G16" s="360" t="n"/>
      <c r="H16" s="351" t="n"/>
    </row>
    <row r="17">
      <c r="A17" s="195" t="n"/>
      <c r="B17" s="235" t="n"/>
      <c r="C17" s="197" t="n"/>
      <c r="F17" s="368" t="n"/>
      <c r="G17" s="360" t="n"/>
      <c r="H17" s="351" t="n"/>
    </row>
    <row r="18">
      <c r="A18" s="195" t="n"/>
      <c r="B18" s="240" t="n"/>
      <c r="C18" s="197" t="n"/>
      <c r="F18" s="368" t="n"/>
      <c r="G18" s="360" t="n"/>
      <c r="H18" s="351" t="n"/>
    </row>
    <row r="19">
      <c r="A19" s="195" t="n"/>
      <c r="B19" s="338" t="n"/>
      <c r="C19" s="197" t="n"/>
      <c r="F19" s="368" t="n"/>
      <c r="G19" s="360" t="n"/>
      <c r="H19" s="351" t="n"/>
    </row>
    <row r="20">
      <c r="A20" s="195" t="n"/>
      <c r="B20" s="240" t="n"/>
      <c r="C20" s="197" t="n"/>
      <c r="F20" s="368" t="n"/>
      <c r="G20" s="360" t="n"/>
      <c r="H20" s="351" t="n"/>
    </row>
    <row r="21">
      <c r="A21" s="195" t="n"/>
      <c r="B21" s="338" t="n"/>
      <c r="C21" s="197" t="n"/>
      <c r="F21" s="368" t="n"/>
      <c r="G21" s="360" t="n"/>
      <c r="H21" s="351" t="n"/>
    </row>
    <row r="22">
      <c r="A22" s="195" t="n"/>
      <c r="B22" s="239" t="n"/>
      <c r="C22" s="197" t="n"/>
      <c r="F22" s="368" t="n"/>
      <c r="G22" s="360" t="n"/>
      <c r="H22" s="351" t="n"/>
    </row>
    <row r="23">
      <c r="A23" s="195" t="n"/>
      <c r="B23" s="338" t="n"/>
      <c r="C23" s="197" t="n"/>
      <c r="F23" s="368" t="n"/>
      <c r="G23" s="360" t="n"/>
      <c r="H23" s="351" t="n"/>
    </row>
    <row r="24">
      <c r="A24" s="195" t="n"/>
      <c r="B24" s="338" t="n"/>
      <c r="C24" s="197" t="n"/>
      <c r="F24" s="368" t="n"/>
      <c r="G24" s="360" t="n"/>
      <c r="H24" s="351" t="n"/>
    </row>
    <row r="25">
      <c r="A25" s="195" t="n"/>
      <c r="B25" s="242" t="n"/>
      <c r="C25" s="197" t="n"/>
      <c r="F25" s="368" t="n"/>
      <c r="G25" s="360" t="n"/>
      <c r="H25" s="351" t="n"/>
    </row>
    <row r="26">
      <c r="A26" s="195" t="n"/>
      <c r="B26" s="369" t="n"/>
      <c r="C26" s="197" t="n"/>
      <c r="F26" s="368" t="n"/>
      <c r="G26" s="360" t="n"/>
      <c r="H26" s="351" t="n"/>
    </row>
    <row r="27">
      <c r="B27" s="187" t="n"/>
      <c r="C27" s="197" t="n"/>
      <c r="F27" s="368" t="n"/>
      <c r="G27" s="360" t="n"/>
      <c r="H27" s="351" t="n"/>
    </row>
    <row r="28">
      <c r="A28" s="149" t="n"/>
      <c r="B28" s="206" t="n"/>
      <c r="C28" s="198" t="n"/>
      <c r="D28" s="149" t="n"/>
      <c r="F28" s="368" t="n"/>
      <c r="G28" s="360" t="n"/>
      <c r="H28" s="351" t="n"/>
    </row>
    <row r="29">
      <c r="A29" s="195" t="n"/>
      <c r="B29" s="344" t="n"/>
      <c r="C29" s="197" t="n"/>
      <c r="F29" s="368" t="n"/>
      <c r="G29" s="360" t="n"/>
      <c r="H29" s="351" t="n"/>
    </row>
    <row r="30">
      <c r="A30" s="195" t="n"/>
      <c r="B30" s="344" t="n"/>
      <c r="C30" s="197" t="n"/>
    </row>
    <row r="31">
      <c r="A31" s="195" t="n"/>
      <c r="B31" s="338" t="n"/>
      <c r="C31" s="197" t="n"/>
      <c r="F31" s="150" t="n"/>
      <c r="G31" s="150" t="n"/>
      <c r="H31" s="315" t="n"/>
    </row>
    <row r="32">
      <c r="A32" s="195" t="n"/>
      <c r="B32" s="344" t="n"/>
      <c r="C32" s="197" t="n"/>
      <c r="F32" s="150" t="n"/>
      <c r="G32" s="150" t="n"/>
      <c r="H32" s="315" t="n"/>
    </row>
    <row r="33">
      <c r="A33" s="195" t="n"/>
      <c r="B33" s="344" t="n"/>
      <c r="C33" s="197" t="n"/>
      <c r="F33" s="150" t="n"/>
      <c r="G33" s="150" t="n"/>
      <c r="H33" s="238" t="n"/>
    </row>
    <row r="34">
      <c r="A34" s="195" t="n"/>
      <c r="B34" s="338" t="n"/>
      <c r="C34" s="197" t="n"/>
    </row>
    <row r="35">
      <c r="B35" s="187" t="n"/>
      <c r="C35" s="197" t="n"/>
      <c r="F35" s="195" t="n"/>
    </row>
    <row r="36">
      <c r="A36" s="149" t="n"/>
      <c r="B36" s="206" t="n"/>
      <c r="C36" s="198" t="n"/>
      <c r="D36" s="149" t="n"/>
    </row>
    <row r="37">
      <c r="A37" s="153" t="n"/>
      <c r="B37" s="152" t="n"/>
      <c r="C37" s="199" t="n"/>
      <c r="D37" s="152" t="n"/>
    </row>
    <row r="38">
      <c r="A38" s="236" t="n"/>
      <c r="B38" s="187" t="n"/>
      <c r="C38" s="339" t="n"/>
      <c r="D38" s="351" t="n"/>
    </row>
    <row r="39">
      <c r="A39" s="236" t="n"/>
      <c r="B39" s="187" t="n"/>
      <c r="C39" s="339" t="n"/>
      <c r="D39" s="351" t="n"/>
    </row>
    <row r="40">
      <c r="A40" s="236" t="n"/>
      <c r="B40" s="187" t="n"/>
      <c r="C40" s="339" t="n"/>
      <c r="D40" s="351" t="n"/>
    </row>
    <row r="41">
      <c r="B41" s="187" t="n"/>
      <c r="C41" s="197" t="n"/>
    </row>
    <row r="42">
      <c r="A42" s="149" t="n"/>
      <c r="B42" s="206" t="n"/>
      <c r="C42" s="198" t="n"/>
      <c r="D42" s="149" t="n"/>
    </row>
    <row r="43">
      <c r="A43" s="195" t="n"/>
      <c r="B43" s="334" t="n"/>
      <c r="C43" s="197" t="n"/>
    </row>
    <row r="44">
      <c r="A44" s="195" t="n"/>
      <c r="B44" s="334" t="n"/>
      <c r="C44" s="197" t="n"/>
    </row>
    <row r="45">
      <c r="A45" s="195" t="n"/>
      <c r="B45" s="334" t="n"/>
      <c r="C45" s="197" t="n"/>
    </row>
    <row r="46">
      <c r="A46" s="195" t="n"/>
      <c r="B46" s="365" t="n"/>
      <c r="C46" s="197" t="n"/>
    </row>
    <row r="47">
      <c r="A47" s="195" t="n"/>
      <c r="B47" s="365" t="n"/>
      <c r="C47" s="197" t="n"/>
    </row>
    <row r="48">
      <c r="A48" s="195" t="n"/>
      <c r="B48" s="334" t="n"/>
      <c r="C48" s="197" t="n"/>
    </row>
    <row r="49">
      <c r="A49" s="195" t="n"/>
      <c r="B49" s="244" t="n"/>
      <c r="C49" s="197" t="n"/>
    </row>
    <row r="50">
      <c r="A50" s="174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2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4.5"/>
  <cols>
    <col width="15.453125" customWidth="1" style="195" min="1" max="1"/>
    <col width="60" customWidth="1" style="195" min="2" max="2"/>
    <col width="47.26953125" customWidth="1" style="195" min="3" max="3"/>
    <col width="20" customWidth="1" style="195" min="4" max="4"/>
    <col width="17.26953125" customWidth="1" style="195" min="5" max="5"/>
    <col width="36.36328125" customWidth="1" style="195" min="6" max="6"/>
    <col width="8.7265625" customWidth="1" style="195" min="7" max="26"/>
  </cols>
  <sheetData>
    <row r="1" ht="30" customHeight="1" s="252">
      <c r="A1" s="146" t="n"/>
      <c r="B1" s="146" t="n"/>
      <c r="C1" s="146" t="n"/>
      <c r="D1" s="146" t="n"/>
      <c r="E1" s="146" t="n"/>
      <c r="F1" s="146" t="n"/>
    </row>
    <row r="2">
      <c r="A2" s="147" t="n"/>
      <c r="B2" s="147" t="n"/>
      <c r="C2" s="147" t="n"/>
      <c r="D2" s="147" t="n"/>
      <c r="E2" s="147" t="n"/>
      <c r="F2" s="148" t="n"/>
    </row>
    <row r="3"/>
    <row r="4">
      <c r="A4" s="149" t="n"/>
      <c r="B4" s="149" t="n"/>
      <c r="C4" s="149" t="n"/>
      <c r="D4" s="149" t="n"/>
      <c r="E4" s="149" t="n"/>
      <c r="F4" s="149" t="n"/>
    </row>
    <row r="5">
      <c r="A5" s="153" t="n"/>
      <c r="B5" s="152" t="n"/>
      <c r="C5" s="152" t="n"/>
      <c r="D5" s="152" t="n"/>
    </row>
    <row r="6" ht="108" customHeight="1" s="252">
      <c r="A6" s="217" t="n"/>
      <c r="B6" s="217" t="n"/>
      <c r="C6" s="217" t="n"/>
      <c r="D6" s="217" t="n"/>
      <c r="E6" s="217" t="n"/>
      <c r="F6" s="217" t="n"/>
    </row>
    <row r="7" ht="96" customHeight="1" s="252">
      <c r="A7" s="217" t="n"/>
      <c r="B7" s="217" t="n"/>
      <c r="C7" s="217" t="n"/>
      <c r="D7" s="217" t="n"/>
      <c r="E7" s="217" t="n"/>
      <c r="F7" s="217" t="n"/>
    </row>
    <row r="8" ht="108" customHeight="1" s="252">
      <c r="A8" s="217" t="n"/>
      <c r="B8" s="217" t="n"/>
      <c r="C8" s="217" t="n"/>
      <c r="D8" s="217" t="n"/>
      <c r="E8" s="217" t="n"/>
      <c r="F8" s="217" t="n"/>
    </row>
    <row r="9" ht="96" customHeight="1" s="252">
      <c r="A9" s="217" t="n"/>
      <c r="B9" s="217" t="n"/>
      <c r="C9" s="217" t="n"/>
      <c r="D9" s="217" t="n"/>
      <c r="E9" s="217" t="n"/>
      <c r="F9" s="217" t="n"/>
    </row>
    <row r="10" ht="84" customHeight="1" s="252">
      <c r="A10" s="217" t="n"/>
      <c r="B10" s="217" t="n"/>
      <c r="C10" s="217" t="n"/>
      <c r="D10" s="217" t="n"/>
      <c r="E10" s="217" t="n"/>
      <c r="F10" s="217" t="n"/>
    </row>
    <row r="11" ht="84" customHeight="1" s="252">
      <c r="A11" s="217" t="n"/>
      <c r="B11" s="217" t="n"/>
      <c r="C11" s="217" t="n"/>
      <c r="D11" s="217" t="n"/>
      <c r="E11" s="217" t="n"/>
      <c r="F11" s="217" t="n"/>
    </row>
    <row r="12">
      <c r="A12" s="217" t="n"/>
      <c r="B12" s="217" t="n"/>
      <c r="C12" s="217" t="n"/>
      <c r="D12" s="217" t="n"/>
      <c r="E12" s="217" t="n"/>
      <c r="F12" s="217" t="n"/>
    </row>
    <row r="13" ht="36" customHeight="1" s="252">
      <c r="A13" s="282" t="n"/>
      <c r="B13" s="282" t="n"/>
      <c r="C13" s="282" t="n"/>
      <c r="D13" s="282" t="n"/>
      <c r="E13" s="282" t="n"/>
      <c r="F13" s="282" t="n"/>
    </row>
    <row r="14" ht="24" customHeight="1" s="252">
      <c r="A14" s="283" t="n"/>
      <c r="B14" s="284" t="n"/>
      <c r="C14" s="284" t="n"/>
      <c r="D14" s="284" t="n"/>
      <c r="E14" s="284" t="n"/>
      <c r="F14" s="284" t="n"/>
    </row>
    <row r="15" ht="60" customHeight="1" s="252">
      <c r="A15" s="285" t="n"/>
      <c r="B15" s="217" t="n"/>
      <c r="C15" s="217" t="n"/>
      <c r="D15" s="217" t="n"/>
      <c r="E15" s="217" t="n"/>
      <c r="F15" s="217" t="n"/>
    </row>
    <row r="16" ht="72" customHeight="1" s="252">
      <c r="A16" s="285" t="n"/>
      <c r="B16" s="217" t="n"/>
      <c r="C16" s="217" t="n"/>
      <c r="D16" s="217" t="n"/>
      <c r="E16" s="217" t="n"/>
      <c r="F16" s="217" t="n"/>
    </row>
    <row r="17" ht="84" customHeight="1" s="252">
      <c r="A17" s="285" t="n"/>
      <c r="B17" s="217" t="n"/>
      <c r="C17" s="217" t="n"/>
      <c r="D17" s="217" t="n"/>
      <c r="E17" s="217" t="n"/>
      <c r="F17" s="217" t="n"/>
    </row>
    <row r="18" ht="72" customHeight="1" s="252">
      <c r="A18" s="285" t="n"/>
      <c r="B18" s="217" t="n"/>
      <c r="C18" s="217" t="n"/>
      <c r="D18" s="217" t="n"/>
      <c r="E18" s="217" t="n"/>
      <c r="F18" s="217" t="n"/>
    </row>
    <row r="19" ht="108" customHeight="1" s="252">
      <c r="A19" s="285" t="n"/>
      <c r="B19" s="217" t="n"/>
      <c r="C19" s="217" t="n"/>
      <c r="D19" s="217" t="n"/>
      <c r="E19" s="217" t="n"/>
      <c r="F19" s="217" t="n"/>
    </row>
    <row r="20" ht="108" customHeight="1" s="252">
      <c r="A20" s="285" t="n"/>
      <c r="B20" s="217" t="n"/>
      <c r="C20" s="217" t="n"/>
      <c r="D20" s="217" t="n"/>
      <c r="E20" s="217" t="n"/>
      <c r="F20" s="217" t="n"/>
    </row>
    <row r="21" ht="132" customHeight="1" s="252">
      <c r="A21" s="285" t="n"/>
      <c r="B21" s="217" t="n"/>
      <c r="C21" s="217" t="n"/>
      <c r="D21" s="217" t="n"/>
      <c r="E21" s="217" t="n"/>
      <c r="F21" s="217" t="n"/>
    </row>
    <row r="22" ht="84" customHeight="1" s="252">
      <c r="A22" s="285" t="n"/>
      <c r="B22" s="217" t="n"/>
      <c r="C22" s="217" t="n"/>
      <c r="D22" s="217" t="n"/>
      <c r="E22" s="217" t="n"/>
      <c r="F22" s="217" t="n"/>
    </row>
    <row r="23" ht="108" customHeight="1" s="252">
      <c r="A23" s="285" t="n"/>
      <c r="B23" s="217" t="n"/>
      <c r="C23" s="217" t="n"/>
      <c r="D23" s="217" t="n"/>
      <c r="E23" s="217" t="n"/>
      <c r="F23" s="217" t="n"/>
    </row>
    <row r="24" ht="72" customHeight="1" s="252">
      <c r="A24" s="285" t="n"/>
      <c r="B24" s="217" t="n"/>
      <c r="C24" s="217" t="n"/>
      <c r="D24" s="217" t="n"/>
      <c r="E24" s="217" t="n"/>
      <c r="F24" s="217" t="n"/>
    </row>
    <row r="25" ht="120" customHeight="1" s="252">
      <c r="A25" s="285" t="n"/>
      <c r="B25" s="217" t="n"/>
      <c r="C25" s="217" t="n"/>
      <c r="D25" s="217" t="n"/>
      <c r="E25" s="217" t="n"/>
      <c r="F25" s="217" t="n"/>
    </row>
    <row r="26" ht="72" customHeight="1" s="252">
      <c r="A26" s="285" t="n"/>
      <c r="B26" s="217" t="n"/>
      <c r="C26" s="217" t="n"/>
      <c r="D26" s="217" t="n"/>
      <c r="E26" s="217" t="n"/>
      <c r="F26" s="217" t="n"/>
    </row>
    <row r="27" ht="36" customHeight="1" s="252">
      <c r="A27" s="285" t="n"/>
      <c r="B27" s="217" t="n"/>
      <c r="C27" s="217" t="n"/>
      <c r="D27" s="217" t="n"/>
      <c r="E27" s="217" t="n"/>
      <c r="F27" s="217" t="n"/>
    </row>
    <row r="28"/>
    <row r="29">
      <c r="A29" s="281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70AD47"/>
    <outlinePr summaryBelow="1" summaryRight="1"/>
    <pageSetUpPr/>
  </sheetPr>
  <dimension ref="A1:C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4.5"/>
  <cols>
    <col width="21.81640625" customWidth="1" style="195" min="1" max="1"/>
    <col width="76.36328125" customWidth="1" style="195" min="2" max="2"/>
    <col width="69.08984375" customWidth="1" style="195" min="3" max="3"/>
    <col width="8.7265625" customWidth="1" style="195" min="4" max="26"/>
  </cols>
  <sheetData>
    <row r="1" ht="30" customHeight="1" s="252">
      <c r="A1" s="146" t="n"/>
      <c r="B1" s="146" t="n"/>
      <c r="C1" s="146" t="n"/>
    </row>
    <row r="2">
      <c r="A2" s="147" t="n"/>
      <c r="B2" s="147" t="n"/>
      <c r="C2" s="148" t="n"/>
    </row>
    <row r="3"/>
    <row r="4">
      <c r="A4" s="287" t="n"/>
      <c r="B4" s="286" t="n"/>
      <c r="C4" s="286" t="n"/>
    </row>
    <row r="5">
      <c r="A5" s="288" t="n"/>
      <c r="B5" s="288" t="n"/>
      <c r="C5" s="288" t="n"/>
    </row>
    <row r="6" ht="24" customHeight="1" s="252">
      <c r="A6" s="289" t="n"/>
      <c r="B6" s="217" t="n"/>
      <c r="C6" s="217" t="n"/>
    </row>
    <row r="7" ht="24" customHeight="1" s="252">
      <c r="A7" s="289" t="n"/>
      <c r="B7" s="217" t="n"/>
      <c r="C7" s="217" t="n"/>
    </row>
    <row r="8">
      <c r="A8" s="289" t="n"/>
      <c r="B8" s="217" t="n"/>
      <c r="C8" s="217" t="n"/>
    </row>
    <row r="9">
      <c r="A9" s="282" t="n"/>
      <c r="B9" s="282" t="n"/>
      <c r="C9" s="282" t="n"/>
    </row>
    <row r="10" ht="24" customHeight="1" s="252">
      <c r="A10" s="289" t="n"/>
      <c r="B10" s="217" t="n"/>
      <c r="C10" s="217" t="n"/>
    </row>
    <row r="11">
      <c r="A11" s="289" t="n"/>
      <c r="B11" s="217" t="n"/>
      <c r="C11" s="217" t="n"/>
    </row>
    <row r="12">
      <c r="A12" s="289" t="n"/>
      <c r="B12" s="217" t="n"/>
      <c r="C12" s="217" t="n"/>
    </row>
    <row r="13">
      <c r="A13" s="289" t="n"/>
      <c r="B13" s="217" t="n"/>
      <c r="C13" s="217" t="n"/>
    </row>
    <row r="14">
      <c r="A14" s="289" t="n"/>
      <c r="B14" s="217" t="n"/>
      <c r="C14" s="217" t="n"/>
    </row>
    <row r="15" ht="24" customHeight="1" s="252">
      <c r="A15" s="289" t="n"/>
      <c r="B15" s="217" t="n"/>
      <c r="C15" s="217" t="n"/>
    </row>
    <row r="16">
      <c r="A16" s="289" t="n"/>
      <c r="B16" s="217" t="n"/>
      <c r="C16" s="217" t="n"/>
    </row>
    <row r="17">
      <c r="A17" s="282" t="n"/>
      <c r="B17" s="282" t="n"/>
      <c r="C17" s="282" t="n"/>
    </row>
    <row r="18" ht="24" customHeight="1" s="252">
      <c r="A18" s="289" t="n"/>
      <c r="B18" s="217" t="n"/>
      <c r="C18" s="217" t="n"/>
    </row>
    <row r="19">
      <c r="A19" s="289" t="n"/>
      <c r="B19" s="217" t="n"/>
      <c r="C19" s="217" t="n"/>
    </row>
    <row r="20">
      <c r="A20" s="289" t="n"/>
      <c r="B20" s="217" t="n"/>
      <c r="C20" s="217" t="n"/>
    </row>
    <row r="21">
      <c r="A21" s="289" t="n"/>
      <c r="B21" s="217" t="n"/>
      <c r="C21" s="217" t="n"/>
    </row>
    <row r="22">
      <c r="A22" s="289" t="n"/>
      <c r="B22" s="217" t="n"/>
      <c r="C22" s="217" t="n"/>
    </row>
    <row r="23">
      <c r="A23" s="289" t="n"/>
      <c r="B23" s="217" t="n"/>
      <c r="C23" s="217" t="n"/>
    </row>
    <row r="24">
      <c r="A24" s="289" t="n"/>
      <c r="B24" s="217" t="n"/>
      <c r="C24" s="217" t="n"/>
    </row>
    <row r="25">
      <c r="A25" s="282" t="n"/>
      <c r="B25" s="282" t="n"/>
      <c r="C25" s="282" t="n"/>
    </row>
    <row r="26">
      <c r="A26" s="289" t="n"/>
      <c r="B26" s="217" t="n"/>
      <c r="C26" s="217" t="n"/>
    </row>
    <row r="27" ht="24" customHeight="1" s="252">
      <c r="A27" s="289" t="n"/>
      <c r="B27" s="217" t="n"/>
      <c r="C27" s="217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70AD47"/>
    <outlinePr summaryBelow="1" summaryRight="1"/>
    <pageSetUpPr/>
  </sheetPr>
  <dimension ref="A1:F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4.5"/>
  <cols>
    <col width="34.54296875" customWidth="1" style="195" min="1" max="1"/>
    <col width="27.26953125" customWidth="1" style="195" min="2" max="2"/>
    <col width="30.90625" customWidth="1" style="195" min="3" max="3"/>
    <col width="60" customWidth="1" style="195" min="4" max="4"/>
    <col width="20" customWidth="1" style="195" min="5" max="5"/>
    <col width="15.453125" customWidth="1" style="195" min="6" max="6"/>
    <col width="8.7265625" customWidth="1" style="195" min="7" max="26"/>
  </cols>
  <sheetData>
    <row r="1" ht="30" customHeight="1" s="252">
      <c r="A1" s="146" t="n"/>
      <c r="B1" s="146" t="n"/>
      <c r="C1" s="146" t="n"/>
      <c r="D1" s="146" t="n"/>
      <c r="E1" s="146" t="n"/>
      <c r="F1" s="146" t="n"/>
    </row>
    <row r="2">
      <c r="A2" s="147" t="n"/>
      <c r="B2" s="147" t="n"/>
      <c r="C2" s="147" t="n"/>
      <c r="D2" s="147" t="n"/>
      <c r="E2" s="147" t="n"/>
      <c r="F2" s="148" t="n"/>
    </row>
    <row r="3"/>
    <row r="4">
      <c r="A4" s="287" t="n"/>
      <c r="B4" s="286" t="n"/>
      <c r="C4" s="286" t="n"/>
      <c r="D4" s="286" t="n"/>
      <c r="E4" s="286" t="n"/>
      <c r="F4" s="286" t="n"/>
    </row>
    <row r="5" ht="48" customHeight="1" s="252">
      <c r="A5" s="217" t="n"/>
      <c r="B5" s="217" t="n"/>
      <c r="C5" s="217" t="n"/>
      <c r="D5" s="217" t="n"/>
      <c r="E5" s="217" t="n"/>
      <c r="F5" s="290" t="n"/>
    </row>
    <row r="6" ht="36" customHeight="1" s="252">
      <c r="A6" s="217" t="n"/>
      <c r="B6" s="217" t="n"/>
      <c r="C6" s="217" t="n"/>
      <c r="D6" s="217" t="n"/>
      <c r="E6" s="217" t="n"/>
      <c r="F6" s="290" t="n"/>
    </row>
    <row r="7" ht="36" customHeight="1" s="252">
      <c r="A7" s="217" t="n"/>
      <c r="B7" s="217" t="n"/>
      <c r="C7" s="217" t="n"/>
      <c r="D7" s="217" t="n"/>
      <c r="E7" s="217" t="n"/>
      <c r="F7" s="290" t="n"/>
    </row>
    <row r="8" ht="84" customHeight="1" s="252">
      <c r="A8" s="217" t="n"/>
      <c r="B8" s="217" t="n"/>
      <c r="C8" s="217" t="n"/>
      <c r="D8" s="217" t="n"/>
      <c r="E8" s="217" t="n"/>
      <c r="F8" s="290" t="n"/>
    </row>
    <row r="9" ht="48" customHeight="1" s="252">
      <c r="A9" s="217" t="n"/>
      <c r="B9" s="217" t="n"/>
      <c r="C9" s="370" t="n"/>
      <c r="D9" s="217" t="n"/>
      <c r="E9" s="217" t="n"/>
      <c r="F9" s="290" t="n"/>
    </row>
    <row r="10" ht="36" customHeight="1" s="252">
      <c r="A10" s="217" t="n"/>
      <c r="B10" s="217" t="n"/>
      <c r="C10" s="217" t="n"/>
      <c r="D10" s="217" t="n"/>
      <c r="E10" s="217" t="n"/>
      <c r="F10" s="290" t="n"/>
    </row>
    <row r="11" ht="48" customHeight="1" s="252">
      <c r="A11" s="217" t="n"/>
      <c r="B11" s="217" t="n"/>
      <c r="C11" s="217" t="n"/>
      <c r="D11" s="217" t="n"/>
      <c r="E11" s="217" t="n"/>
      <c r="F11" s="290" t="n"/>
    </row>
    <row r="12" ht="60" customHeight="1" s="252">
      <c r="A12" s="217" t="n"/>
      <c r="B12" s="217" t="n"/>
      <c r="C12" s="217" t="n"/>
      <c r="D12" s="217" t="n"/>
      <c r="E12" s="217" t="n"/>
      <c r="F12" s="290" t="n"/>
    </row>
    <row r="13" ht="84" customHeight="1" s="252">
      <c r="A13" s="217" t="n"/>
      <c r="B13" s="217" t="n"/>
      <c r="C13" s="217" t="n"/>
      <c r="D13" s="217" t="n"/>
      <c r="E13" s="217" t="n"/>
      <c r="F13" s="290" t="n"/>
    </row>
    <row r="14" ht="72" customHeight="1" s="252">
      <c r="A14" s="217" t="n"/>
      <c r="B14" s="217" t="n"/>
      <c r="C14" s="217" t="n"/>
      <c r="D14" s="217" t="n"/>
      <c r="E14" s="217" t="n"/>
      <c r="F14" s="217" t="n"/>
    </row>
    <row r="15" ht="84" customHeight="1" s="252">
      <c r="A15" s="217" t="n"/>
      <c r="B15" s="217" t="n"/>
      <c r="C15" s="217" t="n"/>
      <c r="D15" s="217" t="n"/>
      <c r="E15" s="217" t="n"/>
      <c r="F15" s="290" t="n"/>
    </row>
    <row r="16" ht="108" customHeight="1" s="252">
      <c r="A16" s="217" t="n"/>
      <c r="B16" s="217" t="n"/>
      <c r="C16" s="292" t="n"/>
      <c r="D16" s="217" t="n"/>
      <c r="E16" s="217" t="n"/>
      <c r="F16" s="290" t="n"/>
    </row>
    <row r="17" ht="72" customHeight="1" s="252">
      <c r="A17" s="217" t="n"/>
      <c r="B17" s="217" t="n"/>
      <c r="C17" s="217" t="n"/>
      <c r="D17" s="217" t="n"/>
      <c r="E17" s="217" t="n"/>
      <c r="F17" s="217" t="n"/>
    </row>
    <row r="18" ht="60" customHeight="1" s="252">
      <c r="A18" s="217" t="n"/>
      <c r="B18" s="217" t="n"/>
      <c r="C18" s="217" t="n"/>
      <c r="D18" s="217" t="n"/>
      <c r="E18" s="217" t="n"/>
      <c r="F18" s="217" t="n"/>
    </row>
    <row r="19"/>
    <row r="20">
      <c r="A20" s="281" t="n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A6A6A6"/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RowHeight="14.5"/>
  <cols>
    <col width="30" customWidth="1" style="252" min="1" max="1"/>
    <col width="16" customWidth="1" style="252" min="2" max="2"/>
    <col width="12" customWidth="1" style="252" min="3" max="11"/>
  </cols>
  <sheetData>
    <row r="1" ht="18.5" customHeight="1" s="252">
      <c r="A1" s="135" t="inlineStr">
        <is>
          <t>Fundamentals &amp; Valuation   ·   source: SEC EDGAR   ·   FY ending 2025-09-27</t>
        </is>
      </c>
    </row>
    <row r="2"/>
    <row r="3">
      <c r="A3" s="138" t="n"/>
      <c r="B3" s="138" t="n"/>
    </row>
    <row r="4">
      <c r="A4" s="12" t="n"/>
      <c r="B4" s="371" t="n"/>
    </row>
    <row r="5">
      <c r="A5" s="24" t="n"/>
      <c r="B5" s="372" t="n"/>
    </row>
    <row r="6">
      <c r="A6" s="12" t="n"/>
      <c r="B6" s="371" t="n"/>
    </row>
    <row r="7">
      <c r="A7" s="24" t="n"/>
      <c r="B7" s="372" t="n"/>
    </row>
    <row r="8">
      <c r="A8" s="12" t="n"/>
      <c r="B8" s="75" t="n"/>
    </row>
    <row r="9">
      <c r="A9" s="24" t="n"/>
      <c r="B9" s="76" t="n"/>
    </row>
    <row r="10">
      <c r="A10" s="12" t="n"/>
      <c r="B10" s="75" t="n"/>
    </row>
    <row r="11">
      <c r="A11" s="24" t="n"/>
      <c r="B11" s="77" t="n"/>
    </row>
    <row r="12"/>
    <row r="13">
      <c r="A13" s="138" t="n"/>
      <c r="B13" s="138" t="n"/>
    </row>
    <row r="14">
      <c r="A14" s="12" t="n"/>
      <c r="B14" s="75" t="n"/>
    </row>
    <row r="15">
      <c r="A15" s="24" t="n"/>
      <c r="B15" s="76" t="n"/>
    </row>
    <row r="16">
      <c r="A16" s="12" t="n"/>
      <c r="B16" s="75" t="n"/>
    </row>
    <row r="17">
      <c r="A17" s="24" t="n"/>
      <c r="B17" s="76" t="n"/>
    </row>
    <row r="18">
      <c r="A18" s="12" t="n"/>
      <c r="B18" s="75" t="n"/>
    </row>
    <row r="19">
      <c r="A19" s="24" t="n"/>
      <c r="B19" s="373" t="n"/>
    </row>
    <row r="20"/>
    <row r="21">
      <c r="A21" s="138" t="n"/>
      <c r="B21" s="138" t="n"/>
    </row>
    <row r="22">
      <c r="A22" s="12" t="n"/>
      <c r="B22" s="75" t="n"/>
    </row>
    <row r="23">
      <c r="A23" s="24" t="n"/>
      <c r="B23" s="76" t="n"/>
    </row>
    <row r="24">
      <c r="A24" s="12" t="n"/>
      <c r="B24" s="75" t="n"/>
    </row>
    <row r="25">
      <c r="A25" s="24" t="n"/>
      <c r="B25" s="76" t="n"/>
    </row>
    <row r="26"/>
    <row r="27">
      <c r="A27" s="138" t="n"/>
      <c r="B27" s="138" t="n"/>
    </row>
    <row r="28">
      <c r="A28" s="12" t="n"/>
      <c r="B28" s="79" t="n"/>
    </row>
    <row r="29">
      <c r="A29" s="24" t="n"/>
      <c r="B29" s="80" t="n"/>
    </row>
    <row r="30">
      <c r="A30" s="12" t="n"/>
      <c r="B30" s="81" t="n"/>
    </row>
    <row r="31">
      <c r="A31" s="24" t="n"/>
      <c r="B31" s="77" t="n"/>
    </row>
    <row r="32"/>
    <row r="33">
      <c r="A33" s="82" t="n"/>
      <c r="B33" s="82" t="n"/>
      <c r="C33" s="82" t="n"/>
      <c r="D33" s="82" t="n"/>
      <c r="E33" s="82" t="n"/>
      <c r="F33" s="82" t="n"/>
      <c r="G33" s="82" t="n"/>
      <c r="H33" s="82" t="n"/>
      <c r="I33" s="82" t="n"/>
      <c r="J33" s="82" t="n"/>
      <c r="K33" s="82" t="n"/>
    </row>
    <row r="34">
      <c r="A34" s="22" t="n"/>
      <c r="B34" s="374" t="n"/>
      <c r="C34" s="374" t="n"/>
      <c r="D34" s="374" t="n"/>
      <c r="E34" s="374" t="n"/>
      <c r="F34" s="374" t="n"/>
      <c r="G34" s="374" t="n"/>
      <c r="H34" s="374" t="n"/>
      <c r="I34" s="374" t="n"/>
      <c r="J34" s="374" t="n"/>
      <c r="K34" s="374" t="n"/>
    </row>
    <row r="35">
      <c r="A35" s="22" t="n"/>
      <c r="B35" s="374" t="n"/>
      <c r="C35" s="374" t="n"/>
      <c r="D35" s="374" t="n"/>
      <c r="E35" s="374" t="n"/>
      <c r="F35" s="374" t="n"/>
      <c r="G35" s="374" t="n"/>
      <c r="H35" s="374" t="n"/>
      <c r="I35" s="374" t="n"/>
      <c r="J35" s="374" t="n"/>
      <c r="K35" s="374" t="n"/>
    </row>
    <row r="36">
      <c r="A36" s="22" t="n"/>
      <c r="B36" s="374" t="n"/>
      <c r="C36" s="374" t="n"/>
      <c r="D36" s="374" t="n"/>
      <c r="E36" s="374" t="n"/>
      <c r="F36" s="374" t="n"/>
      <c r="G36" s="374" t="n"/>
      <c r="H36" s="374" t="n"/>
      <c r="I36" s="374" t="n"/>
      <c r="J36" s="374" t="n"/>
      <c r="K36" s="374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A6A6A6"/>
    <outlinePr summaryBelow="1" summaryRight="1"/>
    <pageSetUpPr/>
  </sheetPr>
  <dimension ref="A1:Q5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22" customWidth="1" style="252" min="1" max="1"/>
    <col width="11" customWidth="1" style="252" min="2" max="4"/>
    <col width="9" customWidth="1" style="252" min="5" max="5"/>
    <col width="19" customWidth="1" style="252" min="6" max="6"/>
    <col width="26" customWidth="1" style="252" min="7" max="7"/>
    <col width="21" customWidth="1" style="252" min="8" max="10"/>
    <col width="22" customWidth="1" style="252" min="11" max="11"/>
    <col width="25" customWidth="1" style="252" min="12" max="12"/>
    <col width="26" customWidth="1" style="252" min="13" max="13"/>
    <col width="21" customWidth="1" style="252" min="14" max="14"/>
    <col width="24" customWidth="1" style="252" min="15" max="15"/>
    <col width="17" customWidth="1" style="252" min="16" max="17"/>
  </cols>
  <sheetData>
    <row r="1" ht="26" customHeight="1" s="252">
      <c r="A1" s="90" t="inlineStr">
        <is>
          <t>Date</t>
        </is>
      </c>
      <c r="B1" s="90" t="inlineStr">
        <is>
          <t>Open</t>
        </is>
      </c>
      <c r="C1" s="90" t="inlineStr">
        <is>
          <t>High</t>
        </is>
      </c>
      <c r="D1" s="90" t="inlineStr">
        <is>
          <t>Low</t>
        </is>
      </c>
      <c r="E1" s="90" t="inlineStr">
        <is>
          <t>Close</t>
        </is>
      </c>
      <c r="F1" s="90" t="inlineStr">
        <is>
          <t>Volume</t>
        </is>
      </c>
      <c r="G1" s="90" t="inlineStr">
        <is>
          <t>Daily_Return</t>
        </is>
      </c>
      <c r="H1" s="90" t="inlineStr">
        <is>
          <t>Cumulative_Index</t>
        </is>
      </c>
      <c r="I1" s="90" t="inlineStr">
        <is>
          <t>MA50</t>
        </is>
      </c>
      <c r="J1" s="90" t="inlineStr">
        <is>
          <t>MA200</t>
        </is>
      </c>
      <c r="K1" s="90" t="inlineStr">
        <is>
          <t>Volatility_20d</t>
        </is>
      </c>
      <c r="L1" s="90" t="inlineStr">
        <is>
          <t>Drawdown_60d</t>
        </is>
      </c>
      <c r="M1" s="90" t="inlineStr">
        <is>
          <t>Pct_From_52W_High</t>
        </is>
      </c>
      <c r="N1" s="90" t="inlineStr">
        <is>
          <t>RSI14</t>
        </is>
      </c>
      <c r="O1" s="90" t="inlineStr">
        <is>
          <t>MACD_Hist</t>
        </is>
      </c>
      <c r="P1" s="90" t="inlineStr">
        <is>
          <t>Running_Peak</t>
        </is>
      </c>
      <c r="Q1" s="90" t="inlineStr">
        <is>
          <t>Drawdown_From_Peak</t>
        </is>
      </c>
    </row>
    <row r="2">
      <c r="A2" s="375" t="n"/>
      <c r="B2" s="376" t="n"/>
      <c r="C2" s="376" t="n"/>
      <c r="D2" s="376" t="n"/>
      <c r="E2" s="376" t="n"/>
      <c r="F2" s="93" t="n"/>
      <c r="G2" s="94" t="n"/>
      <c r="H2" s="95" t="n"/>
      <c r="I2" s="376" t="n"/>
      <c r="J2" s="376" t="n"/>
      <c r="K2" s="94" t="n"/>
      <c r="L2" s="94" t="n"/>
      <c r="M2" s="94" t="n"/>
      <c r="P2" s="143" t="n"/>
      <c r="Q2" s="144" t="n"/>
    </row>
    <row r="3">
      <c r="A3" s="375" t="n"/>
      <c r="B3" s="376" t="n"/>
      <c r="C3" s="376" t="n"/>
      <c r="D3" s="376" t="n"/>
      <c r="E3" s="376" t="n"/>
      <c r="F3" s="93" t="n"/>
      <c r="G3" s="94" t="n"/>
      <c r="H3" s="95" t="n"/>
      <c r="I3" s="376" t="n"/>
      <c r="J3" s="376" t="n"/>
      <c r="K3" s="94" t="n"/>
      <c r="L3" s="94" t="n"/>
      <c r="M3" s="94" t="n"/>
      <c r="P3" s="143" t="n"/>
      <c r="Q3" s="144" t="n"/>
    </row>
    <row r="4">
      <c r="A4" s="375" t="n"/>
      <c r="B4" s="376" t="n"/>
      <c r="C4" s="376" t="n"/>
      <c r="D4" s="376" t="n"/>
      <c r="E4" s="376" t="n"/>
      <c r="F4" s="93" t="n"/>
      <c r="G4" s="94" t="n"/>
      <c r="H4" s="95" t="n"/>
      <c r="I4" s="376" t="n"/>
      <c r="J4" s="376" t="n"/>
      <c r="K4" s="94" t="n"/>
      <c r="L4" s="94" t="n"/>
      <c r="M4" s="94" t="n"/>
      <c r="P4" s="143" t="n"/>
      <c r="Q4" s="144" t="n"/>
    </row>
    <row r="5">
      <c r="A5" s="375" t="n"/>
      <c r="B5" s="376" t="n"/>
      <c r="C5" s="376" t="n"/>
      <c r="D5" s="376" t="n"/>
      <c r="E5" s="376" t="n"/>
      <c r="F5" s="93" t="n"/>
      <c r="G5" s="94" t="n"/>
      <c r="H5" s="95" t="n"/>
      <c r="I5" s="376" t="n"/>
      <c r="J5" s="376" t="n"/>
      <c r="K5" s="94" t="n"/>
      <c r="L5" s="94" t="n"/>
      <c r="M5" s="94" t="n"/>
      <c r="P5" s="143" t="n"/>
      <c r="Q5" s="144" t="n"/>
    </row>
    <row r="6">
      <c r="A6" s="375" t="n"/>
      <c r="B6" s="376" t="n"/>
      <c r="C6" s="376" t="n"/>
      <c r="D6" s="376" t="n"/>
      <c r="E6" s="376" t="n"/>
      <c r="F6" s="93" t="n"/>
      <c r="G6" s="94" t="n"/>
      <c r="H6" s="95" t="n"/>
      <c r="I6" s="376" t="n"/>
      <c r="J6" s="376" t="n"/>
      <c r="K6" s="94" t="n"/>
      <c r="L6" s="94" t="n"/>
      <c r="M6" s="94" t="n"/>
      <c r="P6" s="143" t="n"/>
      <c r="Q6" s="144" t="n"/>
    </row>
    <row r="7">
      <c r="A7" s="375" t="n"/>
      <c r="B7" s="376" t="n"/>
      <c r="C7" s="376" t="n"/>
      <c r="D7" s="376" t="n"/>
      <c r="E7" s="376" t="n"/>
      <c r="F7" s="93" t="n"/>
      <c r="G7" s="94" t="n"/>
      <c r="H7" s="95" t="n"/>
      <c r="I7" s="376" t="n"/>
      <c r="J7" s="376" t="n"/>
      <c r="K7" s="94" t="n"/>
      <c r="L7" s="94" t="n"/>
      <c r="M7" s="94" t="n"/>
      <c r="P7" s="143" t="n"/>
      <c r="Q7" s="144" t="n"/>
    </row>
    <row r="8">
      <c r="A8" s="375" t="n"/>
      <c r="B8" s="376" t="n"/>
      <c r="C8" s="376" t="n"/>
      <c r="D8" s="376" t="n"/>
      <c r="E8" s="376" t="n"/>
      <c r="F8" s="93" t="n"/>
      <c r="G8" s="94" t="n"/>
      <c r="H8" s="95" t="n"/>
      <c r="I8" s="376" t="n"/>
      <c r="J8" s="376" t="n"/>
      <c r="K8" s="94" t="n"/>
      <c r="L8" s="94" t="n"/>
      <c r="M8" s="94" t="n"/>
      <c r="P8" s="143" t="n"/>
      <c r="Q8" s="144" t="n"/>
    </row>
    <row r="9">
      <c r="A9" s="375" t="n"/>
      <c r="B9" s="376" t="n"/>
      <c r="C9" s="376" t="n"/>
      <c r="D9" s="376" t="n"/>
      <c r="E9" s="376" t="n"/>
      <c r="F9" s="93" t="n"/>
      <c r="G9" s="94" t="n"/>
      <c r="H9" s="95" t="n"/>
      <c r="I9" s="376" t="n"/>
      <c r="J9" s="376" t="n"/>
      <c r="K9" s="94" t="n"/>
      <c r="L9" s="94" t="n"/>
      <c r="M9" s="94" t="n"/>
      <c r="P9" s="143" t="n"/>
      <c r="Q9" s="144" t="n"/>
    </row>
    <row r="10">
      <c r="A10" s="375" t="n"/>
      <c r="B10" s="376" t="n"/>
      <c r="C10" s="376" t="n"/>
      <c r="D10" s="376" t="n"/>
      <c r="E10" s="376" t="n"/>
      <c r="F10" s="93" t="n"/>
      <c r="G10" s="94" t="n"/>
      <c r="H10" s="95" t="n"/>
      <c r="I10" s="376" t="n"/>
      <c r="J10" s="376" t="n"/>
      <c r="K10" s="94" t="n"/>
      <c r="L10" s="94" t="n"/>
      <c r="M10" s="94" t="n"/>
      <c r="P10" s="143" t="n"/>
      <c r="Q10" s="144" t="n"/>
    </row>
    <row r="11">
      <c r="A11" s="375" t="n"/>
      <c r="B11" s="376" t="n"/>
      <c r="C11" s="376" t="n"/>
      <c r="D11" s="376" t="n"/>
      <c r="E11" s="376" t="n"/>
      <c r="F11" s="93" t="n"/>
      <c r="G11" s="94" t="n"/>
      <c r="H11" s="95" t="n"/>
      <c r="I11" s="376" t="n"/>
      <c r="J11" s="376" t="n"/>
      <c r="K11" s="94" t="n"/>
      <c r="L11" s="94" t="n"/>
      <c r="M11" s="94" t="n"/>
      <c r="P11" s="143" t="n"/>
      <c r="Q11" s="144" t="n"/>
    </row>
    <row r="12">
      <c r="A12" s="375" t="n"/>
      <c r="B12" s="376" t="n"/>
      <c r="C12" s="376" t="n"/>
      <c r="D12" s="376" t="n"/>
      <c r="E12" s="376" t="n"/>
      <c r="F12" s="93" t="n"/>
      <c r="G12" s="94" t="n"/>
      <c r="H12" s="95" t="n"/>
      <c r="I12" s="376" t="n"/>
      <c r="J12" s="376" t="n"/>
      <c r="K12" s="94" t="n"/>
      <c r="L12" s="94" t="n"/>
      <c r="M12" s="94" t="n"/>
      <c r="P12" s="143" t="n"/>
      <c r="Q12" s="144" t="n"/>
    </row>
    <row r="13">
      <c r="A13" s="375" t="n"/>
      <c r="B13" s="376" t="n"/>
      <c r="C13" s="376" t="n"/>
      <c r="D13" s="376" t="n"/>
      <c r="E13" s="376" t="n"/>
      <c r="F13" s="93" t="n"/>
      <c r="G13" s="94" t="n"/>
      <c r="H13" s="95" t="n"/>
      <c r="I13" s="376" t="n"/>
      <c r="J13" s="376" t="n"/>
      <c r="K13" s="94" t="n"/>
      <c r="L13" s="94" t="n"/>
      <c r="M13" s="94" t="n"/>
      <c r="P13" s="143" t="n"/>
      <c r="Q13" s="144" t="n"/>
    </row>
    <row r="14">
      <c r="A14" s="375" t="n"/>
      <c r="B14" s="376" t="n"/>
      <c r="C14" s="376" t="n"/>
      <c r="D14" s="376" t="n"/>
      <c r="E14" s="376" t="n"/>
      <c r="F14" s="93" t="n"/>
      <c r="G14" s="94" t="n"/>
      <c r="H14" s="95" t="n"/>
      <c r="I14" s="376" t="n"/>
      <c r="J14" s="376" t="n"/>
      <c r="K14" s="94" t="n"/>
      <c r="L14" s="94" t="n"/>
      <c r="M14" s="94" t="n"/>
      <c r="P14" s="143" t="n"/>
      <c r="Q14" s="144" t="n"/>
    </row>
    <row r="15">
      <c r="A15" s="375" t="n"/>
      <c r="B15" s="376" t="n"/>
      <c r="C15" s="376" t="n"/>
      <c r="D15" s="376" t="n"/>
      <c r="E15" s="376" t="n"/>
      <c r="F15" s="93" t="n"/>
      <c r="G15" s="94" t="n"/>
      <c r="H15" s="95" t="n"/>
      <c r="I15" s="376" t="n"/>
      <c r="J15" s="376" t="n"/>
      <c r="K15" s="94" t="n"/>
      <c r="L15" s="94" t="n"/>
      <c r="M15" s="94" t="n"/>
      <c r="P15" s="143" t="n"/>
      <c r="Q15" s="144" t="n"/>
    </row>
    <row r="16">
      <c r="A16" s="375" t="n"/>
      <c r="B16" s="376" t="n"/>
      <c r="C16" s="376" t="n"/>
      <c r="D16" s="376" t="n"/>
      <c r="E16" s="376" t="n"/>
      <c r="F16" s="93" t="n"/>
      <c r="G16" s="94" t="n"/>
      <c r="H16" s="95" t="n"/>
      <c r="I16" s="376" t="n"/>
      <c r="J16" s="376" t="n"/>
      <c r="K16" s="94" t="n"/>
      <c r="L16" s="94" t="n"/>
      <c r="M16" s="94" t="n"/>
      <c r="P16" s="143" t="n"/>
      <c r="Q16" s="144" t="n"/>
    </row>
    <row r="17">
      <c r="A17" s="375" t="n"/>
      <c r="B17" s="376" t="n"/>
      <c r="C17" s="376" t="n"/>
      <c r="D17" s="376" t="n"/>
      <c r="E17" s="376" t="n"/>
      <c r="F17" s="93" t="n"/>
      <c r="G17" s="94" t="n"/>
      <c r="H17" s="95" t="n"/>
      <c r="I17" s="376" t="n"/>
      <c r="J17" s="376" t="n"/>
      <c r="K17" s="94" t="n"/>
      <c r="L17" s="94" t="n"/>
      <c r="M17" s="94" t="n"/>
      <c r="P17" s="143" t="n"/>
      <c r="Q17" s="144" t="n"/>
    </row>
    <row r="18">
      <c r="A18" s="375" t="n"/>
      <c r="B18" s="376" t="n"/>
      <c r="C18" s="376" t="n"/>
      <c r="D18" s="376" t="n"/>
      <c r="E18" s="376" t="n"/>
      <c r="F18" s="93" t="n"/>
      <c r="G18" s="94" t="n"/>
      <c r="H18" s="95" t="n"/>
      <c r="I18" s="376" t="n"/>
      <c r="J18" s="376" t="n"/>
      <c r="K18" s="94" t="n"/>
      <c r="L18" s="94" t="n"/>
      <c r="M18" s="94" t="n"/>
      <c r="P18" s="143" t="n"/>
      <c r="Q18" s="144" t="n"/>
    </row>
    <row r="19">
      <c r="A19" s="375" t="n"/>
      <c r="B19" s="376" t="n"/>
      <c r="C19" s="376" t="n"/>
      <c r="D19" s="376" t="n"/>
      <c r="E19" s="376" t="n"/>
      <c r="F19" s="93" t="n"/>
      <c r="G19" s="94" t="n"/>
      <c r="H19" s="95" t="n"/>
      <c r="I19" s="376" t="n"/>
      <c r="J19" s="376" t="n"/>
      <c r="K19" s="94" t="n"/>
      <c r="L19" s="94" t="n"/>
      <c r="M19" s="94" t="n"/>
      <c r="P19" s="143" t="n"/>
      <c r="Q19" s="144" t="n"/>
    </row>
    <row r="20">
      <c r="A20" s="375" t="n"/>
      <c r="B20" s="376" t="n"/>
      <c r="C20" s="376" t="n"/>
      <c r="D20" s="376" t="n"/>
      <c r="E20" s="376" t="n"/>
      <c r="F20" s="93" t="n"/>
      <c r="G20" s="94" t="n"/>
      <c r="H20" s="95" t="n"/>
      <c r="I20" s="376" t="n"/>
      <c r="J20" s="376" t="n"/>
      <c r="K20" s="94" t="n"/>
      <c r="L20" s="94" t="n"/>
      <c r="M20" s="94" t="n"/>
      <c r="P20" s="143" t="n"/>
      <c r="Q20" s="144" t="n"/>
    </row>
    <row r="21">
      <c r="A21" s="375" t="n"/>
      <c r="B21" s="376" t="n"/>
      <c r="C21" s="376" t="n"/>
      <c r="D21" s="376" t="n"/>
      <c r="E21" s="376" t="n"/>
      <c r="F21" s="93" t="n"/>
      <c r="G21" s="94" t="n"/>
      <c r="H21" s="95" t="n"/>
      <c r="I21" s="376" t="n"/>
      <c r="J21" s="376" t="n"/>
      <c r="K21" s="94" t="n"/>
      <c r="L21" s="94" t="n"/>
      <c r="M21" s="94" t="n"/>
      <c r="P21" s="143" t="n"/>
      <c r="Q21" s="144" t="n"/>
    </row>
    <row r="22">
      <c r="A22" s="375" t="n"/>
      <c r="B22" s="376" t="n"/>
      <c r="C22" s="376" t="n"/>
      <c r="D22" s="376" t="n"/>
      <c r="E22" s="376" t="n"/>
      <c r="F22" s="93" t="n"/>
      <c r="G22" s="94" t="n"/>
      <c r="H22" s="95" t="n"/>
      <c r="I22" s="376" t="n"/>
      <c r="J22" s="376" t="n"/>
      <c r="K22" s="94" t="n"/>
      <c r="L22" s="94" t="n"/>
      <c r="M22" s="94" t="n"/>
      <c r="P22" s="143" t="n"/>
      <c r="Q22" s="144" t="n"/>
    </row>
    <row r="23">
      <c r="A23" s="375" t="n"/>
      <c r="B23" s="376" t="n"/>
      <c r="C23" s="376" t="n"/>
      <c r="D23" s="376" t="n"/>
      <c r="E23" s="376" t="n"/>
      <c r="F23" s="93" t="n"/>
      <c r="G23" s="94" t="n"/>
      <c r="H23" s="95" t="n"/>
      <c r="I23" s="376" t="n"/>
      <c r="J23" s="376" t="n"/>
      <c r="K23" s="94" t="n"/>
      <c r="L23" s="94" t="n"/>
      <c r="M23" s="94" t="n"/>
      <c r="P23" s="143" t="n"/>
      <c r="Q23" s="144" t="n"/>
    </row>
    <row r="24">
      <c r="A24" s="375" t="n"/>
      <c r="B24" s="376" t="n"/>
      <c r="C24" s="376" t="n"/>
      <c r="D24" s="376" t="n"/>
      <c r="E24" s="376" t="n"/>
      <c r="F24" s="93" t="n"/>
      <c r="G24" s="94" t="n"/>
      <c r="H24" s="95" t="n"/>
      <c r="I24" s="376" t="n"/>
      <c r="J24" s="376" t="n"/>
      <c r="K24" s="94" t="n"/>
      <c r="L24" s="94" t="n"/>
      <c r="M24" s="94" t="n"/>
      <c r="P24" s="143" t="n"/>
      <c r="Q24" s="144" t="n"/>
    </row>
    <row r="25">
      <c r="A25" s="375" t="n"/>
      <c r="B25" s="376" t="n"/>
      <c r="C25" s="376" t="n"/>
      <c r="D25" s="376" t="n"/>
      <c r="E25" s="376" t="n"/>
      <c r="F25" s="93" t="n"/>
      <c r="G25" s="94" t="n"/>
      <c r="H25" s="95" t="n"/>
      <c r="I25" s="376" t="n"/>
      <c r="J25" s="376" t="n"/>
      <c r="K25" s="94" t="n"/>
      <c r="L25" s="94" t="n"/>
      <c r="M25" s="94" t="n"/>
      <c r="P25" s="143" t="n"/>
      <c r="Q25" s="144" t="n"/>
    </row>
    <row r="26">
      <c r="A26" s="375" t="n"/>
      <c r="B26" s="376" t="n"/>
      <c r="C26" s="376" t="n"/>
      <c r="D26" s="376" t="n"/>
      <c r="E26" s="376" t="n"/>
      <c r="F26" s="93" t="n"/>
      <c r="G26" s="94" t="n"/>
      <c r="H26" s="95" t="n"/>
      <c r="I26" s="376" t="n"/>
      <c r="J26" s="376" t="n"/>
      <c r="K26" s="94" t="n"/>
      <c r="L26" s="94" t="n"/>
      <c r="M26" s="94" t="n"/>
      <c r="P26" s="143" t="n"/>
      <c r="Q26" s="144" t="n"/>
    </row>
    <row r="27">
      <c r="A27" s="375" t="n"/>
      <c r="B27" s="376" t="n"/>
      <c r="C27" s="376" t="n"/>
      <c r="D27" s="376" t="n"/>
      <c r="E27" s="376" t="n"/>
      <c r="F27" s="93" t="n"/>
      <c r="G27" s="94" t="n"/>
      <c r="H27" s="95" t="n"/>
      <c r="I27" s="376" t="n"/>
      <c r="J27" s="376" t="n"/>
      <c r="K27" s="94" t="n"/>
      <c r="L27" s="94" t="n"/>
      <c r="M27" s="94" t="n"/>
      <c r="P27" s="143" t="n"/>
      <c r="Q27" s="144" t="n"/>
    </row>
    <row r="28">
      <c r="A28" s="375" t="n"/>
      <c r="B28" s="376" t="n"/>
      <c r="C28" s="376" t="n"/>
      <c r="D28" s="376" t="n"/>
      <c r="E28" s="376" t="n"/>
      <c r="F28" s="93" t="n"/>
      <c r="G28" s="94" t="n"/>
      <c r="H28" s="95" t="n"/>
      <c r="I28" s="376" t="n"/>
      <c r="J28" s="376" t="n"/>
      <c r="K28" s="94" t="n"/>
      <c r="L28" s="94" t="n"/>
      <c r="M28" s="94" t="n"/>
      <c r="P28" s="143" t="n"/>
      <c r="Q28" s="144" t="n"/>
    </row>
    <row r="29">
      <c r="A29" s="375" t="n"/>
      <c r="B29" s="376" t="n"/>
      <c r="C29" s="376" t="n"/>
      <c r="D29" s="376" t="n"/>
      <c r="E29" s="376" t="n"/>
      <c r="F29" s="93" t="n"/>
      <c r="G29" s="94" t="n"/>
      <c r="H29" s="95" t="n"/>
      <c r="I29" s="376" t="n"/>
      <c r="J29" s="376" t="n"/>
      <c r="K29" s="94" t="n"/>
      <c r="L29" s="94" t="n"/>
      <c r="M29" s="94" t="n"/>
      <c r="P29" s="143" t="n"/>
      <c r="Q29" s="144" t="n"/>
    </row>
    <row r="30">
      <c r="A30" s="375" t="n"/>
      <c r="B30" s="376" t="n"/>
      <c r="C30" s="376" t="n"/>
      <c r="D30" s="376" t="n"/>
      <c r="E30" s="376" t="n"/>
      <c r="F30" s="93" t="n"/>
      <c r="G30" s="94" t="n"/>
      <c r="H30" s="95" t="n"/>
      <c r="I30" s="376" t="n"/>
      <c r="J30" s="376" t="n"/>
      <c r="K30" s="94" t="n"/>
      <c r="L30" s="94" t="n"/>
      <c r="M30" s="94" t="n"/>
      <c r="P30" s="143" t="n"/>
      <c r="Q30" s="144" t="n"/>
    </row>
    <row r="31">
      <c r="A31" s="375" t="n"/>
      <c r="B31" s="376" t="n"/>
      <c r="C31" s="376" t="n"/>
      <c r="D31" s="376" t="n"/>
      <c r="E31" s="376" t="n"/>
      <c r="F31" s="93" t="n"/>
      <c r="G31" s="94" t="n"/>
      <c r="H31" s="95" t="n"/>
      <c r="I31" s="376" t="n"/>
      <c r="J31" s="376" t="n"/>
      <c r="K31" s="94" t="n"/>
      <c r="L31" s="94" t="n"/>
      <c r="M31" s="94" t="n"/>
      <c r="P31" s="143" t="n"/>
      <c r="Q31" s="144" t="n"/>
    </row>
    <row r="32">
      <c r="A32" s="375" t="n"/>
      <c r="B32" s="376" t="n"/>
      <c r="C32" s="376" t="n"/>
      <c r="D32" s="376" t="n"/>
      <c r="E32" s="376" t="n"/>
      <c r="F32" s="93" t="n"/>
      <c r="G32" s="94" t="n"/>
      <c r="H32" s="95" t="n"/>
      <c r="I32" s="376" t="n"/>
      <c r="J32" s="376" t="n"/>
      <c r="K32" s="94" t="n"/>
      <c r="L32" s="94" t="n"/>
      <c r="M32" s="94" t="n"/>
      <c r="P32" s="143" t="n"/>
      <c r="Q32" s="144" t="n"/>
    </row>
    <row r="33">
      <c r="A33" s="375" t="n"/>
      <c r="B33" s="376" t="n"/>
      <c r="C33" s="376" t="n"/>
      <c r="D33" s="376" t="n"/>
      <c r="E33" s="376" t="n"/>
      <c r="F33" s="93" t="n"/>
      <c r="G33" s="94" t="n"/>
      <c r="H33" s="95" t="n"/>
      <c r="I33" s="376" t="n"/>
      <c r="J33" s="376" t="n"/>
      <c r="K33" s="94" t="n"/>
      <c r="L33" s="94" t="n"/>
      <c r="M33" s="94" t="n"/>
      <c r="P33" s="143" t="n"/>
      <c r="Q33" s="144" t="n"/>
    </row>
    <row r="34">
      <c r="A34" s="375" t="n"/>
      <c r="B34" s="376" t="n"/>
      <c r="C34" s="376" t="n"/>
      <c r="D34" s="376" t="n"/>
      <c r="E34" s="376" t="n"/>
      <c r="F34" s="93" t="n"/>
      <c r="G34" s="94" t="n"/>
      <c r="H34" s="95" t="n"/>
      <c r="I34" s="376" t="n"/>
      <c r="J34" s="376" t="n"/>
      <c r="K34" s="94" t="n"/>
      <c r="L34" s="94" t="n"/>
      <c r="M34" s="94" t="n"/>
      <c r="P34" s="143" t="n"/>
      <c r="Q34" s="144" t="n"/>
    </row>
    <row r="35">
      <c r="A35" s="375" t="n"/>
      <c r="B35" s="376" t="n"/>
      <c r="C35" s="376" t="n"/>
      <c r="D35" s="376" t="n"/>
      <c r="E35" s="376" t="n"/>
      <c r="F35" s="93" t="n"/>
      <c r="G35" s="94" t="n"/>
      <c r="H35" s="95" t="n"/>
      <c r="I35" s="376" t="n"/>
      <c r="J35" s="376" t="n"/>
      <c r="K35" s="94" t="n"/>
      <c r="L35" s="94" t="n"/>
      <c r="M35" s="94" t="n"/>
      <c r="P35" s="143" t="n"/>
      <c r="Q35" s="144" t="n"/>
    </row>
    <row r="36">
      <c r="A36" s="375" t="n"/>
      <c r="B36" s="376" t="n"/>
      <c r="C36" s="376" t="n"/>
      <c r="D36" s="376" t="n"/>
      <c r="E36" s="376" t="n"/>
      <c r="F36" s="93" t="n"/>
      <c r="G36" s="94" t="n"/>
      <c r="H36" s="95" t="n"/>
      <c r="I36" s="376" t="n"/>
      <c r="J36" s="376" t="n"/>
      <c r="K36" s="94" t="n"/>
      <c r="L36" s="94" t="n"/>
      <c r="M36" s="94" t="n"/>
      <c r="P36" s="143" t="n"/>
      <c r="Q36" s="144" t="n"/>
    </row>
    <row r="37">
      <c r="A37" s="375" t="n"/>
      <c r="B37" s="376" t="n"/>
      <c r="C37" s="376" t="n"/>
      <c r="D37" s="376" t="n"/>
      <c r="E37" s="376" t="n"/>
      <c r="F37" s="93" t="n"/>
      <c r="G37" s="94" t="n"/>
      <c r="H37" s="95" t="n"/>
      <c r="I37" s="376" t="n"/>
      <c r="J37" s="376" t="n"/>
      <c r="K37" s="94" t="n"/>
      <c r="L37" s="94" t="n"/>
      <c r="M37" s="94" t="n"/>
      <c r="P37" s="143" t="n"/>
      <c r="Q37" s="144" t="n"/>
    </row>
    <row r="38">
      <c r="A38" s="375" t="n"/>
      <c r="B38" s="376" t="n"/>
      <c r="C38" s="376" t="n"/>
      <c r="D38" s="376" t="n"/>
      <c r="E38" s="376" t="n"/>
      <c r="F38" s="93" t="n"/>
      <c r="G38" s="94" t="n"/>
      <c r="H38" s="95" t="n"/>
      <c r="I38" s="376" t="n"/>
      <c r="J38" s="376" t="n"/>
      <c r="K38" s="94" t="n"/>
      <c r="L38" s="94" t="n"/>
      <c r="M38" s="94" t="n"/>
      <c r="P38" s="143" t="n"/>
      <c r="Q38" s="144" t="n"/>
    </row>
    <row r="39">
      <c r="A39" s="375" t="n"/>
      <c r="B39" s="376" t="n"/>
      <c r="C39" s="376" t="n"/>
      <c r="D39" s="376" t="n"/>
      <c r="E39" s="376" t="n"/>
      <c r="F39" s="93" t="n"/>
      <c r="G39" s="94" t="n"/>
      <c r="H39" s="95" t="n"/>
      <c r="I39" s="376" t="n"/>
      <c r="J39" s="376" t="n"/>
      <c r="K39" s="94" t="n"/>
      <c r="L39" s="94" t="n"/>
      <c r="M39" s="94" t="n"/>
      <c r="P39" s="143" t="n"/>
      <c r="Q39" s="144" t="n"/>
    </row>
    <row r="40">
      <c r="A40" s="375" t="n"/>
      <c r="B40" s="376" t="n"/>
      <c r="C40" s="376" t="n"/>
      <c r="D40" s="376" t="n"/>
      <c r="E40" s="376" t="n"/>
      <c r="F40" s="93" t="n"/>
      <c r="G40" s="94" t="n"/>
      <c r="H40" s="95" t="n"/>
      <c r="I40" s="376" t="n"/>
      <c r="J40" s="376" t="n"/>
      <c r="K40" s="94" t="n"/>
      <c r="L40" s="94" t="n"/>
      <c r="M40" s="94" t="n"/>
      <c r="P40" s="143" t="n"/>
      <c r="Q40" s="144" t="n"/>
    </row>
    <row r="41">
      <c r="A41" s="375" t="n"/>
      <c r="B41" s="376" t="n"/>
      <c r="C41" s="376" t="n"/>
      <c r="D41" s="376" t="n"/>
      <c r="E41" s="376" t="n"/>
      <c r="F41" s="93" t="n"/>
      <c r="G41" s="94" t="n"/>
      <c r="H41" s="95" t="n"/>
      <c r="I41" s="376" t="n"/>
      <c r="J41" s="376" t="n"/>
      <c r="K41" s="94" t="n"/>
      <c r="L41" s="94" t="n"/>
      <c r="M41" s="94" t="n"/>
      <c r="P41" s="143" t="n"/>
      <c r="Q41" s="144" t="n"/>
    </row>
    <row r="42">
      <c r="A42" s="375" t="n"/>
      <c r="B42" s="376" t="n"/>
      <c r="C42" s="376" t="n"/>
      <c r="D42" s="376" t="n"/>
      <c r="E42" s="376" t="n"/>
      <c r="F42" s="93" t="n"/>
      <c r="G42" s="94" t="n"/>
      <c r="H42" s="95" t="n"/>
      <c r="I42" s="376" t="n"/>
      <c r="J42" s="376" t="n"/>
      <c r="K42" s="94" t="n"/>
      <c r="L42" s="94" t="n"/>
      <c r="M42" s="94" t="n"/>
      <c r="P42" s="143" t="n"/>
      <c r="Q42" s="144" t="n"/>
    </row>
    <row r="43">
      <c r="A43" s="375" t="n"/>
      <c r="B43" s="376" t="n"/>
      <c r="C43" s="376" t="n"/>
      <c r="D43" s="376" t="n"/>
      <c r="E43" s="376" t="n"/>
      <c r="F43" s="93" t="n"/>
      <c r="G43" s="94" t="n"/>
      <c r="H43" s="95" t="n"/>
      <c r="I43" s="376" t="n"/>
      <c r="J43" s="376" t="n"/>
      <c r="K43" s="94" t="n"/>
      <c r="L43" s="94" t="n"/>
      <c r="M43" s="94" t="n"/>
      <c r="P43" s="143" t="n"/>
      <c r="Q43" s="144" t="n"/>
    </row>
    <row r="44">
      <c r="A44" s="375" t="n"/>
      <c r="B44" s="376" t="n"/>
      <c r="C44" s="376" t="n"/>
      <c r="D44" s="376" t="n"/>
      <c r="E44" s="376" t="n"/>
      <c r="F44" s="93" t="n"/>
      <c r="G44" s="94" t="n"/>
      <c r="H44" s="95" t="n"/>
      <c r="I44" s="376" t="n"/>
      <c r="J44" s="376" t="n"/>
      <c r="K44" s="94" t="n"/>
      <c r="L44" s="94" t="n"/>
      <c r="M44" s="94" t="n"/>
      <c r="P44" s="143" t="n"/>
      <c r="Q44" s="144" t="n"/>
    </row>
    <row r="45">
      <c r="A45" s="375" t="n"/>
      <c r="B45" s="376" t="n"/>
      <c r="C45" s="376" t="n"/>
      <c r="D45" s="376" t="n"/>
      <c r="E45" s="376" t="n"/>
      <c r="F45" s="93" t="n"/>
      <c r="G45" s="94" t="n"/>
      <c r="H45" s="95" t="n"/>
      <c r="I45" s="376" t="n"/>
      <c r="J45" s="376" t="n"/>
      <c r="K45" s="94" t="n"/>
      <c r="L45" s="94" t="n"/>
      <c r="M45" s="94" t="n"/>
      <c r="P45" s="143" t="n"/>
      <c r="Q45" s="144" t="n"/>
    </row>
    <row r="46">
      <c r="A46" s="375" t="n"/>
      <c r="B46" s="376" t="n"/>
      <c r="C46" s="376" t="n"/>
      <c r="D46" s="376" t="n"/>
      <c r="E46" s="376" t="n"/>
      <c r="F46" s="93" t="n"/>
      <c r="G46" s="94" t="n"/>
      <c r="H46" s="95" t="n"/>
      <c r="I46" s="376" t="n"/>
      <c r="J46" s="376" t="n"/>
      <c r="K46" s="94" t="n"/>
      <c r="L46" s="94" t="n"/>
      <c r="M46" s="94" t="n"/>
      <c r="P46" s="143" t="n"/>
      <c r="Q46" s="144" t="n"/>
    </row>
    <row r="47">
      <c r="A47" s="375" t="n"/>
      <c r="B47" s="376" t="n"/>
      <c r="C47" s="376" t="n"/>
      <c r="D47" s="376" t="n"/>
      <c r="E47" s="376" t="n"/>
      <c r="F47" s="93" t="n"/>
      <c r="G47" s="94" t="n"/>
      <c r="H47" s="95" t="n"/>
      <c r="I47" s="376" t="n"/>
      <c r="J47" s="376" t="n"/>
      <c r="K47" s="94" t="n"/>
      <c r="L47" s="94" t="n"/>
      <c r="M47" s="94" t="n"/>
      <c r="P47" s="143" t="n"/>
      <c r="Q47" s="144" t="n"/>
    </row>
    <row r="48">
      <c r="A48" s="375" t="n"/>
      <c r="B48" s="376" t="n"/>
      <c r="C48" s="376" t="n"/>
      <c r="D48" s="376" t="n"/>
      <c r="E48" s="376" t="n"/>
      <c r="F48" s="93" t="n"/>
      <c r="G48" s="94" t="n"/>
      <c r="H48" s="95" t="n"/>
      <c r="I48" s="376" t="n"/>
      <c r="J48" s="376" t="n"/>
      <c r="K48" s="94" t="n"/>
      <c r="L48" s="94" t="n"/>
      <c r="M48" s="94" t="n"/>
      <c r="P48" s="143" t="n"/>
      <c r="Q48" s="144" t="n"/>
    </row>
    <row r="49">
      <c r="A49" s="375" t="n"/>
      <c r="B49" s="376" t="n"/>
      <c r="C49" s="376" t="n"/>
      <c r="D49" s="376" t="n"/>
      <c r="E49" s="376" t="n"/>
      <c r="F49" s="93" t="n"/>
      <c r="G49" s="94" t="n"/>
      <c r="H49" s="95" t="n"/>
      <c r="I49" s="376" t="n"/>
      <c r="J49" s="376" t="n"/>
      <c r="K49" s="94" t="n"/>
      <c r="L49" s="94" t="n"/>
      <c r="M49" s="94" t="n"/>
      <c r="P49" s="143" t="n"/>
      <c r="Q49" s="144" t="n"/>
    </row>
    <row r="50">
      <c r="A50" s="375" t="n"/>
      <c r="B50" s="376" t="n"/>
      <c r="C50" s="376" t="n"/>
      <c r="D50" s="376" t="n"/>
      <c r="E50" s="376" t="n"/>
      <c r="F50" s="93" t="n"/>
      <c r="G50" s="94" t="n"/>
      <c r="H50" s="95" t="n"/>
      <c r="I50" s="376" t="n"/>
      <c r="J50" s="376" t="n"/>
      <c r="K50" s="94" t="n"/>
      <c r="L50" s="94" t="n"/>
      <c r="M50" s="94" t="n"/>
      <c r="P50" s="143" t="n"/>
      <c r="Q50" s="144" t="n"/>
    </row>
    <row r="51">
      <c r="A51" s="375" t="n"/>
      <c r="B51" s="376" t="n"/>
      <c r="C51" s="376" t="n"/>
      <c r="D51" s="376" t="n"/>
      <c r="E51" s="376" t="n"/>
      <c r="F51" s="93" t="n"/>
      <c r="G51" s="94" t="n"/>
      <c r="H51" s="95" t="n"/>
      <c r="I51" s="376" t="n"/>
      <c r="J51" s="376" t="n"/>
      <c r="K51" s="94" t="n"/>
      <c r="L51" s="94" t="n"/>
      <c r="M51" s="94" t="n"/>
      <c r="P51" s="143" t="n"/>
      <c r="Q51" s="144" t="n"/>
    </row>
    <row r="52">
      <c r="A52" s="375" t="n"/>
      <c r="B52" s="376" t="n"/>
      <c r="C52" s="376" t="n"/>
      <c r="D52" s="376" t="n"/>
      <c r="E52" s="376" t="n"/>
      <c r="F52" s="93" t="n"/>
      <c r="G52" s="94" t="n"/>
      <c r="H52" s="95" t="n"/>
      <c r="I52" s="376" t="n"/>
      <c r="J52" s="376" t="n"/>
      <c r="K52" s="94" t="n"/>
      <c r="L52" s="94" t="n"/>
      <c r="M52" s="94" t="n"/>
      <c r="P52" s="143" t="n"/>
      <c r="Q52" s="144" t="n"/>
    </row>
    <row r="53">
      <c r="A53" s="375" t="n"/>
      <c r="B53" s="376" t="n"/>
      <c r="C53" s="376" t="n"/>
      <c r="D53" s="376" t="n"/>
      <c r="E53" s="376" t="n"/>
      <c r="F53" s="93" t="n"/>
      <c r="G53" s="94" t="n"/>
      <c r="H53" s="95" t="n"/>
      <c r="I53" s="376" t="n"/>
      <c r="J53" s="376" t="n"/>
      <c r="K53" s="94" t="n"/>
      <c r="L53" s="94" t="n"/>
      <c r="M53" s="94" t="n"/>
      <c r="P53" s="143" t="n"/>
      <c r="Q53" s="144" t="n"/>
    </row>
    <row r="54">
      <c r="A54" s="375" t="n"/>
      <c r="B54" s="376" t="n"/>
      <c r="C54" s="376" t="n"/>
      <c r="D54" s="376" t="n"/>
      <c r="E54" s="376" t="n"/>
      <c r="F54" s="93" t="n"/>
      <c r="G54" s="94" t="n"/>
      <c r="H54" s="95" t="n"/>
      <c r="I54" s="376" t="n"/>
      <c r="J54" s="376" t="n"/>
      <c r="K54" s="94" t="n"/>
      <c r="L54" s="94" t="n"/>
      <c r="M54" s="94" t="n"/>
      <c r="P54" s="143" t="n"/>
      <c r="Q54" s="144" t="n"/>
    </row>
    <row r="55">
      <c r="A55" s="375" t="n"/>
      <c r="B55" s="376" t="n"/>
      <c r="C55" s="376" t="n"/>
      <c r="D55" s="376" t="n"/>
      <c r="E55" s="376" t="n"/>
      <c r="F55" s="93" t="n"/>
      <c r="G55" s="94" t="n"/>
      <c r="H55" s="95" t="n"/>
      <c r="I55" s="376" t="n"/>
      <c r="J55" s="376" t="n"/>
      <c r="K55" s="94" t="n"/>
      <c r="L55" s="94" t="n"/>
      <c r="M55" s="94" t="n"/>
      <c r="P55" s="143" t="n"/>
      <c r="Q55" s="144" t="n"/>
    </row>
    <row r="56">
      <c r="A56" s="375" t="n"/>
      <c r="B56" s="376" t="n"/>
      <c r="C56" s="376" t="n"/>
      <c r="D56" s="376" t="n"/>
      <c r="E56" s="376" t="n"/>
      <c r="F56" s="93" t="n"/>
      <c r="G56" s="94" t="n"/>
      <c r="H56" s="95" t="n"/>
      <c r="I56" s="376" t="n"/>
      <c r="J56" s="376" t="n"/>
      <c r="K56" s="94" t="n"/>
      <c r="L56" s="94" t="n"/>
      <c r="M56" s="94" t="n"/>
      <c r="P56" s="143" t="n"/>
      <c r="Q56" s="144" t="n"/>
    </row>
    <row r="57">
      <c r="A57" s="375" t="n"/>
      <c r="B57" s="376" t="n"/>
      <c r="C57" s="376" t="n"/>
      <c r="D57" s="376" t="n"/>
      <c r="E57" s="376" t="n"/>
      <c r="F57" s="93" t="n"/>
      <c r="G57" s="94" t="n"/>
      <c r="H57" s="95" t="n"/>
      <c r="I57" s="376" t="n"/>
      <c r="J57" s="376" t="n"/>
      <c r="K57" s="94" t="n"/>
      <c r="L57" s="94" t="n"/>
      <c r="M57" s="94" t="n"/>
      <c r="P57" s="143" t="n"/>
      <c r="Q57" s="144" t="n"/>
    </row>
    <row r="58">
      <c r="A58" s="375" t="n"/>
      <c r="B58" s="376" t="n"/>
      <c r="C58" s="376" t="n"/>
      <c r="D58" s="376" t="n"/>
      <c r="E58" s="376" t="n"/>
      <c r="F58" s="93" t="n"/>
      <c r="G58" s="94" t="n"/>
      <c r="H58" s="95" t="n"/>
      <c r="I58" s="376" t="n"/>
      <c r="J58" s="376" t="n"/>
      <c r="K58" s="94" t="n"/>
      <c r="L58" s="94" t="n"/>
      <c r="M58" s="94" t="n"/>
      <c r="P58" s="143" t="n"/>
      <c r="Q58" s="144" t="n"/>
    </row>
    <row r="59">
      <c r="A59" s="375" t="n"/>
      <c r="B59" s="376" t="n"/>
      <c r="C59" s="376" t="n"/>
      <c r="D59" s="376" t="n"/>
      <c r="E59" s="376" t="n"/>
      <c r="F59" s="93" t="n"/>
      <c r="G59" s="94" t="n"/>
      <c r="H59" s="95" t="n"/>
      <c r="I59" s="376" t="n"/>
      <c r="J59" s="376" t="n"/>
      <c r="K59" s="94" t="n"/>
      <c r="L59" s="94" t="n"/>
      <c r="M59" s="94" t="n"/>
      <c r="P59" s="143" t="n"/>
      <c r="Q59" s="144" t="n"/>
    </row>
    <row r="60">
      <c r="A60" s="375" t="n"/>
      <c r="B60" s="376" t="n"/>
      <c r="C60" s="376" t="n"/>
      <c r="D60" s="376" t="n"/>
      <c r="E60" s="376" t="n"/>
      <c r="F60" s="93" t="n"/>
      <c r="G60" s="94" t="n"/>
      <c r="H60" s="95" t="n"/>
      <c r="I60" s="376" t="n"/>
      <c r="J60" s="376" t="n"/>
      <c r="K60" s="94" t="n"/>
      <c r="L60" s="94" t="n"/>
      <c r="M60" s="94" t="n"/>
      <c r="P60" s="143" t="n"/>
      <c r="Q60" s="144" t="n"/>
    </row>
    <row r="61">
      <c r="A61" s="375" t="n"/>
      <c r="B61" s="376" t="n"/>
      <c r="C61" s="376" t="n"/>
      <c r="D61" s="376" t="n"/>
      <c r="E61" s="376" t="n"/>
      <c r="F61" s="93" t="n"/>
      <c r="G61" s="94" t="n"/>
      <c r="H61" s="95" t="n"/>
      <c r="I61" s="376" t="n"/>
      <c r="J61" s="376" t="n"/>
      <c r="K61" s="94" t="n"/>
      <c r="L61" s="94" t="n"/>
      <c r="M61" s="94" t="n"/>
      <c r="P61" s="143" t="n"/>
      <c r="Q61" s="144" t="n"/>
    </row>
    <row r="62">
      <c r="A62" s="375" t="n"/>
      <c r="B62" s="376" t="n"/>
      <c r="C62" s="376" t="n"/>
      <c r="D62" s="376" t="n"/>
      <c r="E62" s="376" t="n"/>
      <c r="F62" s="93" t="n"/>
      <c r="G62" s="94" t="n"/>
      <c r="H62" s="95" t="n"/>
      <c r="I62" s="376" t="n"/>
      <c r="J62" s="376" t="n"/>
      <c r="K62" s="94" t="n"/>
      <c r="L62" s="94" t="n"/>
      <c r="M62" s="94" t="n"/>
      <c r="P62" s="143" t="n"/>
      <c r="Q62" s="144" t="n"/>
    </row>
    <row r="63">
      <c r="A63" s="375" t="n"/>
      <c r="B63" s="376" t="n"/>
      <c r="C63" s="376" t="n"/>
      <c r="D63" s="376" t="n"/>
      <c r="E63" s="376" t="n"/>
      <c r="F63" s="93" t="n"/>
      <c r="G63" s="94" t="n"/>
      <c r="H63" s="95" t="n"/>
      <c r="I63" s="376" t="n"/>
      <c r="J63" s="376" t="n"/>
      <c r="K63" s="94" t="n"/>
      <c r="L63" s="94" t="n"/>
      <c r="M63" s="94" t="n"/>
      <c r="P63" s="143" t="n"/>
      <c r="Q63" s="144" t="n"/>
    </row>
    <row r="64">
      <c r="A64" s="375" t="n"/>
      <c r="B64" s="376" t="n"/>
      <c r="C64" s="376" t="n"/>
      <c r="D64" s="376" t="n"/>
      <c r="E64" s="376" t="n"/>
      <c r="F64" s="93" t="n"/>
      <c r="G64" s="94" t="n"/>
      <c r="H64" s="95" t="n"/>
      <c r="I64" s="376" t="n"/>
      <c r="J64" s="376" t="n"/>
      <c r="K64" s="94" t="n"/>
      <c r="L64" s="94" t="n"/>
      <c r="M64" s="94" t="n"/>
      <c r="P64" s="143" t="n"/>
      <c r="Q64" s="144" t="n"/>
    </row>
    <row r="65">
      <c r="A65" s="375" t="n"/>
      <c r="B65" s="376" t="n"/>
      <c r="C65" s="376" t="n"/>
      <c r="D65" s="376" t="n"/>
      <c r="E65" s="376" t="n"/>
      <c r="F65" s="93" t="n"/>
      <c r="G65" s="94" t="n"/>
      <c r="H65" s="95" t="n"/>
      <c r="I65" s="376" t="n"/>
      <c r="J65" s="376" t="n"/>
      <c r="K65" s="94" t="n"/>
      <c r="L65" s="94" t="n"/>
      <c r="M65" s="94" t="n"/>
      <c r="P65" s="143" t="n"/>
      <c r="Q65" s="144" t="n"/>
    </row>
    <row r="66">
      <c r="A66" s="375" t="n"/>
      <c r="B66" s="376" t="n"/>
      <c r="C66" s="376" t="n"/>
      <c r="D66" s="376" t="n"/>
      <c r="E66" s="376" t="n"/>
      <c r="F66" s="93" t="n"/>
      <c r="G66" s="94" t="n"/>
      <c r="H66" s="95" t="n"/>
      <c r="I66" s="376" t="n"/>
      <c r="J66" s="376" t="n"/>
      <c r="K66" s="94" t="n"/>
      <c r="L66" s="94" t="n"/>
      <c r="M66" s="94" t="n"/>
      <c r="P66" s="143" t="n"/>
      <c r="Q66" s="144" t="n"/>
    </row>
    <row r="67">
      <c r="A67" s="375" t="n"/>
      <c r="B67" s="376" t="n"/>
      <c r="C67" s="376" t="n"/>
      <c r="D67" s="376" t="n"/>
      <c r="E67" s="376" t="n"/>
      <c r="F67" s="93" t="n"/>
      <c r="G67" s="94" t="n"/>
      <c r="H67" s="95" t="n"/>
      <c r="I67" s="376" t="n"/>
      <c r="J67" s="376" t="n"/>
      <c r="K67" s="94" t="n"/>
      <c r="L67" s="94" t="n"/>
      <c r="M67" s="94" t="n"/>
      <c r="P67" s="143" t="n"/>
      <c r="Q67" s="144" t="n"/>
    </row>
    <row r="68">
      <c r="A68" s="375" t="n"/>
      <c r="B68" s="376" t="n"/>
      <c r="C68" s="376" t="n"/>
      <c r="D68" s="376" t="n"/>
      <c r="E68" s="376" t="n"/>
      <c r="F68" s="93" t="n"/>
      <c r="G68" s="94" t="n"/>
      <c r="H68" s="95" t="n"/>
      <c r="I68" s="376" t="n"/>
      <c r="J68" s="376" t="n"/>
      <c r="K68" s="94" t="n"/>
      <c r="L68" s="94" t="n"/>
      <c r="M68" s="94" t="n"/>
      <c r="P68" s="143" t="n"/>
      <c r="Q68" s="144" t="n"/>
    </row>
    <row r="69">
      <c r="A69" s="375" t="n"/>
      <c r="B69" s="376" t="n"/>
      <c r="C69" s="376" t="n"/>
      <c r="D69" s="376" t="n"/>
      <c r="E69" s="376" t="n"/>
      <c r="F69" s="93" t="n"/>
      <c r="G69" s="94" t="n"/>
      <c r="H69" s="95" t="n"/>
      <c r="I69" s="376" t="n"/>
      <c r="J69" s="376" t="n"/>
      <c r="K69" s="94" t="n"/>
      <c r="L69" s="94" t="n"/>
      <c r="M69" s="94" t="n"/>
      <c r="P69" s="143" t="n"/>
      <c r="Q69" s="144" t="n"/>
    </row>
    <row r="70">
      <c r="A70" s="375" t="n"/>
      <c r="B70" s="376" t="n"/>
      <c r="C70" s="376" t="n"/>
      <c r="D70" s="376" t="n"/>
      <c r="E70" s="376" t="n"/>
      <c r="F70" s="93" t="n"/>
      <c r="G70" s="94" t="n"/>
      <c r="H70" s="95" t="n"/>
      <c r="I70" s="376" t="n"/>
      <c r="J70" s="376" t="n"/>
      <c r="K70" s="94" t="n"/>
      <c r="L70" s="94" t="n"/>
      <c r="M70" s="94" t="n"/>
      <c r="P70" s="143" t="n"/>
      <c r="Q70" s="144" t="n"/>
    </row>
    <row r="71">
      <c r="A71" s="375" t="n"/>
      <c r="B71" s="376" t="n"/>
      <c r="C71" s="376" t="n"/>
      <c r="D71" s="376" t="n"/>
      <c r="E71" s="376" t="n"/>
      <c r="F71" s="93" t="n"/>
      <c r="G71" s="94" t="n"/>
      <c r="H71" s="95" t="n"/>
      <c r="I71" s="376" t="n"/>
      <c r="J71" s="376" t="n"/>
      <c r="K71" s="94" t="n"/>
      <c r="L71" s="94" t="n"/>
      <c r="M71" s="94" t="n"/>
      <c r="P71" s="143" t="n"/>
      <c r="Q71" s="144" t="n"/>
    </row>
    <row r="72">
      <c r="A72" s="375" t="n"/>
      <c r="B72" s="376" t="n"/>
      <c r="C72" s="376" t="n"/>
      <c r="D72" s="376" t="n"/>
      <c r="E72" s="376" t="n"/>
      <c r="F72" s="93" t="n"/>
      <c r="G72" s="94" t="n"/>
      <c r="H72" s="95" t="n"/>
      <c r="I72" s="376" t="n"/>
      <c r="J72" s="376" t="n"/>
      <c r="K72" s="94" t="n"/>
      <c r="L72" s="94" t="n"/>
      <c r="M72" s="94" t="n"/>
      <c r="P72" s="143" t="n"/>
      <c r="Q72" s="144" t="n"/>
    </row>
    <row r="73">
      <c r="A73" s="375" t="n"/>
      <c r="B73" s="376" t="n"/>
      <c r="C73" s="376" t="n"/>
      <c r="D73" s="376" t="n"/>
      <c r="E73" s="376" t="n"/>
      <c r="F73" s="93" t="n"/>
      <c r="G73" s="94" t="n"/>
      <c r="H73" s="95" t="n"/>
      <c r="I73" s="376" t="n"/>
      <c r="J73" s="376" t="n"/>
      <c r="K73" s="94" t="n"/>
      <c r="L73" s="94" t="n"/>
      <c r="M73" s="94" t="n"/>
      <c r="P73" s="143" t="n"/>
      <c r="Q73" s="144" t="n"/>
    </row>
    <row r="74">
      <c r="A74" s="375" t="n"/>
      <c r="B74" s="376" t="n"/>
      <c r="C74" s="376" t="n"/>
      <c r="D74" s="376" t="n"/>
      <c r="E74" s="376" t="n"/>
      <c r="F74" s="93" t="n"/>
      <c r="G74" s="94" t="n"/>
      <c r="H74" s="95" t="n"/>
      <c r="I74" s="376" t="n"/>
      <c r="J74" s="376" t="n"/>
      <c r="K74" s="94" t="n"/>
      <c r="L74" s="94" t="n"/>
      <c r="M74" s="94" t="n"/>
      <c r="P74" s="143" t="n"/>
      <c r="Q74" s="144" t="n"/>
    </row>
    <row r="75">
      <c r="A75" s="375" t="n"/>
      <c r="B75" s="376" t="n"/>
      <c r="C75" s="376" t="n"/>
      <c r="D75" s="376" t="n"/>
      <c r="E75" s="376" t="n"/>
      <c r="F75" s="93" t="n"/>
      <c r="G75" s="94" t="n"/>
      <c r="H75" s="95" t="n"/>
      <c r="I75" s="376" t="n"/>
      <c r="J75" s="376" t="n"/>
      <c r="K75" s="94" t="n"/>
      <c r="L75" s="94" t="n"/>
      <c r="M75" s="94" t="n"/>
      <c r="P75" s="143" t="n"/>
      <c r="Q75" s="144" t="n"/>
    </row>
    <row r="76">
      <c r="A76" s="375" t="n"/>
      <c r="B76" s="376" t="n"/>
      <c r="C76" s="376" t="n"/>
      <c r="D76" s="376" t="n"/>
      <c r="E76" s="376" t="n"/>
      <c r="F76" s="93" t="n"/>
      <c r="G76" s="94" t="n"/>
      <c r="H76" s="95" t="n"/>
      <c r="I76" s="376" t="n"/>
      <c r="J76" s="376" t="n"/>
      <c r="K76" s="94" t="n"/>
      <c r="L76" s="94" t="n"/>
      <c r="M76" s="94" t="n"/>
      <c r="P76" s="143" t="n"/>
      <c r="Q76" s="144" t="n"/>
    </row>
    <row r="77">
      <c r="A77" s="375" t="n"/>
      <c r="B77" s="376" t="n"/>
      <c r="C77" s="376" t="n"/>
      <c r="D77" s="376" t="n"/>
      <c r="E77" s="376" t="n"/>
      <c r="F77" s="93" t="n"/>
      <c r="G77" s="94" t="n"/>
      <c r="H77" s="95" t="n"/>
      <c r="I77" s="376" t="n"/>
      <c r="J77" s="376" t="n"/>
      <c r="K77" s="94" t="n"/>
      <c r="L77" s="94" t="n"/>
      <c r="M77" s="94" t="n"/>
      <c r="P77" s="143" t="n"/>
      <c r="Q77" s="144" t="n"/>
    </row>
    <row r="78">
      <c r="A78" s="375" t="n"/>
      <c r="B78" s="376" t="n"/>
      <c r="C78" s="376" t="n"/>
      <c r="D78" s="376" t="n"/>
      <c r="E78" s="376" t="n"/>
      <c r="F78" s="93" t="n"/>
      <c r="G78" s="94" t="n"/>
      <c r="H78" s="95" t="n"/>
      <c r="I78" s="376" t="n"/>
      <c r="J78" s="376" t="n"/>
      <c r="K78" s="94" t="n"/>
      <c r="L78" s="94" t="n"/>
      <c r="M78" s="94" t="n"/>
      <c r="P78" s="143" t="n"/>
      <c r="Q78" s="144" t="n"/>
    </row>
    <row r="79">
      <c r="A79" s="375" t="n"/>
      <c r="B79" s="376" t="n"/>
      <c r="C79" s="376" t="n"/>
      <c r="D79" s="376" t="n"/>
      <c r="E79" s="376" t="n"/>
      <c r="F79" s="93" t="n"/>
      <c r="G79" s="94" t="n"/>
      <c r="H79" s="95" t="n"/>
      <c r="I79" s="376" t="n"/>
      <c r="J79" s="376" t="n"/>
      <c r="K79" s="94" t="n"/>
      <c r="L79" s="94" t="n"/>
      <c r="M79" s="94" t="n"/>
      <c r="P79" s="143" t="n"/>
      <c r="Q79" s="144" t="n"/>
    </row>
    <row r="80">
      <c r="A80" s="375" t="n"/>
      <c r="B80" s="376" t="n"/>
      <c r="C80" s="376" t="n"/>
      <c r="D80" s="376" t="n"/>
      <c r="E80" s="376" t="n"/>
      <c r="F80" s="93" t="n"/>
      <c r="G80" s="94" t="n"/>
      <c r="H80" s="95" t="n"/>
      <c r="I80" s="376" t="n"/>
      <c r="J80" s="376" t="n"/>
      <c r="K80" s="94" t="n"/>
      <c r="L80" s="94" t="n"/>
      <c r="M80" s="94" t="n"/>
      <c r="P80" s="143" t="n"/>
      <c r="Q80" s="144" t="n"/>
    </row>
    <row r="81">
      <c r="A81" s="375" t="n"/>
      <c r="B81" s="376" t="n"/>
      <c r="C81" s="376" t="n"/>
      <c r="D81" s="376" t="n"/>
      <c r="E81" s="376" t="n"/>
      <c r="F81" s="93" t="n"/>
      <c r="G81" s="94" t="n"/>
      <c r="H81" s="95" t="n"/>
      <c r="I81" s="376" t="n"/>
      <c r="J81" s="376" t="n"/>
      <c r="K81" s="94" t="n"/>
      <c r="L81" s="94" t="n"/>
      <c r="M81" s="94" t="n"/>
      <c r="P81" s="143" t="n"/>
      <c r="Q81" s="144" t="n"/>
    </row>
    <row r="82">
      <c r="A82" s="375" t="n"/>
      <c r="B82" s="376" t="n"/>
      <c r="C82" s="376" t="n"/>
      <c r="D82" s="376" t="n"/>
      <c r="E82" s="376" t="n"/>
      <c r="F82" s="93" t="n"/>
      <c r="G82" s="94" t="n"/>
      <c r="H82" s="95" t="n"/>
      <c r="I82" s="376" t="n"/>
      <c r="J82" s="376" t="n"/>
      <c r="K82" s="94" t="n"/>
      <c r="L82" s="94" t="n"/>
      <c r="M82" s="94" t="n"/>
      <c r="P82" s="143" t="n"/>
      <c r="Q82" s="144" t="n"/>
    </row>
    <row r="83">
      <c r="A83" s="375" t="n"/>
      <c r="B83" s="376" t="n"/>
      <c r="C83" s="376" t="n"/>
      <c r="D83" s="376" t="n"/>
      <c r="E83" s="376" t="n"/>
      <c r="F83" s="93" t="n"/>
      <c r="G83" s="94" t="n"/>
      <c r="H83" s="95" t="n"/>
      <c r="I83" s="376" t="n"/>
      <c r="J83" s="376" t="n"/>
      <c r="K83" s="94" t="n"/>
      <c r="L83" s="94" t="n"/>
      <c r="M83" s="94" t="n"/>
      <c r="P83" s="143" t="n"/>
      <c r="Q83" s="144" t="n"/>
    </row>
    <row r="84">
      <c r="A84" s="375" t="n"/>
      <c r="B84" s="376" t="n"/>
      <c r="C84" s="376" t="n"/>
      <c r="D84" s="376" t="n"/>
      <c r="E84" s="376" t="n"/>
      <c r="F84" s="93" t="n"/>
      <c r="G84" s="94" t="n"/>
      <c r="H84" s="95" t="n"/>
      <c r="I84" s="376" t="n"/>
      <c r="J84" s="376" t="n"/>
      <c r="K84" s="94" t="n"/>
      <c r="L84" s="94" t="n"/>
      <c r="M84" s="94" t="n"/>
      <c r="P84" s="143" t="n"/>
      <c r="Q84" s="144" t="n"/>
    </row>
    <row r="85">
      <c r="A85" s="375" t="n"/>
      <c r="B85" s="376" t="n"/>
      <c r="C85" s="376" t="n"/>
      <c r="D85" s="376" t="n"/>
      <c r="E85" s="376" t="n"/>
      <c r="F85" s="93" t="n"/>
      <c r="G85" s="94" t="n"/>
      <c r="H85" s="95" t="n"/>
      <c r="I85" s="376" t="n"/>
      <c r="J85" s="376" t="n"/>
      <c r="K85" s="94" t="n"/>
      <c r="L85" s="94" t="n"/>
      <c r="M85" s="94" t="n"/>
      <c r="P85" s="143" t="n"/>
      <c r="Q85" s="144" t="n"/>
    </row>
    <row r="86">
      <c r="A86" s="375" t="n"/>
      <c r="B86" s="376" t="n"/>
      <c r="C86" s="376" t="n"/>
      <c r="D86" s="376" t="n"/>
      <c r="E86" s="376" t="n"/>
      <c r="F86" s="93" t="n"/>
      <c r="G86" s="94" t="n"/>
      <c r="H86" s="95" t="n"/>
      <c r="I86" s="376" t="n"/>
      <c r="J86" s="376" t="n"/>
      <c r="K86" s="94" t="n"/>
      <c r="L86" s="94" t="n"/>
      <c r="M86" s="94" t="n"/>
      <c r="P86" s="143" t="n"/>
      <c r="Q86" s="144" t="n"/>
    </row>
    <row r="87">
      <c r="A87" s="375" t="n"/>
      <c r="B87" s="376" t="n"/>
      <c r="C87" s="376" t="n"/>
      <c r="D87" s="376" t="n"/>
      <c r="E87" s="376" t="n"/>
      <c r="F87" s="93" t="n"/>
      <c r="G87" s="94" t="n"/>
      <c r="H87" s="95" t="n"/>
      <c r="I87" s="376" t="n"/>
      <c r="J87" s="376" t="n"/>
      <c r="K87" s="94" t="n"/>
      <c r="L87" s="94" t="n"/>
      <c r="M87" s="94" t="n"/>
      <c r="P87" s="143" t="n"/>
      <c r="Q87" s="144" t="n"/>
    </row>
    <row r="88">
      <c r="A88" s="375" t="n"/>
      <c r="B88" s="376" t="n"/>
      <c r="C88" s="376" t="n"/>
      <c r="D88" s="376" t="n"/>
      <c r="E88" s="376" t="n"/>
      <c r="F88" s="93" t="n"/>
      <c r="G88" s="94" t="n"/>
      <c r="H88" s="95" t="n"/>
      <c r="I88" s="376" t="n"/>
      <c r="J88" s="376" t="n"/>
      <c r="K88" s="94" t="n"/>
      <c r="L88" s="94" t="n"/>
      <c r="M88" s="94" t="n"/>
      <c r="P88" s="143" t="n"/>
      <c r="Q88" s="144" t="n"/>
    </row>
    <row r="89">
      <c r="A89" s="375" t="n"/>
      <c r="B89" s="376" t="n"/>
      <c r="C89" s="376" t="n"/>
      <c r="D89" s="376" t="n"/>
      <c r="E89" s="376" t="n"/>
      <c r="F89" s="93" t="n"/>
      <c r="G89" s="94" t="n"/>
      <c r="H89" s="95" t="n"/>
      <c r="I89" s="376" t="n"/>
      <c r="J89" s="376" t="n"/>
      <c r="K89" s="94" t="n"/>
      <c r="L89" s="94" t="n"/>
      <c r="M89" s="94" t="n"/>
      <c r="P89" s="143" t="n"/>
      <c r="Q89" s="144" t="n"/>
    </row>
    <row r="90">
      <c r="A90" s="375" t="n"/>
      <c r="B90" s="376" t="n"/>
      <c r="C90" s="376" t="n"/>
      <c r="D90" s="376" t="n"/>
      <c r="E90" s="376" t="n"/>
      <c r="F90" s="93" t="n"/>
      <c r="G90" s="94" t="n"/>
      <c r="H90" s="95" t="n"/>
      <c r="I90" s="376" t="n"/>
      <c r="J90" s="376" t="n"/>
      <c r="K90" s="94" t="n"/>
      <c r="L90" s="94" t="n"/>
      <c r="M90" s="94" t="n"/>
      <c r="P90" s="143" t="n"/>
      <c r="Q90" s="144" t="n"/>
    </row>
    <row r="91">
      <c r="A91" s="375" t="n"/>
      <c r="B91" s="376" t="n"/>
      <c r="C91" s="376" t="n"/>
      <c r="D91" s="376" t="n"/>
      <c r="E91" s="376" t="n"/>
      <c r="F91" s="93" t="n"/>
      <c r="G91" s="94" t="n"/>
      <c r="H91" s="95" t="n"/>
      <c r="I91" s="376" t="n"/>
      <c r="J91" s="376" t="n"/>
      <c r="K91" s="94" t="n"/>
      <c r="L91" s="94" t="n"/>
      <c r="M91" s="94" t="n"/>
      <c r="P91" s="143" t="n"/>
      <c r="Q91" s="144" t="n"/>
    </row>
    <row r="92">
      <c r="A92" s="375" t="n"/>
      <c r="B92" s="376" t="n"/>
      <c r="C92" s="376" t="n"/>
      <c r="D92" s="376" t="n"/>
      <c r="E92" s="376" t="n"/>
      <c r="F92" s="93" t="n"/>
      <c r="G92" s="94" t="n"/>
      <c r="H92" s="95" t="n"/>
      <c r="I92" s="376" t="n"/>
      <c r="J92" s="376" t="n"/>
      <c r="K92" s="94" t="n"/>
      <c r="L92" s="94" t="n"/>
      <c r="M92" s="94" t="n"/>
      <c r="P92" s="143" t="n"/>
      <c r="Q92" s="144" t="n"/>
    </row>
    <row r="93">
      <c r="A93" s="375" t="n"/>
      <c r="B93" s="376" t="n"/>
      <c r="C93" s="376" t="n"/>
      <c r="D93" s="376" t="n"/>
      <c r="E93" s="376" t="n"/>
      <c r="F93" s="93" t="n"/>
      <c r="G93" s="94" t="n"/>
      <c r="H93" s="95" t="n"/>
      <c r="I93" s="376" t="n"/>
      <c r="J93" s="376" t="n"/>
      <c r="K93" s="94" t="n"/>
      <c r="L93" s="94" t="n"/>
      <c r="M93" s="94" t="n"/>
      <c r="P93" s="143" t="n"/>
      <c r="Q93" s="144" t="n"/>
    </row>
    <row r="94">
      <c r="A94" s="375" t="n"/>
      <c r="B94" s="376" t="n"/>
      <c r="C94" s="376" t="n"/>
      <c r="D94" s="376" t="n"/>
      <c r="E94" s="376" t="n"/>
      <c r="F94" s="93" t="n"/>
      <c r="G94" s="94" t="n"/>
      <c r="H94" s="95" t="n"/>
      <c r="I94" s="376" t="n"/>
      <c r="J94" s="376" t="n"/>
      <c r="K94" s="94" t="n"/>
      <c r="L94" s="94" t="n"/>
      <c r="M94" s="94" t="n"/>
      <c r="P94" s="143" t="n"/>
      <c r="Q94" s="144" t="n"/>
    </row>
    <row r="95">
      <c r="A95" s="375" t="n"/>
      <c r="B95" s="376" t="n"/>
      <c r="C95" s="376" t="n"/>
      <c r="D95" s="376" t="n"/>
      <c r="E95" s="376" t="n"/>
      <c r="F95" s="93" t="n"/>
      <c r="G95" s="94" t="n"/>
      <c r="H95" s="95" t="n"/>
      <c r="I95" s="376" t="n"/>
      <c r="J95" s="376" t="n"/>
      <c r="K95" s="94" t="n"/>
      <c r="L95" s="94" t="n"/>
      <c r="M95" s="94" t="n"/>
      <c r="P95" s="143" t="n"/>
      <c r="Q95" s="144" t="n"/>
    </row>
    <row r="96">
      <c r="A96" s="375" t="n"/>
      <c r="B96" s="376" t="n"/>
      <c r="C96" s="376" t="n"/>
      <c r="D96" s="376" t="n"/>
      <c r="E96" s="376" t="n"/>
      <c r="F96" s="93" t="n"/>
      <c r="G96" s="94" t="n"/>
      <c r="H96" s="95" t="n"/>
      <c r="I96" s="376" t="n"/>
      <c r="J96" s="376" t="n"/>
      <c r="K96" s="94" t="n"/>
      <c r="L96" s="94" t="n"/>
      <c r="M96" s="94" t="n"/>
      <c r="P96" s="143" t="n"/>
      <c r="Q96" s="144" t="n"/>
    </row>
    <row r="97">
      <c r="A97" s="375" t="n"/>
      <c r="B97" s="376" t="n"/>
      <c r="C97" s="376" t="n"/>
      <c r="D97" s="376" t="n"/>
      <c r="E97" s="376" t="n"/>
      <c r="F97" s="93" t="n"/>
      <c r="G97" s="94" t="n"/>
      <c r="H97" s="95" t="n"/>
      <c r="I97" s="376" t="n"/>
      <c r="J97" s="376" t="n"/>
      <c r="K97" s="94" t="n"/>
      <c r="L97" s="94" t="n"/>
      <c r="M97" s="94" t="n"/>
      <c r="P97" s="143" t="n"/>
      <c r="Q97" s="144" t="n"/>
    </row>
    <row r="98">
      <c r="A98" s="375" t="n"/>
      <c r="B98" s="376" t="n"/>
      <c r="C98" s="376" t="n"/>
      <c r="D98" s="376" t="n"/>
      <c r="E98" s="376" t="n"/>
      <c r="F98" s="93" t="n"/>
      <c r="G98" s="94" t="n"/>
      <c r="H98" s="95" t="n"/>
      <c r="I98" s="376" t="n"/>
      <c r="J98" s="376" t="n"/>
      <c r="K98" s="94" t="n"/>
      <c r="L98" s="94" t="n"/>
      <c r="M98" s="94" t="n"/>
      <c r="P98" s="143" t="n"/>
      <c r="Q98" s="144" t="n"/>
    </row>
    <row r="99">
      <c r="A99" s="375" t="n"/>
      <c r="B99" s="376" t="n"/>
      <c r="C99" s="376" t="n"/>
      <c r="D99" s="376" t="n"/>
      <c r="E99" s="376" t="n"/>
      <c r="F99" s="93" t="n"/>
      <c r="G99" s="94" t="n"/>
      <c r="H99" s="95" t="n"/>
      <c r="I99" s="376" t="n"/>
      <c r="J99" s="376" t="n"/>
      <c r="K99" s="94" t="n"/>
      <c r="L99" s="94" t="n"/>
      <c r="M99" s="94" t="n"/>
      <c r="P99" s="143" t="n"/>
      <c r="Q99" s="144" t="n"/>
    </row>
    <row r="100">
      <c r="A100" s="375" t="n"/>
      <c r="B100" s="376" t="n"/>
      <c r="C100" s="376" t="n"/>
      <c r="D100" s="376" t="n"/>
      <c r="E100" s="376" t="n"/>
      <c r="F100" s="93" t="n"/>
      <c r="G100" s="94" t="n"/>
      <c r="H100" s="95" t="n"/>
      <c r="I100" s="376" t="n"/>
      <c r="J100" s="376" t="n"/>
      <c r="K100" s="94" t="n"/>
      <c r="L100" s="94" t="n"/>
      <c r="M100" s="94" t="n"/>
      <c r="P100" s="143" t="n"/>
      <c r="Q100" s="144" t="n"/>
    </row>
    <row r="101">
      <c r="A101" s="375" t="n"/>
      <c r="B101" s="376" t="n"/>
      <c r="C101" s="376" t="n"/>
      <c r="D101" s="376" t="n"/>
      <c r="E101" s="376" t="n"/>
      <c r="F101" s="93" t="n"/>
      <c r="G101" s="94" t="n"/>
      <c r="H101" s="95" t="n"/>
      <c r="I101" s="376" t="n"/>
      <c r="J101" s="376" t="n"/>
      <c r="K101" s="94" t="n"/>
      <c r="L101" s="94" t="n"/>
      <c r="M101" s="94" t="n"/>
      <c r="P101" s="143" t="n"/>
      <c r="Q101" s="144" t="n"/>
    </row>
    <row r="102">
      <c r="A102" s="375" t="n"/>
      <c r="B102" s="376" t="n"/>
      <c r="C102" s="376" t="n"/>
      <c r="D102" s="376" t="n"/>
      <c r="E102" s="376" t="n"/>
      <c r="F102" s="93" t="n"/>
      <c r="G102" s="94" t="n"/>
      <c r="H102" s="95" t="n"/>
      <c r="I102" s="376" t="n"/>
      <c r="J102" s="376" t="n"/>
      <c r="K102" s="94" t="n"/>
      <c r="L102" s="94" t="n"/>
      <c r="M102" s="94" t="n"/>
      <c r="P102" s="143" t="n"/>
      <c r="Q102" s="144" t="n"/>
    </row>
    <row r="103">
      <c r="A103" s="375" t="n"/>
      <c r="B103" s="376" t="n"/>
      <c r="C103" s="376" t="n"/>
      <c r="D103" s="376" t="n"/>
      <c r="E103" s="376" t="n"/>
      <c r="F103" s="93" t="n"/>
      <c r="G103" s="94" t="n"/>
      <c r="H103" s="95" t="n"/>
      <c r="I103" s="376" t="n"/>
      <c r="J103" s="376" t="n"/>
      <c r="K103" s="94" t="n"/>
      <c r="L103" s="94" t="n"/>
      <c r="M103" s="94" t="n"/>
      <c r="P103" s="143" t="n"/>
      <c r="Q103" s="144" t="n"/>
    </row>
    <row r="104">
      <c r="A104" s="375" t="n"/>
      <c r="B104" s="376" t="n"/>
      <c r="C104" s="376" t="n"/>
      <c r="D104" s="376" t="n"/>
      <c r="E104" s="376" t="n"/>
      <c r="F104" s="93" t="n"/>
      <c r="G104" s="94" t="n"/>
      <c r="H104" s="95" t="n"/>
      <c r="I104" s="376" t="n"/>
      <c r="J104" s="376" t="n"/>
      <c r="K104" s="94" t="n"/>
      <c r="L104" s="94" t="n"/>
      <c r="M104" s="94" t="n"/>
      <c r="P104" s="143" t="n"/>
      <c r="Q104" s="144" t="n"/>
    </row>
    <row r="105">
      <c r="A105" s="375" t="n"/>
      <c r="B105" s="376" t="n"/>
      <c r="C105" s="376" t="n"/>
      <c r="D105" s="376" t="n"/>
      <c r="E105" s="376" t="n"/>
      <c r="F105" s="93" t="n"/>
      <c r="G105" s="94" t="n"/>
      <c r="H105" s="95" t="n"/>
      <c r="I105" s="376" t="n"/>
      <c r="J105" s="376" t="n"/>
      <c r="K105" s="94" t="n"/>
      <c r="L105" s="94" t="n"/>
      <c r="M105" s="94" t="n"/>
      <c r="P105" s="143" t="n"/>
      <c r="Q105" s="144" t="n"/>
    </row>
    <row r="106">
      <c r="A106" s="375" t="n"/>
      <c r="B106" s="376" t="n"/>
      <c r="C106" s="376" t="n"/>
      <c r="D106" s="376" t="n"/>
      <c r="E106" s="376" t="n"/>
      <c r="F106" s="93" t="n"/>
      <c r="G106" s="94" t="n"/>
      <c r="H106" s="95" t="n"/>
      <c r="I106" s="376" t="n"/>
      <c r="J106" s="376" t="n"/>
      <c r="K106" s="94" t="n"/>
      <c r="L106" s="94" t="n"/>
      <c r="M106" s="94" t="n"/>
      <c r="P106" s="143" t="n"/>
      <c r="Q106" s="144" t="n"/>
    </row>
    <row r="107">
      <c r="A107" s="375" t="n"/>
      <c r="B107" s="376" t="n"/>
      <c r="C107" s="376" t="n"/>
      <c r="D107" s="376" t="n"/>
      <c r="E107" s="376" t="n"/>
      <c r="F107" s="93" t="n"/>
      <c r="G107" s="94" t="n"/>
      <c r="H107" s="95" t="n"/>
      <c r="I107" s="376" t="n"/>
      <c r="J107" s="376" t="n"/>
      <c r="K107" s="94" t="n"/>
      <c r="L107" s="94" t="n"/>
      <c r="M107" s="94" t="n"/>
      <c r="P107" s="143" t="n"/>
      <c r="Q107" s="144" t="n"/>
    </row>
    <row r="108">
      <c r="A108" s="375" t="n"/>
      <c r="B108" s="376" t="n"/>
      <c r="C108" s="376" t="n"/>
      <c r="D108" s="376" t="n"/>
      <c r="E108" s="376" t="n"/>
      <c r="F108" s="93" t="n"/>
      <c r="G108" s="94" t="n"/>
      <c r="H108" s="95" t="n"/>
      <c r="I108" s="376" t="n"/>
      <c r="J108" s="376" t="n"/>
      <c r="K108" s="94" t="n"/>
      <c r="L108" s="94" t="n"/>
      <c r="M108" s="94" t="n"/>
      <c r="P108" s="143" t="n"/>
      <c r="Q108" s="144" t="n"/>
    </row>
    <row r="109">
      <c r="A109" s="375" t="n"/>
      <c r="B109" s="376" t="n"/>
      <c r="C109" s="376" t="n"/>
      <c r="D109" s="376" t="n"/>
      <c r="E109" s="376" t="n"/>
      <c r="F109" s="93" t="n"/>
      <c r="G109" s="94" t="n"/>
      <c r="H109" s="95" t="n"/>
      <c r="I109" s="376" t="n"/>
      <c r="J109" s="376" t="n"/>
      <c r="K109" s="94" t="n"/>
      <c r="L109" s="94" t="n"/>
      <c r="M109" s="94" t="n"/>
      <c r="P109" s="143" t="n"/>
      <c r="Q109" s="144" t="n"/>
    </row>
    <row r="110">
      <c r="A110" s="375" t="n"/>
      <c r="B110" s="376" t="n"/>
      <c r="C110" s="376" t="n"/>
      <c r="D110" s="376" t="n"/>
      <c r="E110" s="376" t="n"/>
      <c r="F110" s="93" t="n"/>
      <c r="G110" s="94" t="n"/>
      <c r="H110" s="95" t="n"/>
      <c r="I110" s="376" t="n"/>
      <c r="J110" s="376" t="n"/>
      <c r="K110" s="94" t="n"/>
      <c r="L110" s="94" t="n"/>
      <c r="M110" s="94" t="n"/>
      <c r="P110" s="143" t="n"/>
      <c r="Q110" s="144" t="n"/>
    </row>
    <row r="111">
      <c r="A111" s="375" t="n"/>
      <c r="B111" s="376" t="n"/>
      <c r="C111" s="376" t="n"/>
      <c r="D111" s="376" t="n"/>
      <c r="E111" s="376" t="n"/>
      <c r="F111" s="93" t="n"/>
      <c r="G111" s="94" t="n"/>
      <c r="H111" s="95" t="n"/>
      <c r="I111" s="376" t="n"/>
      <c r="J111" s="376" t="n"/>
      <c r="K111" s="94" t="n"/>
      <c r="L111" s="94" t="n"/>
      <c r="M111" s="94" t="n"/>
      <c r="P111" s="143" t="n"/>
      <c r="Q111" s="144" t="n"/>
    </row>
    <row r="112">
      <c r="A112" s="375" t="n"/>
      <c r="B112" s="376" t="n"/>
      <c r="C112" s="376" t="n"/>
      <c r="D112" s="376" t="n"/>
      <c r="E112" s="376" t="n"/>
      <c r="F112" s="93" t="n"/>
      <c r="G112" s="94" t="n"/>
      <c r="H112" s="95" t="n"/>
      <c r="I112" s="376" t="n"/>
      <c r="J112" s="376" t="n"/>
      <c r="K112" s="94" t="n"/>
      <c r="L112" s="94" t="n"/>
      <c r="M112" s="94" t="n"/>
      <c r="P112" s="143" t="n"/>
      <c r="Q112" s="144" t="n"/>
    </row>
    <row r="113">
      <c r="A113" s="375" t="n"/>
      <c r="B113" s="376" t="n"/>
      <c r="C113" s="376" t="n"/>
      <c r="D113" s="376" t="n"/>
      <c r="E113" s="376" t="n"/>
      <c r="F113" s="93" t="n"/>
      <c r="G113" s="94" t="n"/>
      <c r="H113" s="95" t="n"/>
      <c r="I113" s="376" t="n"/>
      <c r="J113" s="376" t="n"/>
      <c r="K113" s="94" t="n"/>
      <c r="L113" s="94" t="n"/>
      <c r="M113" s="94" t="n"/>
      <c r="P113" s="143" t="n"/>
      <c r="Q113" s="144" t="n"/>
    </row>
    <row r="114">
      <c r="A114" s="375" t="n"/>
      <c r="B114" s="376" t="n"/>
      <c r="C114" s="376" t="n"/>
      <c r="D114" s="376" t="n"/>
      <c r="E114" s="376" t="n"/>
      <c r="F114" s="93" t="n"/>
      <c r="G114" s="94" t="n"/>
      <c r="H114" s="95" t="n"/>
      <c r="I114" s="376" t="n"/>
      <c r="J114" s="376" t="n"/>
      <c r="K114" s="94" t="n"/>
      <c r="L114" s="94" t="n"/>
      <c r="M114" s="94" t="n"/>
      <c r="P114" s="143" t="n"/>
      <c r="Q114" s="144" t="n"/>
    </row>
    <row r="115">
      <c r="A115" s="375" t="n"/>
      <c r="B115" s="376" t="n"/>
      <c r="C115" s="376" t="n"/>
      <c r="D115" s="376" t="n"/>
      <c r="E115" s="376" t="n"/>
      <c r="F115" s="93" t="n"/>
      <c r="G115" s="94" t="n"/>
      <c r="H115" s="95" t="n"/>
      <c r="I115" s="376" t="n"/>
      <c r="J115" s="376" t="n"/>
      <c r="K115" s="94" t="n"/>
      <c r="L115" s="94" t="n"/>
      <c r="M115" s="94" t="n"/>
      <c r="P115" s="143" t="n"/>
      <c r="Q115" s="144" t="n"/>
    </row>
    <row r="116">
      <c r="A116" s="375" t="n"/>
      <c r="B116" s="376" t="n"/>
      <c r="C116" s="376" t="n"/>
      <c r="D116" s="376" t="n"/>
      <c r="E116" s="376" t="n"/>
      <c r="F116" s="93" t="n"/>
      <c r="G116" s="94" t="n"/>
      <c r="H116" s="95" t="n"/>
      <c r="I116" s="376" t="n"/>
      <c r="J116" s="376" t="n"/>
      <c r="K116" s="94" t="n"/>
      <c r="L116" s="94" t="n"/>
      <c r="M116" s="94" t="n"/>
      <c r="P116" s="143" t="n"/>
      <c r="Q116" s="144" t="n"/>
    </row>
    <row r="117">
      <c r="A117" s="375" t="n"/>
      <c r="B117" s="376" t="n"/>
      <c r="C117" s="376" t="n"/>
      <c r="D117" s="376" t="n"/>
      <c r="E117" s="376" t="n"/>
      <c r="F117" s="93" t="n"/>
      <c r="G117" s="94" t="n"/>
      <c r="H117" s="95" t="n"/>
      <c r="I117" s="376" t="n"/>
      <c r="J117" s="376" t="n"/>
      <c r="K117" s="94" t="n"/>
      <c r="L117" s="94" t="n"/>
      <c r="M117" s="94" t="n"/>
      <c r="P117" s="143" t="n"/>
      <c r="Q117" s="144" t="n"/>
    </row>
    <row r="118">
      <c r="A118" s="375" t="n"/>
      <c r="B118" s="376" t="n"/>
      <c r="C118" s="376" t="n"/>
      <c r="D118" s="376" t="n"/>
      <c r="E118" s="376" t="n"/>
      <c r="F118" s="93" t="n"/>
      <c r="G118" s="94" t="n"/>
      <c r="H118" s="95" t="n"/>
      <c r="I118" s="376" t="n"/>
      <c r="J118" s="376" t="n"/>
      <c r="K118" s="94" t="n"/>
      <c r="L118" s="94" t="n"/>
      <c r="M118" s="94" t="n"/>
      <c r="P118" s="143" t="n"/>
      <c r="Q118" s="144" t="n"/>
    </row>
    <row r="119">
      <c r="A119" s="375" t="n"/>
      <c r="B119" s="376" t="n"/>
      <c r="C119" s="376" t="n"/>
      <c r="D119" s="376" t="n"/>
      <c r="E119" s="376" t="n"/>
      <c r="F119" s="93" t="n"/>
      <c r="G119" s="94" t="n"/>
      <c r="H119" s="95" t="n"/>
      <c r="I119" s="376" t="n"/>
      <c r="J119" s="376" t="n"/>
      <c r="K119" s="94" t="n"/>
      <c r="L119" s="94" t="n"/>
      <c r="M119" s="94" t="n"/>
      <c r="P119" s="143" t="n"/>
      <c r="Q119" s="144" t="n"/>
    </row>
    <row r="120">
      <c r="A120" s="375" t="n"/>
      <c r="B120" s="376" t="n"/>
      <c r="C120" s="376" t="n"/>
      <c r="D120" s="376" t="n"/>
      <c r="E120" s="376" t="n"/>
      <c r="F120" s="93" t="n"/>
      <c r="G120" s="94" t="n"/>
      <c r="H120" s="95" t="n"/>
      <c r="I120" s="376" t="n"/>
      <c r="J120" s="376" t="n"/>
      <c r="K120" s="94" t="n"/>
      <c r="L120" s="94" t="n"/>
      <c r="M120" s="94" t="n"/>
      <c r="P120" s="143" t="n"/>
      <c r="Q120" s="144" t="n"/>
    </row>
    <row r="121">
      <c r="A121" s="375" t="n"/>
      <c r="B121" s="376" t="n"/>
      <c r="C121" s="376" t="n"/>
      <c r="D121" s="376" t="n"/>
      <c r="E121" s="376" t="n"/>
      <c r="F121" s="93" t="n"/>
      <c r="G121" s="94" t="n"/>
      <c r="H121" s="95" t="n"/>
      <c r="I121" s="376" t="n"/>
      <c r="J121" s="376" t="n"/>
      <c r="K121" s="94" t="n"/>
      <c r="L121" s="94" t="n"/>
      <c r="M121" s="94" t="n"/>
      <c r="P121" s="143" t="n"/>
      <c r="Q121" s="144" t="n"/>
    </row>
    <row r="122">
      <c r="A122" s="375" t="n"/>
      <c r="B122" s="376" t="n"/>
      <c r="C122" s="376" t="n"/>
      <c r="D122" s="376" t="n"/>
      <c r="E122" s="376" t="n"/>
      <c r="F122" s="93" t="n"/>
      <c r="G122" s="94" t="n"/>
      <c r="H122" s="95" t="n"/>
      <c r="I122" s="376" t="n"/>
      <c r="J122" s="376" t="n"/>
      <c r="K122" s="94" t="n"/>
      <c r="L122" s="94" t="n"/>
      <c r="M122" s="94" t="n"/>
      <c r="P122" s="143" t="n"/>
      <c r="Q122" s="144" t="n"/>
    </row>
    <row r="123">
      <c r="A123" s="375" t="n"/>
      <c r="B123" s="376" t="n"/>
      <c r="C123" s="376" t="n"/>
      <c r="D123" s="376" t="n"/>
      <c r="E123" s="376" t="n"/>
      <c r="F123" s="93" t="n"/>
      <c r="G123" s="94" t="n"/>
      <c r="H123" s="95" t="n"/>
      <c r="I123" s="376" t="n"/>
      <c r="J123" s="376" t="n"/>
      <c r="K123" s="94" t="n"/>
      <c r="L123" s="94" t="n"/>
      <c r="M123" s="94" t="n"/>
      <c r="P123" s="143" t="n"/>
      <c r="Q123" s="144" t="n"/>
    </row>
    <row r="124">
      <c r="A124" s="375" t="n"/>
      <c r="B124" s="376" t="n"/>
      <c r="C124" s="376" t="n"/>
      <c r="D124" s="376" t="n"/>
      <c r="E124" s="376" t="n"/>
      <c r="F124" s="93" t="n"/>
      <c r="G124" s="94" t="n"/>
      <c r="H124" s="95" t="n"/>
      <c r="I124" s="376" t="n"/>
      <c r="J124" s="376" t="n"/>
      <c r="K124" s="94" t="n"/>
      <c r="L124" s="94" t="n"/>
      <c r="M124" s="94" t="n"/>
      <c r="P124" s="143" t="n"/>
      <c r="Q124" s="144" t="n"/>
    </row>
    <row r="125">
      <c r="A125" s="375" t="n"/>
      <c r="B125" s="376" t="n"/>
      <c r="C125" s="376" t="n"/>
      <c r="D125" s="376" t="n"/>
      <c r="E125" s="376" t="n"/>
      <c r="F125" s="93" t="n"/>
      <c r="G125" s="94" t="n"/>
      <c r="H125" s="95" t="n"/>
      <c r="I125" s="376" t="n"/>
      <c r="J125" s="376" t="n"/>
      <c r="K125" s="94" t="n"/>
      <c r="L125" s="94" t="n"/>
      <c r="M125" s="94" t="n"/>
      <c r="P125" s="143" t="n"/>
      <c r="Q125" s="144" t="n"/>
    </row>
    <row r="126">
      <c r="A126" s="375" t="n"/>
      <c r="B126" s="376" t="n"/>
      <c r="C126" s="376" t="n"/>
      <c r="D126" s="376" t="n"/>
      <c r="E126" s="376" t="n"/>
      <c r="F126" s="93" t="n"/>
      <c r="G126" s="94" t="n"/>
      <c r="H126" s="95" t="n"/>
      <c r="I126" s="376" t="n"/>
      <c r="J126" s="376" t="n"/>
      <c r="K126" s="94" t="n"/>
      <c r="L126" s="94" t="n"/>
      <c r="M126" s="94" t="n"/>
      <c r="P126" s="143" t="n"/>
      <c r="Q126" s="144" t="n"/>
    </row>
    <row r="127">
      <c r="A127" s="375" t="n"/>
      <c r="B127" s="376" t="n"/>
      <c r="C127" s="376" t="n"/>
      <c r="D127" s="376" t="n"/>
      <c r="E127" s="376" t="n"/>
      <c r="F127" s="93" t="n"/>
      <c r="G127" s="94" t="n"/>
      <c r="H127" s="95" t="n"/>
      <c r="I127" s="376" t="n"/>
      <c r="J127" s="376" t="n"/>
      <c r="K127" s="94" t="n"/>
      <c r="L127" s="94" t="n"/>
      <c r="M127" s="94" t="n"/>
      <c r="P127" s="143" t="n"/>
      <c r="Q127" s="144" t="n"/>
    </row>
    <row r="128">
      <c r="A128" s="375" t="n"/>
      <c r="B128" s="376" t="n"/>
      <c r="C128" s="376" t="n"/>
      <c r="D128" s="376" t="n"/>
      <c r="E128" s="376" t="n"/>
      <c r="F128" s="93" t="n"/>
      <c r="G128" s="94" t="n"/>
      <c r="H128" s="95" t="n"/>
      <c r="I128" s="376" t="n"/>
      <c r="J128" s="376" t="n"/>
      <c r="K128" s="94" t="n"/>
      <c r="L128" s="94" t="n"/>
      <c r="M128" s="94" t="n"/>
      <c r="P128" s="143" t="n"/>
      <c r="Q128" s="144" t="n"/>
    </row>
    <row r="129">
      <c r="A129" s="375" t="n"/>
      <c r="B129" s="376" t="n"/>
      <c r="C129" s="376" t="n"/>
      <c r="D129" s="376" t="n"/>
      <c r="E129" s="376" t="n"/>
      <c r="F129" s="93" t="n"/>
      <c r="G129" s="94" t="n"/>
      <c r="H129" s="95" t="n"/>
      <c r="I129" s="376" t="n"/>
      <c r="J129" s="376" t="n"/>
      <c r="K129" s="94" t="n"/>
      <c r="L129" s="94" t="n"/>
      <c r="M129" s="94" t="n"/>
      <c r="P129" s="143" t="n"/>
      <c r="Q129" s="144" t="n"/>
    </row>
    <row r="130">
      <c r="A130" s="375" t="n"/>
      <c r="B130" s="376" t="n"/>
      <c r="C130" s="376" t="n"/>
      <c r="D130" s="376" t="n"/>
      <c r="E130" s="376" t="n"/>
      <c r="F130" s="93" t="n"/>
      <c r="G130" s="94" t="n"/>
      <c r="H130" s="95" t="n"/>
      <c r="I130" s="376" t="n"/>
      <c r="J130" s="376" t="n"/>
      <c r="K130" s="94" t="n"/>
      <c r="L130" s="94" t="n"/>
      <c r="M130" s="94" t="n"/>
      <c r="P130" s="143" t="n"/>
      <c r="Q130" s="144" t="n"/>
    </row>
    <row r="131">
      <c r="A131" s="375" t="n"/>
      <c r="B131" s="376" t="n"/>
      <c r="C131" s="376" t="n"/>
      <c r="D131" s="376" t="n"/>
      <c r="E131" s="376" t="n"/>
      <c r="F131" s="93" t="n"/>
      <c r="G131" s="94" t="n"/>
      <c r="H131" s="95" t="n"/>
      <c r="I131" s="376" t="n"/>
      <c r="J131" s="376" t="n"/>
      <c r="K131" s="94" t="n"/>
      <c r="L131" s="94" t="n"/>
      <c r="M131" s="94" t="n"/>
      <c r="P131" s="143" t="n"/>
      <c r="Q131" s="144" t="n"/>
    </row>
    <row r="132">
      <c r="A132" s="375" t="n"/>
      <c r="B132" s="376" t="n"/>
      <c r="C132" s="376" t="n"/>
      <c r="D132" s="376" t="n"/>
      <c r="E132" s="376" t="n"/>
      <c r="F132" s="93" t="n"/>
      <c r="G132" s="94" t="n"/>
      <c r="H132" s="95" t="n"/>
      <c r="I132" s="376" t="n"/>
      <c r="J132" s="376" t="n"/>
      <c r="K132" s="94" t="n"/>
      <c r="L132" s="94" t="n"/>
      <c r="M132" s="94" t="n"/>
      <c r="P132" s="143" t="n"/>
      <c r="Q132" s="144" t="n"/>
    </row>
    <row r="133">
      <c r="A133" s="375" t="n"/>
      <c r="B133" s="376" t="n"/>
      <c r="C133" s="376" t="n"/>
      <c r="D133" s="376" t="n"/>
      <c r="E133" s="376" t="n"/>
      <c r="F133" s="93" t="n"/>
      <c r="G133" s="94" t="n"/>
      <c r="H133" s="95" t="n"/>
      <c r="I133" s="376" t="n"/>
      <c r="J133" s="376" t="n"/>
      <c r="K133" s="94" t="n"/>
      <c r="L133" s="94" t="n"/>
      <c r="M133" s="94" t="n"/>
      <c r="P133" s="143" t="n"/>
      <c r="Q133" s="144" t="n"/>
    </row>
    <row r="134">
      <c r="A134" s="375" t="n"/>
      <c r="B134" s="376" t="n"/>
      <c r="C134" s="376" t="n"/>
      <c r="D134" s="376" t="n"/>
      <c r="E134" s="376" t="n"/>
      <c r="F134" s="93" t="n"/>
      <c r="G134" s="94" t="n"/>
      <c r="H134" s="95" t="n"/>
      <c r="I134" s="376" t="n"/>
      <c r="J134" s="376" t="n"/>
      <c r="K134" s="94" t="n"/>
      <c r="L134" s="94" t="n"/>
      <c r="M134" s="94" t="n"/>
      <c r="P134" s="143" t="n"/>
      <c r="Q134" s="144" t="n"/>
    </row>
    <row r="135">
      <c r="A135" s="375" t="n"/>
      <c r="B135" s="376" t="n"/>
      <c r="C135" s="376" t="n"/>
      <c r="D135" s="376" t="n"/>
      <c r="E135" s="376" t="n"/>
      <c r="F135" s="93" t="n"/>
      <c r="G135" s="94" t="n"/>
      <c r="H135" s="95" t="n"/>
      <c r="I135" s="376" t="n"/>
      <c r="J135" s="376" t="n"/>
      <c r="K135" s="94" t="n"/>
      <c r="L135" s="94" t="n"/>
      <c r="M135" s="94" t="n"/>
      <c r="P135" s="143" t="n"/>
      <c r="Q135" s="144" t="n"/>
    </row>
    <row r="136">
      <c r="A136" s="375" t="n"/>
      <c r="B136" s="376" t="n"/>
      <c r="C136" s="376" t="n"/>
      <c r="D136" s="376" t="n"/>
      <c r="E136" s="376" t="n"/>
      <c r="F136" s="93" t="n"/>
      <c r="G136" s="94" t="n"/>
      <c r="H136" s="95" t="n"/>
      <c r="I136" s="376" t="n"/>
      <c r="J136" s="376" t="n"/>
      <c r="K136" s="94" t="n"/>
      <c r="L136" s="94" t="n"/>
      <c r="M136" s="94" t="n"/>
      <c r="P136" s="143" t="n"/>
      <c r="Q136" s="144" t="n"/>
    </row>
    <row r="137">
      <c r="A137" s="375" t="n"/>
      <c r="B137" s="376" t="n"/>
      <c r="C137" s="376" t="n"/>
      <c r="D137" s="376" t="n"/>
      <c r="E137" s="376" t="n"/>
      <c r="F137" s="93" t="n"/>
      <c r="G137" s="94" t="n"/>
      <c r="H137" s="95" t="n"/>
      <c r="I137" s="376" t="n"/>
      <c r="J137" s="376" t="n"/>
      <c r="K137" s="94" t="n"/>
      <c r="L137" s="94" t="n"/>
      <c r="M137" s="94" t="n"/>
      <c r="P137" s="143" t="n"/>
      <c r="Q137" s="144" t="n"/>
    </row>
    <row r="138">
      <c r="A138" s="375" t="n"/>
      <c r="B138" s="376" t="n"/>
      <c r="C138" s="376" t="n"/>
      <c r="D138" s="376" t="n"/>
      <c r="E138" s="376" t="n"/>
      <c r="F138" s="93" t="n"/>
      <c r="G138" s="94" t="n"/>
      <c r="H138" s="95" t="n"/>
      <c r="I138" s="376" t="n"/>
      <c r="J138" s="376" t="n"/>
      <c r="K138" s="94" t="n"/>
      <c r="L138" s="94" t="n"/>
      <c r="M138" s="94" t="n"/>
      <c r="P138" s="143" t="n"/>
      <c r="Q138" s="144" t="n"/>
    </row>
    <row r="139">
      <c r="A139" s="375" t="n"/>
      <c r="B139" s="376" t="n"/>
      <c r="C139" s="376" t="n"/>
      <c r="D139" s="376" t="n"/>
      <c r="E139" s="376" t="n"/>
      <c r="F139" s="93" t="n"/>
      <c r="G139" s="94" t="n"/>
      <c r="H139" s="95" t="n"/>
      <c r="I139" s="376" t="n"/>
      <c r="J139" s="376" t="n"/>
      <c r="K139" s="94" t="n"/>
      <c r="L139" s="94" t="n"/>
      <c r="M139" s="94" t="n"/>
      <c r="P139" s="143" t="n"/>
      <c r="Q139" s="144" t="n"/>
    </row>
    <row r="140">
      <c r="A140" s="375" t="n"/>
      <c r="B140" s="376" t="n"/>
      <c r="C140" s="376" t="n"/>
      <c r="D140" s="376" t="n"/>
      <c r="E140" s="376" t="n"/>
      <c r="F140" s="93" t="n"/>
      <c r="G140" s="94" t="n"/>
      <c r="H140" s="95" t="n"/>
      <c r="I140" s="376" t="n"/>
      <c r="J140" s="376" t="n"/>
      <c r="K140" s="94" t="n"/>
      <c r="L140" s="94" t="n"/>
      <c r="M140" s="94" t="n"/>
      <c r="P140" s="143" t="n"/>
      <c r="Q140" s="144" t="n"/>
    </row>
    <row r="141">
      <c r="A141" s="375" t="n"/>
      <c r="B141" s="376" t="n"/>
      <c r="C141" s="376" t="n"/>
      <c r="D141" s="376" t="n"/>
      <c r="E141" s="376" t="n"/>
      <c r="F141" s="93" t="n"/>
      <c r="G141" s="94" t="n"/>
      <c r="H141" s="95" t="n"/>
      <c r="I141" s="376" t="n"/>
      <c r="J141" s="376" t="n"/>
      <c r="K141" s="94" t="n"/>
      <c r="L141" s="94" t="n"/>
      <c r="M141" s="94" t="n"/>
      <c r="P141" s="143" t="n"/>
      <c r="Q141" s="144" t="n"/>
    </row>
    <row r="142">
      <c r="A142" s="375" t="n"/>
      <c r="B142" s="376" t="n"/>
      <c r="C142" s="376" t="n"/>
      <c r="D142" s="376" t="n"/>
      <c r="E142" s="376" t="n"/>
      <c r="F142" s="93" t="n"/>
      <c r="G142" s="94" t="n"/>
      <c r="H142" s="95" t="n"/>
      <c r="I142" s="376" t="n"/>
      <c r="J142" s="376" t="n"/>
      <c r="K142" s="94" t="n"/>
      <c r="L142" s="94" t="n"/>
      <c r="M142" s="94" t="n"/>
      <c r="P142" s="143" t="n"/>
      <c r="Q142" s="144" t="n"/>
    </row>
    <row r="143">
      <c r="A143" s="375" t="n"/>
      <c r="B143" s="376" t="n"/>
      <c r="C143" s="376" t="n"/>
      <c r="D143" s="376" t="n"/>
      <c r="E143" s="376" t="n"/>
      <c r="F143" s="93" t="n"/>
      <c r="G143" s="94" t="n"/>
      <c r="H143" s="95" t="n"/>
      <c r="I143" s="376" t="n"/>
      <c r="J143" s="376" t="n"/>
      <c r="K143" s="94" t="n"/>
      <c r="L143" s="94" t="n"/>
      <c r="M143" s="94" t="n"/>
      <c r="P143" s="143" t="n"/>
      <c r="Q143" s="144" t="n"/>
    </row>
    <row r="144">
      <c r="A144" s="375" t="n"/>
      <c r="B144" s="376" t="n"/>
      <c r="C144" s="376" t="n"/>
      <c r="D144" s="376" t="n"/>
      <c r="E144" s="376" t="n"/>
      <c r="F144" s="93" t="n"/>
      <c r="G144" s="94" t="n"/>
      <c r="H144" s="95" t="n"/>
      <c r="I144" s="376" t="n"/>
      <c r="J144" s="376" t="n"/>
      <c r="K144" s="94" t="n"/>
      <c r="L144" s="94" t="n"/>
      <c r="M144" s="94" t="n"/>
      <c r="P144" s="143" t="n"/>
      <c r="Q144" s="144" t="n"/>
    </row>
    <row r="145">
      <c r="A145" s="375" t="n"/>
      <c r="B145" s="376" t="n"/>
      <c r="C145" s="376" t="n"/>
      <c r="D145" s="376" t="n"/>
      <c r="E145" s="376" t="n"/>
      <c r="F145" s="93" t="n"/>
      <c r="G145" s="94" t="n"/>
      <c r="H145" s="95" t="n"/>
      <c r="I145" s="376" t="n"/>
      <c r="J145" s="376" t="n"/>
      <c r="K145" s="94" t="n"/>
      <c r="L145" s="94" t="n"/>
      <c r="M145" s="94" t="n"/>
      <c r="P145" s="143" t="n"/>
      <c r="Q145" s="144" t="n"/>
    </row>
    <row r="146">
      <c r="A146" s="375" t="n"/>
      <c r="B146" s="376" t="n"/>
      <c r="C146" s="376" t="n"/>
      <c r="D146" s="376" t="n"/>
      <c r="E146" s="376" t="n"/>
      <c r="F146" s="93" t="n"/>
      <c r="G146" s="94" t="n"/>
      <c r="H146" s="95" t="n"/>
      <c r="I146" s="376" t="n"/>
      <c r="J146" s="376" t="n"/>
      <c r="K146" s="94" t="n"/>
      <c r="L146" s="94" t="n"/>
      <c r="M146" s="94" t="n"/>
      <c r="P146" s="143" t="n"/>
      <c r="Q146" s="144" t="n"/>
    </row>
    <row r="147">
      <c r="A147" s="375" t="n"/>
      <c r="B147" s="376" t="n"/>
      <c r="C147" s="376" t="n"/>
      <c r="D147" s="376" t="n"/>
      <c r="E147" s="376" t="n"/>
      <c r="F147" s="93" t="n"/>
      <c r="G147" s="94" t="n"/>
      <c r="H147" s="95" t="n"/>
      <c r="I147" s="376" t="n"/>
      <c r="J147" s="376" t="n"/>
      <c r="K147" s="94" t="n"/>
      <c r="L147" s="94" t="n"/>
      <c r="M147" s="94" t="n"/>
      <c r="P147" s="143" t="n"/>
      <c r="Q147" s="144" t="n"/>
    </row>
    <row r="148">
      <c r="A148" s="375" t="n"/>
      <c r="B148" s="376" t="n"/>
      <c r="C148" s="376" t="n"/>
      <c r="D148" s="376" t="n"/>
      <c r="E148" s="376" t="n"/>
      <c r="F148" s="93" t="n"/>
      <c r="G148" s="94" t="n"/>
      <c r="H148" s="95" t="n"/>
      <c r="I148" s="376" t="n"/>
      <c r="J148" s="376" t="n"/>
      <c r="K148" s="94" t="n"/>
      <c r="L148" s="94" t="n"/>
      <c r="M148" s="94" t="n"/>
      <c r="P148" s="143" t="n"/>
      <c r="Q148" s="144" t="n"/>
    </row>
    <row r="149">
      <c r="A149" s="375" t="n"/>
      <c r="B149" s="376" t="n"/>
      <c r="C149" s="376" t="n"/>
      <c r="D149" s="376" t="n"/>
      <c r="E149" s="376" t="n"/>
      <c r="F149" s="93" t="n"/>
      <c r="G149" s="94" t="n"/>
      <c r="H149" s="95" t="n"/>
      <c r="I149" s="376" t="n"/>
      <c r="J149" s="376" t="n"/>
      <c r="K149" s="94" t="n"/>
      <c r="L149" s="94" t="n"/>
      <c r="M149" s="94" t="n"/>
      <c r="P149" s="143" t="n"/>
      <c r="Q149" s="144" t="n"/>
    </row>
    <row r="150">
      <c r="A150" s="375" t="n"/>
      <c r="B150" s="376" t="n"/>
      <c r="C150" s="376" t="n"/>
      <c r="D150" s="376" t="n"/>
      <c r="E150" s="376" t="n"/>
      <c r="F150" s="93" t="n"/>
      <c r="G150" s="94" t="n"/>
      <c r="H150" s="95" t="n"/>
      <c r="I150" s="376" t="n"/>
      <c r="J150" s="376" t="n"/>
      <c r="K150" s="94" t="n"/>
      <c r="L150" s="94" t="n"/>
      <c r="M150" s="94" t="n"/>
      <c r="P150" s="143" t="n"/>
      <c r="Q150" s="144" t="n"/>
    </row>
    <row r="151">
      <c r="A151" s="375" t="n"/>
      <c r="B151" s="376" t="n"/>
      <c r="C151" s="376" t="n"/>
      <c r="D151" s="376" t="n"/>
      <c r="E151" s="376" t="n"/>
      <c r="F151" s="93" t="n"/>
      <c r="G151" s="94" t="n"/>
      <c r="H151" s="95" t="n"/>
      <c r="I151" s="376" t="n"/>
      <c r="J151" s="376" t="n"/>
      <c r="K151" s="94" t="n"/>
      <c r="L151" s="94" t="n"/>
      <c r="M151" s="94" t="n"/>
      <c r="P151" s="143" t="n"/>
      <c r="Q151" s="144" t="n"/>
    </row>
    <row r="152">
      <c r="A152" s="375" t="n"/>
      <c r="B152" s="376" t="n"/>
      <c r="C152" s="376" t="n"/>
      <c r="D152" s="376" t="n"/>
      <c r="E152" s="376" t="n"/>
      <c r="F152" s="93" t="n"/>
      <c r="G152" s="94" t="n"/>
      <c r="H152" s="95" t="n"/>
      <c r="I152" s="376" t="n"/>
      <c r="J152" s="376" t="n"/>
      <c r="K152" s="94" t="n"/>
      <c r="L152" s="94" t="n"/>
      <c r="M152" s="94" t="n"/>
      <c r="P152" s="143" t="n"/>
      <c r="Q152" s="144" t="n"/>
    </row>
    <row r="153">
      <c r="A153" s="375" t="n"/>
      <c r="B153" s="376" t="n"/>
      <c r="C153" s="376" t="n"/>
      <c r="D153" s="376" t="n"/>
      <c r="E153" s="376" t="n"/>
      <c r="F153" s="93" t="n"/>
      <c r="G153" s="94" t="n"/>
      <c r="H153" s="95" t="n"/>
      <c r="I153" s="376" t="n"/>
      <c r="J153" s="376" t="n"/>
      <c r="K153" s="94" t="n"/>
      <c r="L153" s="94" t="n"/>
      <c r="M153" s="94" t="n"/>
      <c r="P153" s="143" t="n"/>
      <c r="Q153" s="144" t="n"/>
    </row>
    <row r="154">
      <c r="A154" s="375" t="n"/>
      <c r="B154" s="376" t="n"/>
      <c r="C154" s="376" t="n"/>
      <c r="D154" s="376" t="n"/>
      <c r="E154" s="376" t="n"/>
      <c r="F154" s="93" t="n"/>
      <c r="G154" s="94" t="n"/>
      <c r="H154" s="95" t="n"/>
      <c r="I154" s="376" t="n"/>
      <c r="J154" s="376" t="n"/>
      <c r="K154" s="94" t="n"/>
      <c r="L154" s="94" t="n"/>
      <c r="M154" s="94" t="n"/>
      <c r="P154" s="143" t="n"/>
      <c r="Q154" s="144" t="n"/>
    </row>
    <row r="155">
      <c r="A155" s="375" t="n"/>
      <c r="B155" s="376" t="n"/>
      <c r="C155" s="376" t="n"/>
      <c r="D155" s="376" t="n"/>
      <c r="E155" s="376" t="n"/>
      <c r="F155" s="93" t="n"/>
      <c r="G155" s="94" t="n"/>
      <c r="H155" s="95" t="n"/>
      <c r="I155" s="376" t="n"/>
      <c r="J155" s="376" t="n"/>
      <c r="K155" s="94" t="n"/>
      <c r="L155" s="94" t="n"/>
      <c r="M155" s="94" t="n"/>
      <c r="P155" s="143" t="n"/>
      <c r="Q155" s="144" t="n"/>
    </row>
    <row r="156">
      <c r="A156" s="375" t="n"/>
      <c r="B156" s="376" t="n"/>
      <c r="C156" s="376" t="n"/>
      <c r="D156" s="376" t="n"/>
      <c r="E156" s="376" t="n"/>
      <c r="F156" s="93" t="n"/>
      <c r="G156" s="94" t="n"/>
      <c r="H156" s="95" t="n"/>
      <c r="I156" s="376" t="n"/>
      <c r="J156" s="376" t="n"/>
      <c r="K156" s="94" t="n"/>
      <c r="L156" s="94" t="n"/>
      <c r="M156" s="94" t="n"/>
      <c r="P156" s="143" t="n"/>
      <c r="Q156" s="144" t="n"/>
    </row>
    <row r="157">
      <c r="A157" s="375" t="n"/>
      <c r="B157" s="376" t="n"/>
      <c r="C157" s="376" t="n"/>
      <c r="D157" s="376" t="n"/>
      <c r="E157" s="376" t="n"/>
      <c r="F157" s="93" t="n"/>
      <c r="G157" s="94" t="n"/>
      <c r="H157" s="95" t="n"/>
      <c r="I157" s="376" t="n"/>
      <c r="J157" s="376" t="n"/>
      <c r="K157" s="94" t="n"/>
      <c r="L157" s="94" t="n"/>
      <c r="M157" s="94" t="n"/>
      <c r="P157" s="143" t="n"/>
      <c r="Q157" s="144" t="n"/>
    </row>
    <row r="158">
      <c r="A158" s="375" t="n"/>
      <c r="B158" s="376" t="n"/>
      <c r="C158" s="376" t="n"/>
      <c r="D158" s="376" t="n"/>
      <c r="E158" s="376" t="n"/>
      <c r="F158" s="93" t="n"/>
      <c r="G158" s="94" t="n"/>
      <c r="H158" s="95" t="n"/>
      <c r="I158" s="376" t="n"/>
      <c r="J158" s="376" t="n"/>
      <c r="K158" s="94" t="n"/>
      <c r="L158" s="94" t="n"/>
      <c r="M158" s="94" t="n"/>
      <c r="P158" s="143" t="n"/>
      <c r="Q158" s="144" t="n"/>
    </row>
    <row r="159">
      <c r="A159" s="375" t="n"/>
      <c r="B159" s="376" t="n"/>
      <c r="C159" s="376" t="n"/>
      <c r="D159" s="376" t="n"/>
      <c r="E159" s="376" t="n"/>
      <c r="F159" s="93" t="n"/>
      <c r="G159" s="94" t="n"/>
      <c r="H159" s="95" t="n"/>
      <c r="I159" s="376" t="n"/>
      <c r="J159" s="376" t="n"/>
      <c r="K159" s="94" t="n"/>
      <c r="L159" s="94" t="n"/>
      <c r="M159" s="94" t="n"/>
      <c r="P159" s="143" t="n"/>
      <c r="Q159" s="144" t="n"/>
    </row>
    <row r="160">
      <c r="A160" s="375" t="n"/>
      <c r="B160" s="376" t="n"/>
      <c r="C160" s="376" t="n"/>
      <c r="D160" s="376" t="n"/>
      <c r="E160" s="376" t="n"/>
      <c r="F160" s="93" t="n"/>
      <c r="G160" s="94" t="n"/>
      <c r="H160" s="95" t="n"/>
      <c r="I160" s="376" t="n"/>
      <c r="J160" s="376" t="n"/>
      <c r="K160" s="94" t="n"/>
      <c r="L160" s="94" t="n"/>
      <c r="M160" s="94" t="n"/>
      <c r="P160" s="143" t="n"/>
      <c r="Q160" s="144" t="n"/>
    </row>
    <row r="161">
      <c r="A161" s="375" t="n"/>
      <c r="B161" s="376" t="n"/>
      <c r="C161" s="376" t="n"/>
      <c r="D161" s="376" t="n"/>
      <c r="E161" s="376" t="n"/>
      <c r="F161" s="93" t="n"/>
      <c r="G161" s="94" t="n"/>
      <c r="H161" s="95" t="n"/>
      <c r="I161" s="376" t="n"/>
      <c r="J161" s="376" t="n"/>
      <c r="K161" s="94" t="n"/>
      <c r="L161" s="94" t="n"/>
      <c r="M161" s="94" t="n"/>
      <c r="P161" s="143" t="n"/>
      <c r="Q161" s="144" t="n"/>
    </row>
    <row r="162">
      <c r="A162" s="375" t="n"/>
      <c r="B162" s="376" t="n"/>
      <c r="C162" s="376" t="n"/>
      <c r="D162" s="376" t="n"/>
      <c r="E162" s="376" t="n"/>
      <c r="F162" s="93" t="n"/>
      <c r="G162" s="94" t="n"/>
      <c r="H162" s="95" t="n"/>
      <c r="I162" s="376" t="n"/>
      <c r="J162" s="376" t="n"/>
      <c r="K162" s="94" t="n"/>
      <c r="L162" s="94" t="n"/>
      <c r="M162" s="94" t="n"/>
      <c r="P162" s="143" t="n"/>
      <c r="Q162" s="144" t="n"/>
    </row>
    <row r="163">
      <c r="A163" s="375" t="n"/>
      <c r="B163" s="376" t="n"/>
      <c r="C163" s="376" t="n"/>
      <c r="D163" s="376" t="n"/>
      <c r="E163" s="376" t="n"/>
      <c r="F163" s="93" t="n"/>
      <c r="G163" s="94" t="n"/>
      <c r="H163" s="95" t="n"/>
      <c r="I163" s="376" t="n"/>
      <c r="J163" s="376" t="n"/>
      <c r="K163" s="94" t="n"/>
      <c r="L163" s="94" t="n"/>
      <c r="M163" s="94" t="n"/>
      <c r="P163" s="143" t="n"/>
      <c r="Q163" s="144" t="n"/>
    </row>
    <row r="164">
      <c r="A164" s="375" t="n"/>
      <c r="B164" s="376" t="n"/>
      <c r="C164" s="376" t="n"/>
      <c r="D164" s="376" t="n"/>
      <c r="E164" s="376" t="n"/>
      <c r="F164" s="93" t="n"/>
      <c r="G164" s="94" t="n"/>
      <c r="H164" s="95" t="n"/>
      <c r="I164" s="376" t="n"/>
      <c r="J164" s="376" t="n"/>
      <c r="K164" s="94" t="n"/>
      <c r="L164" s="94" t="n"/>
      <c r="M164" s="94" t="n"/>
      <c r="P164" s="143" t="n"/>
      <c r="Q164" s="144" t="n"/>
    </row>
    <row r="165">
      <c r="A165" s="375" t="n"/>
      <c r="B165" s="376" t="n"/>
      <c r="C165" s="376" t="n"/>
      <c r="D165" s="376" t="n"/>
      <c r="E165" s="376" t="n"/>
      <c r="F165" s="93" t="n"/>
      <c r="G165" s="94" t="n"/>
      <c r="H165" s="95" t="n"/>
      <c r="I165" s="376" t="n"/>
      <c r="J165" s="376" t="n"/>
      <c r="K165" s="94" t="n"/>
      <c r="L165" s="94" t="n"/>
      <c r="M165" s="94" t="n"/>
      <c r="P165" s="143" t="n"/>
      <c r="Q165" s="144" t="n"/>
    </row>
    <row r="166">
      <c r="A166" s="375" t="n"/>
      <c r="B166" s="376" t="n"/>
      <c r="C166" s="376" t="n"/>
      <c r="D166" s="376" t="n"/>
      <c r="E166" s="376" t="n"/>
      <c r="F166" s="93" t="n"/>
      <c r="G166" s="94" t="n"/>
      <c r="H166" s="95" t="n"/>
      <c r="I166" s="376" t="n"/>
      <c r="J166" s="376" t="n"/>
      <c r="K166" s="94" t="n"/>
      <c r="L166" s="94" t="n"/>
      <c r="M166" s="94" t="n"/>
      <c r="P166" s="143" t="n"/>
      <c r="Q166" s="144" t="n"/>
    </row>
    <row r="167">
      <c r="A167" s="375" t="n"/>
      <c r="B167" s="376" t="n"/>
      <c r="C167" s="376" t="n"/>
      <c r="D167" s="376" t="n"/>
      <c r="E167" s="376" t="n"/>
      <c r="F167" s="93" t="n"/>
      <c r="G167" s="94" t="n"/>
      <c r="H167" s="95" t="n"/>
      <c r="I167" s="376" t="n"/>
      <c r="J167" s="376" t="n"/>
      <c r="K167" s="94" t="n"/>
      <c r="L167" s="94" t="n"/>
      <c r="M167" s="94" t="n"/>
      <c r="P167" s="143" t="n"/>
      <c r="Q167" s="144" t="n"/>
    </row>
    <row r="168">
      <c r="A168" s="375" t="n"/>
      <c r="B168" s="376" t="n"/>
      <c r="C168" s="376" t="n"/>
      <c r="D168" s="376" t="n"/>
      <c r="E168" s="376" t="n"/>
      <c r="F168" s="93" t="n"/>
      <c r="G168" s="94" t="n"/>
      <c r="H168" s="95" t="n"/>
      <c r="I168" s="376" t="n"/>
      <c r="J168" s="376" t="n"/>
      <c r="K168" s="94" t="n"/>
      <c r="L168" s="94" t="n"/>
      <c r="M168" s="94" t="n"/>
      <c r="P168" s="143" t="n"/>
      <c r="Q168" s="144" t="n"/>
    </row>
    <row r="169">
      <c r="A169" s="375" t="n"/>
      <c r="B169" s="376" t="n"/>
      <c r="C169" s="376" t="n"/>
      <c r="D169" s="376" t="n"/>
      <c r="E169" s="376" t="n"/>
      <c r="F169" s="93" t="n"/>
      <c r="G169" s="94" t="n"/>
      <c r="H169" s="95" t="n"/>
      <c r="I169" s="376" t="n"/>
      <c r="J169" s="376" t="n"/>
      <c r="K169" s="94" t="n"/>
      <c r="L169" s="94" t="n"/>
      <c r="M169" s="94" t="n"/>
      <c r="P169" s="143" t="n"/>
      <c r="Q169" s="144" t="n"/>
    </row>
    <row r="170">
      <c r="A170" s="375" t="n"/>
      <c r="B170" s="376" t="n"/>
      <c r="C170" s="376" t="n"/>
      <c r="D170" s="376" t="n"/>
      <c r="E170" s="376" t="n"/>
      <c r="F170" s="93" t="n"/>
      <c r="G170" s="94" t="n"/>
      <c r="H170" s="95" t="n"/>
      <c r="I170" s="376" t="n"/>
      <c r="J170" s="376" t="n"/>
      <c r="K170" s="94" t="n"/>
      <c r="L170" s="94" t="n"/>
      <c r="M170" s="94" t="n"/>
      <c r="P170" s="143" t="n"/>
      <c r="Q170" s="144" t="n"/>
    </row>
    <row r="171">
      <c r="A171" s="375" t="n"/>
      <c r="B171" s="376" t="n"/>
      <c r="C171" s="376" t="n"/>
      <c r="D171" s="376" t="n"/>
      <c r="E171" s="376" t="n"/>
      <c r="F171" s="93" t="n"/>
      <c r="G171" s="94" t="n"/>
      <c r="H171" s="95" t="n"/>
      <c r="I171" s="376" t="n"/>
      <c r="J171" s="376" t="n"/>
      <c r="K171" s="94" t="n"/>
      <c r="L171" s="94" t="n"/>
      <c r="M171" s="94" t="n"/>
      <c r="P171" s="143" t="n"/>
      <c r="Q171" s="144" t="n"/>
    </row>
    <row r="172">
      <c r="A172" s="375" t="n"/>
      <c r="B172" s="376" t="n"/>
      <c r="C172" s="376" t="n"/>
      <c r="D172" s="376" t="n"/>
      <c r="E172" s="376" t="n"/>
      <c r="F172" s="93" t="n"/>
      <c r="G172" s="94" t="n"/>
      <c r="H172" s="95" t="n"/>
      <c r="I172" s="376" t="n"/>
      <c r="J172" s="376" t="n"/>
      <c r="K172" s="94" t="n"/>
      <c r="L172" s="94" t="n"/>
      <c r="M172" s="94" t="n"/>
      <c r="P172" s="143" t="n"/>
      <c r="Q172" s="144" t="n"/>
    </row>
    <row r="173">
      <c r="A173" s="375" t="n"/>
      <c r="B173" s="376" t="n"/>
      <c r="C173" s="376" t="n"/>
      <c r="D173" s="376" t="n"/>
      <c r="E173" s="376" t="n"/>
      <c r="F173" s="93" t="n"/>
      <c r="G173" s="94" t="n"/>
      <c r="H173" s="95" t="n"/>
      <c r="I173" s="376" t="n"/>
      <c r="J173" s="376" t="n"/>
      <c r="K173" s="94" t="n"/>
      <c r="L173" s="94" t="n"/>
      <c r="M173" s="94" t="n"/>
      <c r="P173" s="143" t="n"/>
      <c r="Q173" s="144" t="n"/>
    </row>
    <row r="174">
      <c r="A174" s="375" t="n"/>
      <c r="B174" s="376" t="n"/>
      <c r="C174" s="376" t="n"/>
      <c r="D174" s="376" t="n"/>
      <c r="E174" s="376" t="n"/>
      <c r="F174" s="93" t="n"/>
      <c r="G174" s="94" t="n"/>
      <c r="H174" s="95" t="n"/>
      <c r="I174" s="376" t="n"/>
      <c r="J174" s="376" t="n"/>
      <c r="K174" s="94" t="n"/>
      <c r="L174" s="94" t="n"/>
      <c r="M174" s="94" t="n"/>
      <c r="P174" s="143" t="n"/>
      <c r="Q174" s="144" t="n"/>
    </row>
    <row r="175">
      <c r="A175" s="375" t="n"/>
      <c r="B175" s="376" t="n"/>
      <c r="C175" s="376" t="n"/>
      <c r="D175" s="376" t="n"/>
      <c r="E175" s="376" t="n"/>
      <c r="F175" s="93" t="n"/>
      <c r="G175" s="94" t="n"/>
      <c r="H175" s="95" t="n"/>
      <c r="I175" s="376" t="n"/>
      <c r="J175" s="376" t="n"/>
      <c r="K175" s="94" t="n"/>
      <c r="L175" s="94" t="n"/>
      <c r="M175" s="94" t="n"/>
      <c r="P175" s="143" t="n"/>
      <c r="Q175" s="144" t="n"/>
    </row>
    <row r="176">
      <c r="A176" s="375" t="n"/>
      <c r="B176" s="376" t="n"/>
      <c r="C176" s="376" t="n"/>
      <c r="D176" s="376" t="n"/>
      <c r="E176" s="376" t="n"/>
      <c r="F176" s="93" t="n"/>
      <c r="G176" s="94" t="n"/>
      <c r="H176" s="95" t="n"/>
      <c r="I176" s="376" t="n"/>
      <c r="J176" s="376" t="n"/>
      <c r="K176" s="94" t="n"/>
      <c r="L176" s="94" t="n"/>
      <c r="M176" s="94" t="n"/>
      <c r="P176" s="143" t="n"/>
      <c r="Q176" s="144" t="n"/>
    </row>
    <row r="177">
      <c r="A177" s="375" t="n"/>
      <c r="B177" s="376" t="n"/>
      <c r="C177" s="376" t="n"/>
      <c r="D177" s="376" t="n"/>
      <c r="E177" s="376" t="n"/>
      <c r="F177" s="93" t="n"/>
      <c r="G177" s="94" t="n"/>
      <c r="H177" s="95" t="n"/>
      <c r="I177" s="376" t="n"/>
      <c r="J177" s="376" t="n"/>
      <c r="K177" s="94" t="n"/>
      <c r="L177" s="94" t="n"/>
      <c r="M177" s="94" t="n"/>
      <c r="P177" s="143" t="n"/>
      <c r="Q177" s="144" t="n"/>
    </row>
    <row r="178">
      <c r="A178" s="375" t="n"/>
      <c r="B178" s="376" t="n"/>
      <c r="C178" s="376" t="n"/>
      <c r="D178" s="376" t="n"/>
      <c r="E178" s="376" t="n"/>
      <c r="F178" s="93" t="n"/>
      <c r="G178" s="94" t="n"/>
      <c r="H178" s="95" t="n"/>
      <c r="I178" s="376" t="n"/>
      <c r="J178" s="376" t="n"/>
      <c r="K178" s="94" t="n"/>
      <c r="L178" s="94" t="n"/>
      <c r="M178" s="94" t="n"/>
      <c r="P178" s="143" t="n"/>
      <c r="Q178" s="144" t="n"/>
    </row>
    <row r="179">
      <c r="A179" s="375" t="n"/>
      <c r="B179" s="376" t="n"/>
      <c r="C179" s="376" t="n"/>
      <c r="D179" s="376" t="n"/>
      <c r="E179" s="376" t="n"/>
      <c r="F179" s="93" t="n"/>
      <c r="G179" s="94" t="n"/>
      <c r="H179" s="95" t="n"/>
      <c r="I179" s="376" t="n"/>
      <c r="J179" s="376" t="n"/>
      <c r="K179" s="94" t="n"/>
      <c r="L179" s="94" t="n"/>
      <c r="M179" s="94" t="n"/>
      <c r="P179" s="143" t="n"/>
      <c r="Q179" s="144" t="n"/>
    </row>
    <row r="180">
      <c r="A180" s="375" t="n"/>
      <c r="B180" s="376" t="n"/>
      <c r="C180" s="376" t="n"/>
      <c r="D180" s="376" t="n"/>
      <c r="E180" s="376" t="n"/>
      <c r="F180" s="93" t="n"/>
      <c r="G180" s="94" t="n"/>
      <c r="H180" s="95" t="n"/>
      <c r="I180" s="376" t="n"/>
      <c r="J180" s="376" t="n"/>
      <c r="K180" s="94" t="n"/>
      <c r="L180" s="94" t="n"/>
      <c r="M180" s="94" t="n"/>
      <c r="P180" s="143" t="n"/>
      <c r="Q180" s="144" t="n"/>
    </row>
    <row r="181">
      <c r="A181" s="375" t="n"/>
      <c r="B181" s="376" t="n"/>
      <c r="C181" s="376" t="n"/>
      <c r="D181" s="376" t="n"/>
      <c r="E181" s="376" t="n"/>
      <c r="F181" s="93" t="n"/>
      <c r="G181" s="94" t="n"/>
      <c r="H181" s="95" t="n"/>
      <c r="I181" s="376" t="n"/>
      <c r="J181" s="376" t="n"/>
      <c r="K181" s="94" t="n"/>
      <c r="L181" s="94" t="n"/>
      <c r="M181" s="94" t="n"/>
      <c r="P181" s="143" t="n"/>
      <c r="Q181" s="144" t="n"/>
    </row>
    <row r="182">
      <c r="A182" s="375" t="n"/>
      <c r="B182" s="376" t="n"/>
      <c r="C182" s="376" t="n"/>
      <c r="D182" s="376" t="n"/>
      <c r="E182" s="376" t="n"/>
      <c r="F182" s="93" t="n"/>
      <c r="G182" s="94" t="n"/>
      <c r="H182" s="95" t="n"/>
      <c r="I182" s="376" t="n"/>
      <c r="J182" s="376" t="n"/>
      <c r="K182" s="94" t="n"/>
      <c r="L182" s="94" t="n"/>
      <c r="M182" s="94" t="n"/>
      <c r="P182" s="143" t="n"/>
      <c r="Q182" s="144" t="n"/>
    </row>
    <row r="183">
      <c r="A183" s="375" t="n"/>
      <c r="B183" s="376" t="n"/>
      <c r="C183" s="376" t="n"/>
      <c r="D183" s="376" t="n"/>
      <c r="E183" s="376" t="n"/>
      <c r="F183" s="93" t="n"/>
      <c r="G183" s="94" t="n"/>
      <c r="H183" s="95" t="n"/>
      <c r="I183" s="376" t="n"/>
      <c r="J183" s="376" t="n"/>
      <c r="K183" s="94" t="n"/>
      <c r="L183" s="94" t="n"/>
      <c r="M183" s="94" t="n"/>
      <c r="P183" s="143" t="n"/>
      <c r="Q183" s="144" t="n"/>
    </row>
    <row r="184">
      <c r="A184" s="375" t="n"/>
      <c r="B184" s="376" t="n"/>
      <c r="C184" s="376" t="n"/>
      <c r="D184" s="376" t="n"/>
      <c r="E184" s="376" t="n"/>
      <c r="F184" s="93" t="n"/>
      <c r="G184" s="94" t="n"/>
      <c r="H184" s="95" t="n"/>
      <c r="I184" s="376" t="n"/>
      <c r="J184" s="376" t="n"/>
      <c r="K184" s="94" t="n"/>
      <c r="L184" s="94" t="n"/>
      <c r="M184" s="94" t="n"/>
      <c r="P184" s="143" t="n"/>
      <c r="Q184" s="144" t="n"/>
    </row>
    <row r="185">
      <c r="A185" s="375" t="n"/>
      <c r="B185" s="376" t="n"/>
      <c r="C185" s="376" t="n"/>
      <c r="D185" s="376" t="n"/>
      <c r="E185" s="376" t="n"/>
      <c r="F185" s="93" t="n"/>
      <c r="G185" s="94" t="n"/>
      <c r="H185" s="95" t="n"/>
      <c r="I185" s="376" t="n"/>
      <c r="J185" s="376" t="n"/>
      <c r="K185" s="94" t="n"/>
      <c r="L185" s="94" t="n"/>
      <c r="M185" s="94" t="n"/>
      <c r="P185" s="143" t="n"/>
      <c r="Q185" s="144" t="n"/>
    </row>
    <row r="186">
      <c r="A186" s="375" t="n"/>
      <c r="B186" s="376" t="n"/>
      <c r="C186" s="376" t="n"/>
      <c r="D186" s="376" t="n"/>
      <c r="E186" s="376" t="n"/>
      <c r="F186" s="93" t="n"/>
      <c r="G186" s="94" t="n"/>
      <c r="H186" s="95" t="n"/>
      <c r="I186" s="376" t="n"/>
      <c r="J186" s="376" t="n"/>
      <c r="K186" s="94" t="n"/>
      <c r="L186" s="94" t="n"/>
      <c r="M186" s="94" t="n"/>
      <c r="P186" s="143" t="n"/>
      <c r="Q186" s="144" t="n"/>
    </row>
    <row r="187">
      <c r="A187" s="375" t="n"/>
      <c r="B187" s="376" t="n"/>
      <c r="C187" s="376" t="n"/>
      <c r="D187" s="376" t="n"/>
      <c r="E187" s="376" t="n"/>
      <c r="F187" s="93" t="n"/>
      <c r="G187" s="94" t="n"/>
      <c r="H187" s="95" t="n"/>
      <c r="I187" s="376" t="n"/>
      <c r="J187" s="376" t="n"/>
      <c r="K187" s="94" t="n"/>
      <c r="L187" s="94" t="n"/>
      <c r="M187" s="94" t="n"/>
      <c r="P187" s="143" t="n"/>
      <c r="Q187" s="144" t="n"/>
    </row>
    <row r="188">
      <c r="A188" s="375" t="n"/>
      <c r="B188" s="376" t="n"/>
      <c r="C188" s="376" t="n"/>
      <c r="D188" s="376" t="n"/>
      <c r="E188" s="376" t="n"/>
      <c r="F188" s="93" t="n"/>
      <c r="G188" s="94" t="n"/>
      <c r="H188" s="95" t="n"/>
      <c r="I188" s="376" t="n"/>
      <c r="J188" s="376" t="n"/>
      <c r="K188" s="94" t="n"/>
      <c r="L188" s="94" t="n"/>
      <c r="M188" s="94" t="n"/>
      <c r="P188" s="143" t="n"/>
      <c r="Q188" s="144" t="n"/>
    </row>
    <row r="189">
      <c r="A189" s="375" t="n"/>
      <c r="B189" s="376" t="n"/>
      <c r="C189" s="376" t="n"/>
      <c r="D189" s="376" t="n"/>
      <c r="E189" s="376" t="n"/>
      <c r="F189" s="93" t="n"/>
      <c r="G189" s="94" t="n"/>
      <c r="H189" s="95" t="n"/>
      <c r="I189" s="376" t="n"/>
      <c r="J189" s="376" t="n"/>
      <c r="K189" s="94" t="n"/>
      <c r="L189" s="94" t="n"/>
      <c r="M189" s="94" t="n"/>
      <c r="P189" s="143" t="n"/>
      <c r="Q189" s="144" t="n"/>
    </row>
    <row r="190">
      <c r="A190" s="375" t="n"/>
      <c r="B190" s="376" t="n"/>
      <c r="C190" s="376" t="n"/>
      <c r="D190" s="376" t="n"/>
      <c r="E190" s="376" t="n"/>
      <c r="F190" s="93" t="n"/>
      <c r="G190" s="94" t="n"/>
      <c r="H190" s="95" t="n"/>
      <c r="I190" s="376" t="n"/>
      <c r="J190" s="376" t="n"/>
      <c r="K190" s="94" t="n"/>
      <c r="L190" s="94" t="n"/>
      <c r="M190" s="94" t="n"/>
      <c r="P190" s="143" t="n"/>
      <c r="Q190" s="144" t="n"/>
    </row>
    <row r="191">
      <c r="A191" s="375" t="n"/>
      <c r="B191" s="376" t="n"/>
      <c r="C191" s="376" t="n"/>
      <c r="D191" s="376" t="n"/>
      <c r="E191" s="376" t="n"/>
      <c r="F191" s="93" t="n"/>
      <c r="G191" s="94" t="n"/>
      <c r="H191" s="95" t="n"/>
      <c r="I191" s="376" t="n"/>
      <c r="J191" s="376" t="n"/>
      <c r="K191" s="94" t="n"/>
      <c r="L191" s="94" t="n"/>
      <c r="M191" s="94" t="n"/>
      <c r="P191" s="143" t="n"/>
      <c r="Q191" s="144" t="n"/>
    </row>
    <row r="192">
      <c r="A192" s="375" t="n"/>
      <c r="B192" s="376" t="n"/>
      <c r="C192" s="376" t="n"/>
      <c r="D192" s="376" t="n"/>
      <c r="E192" s="376" t="n"/>
      <c r="F192" s="93" t="n"/>
      <c r="G192" s="94" t="n"/>
      <c r="H192" s="95" t="n"/>
      <c r="I192" s="376" t="n"/>
      <c r="J192" s="376" t="n"/>
      <c r="K192" s="94" t="n"/>
      <c r="L192" s="94" t="n"/>
      <c r="M192" s="94" t="n"/>
      <c r="P192" s="143" t="n"/>
      <c r="Q192" s="144" t="n"/>
    </row>
    <row r="193">
      <c r="A193" s="375" t="n"/>
      <c r="B193" s="376" t="n"/>
      <c r="C193" s="376" t="n"/>
      <c r="D193" s="376" t="n"/>
      <c r="E193" s="376" t="n"/>
      <c r="F193" s="93" t="n"/>
      <c r="G193" s="94" t="n"/>
      <c r="H193" s="95" t="n"/>
      <c r="I193" s="376" t="n"/>
      <c r="J193" s="376" t="n"/>
      <c r="K193" s="94" t="n"/>
      <c r="L193" s="94" t="n"/>
      <c r="M193" s="94" t="n"/>
      <c r="P193" s="143" t="n"/>
      <c r="Q193" s="144" t="n"/>
    </row>
    <row r="194">
      <c r="A194" s="375" t="n"/>
      <c r="B194" s="376" t="n"/>
      <c r="C194" s="376" t="n"/>
      <c r="D194" s="376" t="n"/>
      <c r="E194" s="376" t="n"/>
      <c r="F194" s="93" t="n"/>
      <c r="G194" s="94" t="n"/>
      <c r="H194" s="95" t="n"/>
      <c r="I194" s="376" t="n"/>
      <c r="J194" s="376" t="n"/>
      <c r="K194" s="94" t="n"/>
      <c r="L194" s="94" t="n"/>
      <c r="M194" s="94" t="n"/>
      <c r="P194" s="143" t="n"/>
      <c r="Q194" s="144" t="n"/>
    </row>
    <row r="195">
      <c r="A195" s="375" t="n"/>
      <c r="B195" s="376" t="n"/>
      <c r="C195" s="376" t="n"/>
      <c r="D195" s="376" t="n"/>
      <c r="E195" s="376" t="n"/>
      <c r="F195" s="93" t="n"/>
      <c r="G195" s="94" t="n"/>
      <c r="H195" s="95" t="n"/>
      <c r="I195" s="376" t="n"/>
      <c r="J195" s="376" t="n"/>
      <c r="K195" s="94" t="n"/>
      <c r="L195" s="94" t="n"/>
      <c r="M195" s="94" t="n"/>
      <c r="P195" s="143" t="n"/>
      <c r="Q195" s="144" t="n"/>
    </row>
    <row r="196">
      <c r="A196" s="375" t="n"/>
      <c r="B196" s="376" t="n"/>
      <c r="C196" s="376" t="n"/>
      <c r="D196" s="376" t="n"/>
      <c r="E196" s="376" t="n"/>
      <c r="F196" s="93" t="n"/>
      <c r="G196" s="94" t="n"/>
      <c r="H196" s="95" t="n"/>
      <c r="I196" s="376" t="n"/>
      <c r="J196" s="376" t="n"/>
      <c r="K196" s="94" t="n"/>
      <c r="L196" s="94" t="n"/>
      <c r="M196" s="94" t="n"/>
      <c r="P196" s="143" t="n"/>
      <c r="Q196" s="144" t="n"/>
    </row>
    <row r="197">
      <c r="A197" s="375" t="n"/>
      <c r="B197" s="376" t="n"/>
      <c r="C197" s="376" t="n"/>
      <c r="D197" s="376" t="n"/>
      <c r="E197" s="376" t="n"/>
      <c r="F197" s="93" t="n"/>
      <c r="G197" s="94" t="n"/>
      <c r="H197" s="95" t="n"/>
      <c r="I197" s="376" t="n"/>
      <c r="J197" s="376" t="n"/>
      <c r="K197" s="94" t="n"/>
      <c r="L197" s="94" t="n"/>
      <c r="M197" s="94" t="n"/>
      <c r="P197" s="143" t="n"/>
      <c r="Q197" s="144" t="n"/>
    </row>
    <row r="198">
      <c r="A198" s="375" t="n"/>
      <c r="B198" s="376" t="n"/>
      <c r="C198" s="376" t="n"/>
      <c r="D198" s="376" t="n"/>
      <c r="E198" s="376" t="n"/>
      <c r="F198" s="93" t="n"/>
      <c r="G198" s="94" t="n"/>
      <c r="H198" s="95" t="n"/>
      <c r="I198" s="376" t="n"/>
      <c r="J198" s="376" t="n"/>
      <c r="K198" s="94" t="n"/>
      <c r="L198" s="94" t="n"/>
      <c r="M198" s="94" t="n"/>
      <c r="P198" s="143" t="n"/>
      <c r="Q198" s="144" t="n"/>
    </row>
    <row r="199">
      <c r="A199" s="375" t="n"/>
      <c r="B199" s="376" t="n"/>
      <c r="C199" s="376" t="n"/>
      <c r="D199" s="376" t="n"/>
      <c r="E199" s="376" t="n"/>
      <c r="F199" s="93" t="n"/>
      <c r="G199" s="94" t="n"/>
      <c r="H199" s="95" t="n"/>
      <c r="I199" s="376" t="n"/>
      <c r="J199" s="376" t="n"/>
      <c r="K199" s="94" t="n"/>
      <c r="L199" s="94" t="n"/>
      <c r="M199" s="94" t="n"/>
      <c r="P199" s="143" t="n"/>
      <c r="Q199" s="144" t="n"/>
    </row>
    <row r="200">
      <c r="A200" s="375" t="n"/>
      <c r="B200" s="376" t="n"/>
      <c r="C200" s="376" t="n"/>
      <c r="D200" s="376" t="n"/>
      <c r="E200" s="376" t="n"/>
      <c r="F200" s="93" t="n"/>
      <c r="G200" s="94" t="n"/>
      <c r="H200" s="95" t="n"/>
      <c r="I200" s="376" t="n"/>
      <c r="J200" s="376" t="n"/>
      <c r="K200" s="94" t="n"/>
      <c r="L200" s="94" t="n"/>
      <c r="M200" s="94" t="n"/>
      <c r="P200" s="143" t="n"/>
      <c r="Q200" s="144" t="n"/>
    </row>
    <row r="201">
      <c r="A201" s="375" t="n"/>
      <c r="B201" s="376" t="n"/>
      <c r="C201" s="376" t="n"/>
      <c r="D201" s="376" t="n"/>
      <c r="E201" s="376" t="n"/>
      <c r="F201" s="93" t="n"/>
      <c r="G201" s="94" t="n"/>
      <c r="H201" s="95" t="n"/>
      <c r="I201" s="376" t="n"/>
      <c r="J201" s="376" t="n"/>
      <c r="K201" s="94" t="n"/>
      <c r="L201" s="94" t="n"/>
      <c r="M201" s="94" t="n"/>
      <c r="P201" s="143" t="n"/>
      <c r="Q201" s="144" t="n"/>
    </row>
    <row r="202">
      <c r="A202" s="375" t="n"/>
      <c r="B202" s="376" t="n"/>
      <c r="C202" s="376" t="n"/>
      <c r="D202" s="376" t="n"/>
      <c r="E202" s="376" t="n"/>
      <c r="F202" s="93" t="n"/>
      <c r="G202" s="94" t="n"/>
      <c r="H202" s="95" t="n"/>
      <c r="I202" s="376" t="n"/>
      <c r="J202" s="376" t="n"/>
      <c r="K202" s="94" t="n"/>
      <c r="L202" s="94" t="n"/>
      <c r="M202" s="94" t="n"/>
      <c r="P202" s="143" t="n"/>
      <c r="Q202" s="144" t="n"/>
    </row>
    <row r="203">
      <c r="A203" s="375" t="n"/>
      <c r="B203" s="376" t="n"/>
      <c r="C203" s="376" t="n"/>
      <c r="D203" s="376" t="n"/>
      <c r="E203" s="376" t="n"/>
      <c r="F203" s="93" t="n"/>
      <c r="G203" s="94" t="n"/>
      <c r="H203" s="95" t="n"/>
      <c r="I203" s="376" t="n"/>
      <c r="J203" s="376" t="n"/>
      <c r="K203" s="94" t="n"/>
      <c r="L203" s="94" t="n"/>
      <c r="M203" s="94" t="n"/>
      <c r="P203" s="143" t="n"/>
      <c r="Q203" s="144" t="n"/>
    </row>
    <row r="204">
      <c r="A204" s="375" t="n"/>
      <c r="B204" s="376" t="n"/>
      <c r="C204" s="376" t="n"/>
      <c r="D204" s="376" t="n"/>
      <c r="E204" s="376" t="n"/>
      <c r="F204" s="93" t="n"/>
      <c r="G204" s="94" t="n"/>
      <c r="H204" s="95" t="n"/>
      <c r="I204" s="376" t="n"/>
      <c r="J204" s="376" t="n"/>
      <c r="K204" s="94" t="n"/>
      <c r="L204" s="94" t="n"/>
      <c r="M204" s="94" t="n"/>
      <c r="P204" s="143" t="n"/>
      <c r="Q204" s="144" t="n"/>
    </row>
    <row r="205">
      <c r="A205" s="375" t="n"/>
      <c r="B205" s="376" t="n"/>
      <c r="C205" s="376" t="n"/>
      <c r="D205" s="376" t="n"/>
      <c r="E205" s="376" t="n"/>
      <c r="F205" s="93" t="n"/>
      <c r="G205" s="94" t="n"/>
      <c r="H205" s="95" t="n"/>
      <c r="I205" s="376" t="n"/>
      <c r="J205" s="376" t="n"/>
      <c r="K205" s="94" t="n"/>
      <c r="L205" s="94" t="n"/>
      <c r="M205" s="94" t="n"/>
      <c r="P205" s="143" t="n"/>
      <c r="Q205" s="144" t="n"/>
    </row>
    <row r="206">
      <c r="A206" s="375" t="n"/>
      <c r="B206" s="376" t="n"/>
      <c r="C206" s="376" t="n"/>
      <c r="D206" s="376" t="n"/>
      <c r="E206" s="376" t="n"/>
      <c r="F206" s="93" t="n"/>
      <c r="G206" s="94" t="n"/>
      <c r="H206" s="95" t="n"/>
      <c r="I206" s="376" t="n"/>
      <c r="J206" s="376" t="n"/>
      <c r="K206" s="94" t="n"/>
      <c r="L206" s="94" t="n"/>
      <c r="M206" s="94" t="n"/>
      <c r="P206" s="143" t="n"/>
      <c r="Q206" s="144" t="n"/>
    </row>
    <row r="207">
      <c r="A207" s="375" t="n"/>
      <c r="B207" s="376" t="n"/>
      <c r="C207" s="376" t="n"/>
      <c r="D207" s="376" t="n"/>
      <c r="E207" s="376" t="n"/>
      <c r="F207" s="93" t="n"/>
      <c r="G207" s="94" t="n"/>
      <c r="H207" s="95" t="n"/>
      <c r="I207" s="376" t="n"/>
      <c r="J207" s="376" t="n"/>
      <c r="K207" s="94" t="n"/>
      <c r="L207" s="94" t="n"/>
      <c r="M207" s="94" t="n"/>
      <c r="P207" s="143" t="n"/>
      <c r="Q207" s="144" t="n"/>
    </row>
    <row r="208">
      <c r="A208" s="375" t="n"/>
      <c r="B208" s="376" t="n"/>
      <c r="C208" s="376" t="n"/>
      <c r="D208" s="376" t="n"/>
      <c r="E208" s="376" t="n"/>
      <c r="F208" s="93" t="n"/>
      <c r="G208" s="94" t="n"/>
      <c r="H208" s="95" t="n"/>
      <c r="I208" s="376" t="n"/>
      <c r="J208" s="376" t="n"/>
      <c r="K208" s="94" t="n"/>
      <c r="L208" s="94" t="n"/>
      <c r="M208" s="94" t="n"/>
      <c r="P208" s="143" t="n"/>
      <c r="Q208" s="144" t="n"/>
    </row>
    <row r="209">
      <c r="A209" s="375" t="n"/>
      <c r="B209" s="376" t="n"/>
      <c r="C209" s="376" t="n"/>
      <c r="D209" s="376" t="n"/>
      <c r="E209" s="376" t="n"/>
      <c r="F209" s="93" t="n"/>
      <c r="G209" s="94" t="n"/>
      <c r="H209" s="95" t="n"/>
      <c r="I209" s="376" t="n"/>
      <c r="J209" s="376" t="n"/>
      <c r="K209" s="94" t="n"/>
      <c r="L209" s="94" t="n"/>
      <c r="M209" s="94" t="n"/>
      <c r="P209" s="143" t="n"/>
      <c r="Q209" s="144" t="n"/>
    </row>
    <row r="210">
      <c r="A210" s="375" t="n"/>
      <c r="B210" s="376" t="n"/>
      <c r="C210" s="376" t="n"/>
      <c r="D210" s="376" t="n"/>
      <c r="E210" s="376" t="n"/>
      <c r="F210" s="93" t="n"/>
      <c r="G210" s="94" t="n"/>
      <c r="H210" s="95" t="n"/>
      <c r="I210" s="376" t="n"/>
      <c r="J210" s="376" t="n"/>
      <c r="K210" s="94" t="n"/>
      <c r="L210" s="94" t="n"/>
      <c r="M210" s="94" t="n"/>
      <c r="P210" s="143" t="n"/>
      <c r="Q210" s="144" t="n"/>
    </row>
    <row r="211">
      <c r="A211" s="375" t="n"/>
      <c r="B211" s="376" t="n"/>
      <c r="C211" s="376" t="n"/>
      <c r="D211" s="376" t="n"/>
      <c r="E211" s="376" t="n"/>
      <c r="F211" s="93" t="n"/>
      <c r="G211" s="94" t="n"/>
      <c r="H211" s="95" t="n"/>
      <c r="I211" s="376" t="n"/>
      <c r="J211" s="376" t="n"/>
      <c r="K211" s="94" t="n"/>
      <c r="L211" s="94" t="n"/>
      <c r="M211" s="94" t="n"/>
      <c r="P211" s="143" t="n"/>
      <c r="Q211" s="144" t="n"/>
    </row>
    <row r="212">
      <c r="A212" s="375" t="n"/>
      <c r="B212" s="376" t="n"/>
      <c r="C212" s="376" t="n"/>
      <c r="D212" s="376" t="n"/>
      <c r="E212" s="376" t="n"/>
      <c r="F212" s="93" t="n"/>
      <c r="G212" s="94" t="n"/>
      <c r="H212" s="95" t="n"/>
      <c r="I212" s="376" t="n"/>
      <c r="J212" s="376" t="n"/>
      <c r="K212" s="94" t="n"/>
      <c r="L212" s="94" t="n"/>
      <c r="M212" s="94" t="n"/>
      <c r="P212" s="143" t="n"/>
      <c r="Q212" s="144" t="n"/>
    </row>
    <row r="213">
      <c r="A213" s="375" t="n"/>
      <c r="B213" s="376" t="n"/>
      <c r="C213" s="376" t="n"/>
      <c r="D213" s="376" t="n"/>
      <c r="E213" s="376" t="n"/>
      <c r="F213" s="93" t="n"/>
      <c r="G213" s="94" t="n"/>
      <c r="H213" s="95" t="n"/>
      <c r="I213" s="376" t="n"/>
      <c r="J213" s="376" t="n"/>
      <c r="K213" s="94" t="n"/>
      <c r="L213" s="94" t="n"/>
      <c r="M213" s="94" t="n"/>
      <c r="P213" s="143" t="n"/>
      <c r="Q213" s="144" t="n"/>
    </row>
    <row r="214">
      <c r="A214" s="375" t="n"/>
      <c r="B214" s="376" t="n"/>
      <c r="C214" s="376" t="n"/>
      <c r="D214" s="376" t="n"/>
      <c r="E214" s="376" t="n"/>
      <c r="F214" s="93" t="n"/>
      <c r="G214" s="94" t="n"/>
      <c r="H214" s="95" t="n"/>
      <c r="I214" s="376" t="n"/>
      <c r="J214" s="376" t="n"/>
      <c r="K214" s="94" t="n"/>
      <c r="L214" s="94" t="n"/>
      <c r="M214" s="94" t="n"/>
      <c r="P214" s="143" t="n"/>
      <c r="Q214" s="144" t="n"/>
    </row>
    <row r="215">
      <c r="A215" s="375" t="n"/>
      <c r="B215" s="376" t="n"/>
      <c r="C215" s="376" t="n"/>
      <c r="D215" s="376" t="n"/>
      <c r="E215" s="376" t="n"/>
      <c r="F215" s="93" t="n"/>
      <c r="G215" s="94" t="n"/>
      <c r="H215" s="95" t="n"/>
      <c r="I215" s="376" t="n"/>
      <c r="J215" s="376" t="n"/>
      <c r="K215" s="94" t="n"/>
      <c r="L215" s="94" t="n"/>
      <c r="M215" s="94" t="n"/>
      <c r="P215" s="143" t="n"/>
      <c r="Q215" s="144" t="n"/>
    </row>
    <row r="216">
      <c r="A216" s="375" t="n"/>
      <c r="B216" s="376" t="n"/>
      <c r="C216" s="376" t="n"/>
      <c r="D216" s="376" t="n"/>
      <c r="E216" s="376" t="n"/>
      <c r="F216" s="93" t="n"/>
      <c r="G216" s="94" t="n"/>
      <c r="H216" s="95" t="n"/>
      <c r="I216" s="376" t="n"/>
      <c r="J216" s="376" t="n"/>
      <c r="K216" s="94" t="n"/>
      <c r="L216" s="94" t="n"/>
      <c r="M216" s="94" t="n"/>
      <c r="P216" s="143" t="n"/>
      <c r="Q216" s="144" t="n"/>
    </row>
    <row r="217">
      <c r="A217" s="375" t="n"/>
      <c r="B217" s="376" t="n"/>
      <c r="C217" s="376" t="n"/>
      <c r="D217" s="376" t="n"/>
      <c r="E217" s="376" t="n"/>
      <c r="F217" s="93" t="n"/>
      <c r="G217" s="94" t="n"/>
      <c r="H217" s="95" t="n"/>
      <c r="I217" s="376" t="n"/>
      <c r="J217" s="376" t="n"/>
      <c r="K217" s="94" t="n"/>
      <c r="L217" s="94" t="n"/>
      <c r="M217" s="94" t="n"/>
      <c r="P217" s="143" t="n"/>
      <c r="Q217" s="144" t="n"/>
    </row>
    <row r="218">
      <c r="A218" s="375" t="n"/>
      <c r="B218" s="376" t="n"/>
      <c r="C218" s="376" t="n"/>
      <c r="D218" s="376" t="n"/>
      <c r="E218" s="376" t="n"/>
      <c r="F218" s="93" t="n"/>
      <c r="G218" s="94" t="n"/>
      <c r="H218" s="95" t="n"/>
      <c r="I218" s="376" t="n"/>
      <c r="J218" s="376" t="n"/>
      <c r="K218" s="94" t="n"/>
      <c r="L218" s="94" t="n"/>
      <c r="M218" s="94" t="n"/>
      <c r="P218" s="143" t="n"/>
      <c r="Q218" s="144" t="n"/>
    </row>
    <row r="219">
      <c r="A219" s="375" t="n"/>
      <c r="B219" s="376" t="n"/>
      <c r="C219" s="376" t="n"/>
      <c r="D219" s="376" t="n"/>
      <c r="E219" s="376" t="n"/>
      <c r="F219" s="93" t="n"/>
      <c r="G219" s="94" t="n"/>
      <c r="H219" s="95" t="n"/>
      <c r="I219" s="376" t="n"/>
      <c r="J219" s="376" t="n"/>
      <c r="K219" s="94" t="n"/>
      <c r="L219" s="94" t="n"/>
      <c r="M219" s="94" t="n"/>
      <c r="P219" s="143" t="n"/>
      <c r="Q219" s="144" t="n"/>
    </row>
    <row r="220">
      <c r="A220" s="375" t="n"/>
      <c r="B220" s="376" t="n"/>
      <c r="C220" s="376" t="n"/>
      <c r="D220" s="376" t="n"/>
      <c r="E220" s="376" t="n"/>
      <c r="F220" s="93" t="n"/>
      <c r="G220" s="94" t="n"/>
      <c r="H220" s="95" t="n"/>
      <c r="I220" s="376" t="n"/>
      <c r="J220" s="376" t="n"/>
      <c r="K220" s="94" t="n"/>
      <c r="L220" s="94" t="n"/>
      <c r="M220" s="94" t="n"/>
      <c r="P220" s="143" t="n"/>
      <c r="Q220" s="144" t="n"/>
    </row>
    <row r="221">
      <c r="A221" s="375" t="n"/>
      <c r="B221" s="376" t="n"/>
      <c r="C221" s="376" t="n"/>
      <c r="D221" s="376" t="n"/>
      <c r="E221" s="376" t="n"/>
      <c r="F221" s="93" t="n"/>
      <c r="G221" s="94" t="n"/>
      <c r="H221" s="95" t="n"/>
      <c r="I221" s="376" t="n"/>
      <c r="J221" s="376" t="n"/>
      <c r="K221" s="94" t="n"/>
      <c r="L221" s="94" t="n"/>
      <c r="M221" s="94" t="n"/>
      <c r="P221" s="143" t="n"/>
      <c r="Q221" s="144" t="n"/>
    </row>
    <row r="222">
      <c r="A222" s="375" t="n"/>
      <c r="B222" s="376" t="n"/>
      <c r="C222" s="376" t="n"/>
      <c r="D222" s="376" t="n"/>
      <c r="E222" s="376" t="n"/>
      <c r="F222" s="93" t="n"/>
      <c r="G222" s="94" t="n"/>
      <c r="H222" s="95" t="n"/>
      <c r="I222" s="376" t="n"/>
      <c r="J222" s="376" t="n"/>
      <c r="K222" s="94" t="n"/>
      <c r="L222" s="94" t="n"/>
      <c r="M222" s="94" t="n"/>
      <c r="P222" s="143" t="n"/>
      <c r="Q222" s="144" t="n"/>
    </row>
    <row r="223">
      <c r="A223" s="375" t="n"/>
      <c r="B223" s="376" t="n"/>
      <c r="C223" s="376" t="n"/>
      <c r="D223" s="376" t="n"/>
      <c r="E223" s="376" t="n"/>
      <c r="F223" s="93" t="n"/>
      <c r="G223" s="94" t="n"/>
      <c r="H223" s="95" t="n"/>
      <c r="I223" s="376" t="n"/>
      <c r="J223" s="376" t="n"/>
      <c r="K223" s="94" t="n"/>
      <c r="L223" s="94" t="n"/>
      <c r="M223" s="94" t="n"/>
      <c r="P223" s="143" t="n"/>
      <c r="Q223" s="144" t="n"/>
    </row>
    <row r="224">
      <c r="A224" s="375" t="n"/>
      <c r="B224" s="376" t="n"/>
      <c r="C224" s="376" t="n"/>
      <c r="D224" s="376" t="n"/>
      <c r="E224" s="376" t="n"/>
      <c r="F224" s="93" t="n"/>
      <c r="G224" s="94" t="n"/>
      <c r="H224" s="95" t="n"/>
      <c r="I224" s="376" t="n"/>
      <c r="J224" s="376" t="n"/>
      <c r="K224" s="94" t="n"/>
      <c r="L224" s="94" t="n"/>
      <c r="M224" s="94" t="n"/>
      <c r="P224" s="143" t="n"/>
      <c r="Q224" s="144" t="n"/>
    </row>
    <row r="225">
      <c r="A225" s="375" t="n"/>
      <c r="B225" s="376" t="n"/>
      <c r="C225" s="376" t="n"/>
      <c r="D225" s="376" t="n"/>
      <c r="E225" s="376" t="n"/>
      <c r="F225" s="93" t="n"/>
      <c r="G225" s="94" t="n"/>
      <c r="H225" s="95" t="n"/>
      <c r="I225" s="376" t="n"/>
      <c r="J225" s="376" t="n"/>
      <c r="K225" s="94" t="n"/>
      <c r="L225" s="94" t="n"/>
      <c r="M225" s="94" t="n"/>
      <c r="P225" s="143" t="n"/>
      <c r="Q225" s="144" t="n"/>
    </row>
    <row r="226">
      <c r="A226" s="375" t="n"/>
      <c r="B226" s="376" t="n"/>
      <c r="C226" s="376" t="n"/>
      <c r="D226" s="376" t="n"/>
      <c r="E226" s="376" t="n"/>
      <c r="F226" s="93" t="n"/>
      <c r="G226" s="94" t="n"/>
      <c r="H226" s="95" t="n"/>
      <c r="I226" s="376" t="n"/>
      <c r="J226" s="376" t="n"/>
      <c r="K226" s="94" t="n"/>
      <c r="L226" s="94" t="n"/>
      <c r="M226" s="94" t="n"/>
      <c r="P226" s="143" t="n"/>
      <c r="Q226" s="144" t="n"/>
    </row>
    <row r="227">
      <c r="A227" s="375" t="n"/>
      <c r="B227" s="376" t="n"/>
      <c r="C227" s="376" t="n"/>
      <c r="D227" s="376" t="n"/>
      <c r="E227" s="376" t="n"/>
      <c r="F227" s="93" t="n"/>
      <c r="G227" s="94" t="n"/>
      <c r="H227" s="95" t="n"/>
      <c r="I227" s="376" t="n"/>
      <c r="J227" s="376" t="n"/>
      <c r="K227" s="94" t="n"/>
      <c r="L227" s="94" t="n"/>
      <c r="M227" s="94" t="n"/>
      <c r="P227" s="143" t="n"/>
      <c r="Q227" s="144" t="n"/>
    </row>
    <row r="228">
      <c r="A228" s="375" t="n"/>
      <c r="B228" s="376" t="n"/>
      <c r="C228" s="376" t="n"/>
      <c r="D228" s="376" t="n"/>
      <c r="E228" s="376" t="n"/>
      <c r="F228" s="93" t="n"/>
      <c r="G228" s="94" t="n"/>
      <c r="H228" s="95" t="n"/>
      <c r="I228" s="376" t="n"/>
      <c r="J228" s="376" t="n"/>
      <c r="K228" s="94" t="n"/>
      <c r="L228" s="94" t="n"/>
      <c r="M228" s="94" t="n"/>
      <c r="P228" s="143" t="n"/>
      <c r="Q228" s="144" t="n"/>
    </row>
    <row r="229">
      <c r="A229" s="375" t="n"/>
      <c r="B229" s="376" t="n"/>
      <c r="C229" s="376" t="n"/>
      <c r="D229" s="376" t="n"/>
      <c r="E229" s="376" t="n"/>
      <c r="F229" s="93" t="n"/>
      <c r="G229" s="94" t="n"/>
      <c r="H229" s="95" t="n"/>
      <c r="I229" s="376" t="n"/>
      <c r="J229" s="376" t="n"/>
      <c r="K229" s="94" t="n"/>
      <c r="L229" s="94" t="n"/>
      <c r="M229" s="94" t="n"/>
      <c r="P229" s="143" t="n"/>
      <c r="Q229" s="144" t="n"/>
    </row>
    <row r="230">
      <c r="A230" s="375" t="n"/>
      <c r="B230" s="376" t="n"/>
      <c r="C230" s="376" t="n"/>
      <c r="D230" s="376" t="n"/>
      <c r="E230" s="376" t="n"/>
      <c r="F230" s="93" t="n"/>
      <c r="G230" s="94" t="n"/>
      <c r="H230" s="95" t="n"/>
      <c r="I230" s="376" t="n"/>
      <c r="J230" s="376" t="n"/>
      <c r="K230" s="94" t="n"/>
      <c r="L230" s="94" t="n"/>
      <c r="M230" s="94" t="n"/>
      <c r="P230" s="143" t="n"/>
      <c r="Q230" s="144" t="n"/>
    </row>
    <row r="231">
      <c r="A231" s="375" t="n"/>
      <c r="B231" s="376" t="n"/>
      <c r="C231" s="376" t="n"/>
      <c r="D231" s="376" t="n"/>
      <c r="E231" s="376" t="n"/>
      <c r="F231" s="93" t="n"/>
      <c r="G231" s="94" t="n"/>
      <c r="H231" s="95" t="n"/>
      <c r="I231" s="376" t="n"/>
      <c r="J231" s="376" t="n"/>
      <c r="K231" s="94" t="n"/>
      <c r="L231" s="94" t="n"/>
      <c r="M231" s="94" t="n"/>
      <c r="P231" s="143" t="n"/>
      <c r="Q231" s="144" t="n"/>
    </row>
    <row r="232">
      <c r="A232" s="375" t="n"/>
      <c r="B232" s="376" t="n"/>
      <c r="C232" s="376" t="n"/>
      <c r="D232" s="376" t="n"/>
      <c r="E232" s="376" t="n"/>
      <c r="F232" s="93" t="n"/>
      <c r="G232" s="94" t="n"/>
      <c r="H232" s="95" t="n"/>
      <c r="I232" s="376" t="n"/>
      <c r="J232" s="376" t="n"/>
      <c r="K232" s="94" t="n"/>
      <c r="L232" s="94" t="n"/>
      <c r="M232" s="94" t="n"/>
      <c r="P232" s="143" t="n"/>
      <c r="Q232" s="144" t="n"/>
    </row>
    <row r="233">
      <c r="A233" s="375" t="n"/>
      <c r="B233" s="376" t="n"/>
      <c r="C233" s="376" t="n"/>
      <c r="D233" s="376" t="n"/>
      <c r="E233" s="376" t="n"/>
      <c r="F233" s="93" t="n"/>
      <c r="G233" s="94" t="n"/>
      <c r="H233" s="95" t="n"/>
      <c r="I233" s="376" t="n"/>
      <c r="J233" s="376" t="n"/>
      <c r="K233" s="94" t="n"/>
      <c r="L233" s="94" t="n"/>
      <c r="M233" s="94" t="n"/>
      <c r="P233" s="143" t="n"/>
      <c r="Q233" s="144" t="n"/>
    </row>
    <row r="234">
      <c r="A234" s="375" t="n"/>
      <c r="B234" s="376" t="n"/>
      <c r="C234" s="376" t="n"/>
      <c r="D234" s="376" t="n"/>
      <c r="E234" s="376" t="n"/>
      <c r="F234" s="93" t="n"/>
      <c r="G234" s="94" t="n"/>
      <c r="H234" s="95" t="n"/>
      <c r="I234" s="376" t="n"/>
      <c r="J234" s="376" t="n"/>
      <c r="K234" s="94" t="n"/>
      <c r="L234" s="94" t="n"/>
      <c r="M234" s="94" t="n"/>
      <c r="P234" s="143" t="n"/>
      <c r="Q234" s="144" t="n"/>
    </row>
    <row r="235">
      <c r="A235" s="375" t="n"/>
      <c r="B235" s="376" t="n"/>
      <c r="C235" s="376" t="n"/>
      <c r="D235" s="376" t="n"/>
      <c r="E235" s="376" t="n"/>
      <c r="F235" s="93" t="n"/>
      <c r="G235" s="94" t="n"/>
      <c r="H235" s="95" t="n"/>
      <c r="I235" s="376" t="n"/>
      <c r="J235" s="376" t="n"/>
      <c r="K235" s="94" t="n"/>
      <c r="L235" s="94" t="n"/>
      <c r="M235" s="94" t="n"/>
      <c r="P235" s="143" t="n"/>
      <c r="Q235" s="144" t="n"/>
    </row>
    <row r="236">
      <c r="A236" s="375" t="n"/>
      <c r="B236" s="376" t="n"/>
      <c r="C236" s="376" t="n"/>
      <c r="D236" s="376" t="n"/>
      <c r="E236" s="376" t="n"/>
      <c r="F236" s="93" t="n"/>
      <c r="G236" s="94" t="n"/>
      <c r="H236" s="95" t="n"/>
      <c r="I236" s="376" t="n"/>
      <c r="J236" s="376" t="n"/>
      <c r="K236" s="94" t="n"/>
      <c r="L236" s="94" t="n"/>
      <c r="M236" s="94" t="n"/>
      <c r="P236" s="143" t="n"/>
      <c r="Q236" s="144" t="n"/>
    </row>
    <row r="237">
      <c r="A237" s="375" t="n"/>
      <c r="B237" s="376" t="n"/>
      <c r="C237" s="376" t="n"/>
      <c r="D237" s="376" t="n"/>
      <c r="E237" s="376" t="n"/>
      <c r="F237" s="93" t="n"/>
      <c r="G237" s="94" t="n"/>
      <c r="H237" s="95" t="n"/>
      <c r="I237" s="376" t="n"/>
      <c r="J237" s="376" t="n"/>
      <c r="K237" s="94" t="n"/>
      <c r="L237" s="94" t="n"/>
      <c r="M237" s="94" t="n"/>
      <c r="P237" s="143" t="n"/>
      <c r="Q237" s="144" t="n"/>
    </row>
    <row r="238">
      <c r="A238" s="375" t="n"/>
      <c r="B238" s="376" t="n"/>
      <c r="C238" s="376" t="n"/>
      <c r="D238" s="376" t="n"/>
      <c r="E238" s="376" t="n"/>
      <c r="F238" s="93" t="n"/>
      <c r="G238" s="94" t="n"/>
      <c r="H238" s="95" t="n"/>
      <c r="I238" s="376" t="n"/>
      <c r="J238" s="376" t="n"/>
      <c r="K238" s="94" t="n"/>
      <c r="L238" s="94" t="n"/>
      <c r="M238" s="94" t="n"/>
      <c r="P238" s="143" t="n"/>
      <c r="Q238" s="144" t="n"/>
    </row>
    <row r="239">
      <c r="A239" s="375" t="n"/>
      <c r="B239" s="376" t="n"/>
      <c r="C239" s="376" t="n"/>
      <c r="D239" s="376" t="n"/>
      <c r="E239" s="376" t="n"/>
      <c r="F239" s="93" t="n"/>
      <c r="G239" s="94" t="n"/>
      <c r="H239" s="95" t="n"/>
      <c r="I239" s="376" t="n"/>
      <c r="J239" s="376" t="n"/>
      <c r="K239" s="94" t="n"/>
      <c r="L239" s="94" t="n"/>
      <c r="M239" s="94" t="n"/>
      <c r="P239" s="143" t="n"/>
      <c r="Q239" s="144" t="n"/>
    </row>
    <row r="240">
      <c r="A240" s="375" t="n"/>
      <c r="B240" s="376" t="n"/>
      <c r="C240" s="376" t="n"/>
      <c r="D240" s="376" t="n"/>
      <c r="E240" s="376" t="n"/>
      <c r="F240" s="93" t="n"/>
      <c r="G240" s="94" t="n"/>
      <c r="H240" s="95" t="n"/>
      <c r="I240" s="376" t="n"/>
      <c r="J240" s="376" t="n"/>
      <c r="K240" s="94" t="n"/>
      <c r="L240" s="94" t="n"/>
      <c r="M240" s="94" t="n"/>
      <c r="P240" s="143" t="n"/>
      <c r="Q240" s="144" t="n"/>
    </row>
    <row r="241">
      <c r="A241" s="375" t="n"/>
      <c r="B241" s="376" t="n"/>
      <c r="C241" s="376" t="n"/>
      <c r="D241" s="376" t="n"/>
      <c r="E241" s="376" t="n"/>
      <c r="F241" s="93" t="n"/>
      <c r="G241" s="94" t="n"/>
      <c r="H241" s="95" t="n"/>
      <c r="I241" s="376" t="n"/>
      <c r="J241" s="376" t="n"/>
      <c r="K241" s="94" t="n"/>
      <c r="L241" s="94" t="n"/>
      <c r="M241" s="94" t="n"/>
      <c r="P241" s="143" t="n"/>
      <c r="Q241" s="144" t="n"/>
    </row>
    <row r="242">
      <c r="A242" s="375" t="n"/>
      <c r="B242" s="376" t="n"/>
      <c r="C242" s="376" t="n"/>
      <c r="D242" s="376" t="n"/>
      <c r="E242" s="376" t="n"/>
      <c r="F242" s="93" t="n"/>
      <c r="G242" s="94" t="n"/>
      <c r="H242" s="95" t="n"/>
      <c r="I242" s="376" t="n"/>
      <c r="J242" s="376" t="n"/>
      <c r="K242" s="94" t="n"/>
      <c r="L242" s="94" t="n"/>
      <c r="M242" s="94" t="n"/>
      <c r="P242" s="143" t="n"/>
      <c r="Q242" s="144" t="n"/>
    </row>
    <row r="243">
      <c r="A243" s="375" t="n"/>
      <c r="B243" s="376" t="n"/>
      <c r="C243" s="376" t="n"/>
      <c r="D243" s="376" t="n"/>
      <c r="E243" s="376" t="n"/>
      <c r="F243" s="93" t="n"/>
      <c r="G243" s="94" t="n"/>
      <c r="H243" s="95" t="n"/>
      <c r="I243" s="376" t="n"/>
      <c r="J243" s="376" t="n"/>
      <c r="K243" s="94" t="n"/>
      <c r="L243" s="94" t="n"/>
      <c r="M243" s="94" t="n"/>
      <c r="P243" s="143" t="n"/>
      <c r="Q243" s="144" t="n"/>
    </row>
    <row r="244">
      <c r="A244" s="375" t="n"/>
      <c r="B244" s="376" t="n"/>
      <c r="C244" s="376" t="n"/>
      <c r="D244" s="376" t="n"/>
      <c r="E244" s="376" t="n"/>
      <c r="F244" s="93" t="n"/>
      <c r="G244" s="94" t="n"/>
      <c r="H244" s="95" t="n"/>
      <c r="I244" s="376" t="n"/>
      <c r="J244" s="376" t="n"/>
      <c r="K244" s="94" t="n"/>
      <c r="L244" s="94" t="n"/>
      <c r="M244" s="94" t="n"/>
      <c r="P244" s="143" t="n"/>
      <c r="Q244" s="144" t="n"/>
    </row>
    <row r="245">
      <c r="A245" s="375" t="n"/>
      <c r="B245" s="376" t="n"/>
      <c r="C245" s="376" t="n"/>
      <c r="D245" s="376" t="n"/>
      <c r="E245" s="376" t="n"/>
      <c r="F245" s="93" t="n"/>
      <c r="G245" s="94" t="n"/>
      <c r="H245" s="95" t="n"/>
      <c r="I245" s="376" t="n"/>
      <c r="J245" s="376" t="n"/>
      <c r="K245" s="94" t="n"/>
      <c r="L245" s="94" t="n"/>
      <c r="M245" s="94" t="n"/>
      <c r="P245" s="143" t="n"/>
      <c r="Q245" s="144" t="n"/>
    </row>
    <row r="246">
      <c r="A246" s="375" t="n"/>
      <c r="B246" s="376" t="n"/>
      <c r="C246" s="376" t="n"/>
      <c r="D246" s="376" t="n"/>
      <c r="E246" s="376" t="n"/>
      <c r="F246" s="93" t="n"/>
      <c r="G246" s="94" t="n"/>
      <c r="H246" s="95" t="n"/>
      <c r="I246" s="376" t="n"/>
      <c r="J246" s="376" t="n"/>
      <c r="K246" s="94" t="n"/>
      <c r="L246" s="94" t="n"/>
      <c r="M246" s="94" t="n"/>
      <c r="P246" s="143" t="n"/>
      <c r="Q246" s="144" t="n"/>
    </row>
    <row r="247">
      <c r="A247" s="375" t="n"/>
      <c r="B247" s="376" t="n"/>
      <c r="C247" s="376" t="n"/>
      <c r="D247" s="376" t="n"/>
      <c r="E247" s="376" t="n"/>
      <c r="F247" s="93" t="n"/>
      <c r="G247" s="94" t="n"/>
      <c r="H247" s="95" t="n"/>
      <c r="I247" s="376" t="n"/>
      <c r="J247" s="376" t="n"/>
      <c r="K247" s="94" t="n"/>
      <c r="L247" s="94" t="n"/>
      <c r="M247" s="94" t="n"/>
      <c r="P247" s="143" t="n"/>
      <c r="Q247" s="144" t="n"/>
    </row>
    <row r="248">
      <c r="A248" s="375" t="n"/>
      <c r="B248" s="376" t="n"/>
      <c r="C248" s="376" t="n"/>
      <c r="D248" s="376" t="n"/>
      <c r="E248" s="376" t="n"/>
      <c r="F248" s="93" t="n"/>
      <c r="G248" s="94" t="n"/>
      <c r="H248" s="95" t="n"/>
      <c r="I248" s="376" t="n"/>
      <c r="J248" s="376" t="n"/>
      <c r="K248" s="94" t="n"/>
      <c r="L248" s="94" t="n"/>
      <c r="M248" s="94" t="n"/>
      <c r="P248" s="143" t="n"/>
      <c r="Q248" s="144" t="n"/>
    </row>
    <row r="249">
      <c r="A249" s="375" t="n"/>
      <c r="B249" s="376" t="n"/>
      <c r="C249" s="376" t="n"/>
      <c r="D249" s="376" t="n"/>
      <c r="E249" s="376" t="n"/>
      <c r="F249" s="93" t="n"/>
      <c r="G249" s="94" t="n"/>
      <c r="H249" s="95" t="n"/>
      <c r="I249" s="376" t="n"/>
      <c r="J249" s="376" t="n"/>
      <c r="K249" s="94" t="n"/>
      <c r="L249" s="94" t="n"/>
      <c r="M249" s="94" t="n"/>
      <c r="P249" s="143" t="n"/>
      <c r="Q249" s="144" t="n"/>
    </row>
    <row r="250">
      <c r="A250" s="375" t="n"/>
      <c r="B250" s="376" t="n"/>
      <c r="C250" s="376" t="n"/>
      <c r="D250" s="376" t="n"/>
      <c r="E250" s="376" t="n"/>
      <c r="F250" s="93" t="n"/>
      <c r="G250" s="94" t="n"/>
      <c r="H250" s="95" t="n"/>
      <c r="I250" s="376" t="n"/>
      <c r="J250" s="376" t="n"/>
      <c r="K250" s="94" t="n"/>
      <c r="L250" s="94" t="n"/>
      <c r="M250" s="94" t="n"/>
      <c r="P250" s="143" t="n"/>
      <c r="Q250" s="144" t="n"/>
    </row>
    <row r="251">
      <c r="A251" s="375" t="n"/>
      <c r="B251" s="376" t="n"/>
      <c r="C251" s="376" t="n"/>
      <c r="D251" s="376" t="n"/>
      <c r="E251" s="376" t="n"/>
      <c r="F251" s="93" t="n"/>
      <c r="G251" s="94" t="n"/>
      <c r="H251" s="95" t="n"/>
      <c r="I251" s="376" t="n"/>
      <c r="J251" s="376" t="n"/>
      <c r="K251" s="94" t="n"/>
      <c r="L251" s="94" t="n"/>
      <c r="M251" s="94" t="n"/>
      <c r="P251" s="143" t="n"/>
      <c r="Q251" s="144" t="n"/>
    </row>
    <row r="252">
      <c r="A252" s="375" t="n"/>
      <c r="B252" s="376" t="n"/>
      <c r="C252" s="376" t="n"/>
      <c r="D252" s="376" t="n"/>
      <c r="E252" s="376" t="n"/>
      <c r="F252" s="93" t="n"/>
      <c r="G252" s="94" t="n"/>
      <c r="H252" s="95" t="n"/>
      <c r="I252" s="376" t="n"/>
      <c r="J252" s="376" t="n"/>
      <c r="K252" s="94" t="n"/>
      <c r="L252" s="94" t="n"/>
      <c r="M252" s="94" t="n"/>
      <c r="P252" s="143" t="n"/>
      <c r="Q252" s="144" t="n"/>
    </row>
    <row r="253">
      <c r="A253" s="375" t="n"/>
      <c r="B253" s="376" t="n"/>
      <c r="C253" s="376" t="n"/>
      <c r="D253" s="376" t="n"/>
      <c r="E253" s="376" t="n"/>
      <c r="F253" s="93" t="n"/>
      <c r="G253" s="94" t="n"/>
      <c r="H253" s="95" t="n"/>
      <c r="I253" s="376" t="n"/>
      <c r="J253" s="376" t="n"/>
      <c r="K253" s="94" t="n"/>
      <c r="L253" s="94" t="n"/>
      <c r="M253" s="94" t="n"/>
      <c r="P253" s="143" t="n"/>
      <c r="Q253" s="144" t="n"/>
    </row>
    <row r="254">
      <c r="A254" s="375" t="n"/>
      <c r="B254" s="376" t="n"/>
      <c r="C254" s="376" t="n"/>
      <c r="D254" s="376" t="n"/>
      <c r="E254" s="376" t="n"/>
      <c r="F254" s="93" t="n"/>
      <c r="G254" s="94" t="n"/>
      <c r="H254" s="95" t="n"/>
      <c r="I254" s="376" t="n"/>
      <c r="J254" s="376" t="n"/>
      <c r="K254" s="94" t="n"/>
      <c r="L254" s="94" t="n"/>
      <c r="M254" s="94" t="n"/>
      <c r="P254" s="143" t="n"/>
      <c r="Q254" s="144" t="n"/>
    </row>
    <row r="255">
      <c r="A255" s="375" t="n"/>
      <c r="B255" s="376" t="n"/>
      <c r="C255" s="376" t="n"/>
      <c r="D255" s="376" t="n"/>
      <c r="E255" s="376" t="n"/>
      <c r="F255" s="93" t="n"/>
      <c r="G255" s="94" t="n"/>
      <c r="H255" s="95" t="n"/>
      <c r="I255" s="376" t="n"/>
      <c r="J255" s="376" t="n"/>
      <c r="K255" s="94" t="n"/>
      <c r="L255" s="94" t="n"/>
      <c r="M255" s="94" t="n"/>
      <c r="P255" s="143" t="n"/>
      <c r="Q255" s="144" t="n"/>
    </row>
    <row r="256">
      <c r="A256" s="375" t="n"/>
      <c r="B256" s="376" t="n"/>
      <c r="C256" s="376" t="n"/>
      <c r="D256" s="376" t="n"/>
      <c r="E256" s="376" t="n"/>
      <c r="F256" s="93" t="n"/>
      <c r="G256" s="94" t="n"/>
      <c r="H256" s="95" t="n"/>
      <c r="I256" s="376" t="n"/>
      <c r="J256" s="376" t="n"/>
      <c r="K256" s="94" t="n"/>
      <c r="L256" s="94" t="n"/>
      <c r="M256" s="94" t="n"/>
      <c r="P256" s="143" t="n"/>
      <c r="Q256" s="144" t="n"/>
    </row>
    <row r="257">
      <c r="A257" s="375" t="n"/>
      <c r="B257" s="376" t="n"/>
      <c r="C257" s="376" t="n"/>
      <c r="D257" s="376" t="n"/>
      <c r="E257" s="376" t="n"/>
      <c r="F257" s="93" t="n"/>
      <c r="G257" s="94" t="n"/>
      <c r="H257" s="95" t="n"/>
      <c r="I257" s="376" t="n"/>
      <c r="J257" s="376" t="n"/>
      <c r="K257" s="94" t="n"/>
      <c r="L257" s="94" t="n"/>
      <c r="M257" s="94" t="n"/>
      <c r="P257" s="143" t="n"/>
      <c r="Q257" s="144" t="n"/>
    </row>
    <row r="258">
      <c r="A258" s="375" t="n"/>
      <c r="B258" s="376" t="n"/>
      <c r="C258" s="376" t="n"/>
      <c r="D258" s="376" t="n"/>
      <c r="E258" s="376" t="n"/>
      <c r="F258" s="93" t="n"/>
      <c r="G258" s="94" t="n"/>
      <c r="H258" s="95" t="n"/>
      <c r="I258" s="376" t="n"/>
      <c r="J258" s="376" t="n"/>
      <c r="K258" s="94" t="n"/>
      <c r="L258" s="94" t="n"/>
      <c r="M258" s="94" t="n"/>
      <c r="P258" s="143" t="n"/>
      <c r="Q258" s="144" t="n"/>
    </row>
    <row r="259">
      <c r="A259" s="375" t="n"/>
      <c r="B259" s="376" t="n"/>
      <c r="C259" s="376" t="n"/>
      <c r="D259" s="376" t="n"/>
      <c r="E259" s="376" t="n"/>
      <c r="F259" s="93" t="n"/>
      <c r="G259" s="94" t="n"/>
      <c r="H259" s="95" t="n"/>
      <c r="I259" s="376" t="n"/>
      <c r="J259" s="376" t="n"/>
      <c r="K259" s="94" t="n"/>
      <c r="L259" s="94" t="n"/>
      <c r="M259" s="94" t="n"/>
      <c r="P259" s="143" t="n"/>
      <c r="Q259" s="144" t="n"/>
    </row>
    <row r="260">
      <c r="A260" s="375" t="n"/>
      <c r="B260" s="376" t="n"/>
      <c r="C260" s="376" t="n"/>
      <c r="D260" s="376" t="n"/>
      <c r="E260" s="376" t="n"/>
      <c r="F260" s="93" t="n"/>
      <c r="G260" s="94" t="n"/>
      <c r="H260" s="95" t="n"/>
      <c r="I260" s="376" t="n"/>
      <c r="J260" s="376" t="n"/>
      <c r="K260" s="94" t="n"/>
      <c r="L260" s="94" t="n"/>
      <c r="M260" s="94" t="n"/>
      <c r="P260" s="143" t="n"/>
      <c r="Q260" s="144" t="n"/>
    </row>
    <row r="261">
      <c r="A261" s="375" t="n"/>
      <c r="B261" s="376" t="n"/>
      <c r="C261" s="376" t="n"/>
      <c r="D261" s="376" t="n"/>
      <c r="E261" s="376" t="n"/>
      <c r="F261" s="93" t="n"/>
      <c r="G261" s="94" t="n"/>
      <c r="H261" s="95" t="n"/>
      <c r="I261" s="376" t="n"/>
      <c r="J261" s="376" t="n"/>
      <c r="K261" s="94" t="n"/>
      <c r="L261" s="94" t="n"/>
      <c r="M261" s="94" t="n"/>
      <c r="P261" s="143" t="n"/>
      <c r="Q261" s="144" t="n"/>
    </row>
    <row r="262">
      <c r="A262" s="375" t="n"/>
      <c r="B262" s="376" t="n"/>
      <c r="C262" s="376" t="n"/>
      <c r="D262" s="376" t="n"/>
      <c r="E262" s="376" t="n"/>
      <c r="F262" s="93" t="n"/>
      <c r="G262" s="94" t="n"/>
      <c r="H262" s="95" t="n"/>
      <c r="I262" s="376" t="n"/>
      <c r="J262" s="376" t="n"/>
      <c r="K262" s="94" t="n"/>
      <c r="L262" s="94" t="n"/>
      <c r="M262" s="94" t="n"/>
      <c r="P262" s="143" t="n"/>
      <c r="Q262" s="144" t="n"/>
    </row>
    <row r="263">
      <c r="A263" s="375" t="n"/>
      <c r="B263" s="376" t="n"/>
      <c r="C263" s="376" t="n"/>
      <c r="D263" s="376" t="n"/>
      <c r="E263" s="376" t="n"/>
      <c r="F263" s="93" t="n"/>
      <c r="G263" s="94" t="n"/>
      <c r="H263" s="95" t="n"/>
      <c r="I263" s="376" t="n"/>
      <c r="J263" s="376" t="n"/>
      <c r="K263" s="94" t="n"/>
      <c r="L263" s="94" t="n"/>
      <c r="M263" s="94" t="n"/>
      <c r="P263" s="143" t="n"/>
      <c r="Q263" s="144" t="n"/>
    </row>
    <row r="264">
      <c r="A264" s="375" t="n"/>
      <c r="B264" s="376" t="n"/>
      <c r="C264" s="376" t="n"/>
      <c r="D264" s="376" t="n"/>
      <c r="E264" s="376" t="n"/>
      <c r="F264" s="93" t="n"/>
      <c r="G264" s="94" t="n"/>
      <c r="H264" s="95" t="n"/>
      <c r="I264" s="376" t="n"/>
      <c r="J264" s="376" t="n"/>
      <c r="K264" s="94" t="n"/>
      <c r="L264" s="94" t="n"/>
      <c r="M264" s="94" t="n"/>
      <c r="P264" s="143" t="n"/>
      <c r="Q264" s="144" t="n"/>
    </row>
    <row r="265">
      <c r="A265" s="375" t="n"/>
      <c r="B265" s="376" t="n"/>
      <c r="C265" s="376" t="n"/>
      <c r="D265" s="376" t="n"/>
      <c r="E265" s="376" t="n"/>
      <c r="F265" s="93" t="n"/>
      <c r="G265" s="94" t="n"/>
      <c r="H265" s="95" t="n"/>
      <c r="I265" s="376" t="n"/>
      <c r="J265" s="376" t="n"/>
      <c r="K265" s="94" t="n"/>
      <c r="L265" s="94" t="n"/>
      <c r="M265" s="94" t="n"/>
      <c r="P265" s="143" t="n"/>
      <c r="Q265" s="144" t="n"/>
    </row>
    <row r="266">
      <c r="A266" s="375" t="n"/>
      <c r="B266" s="376" t="n"/>
      <c r="C266" s="376" t="n"/>
      <c r="D266" s="376" t="n"/>
      <c r="E266" s="376" t="n"/>
      <c r="F266" s="93" t="n"/>
      <c r="G266" s="94" t="n"/>
      <c r="H266" s="95" t="n"/>
      <c r="I266" s="376" t="n"/>
      <c r="J266" s="376" t="n"/>
      <c r="K266" s="94" t="n"/>
      <c r="L266" s="94" t="n"/>
      <c r="M266" s="94" t="n"/>
      <c r="P266" s="143" t="n"/>
      <c r="Q266" s="144" t="n"/>
    </row>
    <row r="267">
      <c r="A267" s="375" t="n"/>
      <c r="B267" s="376" t="n"/>
      <c r="C267" s="376" t="n"/>
      <c r="D267" s="376" t="n"/>
      <c r="E267" s="376" t="n"/>
      <c r="F267" s="93" t="n"/>
      <c r="G267" s="94" t="n"/>
      <c r="H267" s="95" t="n"/>
      <c r="I267" s="376" t="n"/>
      <c r="J267" s="376" t="n"/>
      <c r="K267" s="94" t="n"/>
      <c r="L267" s="94" t="n"/>
      <c r="M267" s="94" t="n"/>
      <c r="P267" s="143" t="n"/>
      <c r="Q267" s="144" t="n"/>
    </row>
    <row r="268">
      <c r="A268" s="375" t="n"/>
      <c r="B268" s="376" t="n"/>
      <c r="C268" s="376" t="n"/>
      <c r="D268" s="376" t="n"/>
      <c r="E268" s="376" t="n"/>
      <c r="F268" s="93" t="n"/>
      <c r="G268" s="94" t="n"/>
      <c r="H268" s="95" t="n"/>
      <c r="I268" s="376" t="n"/>
      <c r="J268" s="376" t="n"/>
      <c r="K268" s="94" t="n"/>
      <c r="L268" s="94" t="n"/>
      <c r="M268" s="94" t="n"/>
      <c r="P268" s="143" t="n"/>
      <c r="Q268" s="144" t="n"/>
    </row>
    <row r="269">
      <c r="A269" s="375" t="n"/>
      <c r="B269" s="376" t="n"/>
      <c r="C269" s="376" t="n"/>
      <c r="D269" s="376" t="n"/>
      <c r="E269" s="376" t="n"/>
      <c r="F269" s="93" t="n"/>
      <c r="G269" s="94" t="n"/>
      <c r="H269" s="95" t="n"/>
      <c r="I269" s="376" t="n"/>
      <c r="J269" s="376" t="n"/>
      <c r="K269" s="94" t="n"/>
      <c r="L269" s="94" t="n"/>
      <c r="M269" s="94" t="n"/>
      <c r="P269" s="143" t="n"/>
      <c r="Q269" s="144" t="n"/>
    </row>
    <row r="270">
      <c r="A270" s="375" t="n"/>
      <c r="B270" s="376" t="n"/>
      <c r="C270" s="376" t="n"/>
      <c r="D270" s="376" t="n"/>
      <c r="E270" s="376" t="n"/>
      <c r="F270" s="93" t="n"/>
      <c r="G270" s="94" t="n"/>
      <c r="H270" s="95" t="n"/>
      <c r="I270" s="376" t="n"/>
      <c r="J270" s="376" t="n"/>
      <c r="K270" s="94" t="n"/>
      <c r="L270" s="94" t="n"/>
      <c r="M270" s="94" t="n"/>
      <c r="P270" s="143" t="n"/>
      <c r="Q270" s="144" t="n"/>
    </row>
    <row r="271">
      <c r="A271" s="375" t="n"/>
      <c r="B271" s="376" t="n"/>
      <c r="C271" s="376" t="n"/>
      <c r="D271" s="376" t="n"/>
      <c r="E271" s="376" t="n"/>
      <c r="F271" s="93" t="n"/>
      <c r="G271" s="94" t="n"/>
      <c r="H271" s="95" t="n"/>
      <c r="I271" s="376" t="n"/>
      <c r="J271" s="376" t="n"/>
      <c r="K271" s="94" t="n"/>
      <c r="L271" s="94" t="n"/>
      <c r="M271" s="94" t="n"/>
      <c r="P271" s="143" t="n"/>
      <c r="Q271" s="144" t="n"/>
    </row>
    <row r="272">
      <c r="A272" s="375" t="n"/>
      <c r="B272" s="376" t="n"/>
      <c r="C272" s="376" t="n"/>
      <c r="D272" s="376" t="n"/>
      <c r="E272" s="376" t="n"/>
      <c r="F272" s="93" t="n"/>
      <c r="G272" s="94" t="n"/>
      <c r="H272" s="95" t="n"/>
      <c r="I272" s="376" t="n"/>
      <c r="J272" s="376" t="n"/>
      <c r="K272" s="94" t="n"/>
      <c r="L272" s="94" t="n"/>
      <c r="M272" s="94" t="n"/>
      <c r="P272" s="143" t="n"/>
      <c r="Q272" s="144" t="n"/>
    </row>
    <row r="273">
      <c r="A273" s="375" t="n"/>
      <c r="B273" s="376" t="n"/>
      <c r="C273" s="376" t="n"/>
      <c r="D273" s="376" t="n"/>
      <c r="E273" s="376" t="n"/>
      <c r="F273" s="93" t="n"/>
      <c r="G273" s="94" t="n"/>
      <c r="H273" s="95" t="n"/>
      <c r="I273" s="376" t="n"/>
      <c r="J273" s="376" t="n"/>
      <c r="K273" s="94" t="n"/>
      <c r="L273" s="94" t="n"/>
      <c r="M273" s="94" t="n"/>
      <c r="P273" s="143" t="n"/>
      <c r="Q273" s="144" t="n"/>
    </row>
    <row r="274">
      <c r="A274" s="375" t="n"/>
      <c r="B274" s="376" t="n"/>
      <c r="C274" s="376" t="n"/>
      <c r="D274" s="376" t="n"/>
      <c r="E274" s="376" t="n"/>
      <c r="F274" s="93" t="n"/>
      <c r="G274" s="94" t="n"/>
      <c r="H274" s="95" t="n"/>
      <c r="I274" s="376" t="n"/>
      <c r="J274" s="376" t="n"/>
      <c r="K274" s="94" t="n"/>
      <c r="L274" s="94" t="n"/>
      <c r="M274" s="94" t="n"/>
      <c r="P274" s="143" t="n"/>
      <c r="Q274" s="144" t="n"/>
    </row>
    <row r="275">
      <c r="A275" s="375" t="n"/>
      <c r="B275" s="376" t="n"/>
      <c r="C275" s="376" t="n"/>
      <c r="D275" s="376" t="n"/>
      <c r="E275" s="376" t="n"/>
      <c r="F275" s="93" t="n"/>
      <c r="G275" s="94" t="n"/>
      <c r="H275" s="95" t="n"/>
      <c r="I275" s="376" t="n"/>
      <c r="J275" s="376" t="n"/>
      <c r="K275" s="94" t="n"/>
      <c r="L275" s="94" t="n"/>
      <c r="M275" s="94" t="n"/>
      <c r="P275" s="143" t="n"/>
      <c r="Q275" s="144" t="n"/>
    </row>
    <row r="276">
      <c r="A276" s="375" t="n"/>
      <c r="B276" s="376" t="n"/>
      <c r="C276" s="376" t="n"/>
      <c r="D276" s="376" t="n"/>
      <c r="E276" s="376" t="n"/>
      <c r="F276" s="93" t="n"/>
      <c r="G276" s="94" t="n"/>
      <c r="H276" s="95" t="n"/>
      <c r="I276" s="376" t="n"/>
      <c r="J276" s="376" t="n"/>
      <c r="K276" s="94" t="n"/>
      <c r="L276" s="94" t="n"/>
      <c r="M276" s="94" t="n"/>
      <c r="P276" s="143" t="n"/>
      <c r="Q276" s="144" t="n"/>
    </row>
    <row r="277">
      <c r="A277" s="375" t="n"/>
      <c r="B277" s="376" t="n"/>
      <c r="C277" s="376" t="n"/>
      <c r="D277" s="376" t="n"/>
      <c r="E277" s="376" t="n"/>
      <c r="F277" s="93" t="n"/>
      <c r="G277" s="94" t="n"/>
      <c r="H277" s="95" t="n"/>
      <c r="I277" s="376" t="n"/>
      <c r="J277" s="376" t="n"/>
      <c r="K277" s="94" t="n"/>
      <c r="L277" s="94" t="n"/>
      <c r="M277" s="94" t="n"/>
      <c r="P277" s="143" t="n"/>
      <c r="Q277" s="144" t="n"/>
    </row>
    <row r="278">
      <c r="A278" s="375" t="n"/>
      <c r="B278" s="376" t="n"/>
      <c r="C278" s="376" t="n"/>
      <c r="D278" s="376" t="n"/>
      <c r="E278" s="376" t="n"/>
      <c r="F278" s="93" t="n"/>
      <c r="G278" s="94" t="n"/>
      <c r="H278" s="95" t="n"/>
      <c r="I278" s="376" t="n"/>
      <c r="J278" s="376" t="n"/>
      <c r="K278" s="94" t="n"/>
      <c r="L278" s="94" t="n"/>
      <c r="M278" s="94" t="n"/>
      <c r="P278" s="143" t="n"/>
      <c r="Q278" s="144" t="n"/>
    </row>
    <row r="279">
      <c r="A279" s="375" t="n"/>
      <c r="B279" s="376" t="n"/>
      <c r="C279" s="376" t="n"/>
      <c r="D279" s="376" t="n"/>
      <c r="E279" s="376" t="n"/>
      <c r="F279" s="93" t="n"/>
      <c r="G279" s="94" t="n"/>
      <c r="H279" s="95" t="n"/>
      <c r="I279" s="376" t="n"/>
      <c r="J279" s="376" t="n"/>
      <c r="K279" s="94" t="n"/>
      <c r="L279" s="94" t="n"/>
      <c r="M279" s="94" t="n"/>
      <c r="P279" s="143" t="n"/>
      <c r="Q279" s="144" t="n"/>
    </row>
    <row r="280">
      <c r="A280" s="375" t="n"/>
      <c r="B280" s="376" t="n"/>
      <c r="C280" s="376" t="n"/>
      <c r="D280" s="376" t="n"/>
      <c r="E280" s="376" t="n"/>
      <c r="F280" s="93" t="n"/>
      <c r="G280" s="94" t="n"/>
      <c r="H280" s="95" t="n"/>
      <c r="I280" s="376" t="n"/>
      <c r="J280" s="376" t="n"/>
      <c r="K280" s="94" t="n"/>
      <c r="L280" s="94" t="n"/>
      <c r="M280" s="94" t="n"/>
      <c r="P280" s="143" t="n"/>
      <c r="Q280" s="144" t="n"/>
    </row>
    <row r="281">
      <c r="A281" s="375" t="n"/>
      <c r="B281" s="376" t="n"/>
      <c r="C281" s="376" t="n"/>
      <c r="D281" s="376" t="n"/>
      <c r="E281" s="376" t="n"/>
      <c r="F281" s="93" t="n"/>
      <c r="G281" s="94" t="n"/>
      <c r="H281" s="95" t="n"/>
      <c r="I281" s="376" t="n"/>
      <c r="J281" s="376" t="n"/>
      <c r="K281" s="94" t="n"/>
      <c r="L281" s="94" t="n"/>
      <c r="M281" s="94" t="n"/>
      <c r="P281" s="143" t="n"/>
      <c r="Q281" s="144" t="n"/>
    </row>
    <row r="282">
      <c r="A282" s="375" t="n"/>
      <c r="B282" s="376" t="n"/>
      <c r="C282" s="376" t="n"/>
      <c r="D282" s="376" t="n"/>
      <c r="E282" s="376" t="n"/>
      <c r="F282" s="93" t="n"/>
      <c r="G282" s="94" t="n"/>
      <c r="H282" s="95" t="n"/>
      <c r="I282" s="376" t="n"/>
      <c r="J282" s="376" t="n"/>
      <c r="K282" s="94" t="n"/>
      <c r="L282" s="94" t="n"/>
      <c r="M282" s="94" t="n"/>
      <c r="P282" s="143" t="n"/>
      <c r="Q282" s="144" t="n"/>
    </row>
    <row r="283">
      <c r="A283" s="375" t="n"/>
      <c r="B283" s="376" t="n"/>
      <c r="C283" s="376" t="n"/>
      <c r="D283" s="376" t="n"/>
      <c r="E283" s="376" t="n"/>
      <c r="F283" s="93" t="n"/>
      <c r="G283" s="94" t="n"/>
      <c r="H283" s="95" t="n"/>
      <c r="I283" s="376" t="n"/>
      <c r="J283" s="376" t="n"/>
      <c r="K283" s="94" t="n"/>
      <c r="L283" s="94" t="n"/>
      <c r="M283" s="94" t="n"/>
      <c r="P283" s="143" t="n"/>
      <c r="Q283" s="144" t="n"/>
    </row>
    <row r="284">
      <c r="A284" s="375" t="n"/>
      <c r="B284" s="376" t="n"/>
      <c r="C284" s="376" t="n"/>
      <c r="D284" s="376" t="n"/>
      <c r="E284" s="376" t="n"/>
      <c r="F284" s="93" t="n"/>
      <c r="G284" s="94" t="n"/>
      <c r="H284" s="95" t="n"/>
      <c r="I284" s="376" t="n"/>
      <c r="J284" s="376" t="n"/>
      <c r="K284" s="94" t="n"/>
      <c r="L284" s="94" t="n"/>
      <c r="M284" s="94" t="n"/>
      <c r="P284" s="143" t="n"/>
      <c r="Q284" s="144" t="n"/>
    </row>
    <row r="285">
      <c r="A285" s="375" t="n"/>
      <c r="B285" s="376" t="n"/>
      <c r="C285" s="376" t="n"/>
      <c r="D285" s="376" t="n"/>
      <c r="E285" s="376" t="n"/>
      <c r="F285" s="93" t="n"/>
      <c r="G285" s="94" t="n"/>
      <c r="H285" s="95" t="n"/>
      <c r="I285" s="376" t="n"/>
      <c r="J285" s="376" t="n"/>
      <c r="K285" s="94" t="n"/>
      <c r="L285" s="94" t="n"/>
      <c r="M285" s="94" t="n"/>
      <c r="P285" s="143" t="n"/>
      <c r="Q285" s="144" t="n"/>
    </row>
    <row r="286">
      <c r="A286" s="375" t="n"/>
      <c r="B286" s="376" t="n"/>
      <c r="C286" s="376" t="n"/>
      <c r="D286" s="376" t="n"/>
      <c r="E286" s="376" t="n"/>
      <c r="F286" s="93" t="n"/>
      <c r="G286" s="94" t="n"/>
      <c r="H286" s="95" t="n"/>
      <c r="I286" s="376" t="n"/>
      <c r="J286" s="376" t="n"/>
      <c r="K286" s="94" t="n"/>
      <c r="L286" s="94" t="n"/>
      <c r="M286" s="94" t="n"/>
      <c r="P286" s="143" t="n"/>
      <c r="Q286" s="144" t="n"/>
    </row>
    <row r="287">
      <c r="A287" s="375" t="n"/>
      <c r="B287" s="376" t="n"/>
      <c r="C287" s="376" t="n"/>
      <c r="D287" s="376" t="n"/>
      <c r="E287" s="376" t="n"/>
      <c r="F287" s="93" t="n"/>
      <c r="G287" s="94" t="n"/>
      <c r="H287" s="95" t="n"/>
      <c r="I287" s="376" t="n"/>
      <c r="J287" s="376" t="n"/>
      <c r="K287" s="94" t="n"/>
      <c r="L287" s="94" t="n"/>
      <c r="M287" s="94" t="n"/>
      <c r="P287" s="143" t="n"/>
      <c r="Q287" s="144" t="n"/>
    </row>
    <row r="288">
      <c r="A288" s="375" t="n"/>
      <c r="B288" s="376" t="n"/>
      <c r="C288" s="376" t="n"/>
      <c r="D288" s="376" t="n"/>
      <c r="E288" s="376" t="n"/>
      <c r="F288" s="93" t="n"/>
      <c r="G288" s="94" t="n"/>
      <c r="H288" s="95" t="n"/>
      <c r="I288" s="376" t="n"/>
      <c r="J288" s="376" t="n"/>
      <c r="K288" s="94" t="n"/>
      <c r="L288" s="94" t="n"/>
      <c r="M288" s="94" t="n"/>
      <c r="P288" s="143" t="n"/>
      <c r="Q288" s="144" t="n"/>
    </row>
    <row r="289">
      <c r="A289" s="375" t="n"/>
      <c r="B289" s="376" t="n"/>
      <c r="C289" s="376" t="n"/>
      <c r="D289" s="376" t="n"/>
      <c r="E289" s="376" t="n"/>
      <c r="F289" s="93" t="n"/>
      <c r="G289" s="94" t="n"/>
      <c r="H289" s="95" t="n"/>
      <c r="I289" s="376" t="n"/>
      <c r="J289" s="376" t="n"/>
      <c r="K289" s="94" t="n"/>
      <c r="L289" s="94" t="n"/>
      <c r="M289" s="94" t="n"/>
      <c r="P289" s="143" t="n"/>
      <c r="Q289" s="144" t="n"/>
    </row>
    <row r="290">
      <c r="A290" s="375" t="n"/>
      <c r="B290" s="376" t="n"/>
      <c r="C290" s="376" t="n"/>
      <c r="D290" s="376" t="n"/>
      <c r="E290" s="376" t="n"/>
      <c r="F290" s="93" t="n"/>
      <c r="G290" s="94" t="n"/>
      <c r="H290" s="95" t="n"/>
      <c r="I290" s="376" t="n"/>
      <c r="J290" s="376" t="n"/>
      <c r="K290" s="94" t="n"/>
      <c r="L290" s="94" t="n"/>
      <c r="M290" s="94" t="n"/>
      <c r="P290" s="143" t="n"/>
      <c r="Q290" s="144" t="n"/>
    </row>
    <row r="291">
      <c r="A291" s="375" t="n"/>
      <c r="B291" s="376" t="n"/>
      <c r="C291" s="376" t="n"/>
      <c r="D291" s="376" t="n"/>
      <c r="E291" s="376" t="n"/>
      <c r="F291" s="93" t="n"/>
      <c r="G291" s="94" t="n"/>
      <c r="H291" s="95" t="n"/>
      <c r="I291" s="376" t="n"/>
      <c r="J291" s="376" t="n"/>
      <c r="K291" s="94" t="n"/>
      <c r="L291" s="94" t="n"/>
      <c r="M291" s="94" t="n"/>
      <c r="P291" s="143" t="n"/>
      <c r="Q291" s="144" t="n"/>
    </row>
    <row r="292">
      <c r="A292" s="375" t="n"/>
      <c r="B292" s="376" t="n"/>
      <c r="C292" s="376" t="n"/>
      <c r="D292" s="376" t="n"/>
      <c r="E292" s="376" t="n"/>
      <c r="F292" s="93" t="n"/>
      <c r="G292" s="94" t="n"/>
      <c r="H292" s="95" t="n"/>
      <c r="I292" s="376" t="n"/>
      <c r="J292" s="376" t="n"/>
      <c r="K292" s="94" t="n"/>
      <c r="L292" s="94" t="n"/>
      <c r="M292" s="94" t="n"/>
      <c r="P292" s="143" t="n"/>
      <c r="Q292" s="144" t="n"/>
    </row>
    <row r="293">
      <c r="A293" s="375" t="n"/>
      <c r="B293" s="376" t="n"/>
      <c r="C293" s="376" t="n"/>
      <c r="D293" s="376" t="n"/>
      <c r="E293" s="376" t="n"/>
      <c r="F293" s="93" t="n"/>
      <c r="G293" s="94" t="n"/>
      <c r="H293" s="95" t="n"/>
      <c r="I293" s="376" t="n"/>
      <c r="J293" s="376" t="n"/>
      <c r="K293" s="94" t="n"/>
      <c r="L293" s="94" t="n"/>
      <c r="M293" s="94" t="n"/>
      <c r="P293" s="143" t="n"/>
      <c r="Q293" s="144" t="n"/>
    </row>
    <row r="294">
      <c r="A294" s="375" t="n"/>
      <c r="B294" s="376" t="n"/>
      <c r="C294" s="376" t="n"/>
      <c r="D294" s="376" t="n"/>
      <c r="E294" s="376" t="n"/>
      <c r="F294" s="93" t="n"/>
      <c r="G294" s="94" t="n"/>
      <c r="H294" s="95" t="n"/>
      <c r="I294" s="376" t="n"/>
      <c r="J294" s="376" t="n"/>
      <c r="K294" s="94" t="n"/>
      <c r="L294" s="94" t="n"/>
      <c r="M294" s="94" t="n"/>
      <c r="P294" s="143" t="n"/>
      <c r="Q294" s="144" t="n"/>
    </row>
    <row r="295">
      <c r="A295" s="375" t="n"/>
      <c r="B295" s="376" t="n"/>
      <c r="C295" s="376" t="n"/>
      <c r="D295" s="376" t="n"/>
      <c r="E295" s="376" t="n"/>
      <c r="F295" s="93" t="n"/>
      <c r="G295" s="94" t="n"/>
      <c r="H295" s="95" t="n"/>
      <c r="I295" s="376" t="n"/>
      <c r="J295" s="376" t="n"/>
      <c r="K295" s="94" t="n"/>
      <c r="L295" s="94" t="n"/>
      <c r="M295" s="94" t="n"/>
      <c r="P295" s="143" t="n"/>
      <c r="Q295" s="144" t="n"/>
    </row>
    <row r="296">
      <c r="A296" s="375" t="n"/>
      <c r="B296" s="376" t="n"/>
      <c r="C296" s="376" t="n"/>
      <c r="D296" s="376" t="n"/>
      <c r="E296" s="376" t="n"/>
      <c r="F296" s="93" t="n"/>
      <c r="G296" s="94" t="n"/>
      <c r="H296" s="95" t="n"/>
      <c r="I296" s="376" t="n"/>
      <c r="J296" s="376" t="n"/>
      <c r="K296" s="94" t="n"/>
      <c r="L296" s="94" t="n"/>
      <c r="M296" s="94" t="n"/>
      <c r="P296" s="143" t="n"/>
      <c r="Q296" s="144" t="n"/>
    </row>
    <row r="297">
      <c r="A297" s="375" t="n"/>
      <c r="B297" s="376" t="n"/>
      <c r="C297" s="376" t="n"/>
      <c r="D297" s="376" t="n"/>
      <c r="E297" s="376" t="n"/>
      <c r="F297" s="93" t="n"/>
      <c r="G297" s="94" t="n"/>
      <c r="H297" s="95" t="n"/>
      <c r="I297" s="376" t="n"/>
      <c r="J297" s="376" t="n"/>
      <c r="K297" s="94" t="n"/>
      <c r="L297" s="94" t="n"/>
      <c r="M297" s="94" t="n"/>
      <c r="P297" s="143" t="n"/>
      <c r="Q297" s="144" t="n"/>
    </row>
    <row r="298">
      <c r="A298" s="375" t="n"/>
      <c r="B298" s="376" t="n"/>
      <c r="C298" s="376" t="n"/>
      <c r="D298" s="376" t="n"/>
      <c r="E298" s="376" t="n"/>
      <c r="F298" s="93" t="n"/>
      <c r="G298" s="94" t="n"/>
      <c r="H298" s="95" t="n"/>
      <c r="I298" s="376" t="n"/>
      <c r="J298" s="376" t="n"/>
      <c r="K298" s="94" t="n"/>
      <c r="L298" s="94" t="n"/>
      <c r="M298" s="94" t="n"/>
      <c r="P298" s="143" t="n"/>
      <c r="Q298" s="144" t="n"/>
    </row>
    <row r="299">
      <c r="A299" s="375" t="n"/>
      <c r="B299" s="376" t="n"/>
      <c r="C299" s="376" t="n"/>
      <c r="D299" s="376" t="n"/>
      <c r="E299" s="376" t="n"/>
      <c r="F299" s="93" t="n"/>
      <c r="G299" s="94" t="n"/>
      <c r="H299" s="95" t="n"/>
      <c r="I299" s="376" t="n"/>
      <c r="J299" s="376" t="n"/>
      <c r="K299" s="94" t="n"/>
      <c r="L299" s="94" t="n"/>
      <c r="M299" s="94" t="n"/>
      <c r="P299" s="143" t="n"/>
      <c r="Q299" s="144" t="n"/>
    </row>
    <row r="300">
      <c r="A300" s="375" t="n"/>
      <c r="B300" s="376" t="n"/>
      <c r="C300" s="376" t="n"/>
      <c r="D300" s="376" t="n"/>
      <c r="E300" s="376" t="n"/>
      <c r="F300" s="93" t="n"/>
      <c r="G300" s="94" t="n"/>
      <c r="H300" s="95" t="n"/>
      <c r="I300" s="376" t="n"/>
      <c r="J300" s="376" t="n"/>
      <c r="K300" s="94" t="n"/>
      <c r="L300" s="94" t="n"/>
      <c r="M300" s="94" t="n"/>
      <c r="P300" s="143" t="n"/>
      <c r="Q300" s="144" t="n"/>
    </row>
    <row r="301">
      <c r="A301" s="375" t="n"/>
      <c r="B301" s="376" t="n"/>
      <c r="C301" s="376" t="n"/>
      <c r="D301" s="376" t="n"/>
      <c r="E301" s="376" t="n"/>
      <c r="F301" s="93" t="n"/>
      <c r="G301" s="94" t="n"/>
      <c r="H301" s="95" t="n"/>
      <c r="I301" s="376" t="n"/>
      <c r="J301" s="376" t="n"/>
      <c r="K301" s="94" t="n"/>
      <c r="L301" s="94" t="n"/>
      <c r="M301" s="94" t="n"/>
      <c r="P301" s="143" t="n"/>
      <c r="Q301" s="144" t="n"/>
    </row>
    <row r="302">
      <c r="A302" s="375" t="n"/>
      <c r="B302" s="376" t="n"/>
      <c r="C302" s="376" t="n"/>
      <c r="D302" s="376" t="n"/>
      <c r="E302" s="376" t="n"/>
      <c r="F302" s="93" t="n"/>
      <c r="G302" s="94" t="n"/>
      <c r="H302" s="95" t="n"/>
      <c r="I302" s="376" t="n"/>
      <c r="J302" s="376" t="n"/>
      <c r="K302" s="94" t="n"/>
      <c r="L302" s="94" t="n"/>
      <c r="M302" s="94" t="n"/>
      <c r="P302" s="143" t="n"/>
      <c r="Q302" s="144" t="n"/>
    </row>
    <row r="303">
      <c r="A303" s="375" t="n"/>
      <c r="B303" s="376" t="n"/>
      <c r="C303" s="376" t="n"/>
      <c r="D303" s="376" t="n"/>
      <c r="E303" s="376" t="n"/>
      <c r="F303" s="93" t="n"/>
      <c r="G303" s="94" t="n"/>
      <c r="H303" s="95" t="n"/>
      <c r="I303" s="376" t="n"/>
      <c r="J303" s="376" t="n"/>
      <c r="K303" s="94" t="n"/>
      <c r="L303" s="94" t="n"/>
      <c r="M303" s="94" t="n"/>
      <c r="P303" s="143" t="n"/>
      <c r="Q303" s="144" t="n"/>
    </row>
    <row r="304">
      <c r="A304" s="375" t="n"/>
      <c r="B304" s="376" t="n"/>
      <c r="C304" s="376" t="n"/>
      <c r="D304" s="376" t="n"/>
      <c r="E304" s="376" t="n"/>
      <c r="F304" s="93" t="n"/>
      <c r="G304" s="94" t="n"/>
      <c r="H304" s="95" t="n"/>
      <c r="I304" s="376" t="n"/>
      <c r="J304" s="376" t="n"/>
      <c r="K304" s="94" t="n"/>
      <c r="L304" s="94" t="n"/>
      <c r="M304" s="94" t="n"/>
      <c r="P304" s="143" t="n"/>
      <c r="Q304" s="144" t="n"/>
    </row>
    <row r="305">
      <c r="A305" s="375" t="n"/>
      <c r="B305" s="376" t="n"/>
      <c r="C305" s="376" t="n"/>
      <c r="D305" s="376" t="n"/>
      <c r="E305" s="376" t="n"/>
      <c r="F305" s="93" t="n"/>
      <c r="G305" s="94" t="n"/>
      <c r="H305" s="95" t="n"/>
      <c r="I305" s="376" t="n"/>
      <c r="J305" s="376" t="n"/>
      <c r="K305" s="94" t="n"/>
      <c r="L305" s="94" t="n"/>
      <c r="M305" s="94" t="n"/>
      <c r="P305" s="143" t="n"/>
      <c r="Q305" s="144" t="n"/>
    </row>
    <row r="306">
      <c r="A306" s="375" t="n"/>
      <c r="B306" s="376" t="n"/>
      <c r="C306" s="376" t="n"/>
      <c r="D306" s="376" t="n"/>
      <c r="E306" s="376" t="n"/>
      <c r="F306" s="93" t="n"/>
      <c r="G306" s="94" t="n"/>
      <c r="H306" s="95" t="n"/>
      <c r="I306" s="376" t="n"/>
      <c r="J306" s="376" t="n"/>
      <c r="K306" s="94" t="n"/>
      <c r="L306" s="94" t="n"/>
      <c r="M306" s="94" t="n"/>
      <c r="P306" s="143" t="n"/>
      <c r="Q306" s="144" t="n"/>
    </row>
    <row r="307">
      <c r="A307" s="375" t="n"/>
      <c r="B307" s="376" t="n"/>
      <c r="C307" s="376" t="n"/>
      <c r="D307" s="376" t="n"/>
      <c r="E307" s="376" t="n"/>
      <c r="F307" s="93" t="n"/>
      <c r="G307" s="94" t="n"/>
      <c r="H307" s="95" t="n"/>
      <c r="I307" s="376" t="n"/>
      <c r="J307" s="376" t="n"/>
      <c r="K307" s="94" t="n"/>
      <c r="L307" s="94" t="n"/>
      <c r="M307" s="94" t="n"/>
      <c r="P307" s="143" t="n"/>
      <c r="Q307" s="144" t="n"/>
    </row>
    <row r="308">
      <c r="A308" s="375" t="n"/>
      <c r="B308" s="376" t="n"/>
      <c r="C308" s="376" t="n"/>
      <c r="D308" s="376" t="n"/>
      <c r="E308" s="376" t="n"/>
      <c r="F308" s="93" t="n"/>
      <c r="G308" s="94" t="n"/>
      <c r="H308" s="95" t="n"/>
      <c r="I308" s="376" t="n"/>
      <c r="J308" s="376" t="n"/>
      <c r="K308" s="94" t="n"/>
      <c r="L308" s="94" t="n"/>
      <c r="M308" s="94" t="n"/>
      <c r="P308" s="143" t="n"/>
      <c r="Q308" s="144" t="n"/>
    </row>
    <row r="309">
      <c r="A309" s="375" t="n"/>
      <c r="B309" s="376" t="n"/>
      <c r="C309" s="376" t="n"/>
      <c r="D309" s="376" t="n"/>
      <c r="E309" s="376" t="n"/>
      <c r="F309" s="93" t="n"/>
      <c r="G309" s="94" t="n"/>
      <c r="H309" s="95" t="n"/>
      <c r="I309" s="376" t="n"/>
      <c r="J309" s="376" t="n"/>
      <c r="K309" s="94" t="n"/>
      <c r="L309" s="94" t="n"/>
      <c r="M309" s="94" t="n"/>
      <c r="P309" s="143" t="n"/>
      <c r="Q309" s="144" t="n"/>
    </row>
    <row r="310">
      <c r="A310" s="375" t="n"/>
      <c r="B310" s="376" t="n"/>
      <c r="C310" s="376" t="n"/>
      <c r="D310" s="376" t="n"/>
      <c r="E310" s="376" t="n"/>
      <c r="F310" s="93" t="n"/>
      <c r="G310" s="94" t="n"/>
      <c r="H310" s="95" t="n"/>
      <c r="I310" s="376" t="n"/>
      <c r="J310" s="376" t="n"/>
      <c r="K310" s="94" t="n"/>
      <c r="L310" s="94" t="n"/>
      <c r="M310" s="94" t="n"/>
      <c r="P310" s="143" t="n"/>
      <c r="Q310" s="144" t="n"/>
    </row>
    <row r="311">
      <c r="A311" s="375" t="n"/>
      <c r="B311" s="376" t="n"/>
      <c r="C311" s="376" t="n"/>
      <c r="D311" s="376" t="n"/>
      <c r="E311" s="376" t="n"/>
      <c r="F311" s="93" t="n"/>
      <c r="G311" s="94" t="n"/>
      <c r="H311" s="95" t="n"/>
      <c r="I311" s="376" t="n"/>
      <c r="J311" s="376" t="n"/>
      <c r="K311" s="94" t="n"/>
      <c r="L311" s="94" t="n"/>
      <c r="M311" s="94" t="n"/>
      <c r="P311" s="143" t="n"/>
      <c r="Q311" s="144" t="n"/>
    </row>
    <row r="312">
      <c r="A312" s="375" t="n"/>
      <c r="B312" s="376" t="n"/>
      <c r="C312" s="376" t="n"/>
      <c r="D312" s="376" t="n"/>
      <c r="E312" s="376" t="n"/>
      <c r="F312" s="93" t="n"/>
      <c r="G312" s="94" t="n"/>
      <c r="H312" s="95" t="n"/>
      <c r="I312" s="376" t="n"/>
      <c r="J312" s="376" t="n"/>
      <c r="K312" s="94" t="n"/>
      <c r="L312" s="94" t="n"/>
      <c r="M312" s="94" t="n"/>
      <c r="P312" s="143" t="n"/>
      <c r="Q312" s="144" t="n"/>
    </row>
    <row r="313">
      <c r="A313" s="375" t="n"/>
      <c r="B313" s="376" t="n"/>
      <c r="C313" s="376" t="n"/>
      <c r="D313" s="376" t="n"/>
      <c r="E313" s="376" t="n"/>
      <c r="F313" s="93" t="n"/>
      <c r="G313" s="94" t="n"/>
      <c r="H313" s="95" t="n"/>
      <c r="I313" s="376" t="n"/>
      <c r="J313" s="376" t="n"/>
      <c r="K313" s="94" t="n"/>
      <c r="L313" s="94" t="n"/>
      <c r="M313" s="94" t="n"/>
      <c r="P313" s="143" t="n"/>
      <c r="Q313" s="144" t="n"/>
    </row>
    <row r="314">
      <c r="A314" s="375" t="n"/>
      <c r="B314" s="376" t="n"/>
      <c r="C314" s="376" t="n"/>
      <c r="D314" s="376" t="n"/>
      <c r="E314" s="376" t="n"/>
      <c r="F314" s="93" t="n"/>
      <c r="G314" s="94" t="n"/>
      <c r="H314" s="95" t="n"/>
      <c r="I314" s="376" t="n"/>
      <c r="J314" s="376" t="n"/>
      <c r="K314" s="94" t="n"/>
      <c r="L314" s="94" t="n"/>
      <c r="M314" s="94" t="n"/>
      <c r="P314" s="143" t="n"/>
      <c r="Q314" s="144" t="n"/>
    </row>
    <row r="315">
      <c r="A315" s="375" t="n"/>
      <c r="B315" s="376" t="n"/>
      <c r="C315" s="376" t="n"/>
      <c r="D315" s="376" t="n"/>
      <c r="E315" s="376" t="n"/>
      <c r="F315" s="93" t="n"/>
      <c r="G315" s="94" t="n"/>
      <c r="H315" s="95" t="n"/>
      <c r="I315" s="376" t="n"/>
      <c r="J315" s="376" t="n"/>
      <c r="K315" s="94" t="n"/>
      <c r="L315" s="94" t="n"/>
      <c r="M315" s="94" t="n"/>
      <c r="P315" s="143" t="n"/>
      <c r="Q315" s="144" t="n"/>
    </row>
    <row r="316">
      <c r="A316" s="375" t="n"/>
      <c r="B316" s="376" t="n"/>
      <c r="C316" s="376" t="n"/>
      <c r="D316" s="376" t="n"/>
      <c r="E316" s="376" t="n"/>
      <c r="F316" s="93" t="n"/>
      <c r="G316" s="94" t="n"/>
      <c r="H316" s="95" t="n"/>
      <c r="I316" s="376" t="n"/>
      <c r="J316" s="376" t="n"/>
      <c r="K316" s="94" t="n"/>
      <c r="L316" s="94" t="n"/>
      <c r="M316" s="94" t="n"/>
      <c r="P316" s="143" t="n"/>
      <c r="Q316" s="144" t="n"/>
    </row>
    <row r="317">
      <c r="A317" s="375" t="n"/>
      <c r="B317" s="376" t="n"/>
      <c r="C317" s="376" t="n"/>
      <c r="D317" s="376" t="n"/>
      <c r="E317" s="376" t="n"/>
      <c r="F317" s="93" t="n"/>
      <c r="G317" s="94" t="n"/>
      <c r="H317" s="95" t="n"/>
      <c r="I317" s="376" t="n"/>
      <c r="J317" s="376" t="n"/>
      <c r="K317" s="94" t="n"/>
      <c r="L317" s="94" t="n"/>
      <c r="M317" s="94" t="n"/>
      <c r="P317" s="143" t="n"/>
      <c r="Q317" s="144" t="n"/>
    </row>
    <row r="318">
      <c r="A318" s="375" t="n"/>
      <c r="B318" s="376" t="n"/>
      <c r="C318" s="376" t="n"/>
      <c r="D318" s="376" t="n"/>
      <c r="E318" s="376" t="n"/>
      <c r="F318" s="93" t="n"/>
      <c r="G318" s="94" t="n"/>
      <c r="H318" s="95" t="n"/>
      <c r="I318" s="376" t="n"/>
      <c r="J318" s="376" t="n"/>
      <c r="K318" s="94" t="n"/>
      <c r="L318" s="94" t="n"/>
      <c r="M318" s="94" t="n"/>
      <c r="P318" s="143" t="n"/>
      <c r="Q318" s="144" t="n"/>
    </row>
    <row r="319">
      <c r="A319" s="375" t="n"/>
      <c r="B319" s="376" t="n"/>
      <c r="C319" s="376" t="n"/>
      <c r="D319" s="376" t="n"/>
      <c r="E319" s="376" t="n"/>
      <c r="F319" s="93" t="n"/>
      <c r="G319" s="94" t="n"/>
      <c r="H319" s="95" t="n"/>
      <c r="I319" s="376" t="n"/>
      <c r="J319" s="376" t="n"/>
      <c r="K319" s="94" t="n"/>
      <c r="L319" s="94" t="n"/>
      <c r="M319" s="94" t="n"/>
      <c r="P319" s="143" t="n"/>
      <c r="Q319" s="144" t="n"/>
    </row>
    <row r="320">
      <c r="A320" s="375" t="n"/>
      <c r="B320" s="376" t="n"/>
      <c r="C320" s="376" t="n"/>
      <c r="D320" s="376" t="n"/>
      <c r="E320" s="376" t="n"/>
      <c r="F320" s="93" t="n"/>
      <c r="G320" s="94" t="n"/>
      <c r="H320" s="95" t="n"/>
      <c r="I320" s="376" t="n"/>
      <c r="J320" s="376" t="n"/>
      <c r="K320" s="94" t="n"/>
      <c r="L320" s="94" t="n"/>
      <c r="M320" s="94" t="n"/>
      <c r="P320" s="143" t="n"/>
      <c r="Q320" s="144" t="n"/>
    </row>
    <row r="321">
      <c r="A321" s="375" t="n"/>
      <c r="B321" s="376" t="n"/>
      <c r="C321" s="376" t="n"/>
      <c r="D321" s="376" t="n"/>
      <c r="E321" s="376" t="n"/>
      <c r="F321" s="93" t="n"/>
      <c r="G321" s="94" t="n"/>
      <c r="H321" s="95" t="n"/>
      <c r="I321" s="376" t="n"/>
      <c r="J321" s="376" t="n"/>
      <c r="K321" s="94" t="n"/>
      <c r="L321" s="94" t="n"/>
      <c r="M321" s="94" t="n"/>
      <c r="P321" s="143" t="n"/>
      <c r="Q321" s="144" t="n"/>
    </row>
    <row r="322">
      <c r="A322" s="375" t="n"/>
      <c r="B322" s="376" t="n"/>
      <c r="C322" s="376" t="n"/>
      <c r="D322" s="376" t="n"/>
      <c r="E322" s="376" t="n"/>
      <c r="F322" s="93" t="n"/>
      <c r="G322" s="94" t="n"/>
      <c r="H322" s="95" t="n"/>
      <c r="I322" s="376" t="n"/>
      <c r="J322" s="376" t="n"/>
      <c r="K322" s="94" t="n"/>
      <c r="L322" s="94" t="n"/>
      <c r="M322" s="94" t="n"/>
      <c r="P322" s="143" t="n"/>
      <c r="Q322" s="144" t="n"/>
    </row>
    <row r="323">
      <c r="A323" s="375" t="n"/>
      <c r="B323" s="376" t="n"/>
      <c r="C323" s="376" t="n"/>
      <c r="D323" s="376" t="n"/>
      <c r="E323" s="376" t="n"/>
      <c r="F323" s="93" t="n"/>
      <c r="G323" s="94" t="n"/>
      <c r="H323" s="95" t="n"/>
      <c r="I323" s="376" t="n"/>
      <c r="J323" s="376" t="n"/>
      <c r="K323" s="94" t="n"/>
      <c r="L323" s="94" t="n"/>
      <c r="M323" s="94" t="n"/>
      <c r="P323" s="143" t="n"/>
      <c r="Q323" s="144" t="n"/>
    </row>
    <row r="324">
      <c r="A324" s="375" t="n"/>
      <c r="B324" s="376" t="n"/>
      <c r="C324" s="376" t="n"/>
      <c r="D324" s="376" t="n"/>
      <c r="E324" s="376" t="n"/>
      <c r="F324" s="93" t="n"/>
      <c r="G324" s="94" t="n"/>
      <c r="H324" s="95" t="n"/>
      <c r="I324" s="376" t="n"/>
      <c r="J324" s="376" t="n"/>
      <c r="K324" s="94" t="n"/>
      <c r="L324" s="94" t="n"/>
      <c r="M324" s="94" t="n"/>
      <c r="P324" s="143" t="n"/>
      <c r="Q324" s="144" t="n"/>
    </row>
    <row r="325">
      <c r="A325" s="375" t="n"/>
      <c r="B325" s="376" t="n"/>
      <c r="C325" s="376" t="n"/>
      <c r="D325" s="376" t="n"/>
      <c r="E325" s="376" t="n"/>
      <c r="F325" s="93" t="n"/>
      <c r="G325" s="94" t="n"/>
      <c r="H325" s="95" t="n"/>
      <c r="I325" s="376" t="n"/>
      <c r="J325" s="376" t="n"/>
      <c r="K325" s="94" t="n"/>
      <c r="L325" s="94" t="n"/>
      <c r="M325" s="94" t="n"/>
      <c r="P325" s="143" t="n"/>
      <c r="Q325" s="144" t="n"/>
    </row>
    <row r="326">
      <c r="A326" s="375" t="n"/>
      <c r="B326" s="376" t="n"/>
      <c r="C326" s="376" t="n"/>
      <c r="D326" s="376" t="n"/>
      <c r="E326" s="376" t="n"/>
      <c r="F326" s="93" t="n"/>
      <c r="G326" s="94" t="n"/>
      <c r="H326" s="95" t="n"/>
      <c r="I326" s="376" t="n"/>
      <c r="J326" s="376" t="n"/>
      <c r="K326" s="94" t="n"/>
      <c r="L326" s="94" t="n"/>
      <c r="M326" s="94" t="n"/>
      <c r="P326" s="143" t="n"/>
      <c r="Q326" s="144" t="n"/>
    </row>
    <row r="327">
      <c r="A327" s="375" t="n"/>
      <c r="B327" s="376" t="n"/>
      <c r="C327" s="376" t="n"/>
      <c r="D327" s="376" t="n"/>
      <c r="E327" s="376" t="n"/>
      <c r="F327" s="93" t="n"/>
      <c r="G327" s="94" t="n"/>
      <c r="H327" s="95" t="n"/>
      <c r="I327" s="376" t="n"/>
      <c r="J327" s="376" t="n"/>
      <c r="K327" s="94" t="n"/>
      <c r="L327" s="94" t="n"/>
      <c r="M327" s="94" t="n"/>
      <c r="P327" s="143" t="n"/>
      <c r="Q327" s="144" t="n"/>
    </row>
    <row r="328">
      <c r="A328" s="375" t="n"/>
      <c r="B328" s="376" t="n"/>
      <c r="C328" s="376" t="n"/>
      <c r="D328" s="376" t="n"/>
      <c r="E328" s="376" t="n"/>
      <c r="F328" s="93" t="n"/>
      <c r="G328" s="94" t="n"/>
      <c r="H328" s="95" t="n"/>
      <c r="I328" s="376" t="n"/>
      <c r="J328" s="376" t="n"/>
      <c r="K328" s="94" t="n"/>
      <c r="L328" s="94" t="n"/>
      <c r="M328" s="94" t="n"/>
      <c r="P328" s="143" t="n"/>
      <c r="Q328" s="144" t="n"/>
    </row>
    <row r="329">
      <c r="A329" s="375" t="n"/>
      <c r="B329" s="376" t="n"/>
      <c r="C329" s="376" t="n"/>
      <c r="D329" s="376" t="n"/>
      <c r="E329" s="376" t="n"/>
      <c r="F329" s="93" t="n"/>
      <c r="G329" s="94" t="n"/>
      <c r="H329" s="95" t="n"/>
      <c r="I329" s="376" t="n"/>
      <c r="J329" s="376" t="n"/>
      <c r="K329" s="94" t="n"/>
      <c r="L329" s="94" t="n"/>
      <c r="M329" s="94" t="n"/>
      <c r="P329" s="143" t="n"/>
      <c r="Q329" s="144" t="n"/>
    </row>
    <row r="330">
      <c r="A330" s="375" t="n"/>
      <c r="B330" s="376" t="n"/>
      <c r="C330" s="376" t="n"/>
      <c r="D330" s="376" t="n"/>
      <c r="E330" s="376" t="n"/>
      <c r="F330" s="93" t="n"/>
      <c r="G330" s="94" t="n"/>
      <c r="H330" s="95" t="n"/>
      <c r="I330" s="376" t="n"/>
      <c r="J330" s="376" t="n"/>
      <c r="K330" s="94" t="n"/>
      <c r="L330" s="94" t="n"/>
      <c r="M330" s="94" t="n"/>
      <c r="P330" s="143" t="n"/>
      <c r="Q330" s="144" t="n"/>
    </row>
    <row r="331">
      <c r="A331" s="375" t="n"/>
      <c r="B331" s="376" t="n"/>
      <c r="C331" s="376" t="n"/>
      <c r="D331" s="376" t="n"/>
      <c r="E331" s="376" t="n"/>
      <c r="F331" s="93" t="n"/>
      <c r="G331" s="94" t="n"/>
      <c r="H331" s="95" t="n"/>
      <c r="I331" s="376" t="n"/>
      <c r="J331" s="376" t="n"/>
      <c r="K331" s="94" t="n"/>
      <c r="L331" s="94" t="n"/>
      <c r="M331" s="94" t="n"/>
      <c r="P331" s="143" t="n"/>
      <c r="Q331" s="144" t="n"/>
    </row>
    <row r="332">
      <c r="A332" s="375" t="n"/>
      <c r="B332" s="376" t="n"/>
      <c r="C332" s="376" t="n"/>
      <c r="D332" s="376" t="n"/>
      <c r="E332" s="376" t="n"/>
      <c r="F332" s="93" t="n"/>
      <c r="G332" s="94" t="n"/>
      <c r="H332" s="95" t="n"/>
      <c r="I332" s="376" t="n"/>
      <c r="J332" s="376" t="n"/>
      <c r="K332" s="94" t="n"/>
      <c r="L332" s="94" t="n"/>
      <c r="M332" s="94" t="n"/>
      <c r="P332" s="143" t="n"/>
      <c r="Q332" s="144" t="n"/>
    </row>
    <row r="333">
      <c r="A333" s="375" t="n"/>
      <c r="B333" s="376" t="n"/>
      <c r="C333" s="376" t="n"/>
      <c r="D333" s="376" t="n"/>
      <c r="E333" s="376" t="n"/>
      <c r="F333" s="93" t="n"/>
      <c r="G333" s="94" t="n"/>
      <c r="H333" s="95" t="n"/>
      <c r="I333" s="376" t="n"/>
      <c r="J333" s="376" t="n"/>
      <c r="K333" s="94" t="n"/>
      <c r="L333" s="94" t="n"/>
      <c r="M333" s="94" t="n"/>
      <c r="P333" s="143" t="n"/>
      <c r="Q333" s="144" t="n"/>
    </row>
    <row r="334">
      <c r="A334" s="375" t="n"/>
      <c r="B334" s="376" t="n"/>
      <c r="C334" s="376" t="n"/>
      <c r="D334" s="376" t="n"/>
      <c r="E334" s="376" t="n"/>
      <c r="F334" s="93" t="n"/>
      <c r="G334" s="94" t="n"/>
      <c r="H334" s="95" t="n"/>
      <c r="I334" s="376" t="n"/>
      <c r="J334" s="376" t="n"/>
      <c r="K334" s="94" t="n"/>
      <c r="L334" s="94" t="n"/>
      <c r="M334" s="94" t="n"/>
      <c r="P334" s="143" t="n"/>
      <c r="Q334" s="144" t="n"/>
    </row>
    <row r="335">
      <c r="A335" s="375" t="n"/>
      <c r="B335" s="376" t="n"/>
      <c r="C335" s="376" t="n"/>
      <c r="D335" s="376" t="n"/>
      <c r="E335" s="376" t="n"/>
      <c r="F335" s="93" t="n"/>
      <c r="G335" s="94" t="n"/>
      <c r="H335" s="95" t="n"/>
      <c r="I335" s="376" t="n"/>
      <c r="J335" s="376" t="n"/>
      <c r="K335" s="94" t="n"/>
      <c r="L335" s="94" t="n"/>
      <c r="M335" s="94" t="n"/>
      <c r="P335" s="143" t="n"/>
      <c r="Q335" s="144" t="n"/>
    </row>
    <row r="336">
      <c r="A336" s="375" t="n"/>
      <c r="B336" s="376" t="n"/>
      <c r="C336" s="376" t="n"/>
      <c r="D336" s="376" t="n"/>
      <c r="E336" s="376" t="n"/>
      <c r="F336" s="93" t="n"/>
      <c r="G336" s="94" t="n"/>
      <c r="H336" s="95" t="n"/>
      <c r="I336" s="376" t="n"/>
      <c r="J336" s="376" t="n"/>
      <c r="K336" s="94" t="n"/>
      <c r="L336" s="94" t="n"/>
      <c r="M336" s="94" t="n"/>
      <c r="P336" s="143" t="n"/>
      <c r="Q336" s="144" t="n"/>
    </row>
    <row r="337">
      <c r="A337" s="375" t="n"/>
      <c r="B337" s="376" t="n"/>
      <c r="C337" s="376" t="n"/>
      <c r="D337" s="376" t="n"/>
      <c r="E337" s="376" t="n"/>
      <c r="F337" s="93" t="n"/>
      <c r="G337" s="94" t="n"/>
      <c r="H337" s="95" t="n"/>
      <c r="I337" s="376" t="n"/>
      <c r="J337" s="376" t="n"/>
      <c r="K337" s="94" t="n"/>
      <c r="L337" s="94" t="n"/>
      <c r="M337" s="94" t="n"/>
      <c r="P337" s="143" t="n"/>
      <c r="Q337" s="144" t="n"/>
    </row>
    <row r="338">
      <c r="A338" s="375" t="n"/>
      <c r="B338" s="376" t="n"/>
      <c r="C338" s="376" t="n"/>
      <c r="D338" s="376" t="n"/>
      <c r="E338" s="376" t="n"/>
      <c r="F338" s="93" t="n"/>
      <c r="G338" s="94" t="n"/>
      <c r="H338" s="95" t="n"/>
      <c r="I338" s="376" t="n"/>
      <c r="J338" s="376" t="n"/>
      <c r="K338" s="94" t="n"/>
      <c r="L338" s="94" t="n"/>
      <c r="M338" s="94" t="n"/>
      <c r="P338" s="143" t="n"/>
      <c r="Q338" s="144" t="n"/>
    </row>
    <row r="339">
      <c r="A339" s="375" t="n"/>
      <c r="B339" s="376" t="n"/>
      <c r="C339" s="376" t="n"/>
      <c r="D339" s="376" t="n"/>
      <c r="E339" s="376" t="n"/>
      <c r="F339" s="93" t="n"/>
      <c r="G339" s="94" t="n"/>
      <c r="H339" s="95" t="n"/>
      <c r="I339" s="376" t="n"/>
      <c r="J339" s="376" t="n"/>
      <c r="K339" s="94" t="n"/>
      <c r="L339" s="94" t="n"/>
      <c r="M339" s="94" t="n"/>
      <c r="P339" s="143" t="n"/>
      <c r="Q339" s="144" t="n"/>
    </row>
    <row r="340">
      <c r="A340" s="375" t="n"/>
      <c r="B340" s="376" t="n"/>
      <c r="C340" s="376" t="n"/>
      <c r="D340" s="376" t="n"/>
      <c r="E340" s="376" t="n"/>
      <c r="F340" s="93" t="n"/>
      <c r="G340" s="94" t="n"/>
      <c r="H340" s="95" t="n"/>
      <c r="I340" s="376" t="n"/>
      <c r="J340" s="376" t="n"/>
      <c r="K340" s="94" t="n"/>
      <c r="L340" s="94" t="n"/>
      <c r="M340" s="94" t="n"/>
      <c r="P340" s="143" t="n"/>
      <c r="Q340" s="144" t="n"/>
    </row>
    <row r="341">
      <c r="A341" s="375" t="n"/>
      <c r="B341" s="376" t="n"/>
      <c r="C341" s="376" t="n"/>
      <c r="D341" s="376" t="n"/>
      <c r="E341" s="376" t="n"/>
      <c r="F341" s="93" t="n"/>
      <c r="G341" s="94" t="n"/>
      <c r="H341" s="95" t="n"/>
      <c r="I341" s="376" t="n"/>
      <c r="J341" s="376" t="n"/>
      <c r="K341" s="94" t="n"/>
      <c r="L341" s="94" t="n"/>
      <c r="M341" s="94" t="n"/>
      <c r="P341" s="143" t="n"/>
      <c r="Q341" s="144" t="n"/>
    </row>
    <row r="342">
      <c r="A342" s="375" t="n"/>
      <c r="B342" s="376" t="n"/>
      <c r="C342" s="376" t="n"/>
      <c r="D342" s="376" t="n"/>
      <c r="E342" s="376" t="n"/>
      <c r="F342" s="93" t="n"/>
      <c r="G342" s="94" t="n"/>
      <c r="H342" s="95" t="n"/>
      <c r="I342" s="376" t="n"/>
      <c r="J342" s="376" t="n"/>
      <c r="K342" s="94" t="n"/>
      <c r="L342" s="94" t="n"/>
      <c r="M342" s="94" t="n"/>
      <c r="P342" s="143" t="n"/>
      <c r="Q342" s="144" t="n"/>
    </row>
    <row r="343">
      <c r="A343" s="375" t="n"/>
      <c r="B343" s="376" t="n"/>
      <c r="C343" s="376" t="n"/>
      <c r="D343" s="376" t="n"/>
      <c r="E343" s="376" t="n"/>
      <c r="F343" s="93" t="n"/>
      <c r="G343" s="94" t="n"/>
      <c r="H343" s="95" t="n"/>
      <c r="I343" s="376" t="n"/>
      <c r="J343" s="376" t="n"/>
      <c r="K343" s="94" t="n"/>
      <c r="L343" s="94" t="n"/>
      <c r="M343" s="94" t="n"/>
      <c r="P343" s="143" t="n"/>
      <c r="Q343" s="144" t="n"/>
    </row>
    <row r="344">
      <c r="A344" s="375" t="n"/>
      <c r="B344" s="376" t="n"/>
      <c r="C344" s="376" t="n"/>
      <c r="D344" s="376" t="n"/>
      <c r="E344" s="376" t="n"/>
      <c r="F344" s="93" t="n"/>
      <c r="G344" s="94" t="n"/>
      <c r="H344" s="95" t="n"/>
      <c r="I344" s="376" t="n"/>
      <c r="J344" s="376" t="n"/>
      <c r="K344" s="94" t="n"/>
      <c r="L344" s="94" t="n"/>
      <c r="M344" s="94" t="n"/>
      <c r="P344" s="143" t="n"/>
      <c r="Q344" s="144" t="n"/>
    </row>
    <row r="345">
      <c r="A345" s="375" t="n"/>
      <c r="B345" s="376" t="n"/>
      <c r="C345" s="376" t="n"/>
      <c r="D345" s="376" t="n"/>
      <c r="E345" s="376" t="n"/>
      <c r="F345" s="93" t="n"/>
      <c r="G345" s="94" t="n"/>
      <c r="H345" s="95" t="n"/>
      <c r="I345" s="376" t="n"/>
      <c r="J345" s="376" t="n"/>
      <c r="K345" s="94" t="n"/>
      <c r="L345" s="94" t="n"/>
      <c r="M345" s="94" t="n"/>
      <c r="P345" s="143" t="n"/>
      <c r="Q345" s="144" t="n"/>
    </row>
    <row r="346">
      <c r="A346" s="375" t="n"/>
      <c r="B346" s="376" t="n"/>
      <c r="C346" s="376" t="n"/>
      <c r="D346" s="376" t="n"/>
      <c r="E346" s="376" t="n"/>
      <c r="F346" s="93" t="n"/>
      <c r="G346" s="94" t="n"/>
      <c r="H346" s="95" t="n"/>
      <c r="I346" s="376" t="n"/>
      <c r="J346" s="376" t="n"/>
      <c r="K346" s="94" t="n"/>
      <c r="L346" s="94" t="n"/>
      <c r="M346" s="94" t="n"/>
      <c r="P346" s="143" t="n"/>
      <c r="Q346" s="144" t="n"/>
    </row>
    <row r="347">
      <c r="A347" s="375" t="n"/>
      <c r="B347" s="376" t="n"/>
      <c r="C347" s="376" t="n"/>
      <c r="D347" s="376" t="n"/>
      <c r="E347" s="376" t="n"/>
      <c r="F347" s="93" t="n"/>
      <c r="G347" s="94" t="n"/>
      <c r="H347" s="95" t="n"/>
      <c r="I347" s="376" t="n"/>
      <c r="J347" s="376" t="n"/>
      <c r="K347" s="94" t="n"/>
      <c r="L347" s="94" t="n"/>
      <c r="M347" s="94" t="n"/>
      <c r="P347" s="143" t="n"/>
      <c r="Q347" s="144" t="n"/>
    </row>
    <row r="348">
      <c r="A348" s="375" t="n"/>
      <c r="B348" s="376" t="n"/>
      <c r="C348" s="376" t="n"/>
      <c r="D348" s="376" t="n"/>
      <c r="E348" s="376" t="n"/>
      <c r="F348" s="93" t="n"/>
      <c r="G348" s="94" t="n"/>
      <c r="H348" s="95" t="n"/>
      <c r="I348" s="376" t="n"/>
      <c r="J348" s="376" t="n"/>
      <c r="K348" s="94" t="n"/>
      <c r="L348" s="94" t="n"/>
      <c r="M348" s="94" t="n"/>
      <c r="P348" s="143" t="n"/>
      <c r="Q348" s="144" t="n"/>
    </row>
    <row r="349">
      <c r="A349" s="375" t="n"/>
      <c r="B349" s="376" t="n"/>
      <c r="C349" s="376" t="n"/>
      <c r="D349" s="376" t="n"/>
      <c r="E349" s="376" t="n"/>
      <c r="F349" s="93" t="n"/>
      <c r="G349" s="94" t="n"/>
      <c r="H349" s="95" t="n"/>
      <c r="I349" s="376" t="n"/>
      <c r="J349" s="376" t="n"/>
      <c r="K349" s="94" t="n"/>
      <c r="L349" s="94" t="n"/>
      <c r="M349" s="94" t="n"/>
      <c r="P349" s="143" t="n"/>
      <c r="Q349" s="144" t="n"/>
    </row>
    <row r="350">
      <c r="A350" s="375" t="n"/>
      <c r="B350" s="376" t="n"/>
      <c r="C350" s="376" t="n"/>
      <c r="D350" s="376" t="n"/>
      <c r="E350" s="376" t="n"/>
      <c r="F350" s="93" t="n"/>
      <c r="G350" s="94" t="n"/>
      <c r="H350" s="95" t="n"/>
      <c r="I350" s="376" t="n"/>
      <c r="J350" s="376" t="n"/>
      <c r="K350" s="94" t="n"/>
      <c r="L350" s="94" t="n"/>
      <c r="M350" s="94" t="n"/>
      <c r="P350" s="143" t="n"/>
      <c r="Q350" s="144" t="n"/>
    </row>
    <row r="351">
      <c r="A351" s="375" t="n"/>
      <c r="B351" s="376" t="n"/>
      <c r="C351" s="376" t="n"/>
      <c r="D351" s="376" t="n"/>
      <c r="E351" s="376" t="n"/>
      <c r="F351" s="93" t="n"/>
      <c r="G351" s="94" t="n"/>
      <c r="H351" s="95" t="n"/>
      <c r="I351" s="376" t="n"/>
      <c r="J351" s="376" t="n"/>
      <c r="K351" s="94" t="n"/>
      <c r="L351" s="94" t="n"/>
      <c r="M351" s="94" t="n"/>
      <c r="P351" s="143" t="n"/>
      <c r="Q351" s="144" t="n"/>
    </row>
    <row r="352">
      <c r="A352" s="375" t="n"/>
      <c r="B352" s="376" t="n"/>
      <c r="C352" s="376" t="n"/>
      <c r="D352" s="376" t="n"/>
      <c r="E352" s="376" t="n"/>
      <c r="F352" s="93" t="n"/>
      <c r="G352" s="94" t="n"/>
      <c r="H352" s="95" t="n"/>
      <c r="I352" s="376" t="n"/>
      <c r="J352" s="376" t="n"/>
      <c r="K352" s="94" t="n"/>
      <c r="L352" s="94" t="n"/>
      <c r="M352" s="94" t="n"/>
      <c r="P352" s="143" t="n"/>
      <c r="Q352" s="144" t="n"/>
    </row>
    <row r="353">
      <c r="A353" s="375" t="n"/>
      <c r="B353" s="376" t="n"/>
      <c r="C353" s="376" t="n"/>
      <c r="D353" s="376" t="n"/>
      <c r="E353" s="376" t="n"/>
      <c r="F353" s="93" t="n"/>
      <c r="G353" s="94" t="n"/>
      <c r="H353" s="95" t="n"/>
      <c r="I353" s="376" t="n"/>
      <c r="J353" s="376" t="n"/>
      <c r="K353" s="94" t="n"/>
      <c r="L353" s="94" t="n"/>
      <c r="M353" s="94" t="n"/>
      <c r="P353" s="143" t="n"/>
      <c r="Q353" s="144" t="n"/>
    </row>
    <row r="354">
      <c r="A354" s="375" t="n"/>
      <c r="B354" s="376" t="n"/>
      <c r="C354" s="376" t="n"/>
      <c r="D354" s="376" t="n"/>
      <c r="E354" s="376" t="n"/>
      <c r="F354" s="93" t="n"/>
      <c r="G354" s="94" t="n"/>
      <c r="H354" s="95" t="n"/>
      <c r="I354" s="376" t="n"/>
      <c r="J354" s="376" t="n"/>
      <c r="K354" s="94" t="n"/>
      <c r="L354" s="94" t="n"/>
      <c r="M354" s="94" t="n"/>
      <c r="P354" s="143" t="n"/>
      <c r="Q354" s="144" t="n"/>
    </row>
    <row r="355">
      <c r="A355" s="375" t="n"/>
      <c r="B355" s="376" t="n"/>
      <c r="C355" s="376" t="n"/>
      <c r="D355" s="376" t="n"/>
      <c r="E355" s="376" t="n"/>
      <c r="F355" s="93" t="n"/>
      <c r="G355" s="94" t="n"/>
      <c r="H355" s="95" t="n"/>
      <c r="I355" s="376" t="n"/>
      <c r="J355" s="376" t="n"/>
      <c r="K355" s="94" t="n"/>
      <c r="L355" s="94" t="n"/>
      <c r="M355" s="94" t="n"/>
      <c r="P355" s="143" t="n"/>
      <c r="Q355" s="144" t="n"/>
    </row>
    <row r="356">
      <c r="A356" s="375" t="n"/>
      <c r="B356" s="376" t="n"/>
      <c r="C356" s="376" t="n"/>
      <c r="D356" s="376" t="n"/>
      <c r="E356" s="376" t="n"/>
      <c r="F356" s="93" t="n"/>
      <c r="G356" s="94" t="n"/>
      <c r="H356" s="95" t="n"/>
      <c r="I356" s="376" t="n"/>
      <c r="J356" s="376" t="n"/>
      <c r="K356" s="94" t="n"/>
      <c r="L356" s="94" t="n"/>
      <c r="M356" s="94" t="n"/>
      <c r="P356" s="143" t="n"/>
      <c r="Q356" s="144" t="n"/>
    </row>
    <row r="357">
      <c r="A357" s="375" t="n"/>
      <c r="B357" s="376" t="n"/>
      <c r="C357" s="376" t="n"/>
      <c r="D357" s="376" t="n"/>
      <c r="E357" s="376" t="n"/>
      <c r="F357" s="93" t="n"/>
      <c r="G357" s="94" t="n"/>
      <c r="H357" s="95" t="n"/>
      <c r="I357" s="376" t="n"/>
      <c r="J357" s="376" t="n"/>
      <c r="K357" s="94" t="n"/>
      <c r="L357" s="94" t="n"/>
      <c r="M357" s="94" t="n"/>
      <c r="P357" s="143" t="n"/>
      <c r="Q357" s="144" t="n"/>
    </row>
    <row r="358">
      <c r="A358" s="375" t="n"/>
      <c r="B358" s="376" t="n"/>
      <c r="C358" s="376" t="n"/>
      <c r="D358" s="376" t="n"/>
      <c r="E358" s="376" t="n"/>
      <c r="F358" s="93" t="n"/>
      <c r="G358" s="94" t="n"/>
      <c r="H358" s="95" t="n"/>
      <c r="I358" s="376" t="n"/>
      <c r="J358" s="376" t="n"/>
      <c r="K358" s="94" t="n"/>
      <c r="L358" s="94" t="n"/>
      <c r="M358" s="94" t="n"/>
      <c r="P358" s="143" t="n"/>
      <c r="Q358" s="144" t="n"/>
    </row>
    <row r="359">
      <c r="A359" s="375" t="n"/>
      <c r="B359" s="376" t="n"/>
      <c r="C359" s="376" t="n"/>
      <c r="D359" s="376" t="n"/>
      <c r="E359" s="376" t="n"/>
      <c r="F359" s="93" t="n"/>
      <c r="G359" s="94" t="n"/>
      <c r="H359" s="95" t="n"/>
      <c r="I359" s="376" t="n"/>
      <c r="J359" s="376" t="n"/>
      <c r="K359" s="94" t="n"/>
      <c r="L359" s="94" t="n"/>
      <c r="M359" s="94" t="n"/>
      <c r="P359" s="143" t="n"/>
      <c r="Q359" s="144" t="n"/>
    </row>
    <row r="360">
      <c r="A360" s="375" t="n"/>
      <c r="B360" s="376" t="n"/>
      <c r="C360" s="376" t="n"/>
      <c r="D360" s="376" t="n"/>
      <c r="E360" s="376" t="n"/>
      <c r="F360" s="93" t="n"/>
      <c r="G360" s="94" t="n"/>
      <c r="H360" s="95" t="n"/>
      <c r="I360" s="376" t="n"/>
      <c r="J360" s="376" t="n"/>
      <c r="K360" s="94" t="n"/>
      <c r="L360" s="94" t="n"/>
      <c r="M360" s="94" t="n"/>
      <c r="P360" s="143" t="n"/>
      <c r="Q360" s="144" t="n"/>
    </row>
    <row r="361">
      <c r="A361" s="375" t="n"/>
      <c r="B361" s="376" t="n"/>
      <c r="C361" s="376" t="n"/>
      <c r="D361" s="376" t="n"/>
      <c r="E361" s="376" t="n"/>
      <c r="F361" s="93" t="n"/>
      <c r="G361" s="94" t="n"/>
      <c r="H361" s="95" t="n"/>
      <c r="I361" s="376" t="n"/>
      <c r="J361" s="376" t="n"/>
      <c r="K361" s="94" t="n"/>
      <c r="L361" s="94" t="n"/>
      <c r="M361" s="94" t="n"/>
      <c r="P361" s="143" t="n"/>
      <c r="Q361" s="144" t="n"/>
    </row>
    <row r="362">
      <c r="A362" s="375" t="n"/>
      <c r="B362" s="376" t="n"/>
      <c r="C362" s="376" t="n"/>
      <c r="D362" s="376" t="n"/>
      <c r="E362" s="376" t="n"/>
      <c r="F362" s="93" t="n"/>
      <c r="G362" s="94" t="n"/>
      <c r="H362" s="95" t="n"/>
      <c r="I362" s="376" t="n"/>
      <c r="J362" s="376" t="n"/>
      <c r="K362" s="94" t="n"/>
      <c r="L362" s="94" t="n"/>
      <c r="M362" s="94" t="n"/>
      <c r="P362" s="143" t="n"/>
      <c r="Q362" s="144" t="n"/>
    </row>
    <row r="363">
      <c r="A363" s="375" t="n"/>
      <c r="B363" s="376" t="n"/>
      <c r="C363" s="376" t="n"/>
      <c r="D363" s="376" t="n"/>
      <c r="E363" s="376" t="n"/>
      <c r="F363" s="93" t="n"/>
      <c r="G363" s="94" t="n"/>
      <c r="H363" s="95" t="n"/>
      <c r="I363" s="376" t="n"/>
      <c r="J363" s="376" t="n"/>
      <c r="K363" s="94" t="n"/>
      <c r="L363" s="94" t="n"/>
      <c r="M363" s="94" t="n"/>
      <c r="P363" s="143" t="n"/>
      <c r="Q363" s="144" t="n"/>
    </row>
    <row r="364">
      <c r="A364" s="375" t="n"/>
      <c r="B364" s="376" t="n"/>
      <c r="C364" s="376" t="n"/>
      <c r="D364" s="376" t="n"/>
      <c r="E364" s="376" t="n"/>
      <c r="F364" s="93" t="n"/>
      <c r="G364" s="94" t="n"/>
      <c r="H364" s="95" t="n"/>
      <c r="I364" s="376" t="n"/>
      <c r="J364" s="376" t="n"/>
      <c r="K364" s="94" t="n"/>
      <c r="L364" s="94" t="n"/>
      <c r="M364" s="94" t="n"/>
      <c r="P364" s="143" t="n"/>
      <c r="Q364" s="144" t="n"/>
    </row>
    <row r="365">
      <c r="A365" s="375" t="n"/>
      <c r="B365" s="376" t="n"/>
      <c r="C365" s="376" t="n"/>
      <c r="D365" s="376" t="n"/>
      <c r="E365" s="376" t="n"/>
      <c r="F365" s="93" t="n"/>
      <c r="G365" s="94" t="n"/>
      <c r="H365" s="95" t="n"/>
      <c r="I365" s="376" t="n"/>
      <c r="J365" s="376" t="n"/>
      <c r="K365" s="94" t="n"/>
      <c r="L365" s="94" t="n"/>
      <c r="M365" s="94" t="n"/>
      <c r="P365" s="143" t="n"/>
      <c r="Q365" s="144" t="n"/>
    </row>
    <row r="366">
      <c r="A366" s="375" t="n"/>
      <c r="B366" s="376" t="n"/>
      <c r="C366" s="376" t="n"/>
      <c r="D366" s="376" t="n"/>
      <c r="E366" s="376" t="n"/>
      <c r="F366" s="93" t="n"/>
      <c r="G366" s="94" t="n"/>
      <c r="H366" s="95" t="n"/>
      <c r="I366" s="376" t="n"/>
      <c r="J366" s="376" t="n"/>
      <c r="K366" s="94" t="n"/>
      <c r="L366" s="94" t="n"/>
      <c r="M366" s="94" t="n"/>
      <c r="P366" s="143" t="n"/>
      <c r="Q366" s="144" t="n"/>
    </row>
    <row r="367">
      <c r="A367" s="375" t="n"/>
      <c r="B367" s="376" t="n"/>
      <c r="C367" s="376" t="n"/>
      <c r="D367" s="376" t="n"/>
      <c r="E367" s="376" t="n"/>
      <c r="F367" s="93" t="n"/>
      <c r="G367" s="94" t="n"/>
      <c r="H367" s="95" t="n"/>
      <c r="I367" s="376" t="n"/>
      <c r="J367" s="376" t="n"/>
      <c r="K367" s="94" t="n"/>
      <c r="L367" s="94" t="n"/>
      <c r="M367" s="94" t="n"/>
      <c r="P367" s="143" t="n"/>
      <c r="Q367" s="144" t="n"/>
    </row>
    <row r="368">
      <c r="A368" s="375" t="n"/>
      <c r="B368" s="376" t="n"/>
      <c r="C368" s="376" t="n"/>
      <c r="D368" s="376" t="n"/>
      <c r="E368" s="376" t="n"/>
      <c r="F368" s="93" t="n"/>
      <c r="G368" s="94" t="n"/>
      <c r="H368" s="95" t="n"/>
      <c r="I368" s="376" t="n"/>
      <c r="J368" s="376" t="n"/>
      <c r="K368" s="94" t="n"/>
      <c r="L368" s="94" t="n"/>
      <c r="M368" s="94" t="n"/>
      <c r="P368" s="143" t="n"/>
      <c r="Q368" s="144" t="n"/>
    </row>
    <row r="369">
      <c r="A369" s="375" t="n"/>
      <c r="B369" s="376" t="n"/>
      <c r="C369" s="376" t="n"/>
      <c r="D369" s="376" t="n"/>
      <c r="E369" s="376" t="n"/>
      <c r="F369" s="93" t="n"/>
      <c r="G369" s="94" t="n"/>
      <c r="H369" s="95" t="n"/>
      <c r="I369" s="376" t="n"/>
      <c r="J369" s="376" t="n"/>
      <c r="K369" s="94" t="n"/>
      <c r="L369" s="94" t="n"/>
      <c r="M369" s="94" t="n"/>
      <c r="P369" s="143" t="n"/>
      <c r="Q369" s="144" t="n"/>
    </row>
    <row r="370">
      <c r="A370" s="375" t="n"/>
      <c r="B370" s="376" t="n"/>
      <c r="C370" s="376" t="n"/>
      <c r="D370" s="376" t="n"/>
      <c r="E370" s="376" t="n"/>
      <c r="F370" s="93" t="n"/>
      <c r="G370" s="94" t="n"/>
      <c r="H370" s="95" t="n"/>
      <c r="I370" s="376" t="n"/>
      <c r="J370" s="376" t="n"/>
      <c r="K370" s="94" t="n"/>
      <c r="L370" s="94" t="n"/>
      <c r="M370" s="94" t="n"/>
      <c r="P370" s="143" t="n"/>
      <c r="Q370" s="144" t="n"/>
    </row>
    <row r="371">
      <c r="A371" s="375" t="n"/>
      <c r="B371" s="376" t="n"/>
      <c r="C371" s="376" t="n"/>
      <c r="D371" s="376" t="n"/>
      <c r="E371" s="376" t="n"/>
      <c r="F371" s="93" t="n"/>
      <c r="G371" s="94" t="n"/>
      <c r="H371" s="95" t="n"/>
      <c r="I371" s="376" t="n"/>
      <c r="J371" s="376" t="n"/>
      <c r="K371" s="94" t="n"/>
      <c r="L371" s="94" t="n"/>
      <c r="M371" s="94" t="n"/>
      <c r="P371" s="143" t="n"/>
      <c r="Q371" s="144" t="n"/>
    </row>
    <row r="372">
      <c r="A372" s="375" t="n"/>
      <c r="B372" s="376" t="n"/>
      <c r="C372" s="376" t="n"/>
      <c r="D372" s="376" t="n"/>
      <c r="E372" s="376" t="n"/>
      <c r="F372" s="93" t="n"/>
      <c r="G372" s="94" t="n"/>
      <c r="H372" s="95" t="n"/>
      <c r="I372" s="376" t="n"/>
      <c r="J372" s="376" t="n"/>
      <c r="K372" s="94" t="n"/>
      <c r="L372" s="94" t="n"/>
      <c r="M372" s="94" t="n"/>
      <c r="P372" s="143" t="n"/>
      <c r="Q372" s="144" t="n"/>
    </row>
    <row r="373">
      <c r="A373" s="375" t="n"/>
      <c r="B373" s="376" t="n"/>
      <c r="C373" s="376" t="n"/>
      <c r="D373" s="376" t="n"/>
      <c r="E373" s="376" t="n"/>
      <c r="F373" s="93" t="n"/>
      <c r="G373" s="94" t="n"/>
      <c r="H373" s="95" t="n"/>
      <c r="I373" s="376" t="n"/>
      <c r="J373" s="376" t="n"/>
      <c r="K373" s="94" t="n"/>
      <c r="L373" s="94" t="n"/>
      <c r="M373" s="94" t="n"/>
      <c r="P373" s="143" t="n"/>
      <c r="Q373" s="144" t="n"/>
    </row>
    <row r="374">
      <c r="A374" s="375" t="n"/>
      <c r="B374" s="376" t="n"/>
      <c r="C374" s="376" t="n"/>
      <c r="D374" s="376" t="n"/>
      <c r="E374" s="376" t="n"/>
      <c r="F374" s="93" t="n"/>
      <c r="G374" s="94" t="n"/>
      <c r="H374" s="95" t="n"/>
      <c r="I374" s="376" t="n"/>
      <c r="J374" s="376" t="n"/>
      <c r="K374" s="94" t="n"/>
      <c r="L374" s="94" t="n"/>
      <c r="M374" s="94" t="n"/>
      <c r="P374" s="143" t="n"/>
      <c r="Q374" s="144" t="n"/>
    </row>
    <row r="375">
      <c r="A375" s="375" t="n"/>
      <c r="B375" s="376" t="n"/>
      <c r="C375" s="376" t="n"/>
      <c r="D375" s="376" t="n"/>
      <c r="E375" s="376" t="n"/>
      <c r="F375" s="93" t="n"/>
      <c r="G375" s="94" t="n"/>
      <c r="H375" s="95" t="n"/>
      <c r="I375" s="376" t="n"/>
      <c r="J375" s="376" t="n"/>
      <c r="K375" s="94" t="n"/>
      <c r="L375" s="94" t="n"/>
      <c r="M375" s="94" t="n"/>
      <c r="P375" s="143" t="n"/>
      <c r="Q375" s="144" t="n"/>
    </row>
    <row r="376">
      <c r="A376" s="375" t="n"/>
      <c r="B376" s="376" t="n"/>
      <c r="C376" s="376" t="n"/>
      <c r="D376" s="376" t="n"/>
      <c r="E376" s="376" t="n"/>
      <c r="F376" s="93" t="n"/>
      <c r="G376" s="94" t="n"/>
      <c r="H376" s="95" t="n"/>
      <c r="I376" s="376" t="n"/>
      <c r="J376" s="376" t="n"/>
      <c r="K376" s="94" t="n"/>
      <c r="L376" s="94" t="n"/>
      <c r="M376" s="94" t="n"/>
      <c r="P376" s="143" t="n"/>
      <c r="Q376" s="144" t="n"/>
    </row>
    <row r="377">
      <c r="A377" s="375" t="n"/>
      <c r="B377" s="376" t="n"/>
      <c r="C377" s="376" t="n"/>
      <c r="D377" s="376" t="n"/>
      <c r="E377" s="376" t="n"/>
      <c r="F377" s="93" t="n"/>
      <c r="G377" s="94" t="n"/>
      <c r="H377" s="95" t="n"/>
      <c r="I377" s="376" t="n"/>
      <c r="J377" s="376" t="n"/>
      <c r="K377" s="94" t="n"/>
      <c r="L377" s="94" t="n"/>
      <c r="M377" s="94" t="n"/>
      <c r="P377" s="143" t="n"/>
      <c r="Q377" s="144" t="n"/>
    </row>
    <row r="378">
      <c r="A378" s="375" t="n"/>
      <c r="B378" s="376" t="n"/>
      <c r="C378" s="376" t="n"/>
      <c r="D378" s="376" t="n"/>
      <c r="E378" s="376" t="n"/>
      <c r="F378" s="93" t="n"/>
      <c r="G378" s="94" t="n"/>
      <c r="H378" s="95" t="n"/>
      <c r="I378" s="376" t="n"/>
      <c r="J378" s="376" t="n"/>
      <c r="K378" s="94" t="n"/>
      <c r="L378" s="94" t="n"/>
      <c r="M378" s="94" t="n"/>
      <c r="P378" s="143" t="n"/>
      <c r="Q378" s="144" t="n"/>
    </row>
    <row r="379">
      <c r="A379" s="375" t="n"/>
      <c r="B379" s="376" t="n"/>
      <c r="C379" s="376" t="n"/>
      <c r="D379" s="376" t="n"/>
      <c r="E379" s="376" t="n"/>
      <c r="F379" s="93" t="n"/>
      <c r="G379" s="94" t="n"/>
      <c r="H379" s="95" t="n"/>
      <c r="I379" s="376" t="n"/>
      <c r="J379" s="376" t="n"/>
      <c r="K379" s="94" t="n"/>
      <c r="L379" s="94" t="n"/>
      <c r="M379" s="94" t="n"/>
      <c r="P379" s="143" t="n"/>
      <c r="Q379" s="144" t="n"/>
    </row>
    <row r="380">
      <c r="A380" s="375" t="n"/>
      <c r="B380" s="376" t="n"/>
      <c r="C380" s="376" t="n"/>
      <c r="D380" s="376" t="n"/>
      <c r="E380" s="376" t="n"/>
      <c r="F380" s="93" t="n"/>
      <c r="G380" s="94" t="n"/>
      <c r="H380" s="95" t="n"/>
      <c r="I380" s="376" t="n"/>
      <c r="J380" s="376" t="n"/>
      <c r="K380" s="94" t="n"/>
      <c r="L380" s="94" t="n"/>
      <c r="M380" s="94" t="n"/>
      <c r="P380" s="143" t="n"/>
      <c r="Q380" s="144" t="n"/>
    </row>
    <row r="381">
      <c r="A381" s="375" t="n"/>
      <c r="B381" s="376" t="n"/>
      <c r="C381" s="376" t="n"/>
      <c r="D381" s="376" t="n"/>
      <c r="E381" s="376" t="n"/>
      <c r="F381" s="93" t="n"/>
      <c r="G381" s="94" t="n"/>
      <c r="H381" s="95" t="n"/>
      <c r="I381" s="376" t="n"/>
      <c r="J381" s="376" t="n"/>
      <c r="K381" s="94" t="n"/>
      <c r="L381" s="94" t="n"/>
      <c r="M381" s="94" t="n"/>
      <c r="P381" s="143" t="n"/>
      <c r="Q381" s="144" t="n"/>
    </row>
    <row r="382">
      <c r="A382" s="375" t="n"/>
      <c r="B382" s="376" t="n"/>
      <c r="C382" s="376" t="n"/>
      <c r="D382" s="376" t="n"/>
      <c r="E382" s="376" t="n"/>
      <c r="F382" s="93" t="n"/>
      <c r="G382" s="94" t="n"/>
      <c r="H382" s="95" t="n"/>
      <c r="I382" s="376" t="n"/>
      <c r="J382" s="376" t="n"/>
      <c r="K382" s="94" t="n"/>
      <c r="L382" s="94" t="n"/>
      <c r="M382" s="94" t="n"/>
      <c r="P382" s="143" t="n"/>
      <c r="Q382" s="144" t="n"/>
    </row>
    <row r="383">
      <c r="A383" s="375" t="n"/>
      <c r="B383" s="376" t="n"/>
      <c r="C383" s="376" t="n"/>
      <c r="D383" s="376" t="n"/>
      <c r="E383" s="376" t="n"/>
      <c r="F383" s="93" t="n"/>
      <c r="G383" s="94" t="n"/>
      <c r="H383" s="95" t="n"/>
      <c r="I383" s="376" t="n"/>
      <c r="J383" s="376" t="n"/>
      <c r="K383" s="94" t="n"/>
      <c r="L383" s="94" t="n"/>
      <c r="M383" s="94" t="n"/>
      <c r="P383" s="143" t="n"/>
      <c r="Q383" s="144" t="n"/>
    </row>
    <row r="384">
      <c r="A384" s="375" t="n"/>
      <c r="B384" s="376" t="n"/>
      <c r="C384" s="376" t="n"/>
      <c r="D384" s="376" t="n"/>
      <c r="E384" s="376" t="n"/>
      <c r="F384" s="93" t="n"/>
      <c r="G384" s="94" t="n"/>
      <c r="H384" s="95" t="n"/>
      <c r="I384" s="376" t="n"/>
      <c r="J384" s="376" t="n"/>
      <c r="K384" s="94" t="n"/>
      <c r="L384" s="94" t="n"/>
      <c r="M384" s="94" t="n"/>
      <c r="P384" s="143" t="n"/>
      <c r="Q384" s="144" t="n"/>
    </row>
    <row r="385">
      <c r="A385" s="375" t="n"/>
      <c r="B385" s="376" t="n"/>
      <c r="C385" s="376" t="n"/>
      <c r="D385" s="376" t="n"/>
      <c r="E385" s="376" t="n"/>
      <c r="F385" s="93" t="n"/>
      <c r="G385" s="94" t="n"/>
      <c r="H385" s="95" t="n"/>
      <c r="I385" s="376" t="n"/>
      <c r="J385" s="376" t="n"/>
      <c r="K385" s="94" t="n"/>
      <c r="L385" s="94" t="n"/>
      <c r="M385" s="94" t="n"/>
      <c r="P385" s="143" t="n"/>
      <c r="Q385" s="144" t="n"/>
    </row>
    <row r="386">
      <c r="A386" s="375" t="n"/>
      <c r="B386" s="376" t="n"/>
      <c r="C386" s="376" t="n"/>
      <c r="D386" s="376" t="n"/>
      <c r="E386" s="376" t="n"/>
      <c r="F386" s="93" t="n"/>
      <c r="G386" s="94" t="n"/>
      <c r="H386" s="95" t="n"/>
      <c r="I386" s="376" t="n"/>
      <c r="J386" s="376" t="n"/>
      <c r="K386" s="94" t="n"/>
      <c r="L386" s="94" t="n"/>
      <c r="M386" s="94" t="n"/>
      <c r="P386" s="143" t="n"/>
      <c r="Q386" s="144" t="n"/>
    </row>
    <row r="387">
      <c r="A387" s="375" t="n"/>
      <c r="B387" s="376" t="n"/>
      <c r="C387" s="376" t="n"/>
      <c r="D387" s="376" t="n"/>
      <c r="E387" s="376" t="n"/>
      <c r="F387" s="93" t="n"/>
      <c r="G387" s="94" t="n"/>
      <c r="H387" s="95" t="n"/>
      <c r="I387" s="376" t="n"/>
      <c r="J387" s="376" t="n"/>
      <c r="K387" s="94" t="n"/>
      <c r="L387" s="94" t="n"/>
      <c r="M387" s="94" t="n"/>
      <c r="P387" s="143" t="n"/>
      <c r="Q387" s="144" t="n"/>
    </row>
    <row r="388">
      <c r="A388" s="375" t="n"/>
      <c r="B388" s="376" t="n"/>
      <c r="C388" s="376" t="n"/>
      <c r="D388" s="376" t="n"/>
      <c r="E388" s="376" t="n"/>
      <c r="F388" s="93" t="n"/>
      <c r="G388" s="94" t="n"/>
      <c r="H388" s="95" t="n"/>
      <c r="I388" s="376" t="n"/>
      <c r="J388" s="376" t="n"/>
      <c r="K388" s="94" t="n"/>
      <c r="L388" s="94" t="n"/>
      <c r="M388" s="94" t="n"/>
      <c r="P388" s="143" t="n"/>
      <c r="Q388" s="144" t="n"/>
    </row>
    <row r="389">
      <c r="A389" s="375" t="n"/>
      <c r="B389" s="376" t="n"/>
      <c r="C389" s="376" t="n"/>
      <c r="D389" s="376" t="n"/>
      <c r="E389" s="376" t="n"/>
      <c r="F389" s="93" t="n"/>
      <c r="G389" s="94" t="n"/>
      <c r="H389" s="95" t="n"/>
      <c r="I389" s="376" t="n"/>
      <c r="J389" s="376" t="n"/>
      <c r="K389" s="94" t="n"/>
      <c r="L389" s="94" t="n"/>
      <c r="M389" s="94" t="n"/>
      <c r="P389" s="143" t="n"/>
      <c r="Q389" s="144" t="n"/>
    </row>
    <row r="390">
      <c r="A390" s="375" t="n"/>
      <c r="B390" s="376" t="n"/>
      <c r="C390" s="376" t="n"/>
      <c r="D390" s="376" t="n"/>
      <c r="E390" s="376" t="n"/>
      <c r="F390" s="93" t="n"/>
      <c r="G390" s="94" t="n"/>
      <c r="H390" s="95" t="n"/>
      <c r="I390" s="376" t="n"/>
      <c r="J390" s="376" t="n"/>
      <c r="K390" s="94" t="n"/>
      <c r="L390" s="94" t="n"/>
      <c r="M390" s="94" t="n"/>
      <c r="P390" s="143" t="n"/>
      <c r="Q390" s="144" t="n"/>
    </row>
    <row r="391">
      <c r="A391" s="375" t="n"/>
      <c r="B391" s="376" t="n"/>
      <c r="C391" s="376" t="n"/>
      <c r="D391" s="376" t="n"/>
      <c r="E391" s="376" t="n"/>
      <c r="F391" s="93" t="n"/>
      <c r="G391" s="94" t="n"/>
      <c r="H391" s="95" t="n"/>
      <c r="I391" s="376" t="n"/>
      <c r="J391" s="376" t="n"/>
      <c r="K391" s="94" t="n"/>
      <c r="L391" s="94" t="n"/>
      <c r="M391" s="94" t="n"/>
      <c r="P391" s="143" t="n"/>
      <c r="Q391" s="144" t="n"/>
    </row>
    <row r="392">
      <c r="A392" s="375" t="n"/>
      <c r="B392" s="376" t="n"/>
      <c r="C392" s="376" t="n"/>
      <c r="D392" s="376" t="n"/>
      <c r="E392" s="376" t="n"/>
      <c r="F392" s="93" t="n"/>
      <c r="G392" s="94" t="n"/>
      <c r="H392" s="95" t="n"/>
      <c r="I392" s="376" t="n"/>
      <c r="J392" s="376" t="n"/>
      <c r="K392" s="94" t="n"/>
      <c r="L392" s="94" t="n"/>
      <c r="M392" s="94" t="n"/>
      <c r="P392" s="143" t="n"/>
      <c r="Q392" s="144" t="n"/>
    </row>
    <row r="393">
      <c r="A393" s="375" t="n"/>
      <c r="B393" s="376" t="n"/>
      <c r="C393" s="376" t="n"/>
      <c r="D393" s="376" t="n"/>
      <c r="E393" s="376" t="n"/>
      <c r="F393" s="93" t="n"/>
      <c r="G393" s="94" t="n"/>
      <c r="H393" s="95" t="n"/>
      <c r="I393" s="376" t="n"/>
      <c r="J393" s="376" t="n"/>
      <c r="K393" s="94" t="n"/>
      <c r="L393" s="94" t="n"/>
      <c r="M393" s="94" t="n"/>
      <c r="P393" s="143" t="n"/>
      <c r="Q393" s="144" t="n"/>
    </row>
    <row r="394">
      <c r="A394" s="375" t="n"/>
      <c r="B394" s="376" t="n"/>
      <c r="C394" s="376" t="n"/>
      <c r="D394" s="376" t="n"/>
      <c r="E394" s="376" t="n"/>
      <c r="F394" s="93" t="n"/>
      <c r="G394" s="94" t="n"/>
      <c r="H394" s="95" t="n"/>
      <c r="I394" s="376" t="n"/>
      <c r="J394" s="376" t="n"/>
      <c r="K394" s="94" t="n"/>
      <c r="L394" s="94" t="n"/>
      <c r="M394" s="94" t="n"/>
      <c r="P394" s="143" t="n"/>
      <c r="Q394" s="144" t="n"/>
    </row>
    <row r="395">
      <c r="A395" s="375" t="n"/>
      <c r="B395" s="376" t="n"/>
      <c r="C395" s="376" t="n"/>
      <c r="D395" s="376" t="n"/>
      <c r="E395" s="376" t="n"/>
      <c r="F395" s="93" t="n"/>
      <c r="G395" s="94" t="n"/>
      <c r="H395" s="95" t="n"/>
      <c r="I395" s="376" t="n"/>
      <c r="J395" s="376" t="n"/>
      <c r="K395" s="94" t="n"/>
      <c r="L395" s="94" t="n"/>
      <c r="M395" s="94" t="n"/>
      <c r="P395" s="143" t="n"/>
      <c r="Q395" s="144" t="n"/>
    </row>
    <row r="396">
      <c r="A396" s="375" t="n"/>
      <c r="B396" s="376" t="n"/>
      <c r="C396" s="376" t="n"/>
      <c r="D396" s="376" t="n"/>
      <c r="E396" s="376" t="n"/>
      <c r="F396" s="93" t="n"/>
      <c r="G396" s="94" t="n"/>
      <c r="H396" s="95" t="n"/>
      <c r="I396" s="376" t="n"/>
      <c r="J396" s="376" t="n"/>
      <c r="K396" s="94" t="n"/>
      <c r="L396" s="94" t="n"/>
      <c r="M396" s="94" t="n"/>
      <c r="P396" s="143" t="n"/>
      <c r="Q396" s="144" t="n"/>
    </row>
    <row r="397">
      <c r="A397" s="375" t="n"/>
      <c r="B397" s="376" t="n"/>
      <c r="C397" s="376" t="n"/>
      <c r="D397" s="376" t="n"/>
      <c r="E397" s="376" t="n"/>
      <c r="F397" s="93" t="n"/>
      <c r="G397" s="94" t="n"/>
      <c r="H397" s="95" t="n"/>
      <c r="I397" s="376" t="n"/>
      <c r="J397" s="376" t="n"/>
      <c r="K397" s="94" t="n"/>
      <c r="L397" s="94" t="n"/>
      <c r="M397" s="94" t="n"/>
      <c r="P397" s="143" t="n"/>
      <c r="Q397" s="144" t="n"/>
    </row>
    <row r="398">
      <c r="A398" s="375" t="n"/>
      <c r="B398" s="376" t="n"/>
      <c r="C398" s="376" t="n"/>
      <c r="D398" s="376" t="n"/>
      <c r="E398" s="376" t="n"/>
      <c r="F398" s="93" t="n"/>
      <c r="G398" s="94" t="n"/>
      <c r="H398" s="95" t="n"/>
      <c r="I398" s="376" t="n"/>
      <c r="J398" s="376" t="n"/>
      <c r="K398" s="94" t="n"/>
      <c r="L398" s="94" t="n"/>
      <c r="M398" s="94" t="n"/>
      <c r="P398" s="143" t="n"/>
      <c r="Q398" s="144" t="n"/>
    </row>
    <row r="399">
      <c r="A399" s="375" t="n"/>
      <c r="B399" s="376" t="n"/>
      <c r="C399" s="376" t="n"/>
      <c r="D399" s="376" t="n"/>
      <c r="E399" s="376" t="n"/>
      <c r="F399" s="93" t="n"/>
      <c r="G399" s="94" t="n"/>
      <c r="H399" s="95" t="n"/>
      <c r="I399" s="376" t="n"/>
      <c r="J399" s="376" t="n"/>
      <c r="K399" s="94" t="n"/>
      <c r="L399" s="94" t="n"/>
      <c r="M399" s="94" t="n"/>
      <c r="P399" s="143" t="n"/>
      <c r="Q399" s="144" t="n"/>
    </row>
    <row r="400">
      <c r="A400" s="375" t="n"/>
      <c r="B400" s="376" t="n"/>
      <c r="C400" s="376" t="n"/>
      <c r="D400" s="376" t="n"/>
      <c r="E400" s="376" t="n"/>
      <c r="F400" s="93" t="n"/>
      <c r="G400" s="94" t="n"/>
      <c r="H400" s="95" t="n"/>
      <c r="I400" s="376" t="n"/>
      <c r="J400" s="376" t="n"/>
      <c r="K400" s="94" t="n"/>
      <c r="L400" s="94" t="n"/>
      <c r="M400" s="94" t="n"/>
      <c r="P400" s="143" t="n"/>
      <c r="Q400" s="144" t="n"/>
    </row>
    <row r="401">
      <c r="A401" s="375" t="n"/>
      <c r="B401" s="376" t="n"/>
      <c r="C401" s="376" t="n"/>
      <c r="D401" s="376" t="n"/>
      <c r="E401" s="376" t="n"/>
      <c r="F401" s="93" t="n"/>
      <c r="G401" s="94" t="n"/>
      <c r="H401" s="95" t="n"/>
      <c r="I401" s="376" t="n"/>
      <c r="J401" s="376" t="n"/>
      <c r="K401" s="94" t="n"/>
      <c r="L401" s="94" t="n"/>
      <c r="M401" s="94" t="n"/>
      <c r="P401" s="143" t="n"/>
      <c r="Q401" s="144" t="n"/>
    </row>
    <row r="402">
      <c r="A402" s="375" t="n"/>
      <c r="B402" s="376" t="n"/>
      <c r="C402" s="376" t="n"/>
      <c r="D402" s="376" t="n"/>
      <c r="E402" s="376" t="n"/>
      <c r="F402" s="93" t="n"/>
      <c r="G402" s="94" t="n"/>
      <c r="H402" s="95" t="n"/>
      <c r="I402" s="376" t="n"/>
      <c r="J402" s="376" t="n"/>
      <c r="K402" s="94" t="n"/>
      <c r="L402" s="94" t="n"/>
      <c r="M402" s="94" t="n"/>
      <c r="P402" s="143" t="n"/>
      <c r="Q402" s="144" t="n"/>
    </row>
    <row r="403">
      <c r="A403" s="375" t="n"/>
      <c r="B403" s="376" t="n"/>
      <c r="C403" s="376" t="n"/>
      <c r="D403" s="376" t="n"/>
      <c r="E403" s="376" t="n"/>
      <c r="F403" s="93" t="n"/>
      <c r="G403" s="94" t="n"/>
      <c r="H403" s="95" t="n"/>
      <c r="I403" s="376" t="n"/>
      <c r="J403" s="376" t="n"/>
      <c r="K403" s="94" t="n"/>
      <c r="L403" s="94" t="n"/>
      <c r="M403" s="94" t="n"/>
      <c r="P403" s="143" t="n"/>
      <c r="Q403" s="144" t="n"/>
    </row>
    <row r="404">
      <c r="A404" s="375" t="n"/>
      <c r="B404" s="376" t="n"/>
      <c r="C404" s="376" t="n"/>
      <c r="D404" s="376" t="n"/>
      <c r="E404" s="376" t="n"/>
      <c r="F404" s="93" t="n"/>
      <c r="G404" s="94" t="n"/>
      <c r="H404" s="95" t="n"/>
      <c r="I404" s="376" t="n"/>
      <c r="J404" s="376" t="n"/>
      <c r="K404" s="94" t="n"/>
      <c r="L404" s="94" t="n"/>
      <c r="M404" s="94" t="n"/>
      <c r="P404" s="143" t="n"/>
      <c r="Q404" s="144" t="n"/>
    </row>
    <row r="405">
      <c r="A405" s="375" t="n"/>
      <c r="B405" s="376" t="n"/>
      <c r="C405" s="376" t="n"/>
      <c r="D405" s="376" t="n"/>
      <c r="E405" s="376" t="n"/>
      <c r="F405" s="93" t="n"/>
      <c r="G405" s="94" t="n"/>
      <c r="H405" s="95" t="n"/>
      <c r="I405" s="376" t="n"/>
      <c r="J405" s="376" t="n"/>
      <c r="K405" s="94" t="n"/>
      <c r="L405" s="94" t="n"/>
      <c r="M405" s="94" t="n"/>
      <c r="P405" s="143" t="n"/>
      <c r="Q405" s="144" t="n"/>
    </row>
    <row r="406">
      <c r="A406" s="375" t="n"/>
      <c r="B406" s="376" t="n"/>
      <c r="C406" s="376" t="n"/>
      <c r="D406" s="376" t="n"/>
      <c r="E406" s="376" t="n"/>
      <c r="F406" s="93" t="n"/>
      <c r="G406" s="94" t="n"/>
      <c r="H406" s="95" t="n"/>
      <c r="I406" s="376" t="n"/>
      <c r="J406" s="376" t="n"/>
      <c r="K406" s="94" t="n"/>
      <c r="L406" s="94" t="n"/>
      <c r="M406" s="94" t="n"/>
      <c r="P406" s="143" t="n"/>
      <c r="Q406" s="144" t="n"/>
    </row>
    <row r="407">
      <c r="A407" s="375" t="n"/>
      <c r="B407" s="376" t="n"/>
      <c r="C407" s="376" t="n"/>
      <c r="D407" s="376" t="n"/>
      <c r="E407" s="376" t="n"/>
      <c r="F407" s="93" t="n"/>
      <c r="G407" s="94" t="n"/>
      <c r="H407" s="95" t="n"/>
      <c r="I407" s="376" t="n"/>
      <c r="J407" s="376" t="n"/>
      <c r="K407" s="94" t="n"/>
      <c r="L407" s="94" t="n"/>
      <c r="M407" s="94" t="n"/>
      <c r="P407" s="143" t="n"/>
      <c r="Q407" s="144" t="n"/>
    </row>
    <row r="408">
      <c r="A408" s="375" t="n"/>
      <c r="B408" s="376" t="n"/>
      <c r="C408" s="376" t="n"/>
      <c r="D408" s="376" t="n"/>
      <c r="E408" s="376" t="n"/>
      <c r="F408" s="93" t="n"/>
      <c r="G408" s="94" t="n"/>
      <c r="H408" s="95" t="n"/>
      <c r="I408" s="376" t="n"/>
      <c r="J408" s="376" t="n"/>
      <c r="K408" s="94" t="n"/>
      <c r="L408" s="94" t="n"/>
      <c r="M408" s="94" t="n"/>
      <c r="P408" s="143" t="n"/>
      <c r="Q408" s="144" t="n"/>
    </row>
    <row r="409">
      <c r="A409" s="375" t="n"/>
      <c r="B409" s="376" t="n"/>
      <c r="C409" s="376" t="n"/>
      <c r="D409" s="376" t="n"/>
      <c r="E409" s="376" t="n"/>
      <c r="F409" s="93" t="n"/>
      <c r="G409" s="94" t="n"/>
      <c r="H409" s="95" t="n"/>
      <c r="I409" s="376" t="n"/>
      <c r="J409" s="376" t="n"/>
      <c r="K409" s="94" t="n"/>
      <c r="L409" s="94" t="n"/>
      <c r="M409" s="94" t="n"/>
      <c r="P409" s="143" t="n"/>
      <c r="Q409" s="144" t="n"/>
    </row>
    <row r="410">
      <c r="A410" s="375" t="n"/>
      <c r="B410" s="376" t="n"/>
      <c r="C410" s="376" t="n"/>
      <c r="D410" s="376" t="n"/>
      <c r="E410" s="376" t="n"/>
      <c r="F410" s="93" t="n"/>
      <c r="G410" s="94" t="n"/>
      <c r="H410" s="95" t="n"/>
      <c r="I410" s="376" t="n"/>
      <c r="J410" s="376" t="n"/>
      <c r="K410" s="94" t="n"/>
      <c r="L410" s="94" t="n"/>
      <c r="M410" s="94" t="n"/>
      <c r="P410" s="143" t="n"/>
      <c r="Q410" s="144" t="n"/>
    </row>
    <row r="411">
      <c r="A411" s="375" t="n"/>
      <c r="B411" s="376" t="n"/>
      <c r="C411" s="376" t="n"/>
      <c r="D411" s="376" t="n"/>
      <c r="E411" s="376" t="n"/>
      <c r="F411" s="93" t="n"/>
      <c r="G411" s="94" t="n"/>
      <c r="H411" s="95" t="n"/>
      <c r="I411" s="376" t="n"/>
      <c r="J411" s="376" t="n"/>
      <c r="K411" s="94" t="n"/>
      <c r="L411" s="94" t="n"/>
      <c r="M411" s="94" t="n"/>
      <c r="P411" s="143" t="n"/>
      <c r="Q411" s="144" t="n"/>
    </row>
    <row r="412">
      <c r="A412" s="375" t="n"/>
      <c r="B412" s="376" t="n"/>
      <c r="C412" s="376" t="n"/>
      <c r="D412" s="376" t="n"/>
      <c r="E412" s="376" t="n"/>
      <c r="F412" s="93" t="n"/>
      <c r="G412" s="94" t="n"/>
      <c r="H412" s="95" t="n"/>
      <c r="I412" s="376" t="n"/>
      <c r="J412" s="376" t="n"/>
      <c r="K412" s="94" t="n"/>
      <c r="L412" s="94" t="n"/>
      <c r="M412" s="94" t="n"/>
      <c r="P412" s="143" t="n"/>
      <c r="Q412" s="144" t="n"/>
    </row>
    <row r="413">
      <c r="A413" s="375" t="n"/>
      <c r="B413" s="376" t="n"/>
      <c r="C413" s="376" t="n"/>
      <c r="D413" s="376" t="n"/>
      <c r="E413" s="376" t="n"/>
      <c r="F413" s="93" t="n"/>
      <c r="G413" s="94" t="n"/>
      <c r="H413" s="95" t="n"/>
      <c r="I413" s="376" t="n"/>
      <c r="J413" s="376" t="n"/>
      <c r="K413" s="94" t="n"/>
      <c r="L413" s="94" t="n"/>
      <c r="M413" s="94" t="n"/>
      <c r="P413" s="143" t="n"/>
      <c r="Q413" s="144" t="n"/>
    </row>
    <row r="414">
      <c r="A414" s="375" t="n"/>
      <c r="B414" s="376" t="n"/>
      <c r="C414" s="376" t="n"/>
      <c r="D414" s="376" t="n"/>
      <c r="E414" s="376" t="n"/>
      <c r="F414" s="93" t="n"/>
      <c r="G414" s="94" t="n"/>
      <c r="H414" s="95" t="n"/>
      <c r="I414" s="376" t="n"/>
      <c r="J414" s="376" t="n"/>
      <c r="K414" s="94" t="n"/>
      <c r="L414" s="94" t="n"/>
      <c r="M414" s="94" t="n"/>
      <c r="P414" s="143" t="n"/>
      <c r="Q414" s="144" t="n"/>
    </row>
    <row r="415">
      <c r="A415" s="375" t="n"/>
      <c r="B415" s="376" t="n"/>
      <c r="C415" s="376" t="n"/>
      <c r="D415" s="376" t="n"/>
      <c r="E415" s="376" t="n"/>
      <c r="F415" s="93" t="n"/>
      <c r="G415" s="94" t="n"/>
      <c r="H415" s="95" t="n"/>
      <c r="I415" s="376" t="n"/>
      <c r="J415" s="376" t="n"/>
      <c r="K415" s="94" t="n"/>
      <c r="L415" s="94" t="n"/>
      <c r="M415" s="94" t="n"/>
      <c r="P415" s="143" t="n"/>
      <c r="Q415" s="144" t="n"/>
    </row>
    <row r="416">
      <c r="A416" s="375" t="n"/>
      <c r="B416" s="376" t="n"/>
      <c r="C416" s="376" t="n"/>
      <c r="D416" s="376" t="n"/>
      <c r="E416" s="376" t="n"/>
      <c r="F416" s="93" t="n"/>
      <c r="G416" s="94" t="n"/>
      <c r="H416" s="95" t="n"/>
      <c r="I416" s="376" t="n"/>
      <c r="J416" s="376" t="n"/>
      <c r="K416" s="94" t="n"/>
      <c r="L416" s="94" t="n"/>
      <c r="M416" s="94" t="n"/>
      <c r="P416" s="143" t="n"/>
      <c r="Q416" s="144" t="n"/>
    </row>
    <row r="417">
      <c r="A417" s="375" t="n"/>
      <c r="B417" s="376" t="n"/>
      <c r="C417" s="376" t="n"/>
      <c r="D417" s="376" t="n"/>
      <c r="E417" s="376" t="n"/>
      <c r="F417" s="93" t="n"/>
      <c r="G417" s="94" t="n"/>
      <c r="H417" s="95" t="n"/>
      <c r="I417" s="376" t="n"/>
      <c r="J417" s="376" t="n"/>
      <c r="K417" s="94" t="n"/>
      <c r="L417" s="94" t="n"/>
      <c r="M417" s="94" t="n"/>
      <c r="P417" s="143" t="n"/>
      <c r="Q417" s="144" t="n"/>
    </row>
    <row r="418">
      <c r="A418" s="375" t="n"/>
      <c r="B418" s="376" t="n"/>
      <c r="C418" s="376" t="n"/>
      <c r="D418" s="376" t="n"/>
      <c r="E418" s="376" t="n"/>
      <c r="F418" s="93" t="n"/>
      <c r="G418" s="94" t="n"/>
      <c r="H418" s="95" t="n"/>
      <c r="I418" s="376" t="n"/>
      <c r="J418" s="376" t="n"/>
      <c r="K418" s="94" t="n"/>
      <c r="L418" s="94" t="n"/>
      <c r="M418" s="94" t="n"/>
      <c r="P418" s="143" t="n"/>
      <c r="Q418" s="144" t="n"/>
    </row>
    <row r="419">
      <c r="A419" s="375" t="n"/>
      <c r="B419" s="376" t="n"/>
      <c r="C419" s="376" t="n"/>
      <c r="D419" s="376" t="n"/>
      <c r="E419" s="376" t="n"/>
      <c r="F419" s="93" t="n"/>
      <c r="G419" s="94" t="n"/>
      <c r="H419" s="95" t="n"/>
      <c r="I419" s="376" t="n"/>
      <c r="J419" s="376" t="n"/>
      <c r="K419" s="94" t="n"/>
      <c r="L419" s="94" t="n"/>
      <c r="M419" s="94" t="n"/>
      <c r="P419" s="143" t="n"/>
      <c r="Q419" s="144" t="n"/>
    </row>
    <row r="420">
      <c r="A420" s="375" t="n"/>
      <c r="B420" s="376" t="n"/>
      <c r="C420" s="376" t="n"/>
      <c r="D420" s="376" t="n"/>
      <c r="E420" s="376" t="n"/>
      <c r="F420" s="93" t="n"/>
      <c r="G420" s="94" t="n"/>
      <c r="H420" s="95" t="n"/>
      <c r="I420" s="376" t="n"/>
      <c r="J420" s="376" t="n"/>
      <c r="K420" s="94" t="n"/>
      <c r="L420" s="94" t="n"/>
      <c r="M420" s="94" t="n"/>
      <c r="P420" s="143" t="n"/>
      <c r="Q420" s="144" t="n"/>
    </row>
    <row r="421">
      <c r="A421" s="375" t="n"/>
      <c r="B421" s="376" t="n"/>
      <c r="C421" s="376" t="n"/>
      <c r="D421" s="376" t="n"/>
      <c r="E421" s="376" t="n"/>
      <c r="F421" s="93" t="n"/>
      <c r="G421" s="94" t="n"/>
      <c r="H421" s="95" t="n"/>
      <c r="I421" s="376" t="n"/>
      <c r="J421" s="376" t="n"/>
      <c r="K421" s="94" t="n"/>
      <c r="L421" s="94" t="n"/>
      <c r="M421" s="94" t="n"/>
      <c r="P421" s="143" t="n"/>
      <c r="Q421" s="144" t="n"/>
    </row>
    <row r="422">
      <c r="A422" s="375" t="n"/>
      <c r="B422" s="376" t="n"/>
      <c r="C422" s="376" t="n"/>
      <c r="D422" s="376" t="n"/>
      <c r="E422" s="376" t="n"/>
      <c r="F422" s="93" t="n"/>
      <c r="G422" s="94" t="n"/>
      <c r="H422" s="95" t="n"/>
      <c r="I422" s="376" t="n"/>
      <c r="J422" s="376" t="n"/>
      <c r="K422" s="94" t="n"/>
      <c r="L422" s="94" t="n"/>
      <c r="M422" s="94" t="n"/>
      <c r="P422" s="143" t="n"/>
      <c r="Q422" s="144" t="n"/>
    </row>
    <row r="423">
      <c r="A423" s="375" t="n"/>
      <c r="B423" s="376" t="n"/>
      <c r="C423" s="376" t="n"/>
      <c r="D423" s="376" t="n"/>
      <c r="E423" s="376" t="n"/>
      <c r="F423" s="93" t="n"/>
      <c r="G423" s="94" t="n"/>
      <c r="H423" s="95" t="n"/>
      <c r="I423" s="376" t="n"/>
      <c r="J423" s="376" t="n"/>
      <c r="K423" s="94" t="n"/>
      <c r="L423" s="94" t="n"/>
      <c r="M423" s="94" t="n"/>
      <c r="P423" s="143" t="n"/>
      <c r="Q423" s="144" t="n"/>
    </row>
    <row r="424">
      <c r="A424" s="375" t="n"/>
      <c r="B424" s="376" t="n"/>
      <c r="C424" s="376" t="n"/>
      <c r="D424" s="376" t="n"/>
      <c r="E424" s="376" t="n"/>
      <c r="F424" s="93" t="n"/>
      <c r="G424" s="94" t="n"/>
      <c r="H424" s="95" t="n"/>
      <c r="I424" s="376" t="n"/>
      <c r="J424" s="376" t="n"/>
      <c r="K424" s="94" t="n"/>
      <c r="L424" s="94" t="n"/>
      <c r="M424" s="94" t="n"/>
      <c r="P424" s="143" t="n"/>
      <c r="Q424" s="144" t="n"/>
    </row>
    <row r="425">
      <c r="A425" s="375" t="n"/>
      <c r="B425" s="376" t="n"/>
      <c r="C425" s="376" t="n"/>
      <c r="D425" s="376" t="n"/>
      <c r="E425" s="376" t="n"/>
      <c r="F425" s="93" t="n"/>
      <c r="G425" s="94" t="n"/>
      <c r="H425" s="95" t="n"/>
      <c r="I425" s="376" t="n"/>
      <c r="J425" s="376" t="n"/>
      <c r="K425" s="94" t="n"/>
      <c r="L425" s="94" t="n"/>
      <c r="M425" s="94" t="n"/>
      <c r="P425" s="143" t="n"/>
      <c r="Q425" s="144" t="n"/>
    </row>
    <row r="426">
      <c r="A426" s="375" t="n"/>
      <c r="B426" s="376" t="n"/>
      <c r="C426" s="376" t="n"/>
      <c r="D426" s="376" t="n"/>
      <c r="E426" s="376" t="n"/>
      <c r="F426" s="93" t="n"/>
      <c r="G426" s="94" t="n"/>
      <c r="H426" s="95" t="n"/>
      <c r="I426" s="376" t="n"/>
      <c r="J426" s="376" t="n"/>
      <c r="K426" s="94" t="n"/>
      <c r="L426" s="94" t="n"/>
      <c r="M426" s="94" t="n"/>
      <c r="P426" s="143" t="n"/>
      <c r="Q426" s="144" t="n"/>
    </row>
    <row r="427">
      <c r="A427" s="375" t="n"/>
      <c r="B427" s="376" t="n"/>
      <c r="C427" s="376" t="n"/>
      <c r="D427" s="376" t="n"/>
      <c r="E427" s="376" t="n"/>
      <c r="F427" s="93" t="n"/>
      <c r="G427" s="94" t="n"/>
      <c r="H427" s="95" t="n"/>
      <c r="I427" s="376" t="n"/>
      <c r="J427" s="376" t="n"/>
      <c r="K427" s="94" t="n"/>
      <c r="L427" s="94" t="n"/>
      <c r="M427" s="94" t="n"/>
      <c r="P427" s="143" t="n"/>
      <c r="Q427" s="144" t="n"/>
    </row>
    <row r="428">
      <c r="A428" s="375" t="n"/>
      <c r="B428" s="376" t="n"/>
      <c r="C428" s="376" t="n"/>
      <c r="D428" s="376" t="n"/>
      <c r="E428" s="376" t="n"/>
      <c r="F428" s="93" t="n"/>
      <c r="G428" s="94" t="n"/>
      <c r="H428" s="95" t="n"/>
      <c r="I428" s="376" t="n"/>
      <c r="J428" s="376" t="n"/>
      <c r="K428" s="94" t="n"/>
      <c r="L428" s="94" t="n"/>
      <c r="M428" s="94" t="n"/>
      <c r="P428" s="143" t="n"/>
      <c r="Q428" s="144" t="n"/>
    </row>
    <row r="429">
      <c r="A429" s="375" t="n"/>
      <c r="B429" s="376" t="n"/>
      <c r="C429" s="376" t="n"/>
      <c r="D429" s="376" t="n"/>
      <c r="E429" s="376" t="n"/>
      <c r="F429" s="93" t="n"/>
      <c r="G429" s="94" t="n"/>
      <c r="H429" s="95" t="n"/>
      <c r="I429" s="376" t="n"/>
      <c r="J429" s="376" t="n"/>
      <c r="K429" s="94" t="n"/>
      <c r="L429" s="94" t="n"/>
      <c r="M429" s="94" t="n"/>
      <c r="P429" s="143" t="n"/>
      <c r="Q429" s="144" t="n"/>
    </row>
    <row r="430">
      <c r="A430" s="375" t="n"/>
      <c r="B430" s="376" t="n"/>
      <c r="C430" s="376" t="n"/>
      <c r="D430" s="376" t="n"/>
      <c r="E430" s="376" t="n"/>
      <c r="F430" s="93" t="n"/>
      <c r="G430" s="94" t="n"/>
      <c r="H430" s="95" t="n"/>
      <c r="I430" s="376" t="n"/>
      <c r="J430" s="376" t="n"/>
      <c r="K430" s="94" t="n"/>
      <c r="L430" s="94" t="n"/>
      <c r="M430" s="94" t="n"/>
      <c r="P430" s="143" t="n"/>
      <c r="Q430" s="144" t="n"/>
    </row>
    <row r="431">
      <c r="A431" s="375" t="n"/>
      <c r="B431" s="376" t="n"/>
      <c r="C431" s="376" t="n"/>
      <c r="D431" s="376" t="n"/>
      <c r="E431" s="376" t="n"/>
      <c r="F431" s="93" t="n"/>
      <c r="G431" s="94" t="n"/>
      <c r="H431" s="95" t="n"/>
      <c r="I431" s="376" t="n"/>
      <c r="J431" s="376" t="n"/>
      <c r="K431" s="94" t="n"/>
      <c r="L431" s="94" t="n"/>
      <c r="M431" s="94" t="n"/>
      <c r="P431" s="143" t="n"/>
      <c r="Q431" s="144" t="n"/>
    </row>
    <row r="432">
      <c r="A432" s="375" t="n"/>
      <c r="B432" s="376" t="n"/>
      <c r="C432" s="376" t="n"/>
      <c r="D432" s="376" t="n"/>
      <c r="E432" s="376" t="n"/>
      <c r="F432" s="93" t="n"/>
      <c r="G432" s="94" t="n"/>
      <c r="H432" s="95" t="n"/>
      <c r="I432" s="376" t="n"/>
      <c r="J432" s="376" t="n"/>
      <c r="K432" s="94" t="n"/>
      <c r="L432" s="94" t="n"/>
      <c r="M432" s="94" t="n"/>
      <c r="P432" s="143" t="n"/>
      <c r="Q432" s="144" t="n"/>
    </row>
    <row r="433">
      <c r="A433" s="375" t="n"/>
      <c r="B433" s="376" t="n"/>
      <c r="C433" s="376" t="n"/>
      <c r="D433" s="376" t="n"/>
      <c r="E433" s="376" t="n"/>
      <c r="F433" s="93" t="n"/>
      <c r="G433" s="94" t="n"/>
      <c r="H433" s="95" t="n"/>
      <c r="I433" s="376" t="n"/>
      <c r="J433" s="376" t="n"/>
      <c r="K433" s="94" t="n"/>
      <c r="L433" s="94" t="n"/>
      <c r="M433" s="94" t="n"/>
      <c r="P433" s="143" t="n"/>
      <c r="Q433" s="144" t="n"/>
    </row>
    <row r="434">
      <c r="A434" s="375" t="n"/>
      <c r="B434" s="376" t="n"/>
      <c r="C434" s="376" t="n"/>
      <c r="D434" s="376" t="n"/>
      <c r="E434" s="376" t="n"/>
      <c r="F434" s="93" t="n"/>
      <c r="G434" s="94" t="n"/>
      <c r="H434" s="95" t="n"/>
      <c r="I434" s="376" t="n"/>
      <c r="J434" s="376" t="n"/>
      <c r="K434" s="94" t="n"/>
      <c r="L434" s="94" t="n"/>
      <c r="M434" s="94" t="n"/>
      <c r="P434" s="143" t="n"/>
      <c r="Q434" s="144" t="n"/>
    </row>
    <row r="435">
      <c r="A435" s="375" t="n"/>
      <c r="B435" s="376" t="n"/>
      <c r="C435" s="376" t="n"/>
      <c r="D435" s="376" t="n"/>
      <c r="E435" s="376" t="n"/>
      <c r="F435" s="93" t="n"/>
      <c r="G435" s="94" t="n"/>
      <c r="H435" s="95" t="n"/>
      <c r="I435" s="376" t="n"/>
      <c r="J435" s="376" t="n"/>
      <c r="K435" s="94" t="n"/>
      <c r="L435" s="94" t="n"/>
      <c r="M435" s="94" t="n"/>
      <c r="P435" s="143" t="n"/>
      <c r="Q435" s="144" t="n"/>
    </row>
    <row r="436">
      <c r="A436" s="375" t="n"/>
      <c r="B436" s="376" t="n"/>
      <c r="C436" s="376" t="n"/>
      <c r="D436" s="376" t="n"/>
      <c r="E436" s="376" t="n"/>
      <c r="F436" s="93" t="n"/>
      <c r="G436" s="94" t="n"/>
      <c r="H436" s="95" t="n"/>
      <c r="I436" s="376" t="n"/>
      <c r="J436" s="376" t="n"/>
      <c r="K436" s="94" t="n"/>
      <c r="L436" s="94" t="n"/>
      <c r="M436" s="94" t="n"/>
      <c r="P436" s="143" t="n"/>
      <c r="Q436" s="144" t="n"/>
    </row>
    <row r="437">
      <c r="A437" s="375" t="n"/>
      <c r="B437" s="376" t="n"/>
      <c r="C437" s="376" t="n"/>
      <c r="D437" s="376" t="n"/>
      <c r="E437" s="376" t="n"/>
      <c r="F437" s="93" t="n"/>
      <c r="G437" s="94" t="n"/>
      <c r="H437" s="95" t="n"/>
      <c r="I437" s="376" t="n"/>
      <c r="J437" s="376" t="n"/>
      <c r="K437" s="94" t="n"/>
      <c r="L437" s="94" t="n"/>
      <c r="M437" s="94" t="n"/>
      <c r="P437" s="143" t="n"/>
      <c r="Q437" s="144" t="n"/>
    </row>
    <row r="438">
      <c r="A438" s="375" t="n"/>
      <c r="B438" s="376" t="n"/>
      <c r="C438" s="376" t="n"/>
      <c r="D438" s="376" t="n"/>
      <c r="E438" s="376" t="n"/>
      <c r="F438" s="93" t="n"/>
      <c r="G438" s="94" t="n"/>
      <c r="H438" s="95" t="n"/>
      <c r="I438" s="376" t="n"/>
      <c r="J438" s="376" t="n"/>
      <c r="K438" s="94" t="n"/>
      <c r="L438" s="94" t="n"/>
      <c r="M438" s="94" t="n"/>
      <c r="P438" s="143" t="n"/>
      <c r="Q438" s="144" t="n"/>
    </row>
    <row r="439">
      <c r="A439" s="375" t="n"/>
      <c r="B439" s="376" t="n"/>
      <c r="C439" s="376" t="n"/>
      <c r="D439" s="376" t="n"/>
      <c r="E439" s="376" t="n"/>
      <c r="F439" s="93" t="n"/>
      <c r="G439" s="94" t="n"/>
      <c r="H439" s="95" t="n"/>
      <c r="I439" s="376" t="n"/>
      <c r="J439" s="376" t="n"/>
      <c r="K439" s="94" t="n"/>
      <c r="L439" s="94" t="n"/>
      <c r="M439" s="94" t="n"/>
      <c r="P439" s="143" t="n"/>
      <c r="Q439" s="144" t="n"/>
    </row>
    <row r="440">
      <c r="A440" s="375" t="n"/>
      <c r="B440" s="376" t="n"/>
      <c r="C440" s="376" t="n"/>
      <c r="D440" s="376" t="n"/>
      <c r="E440" s="376" t="n"/>
      <c r="F440" s="93" t="n"/>
      <c r="G440" s="94" t="n"/>
      <c r="H440" s="95" t="n"/>
      <c r="I440" s="376" t="n"/>
      <c r="J440" s="376" t="n"/>
      <c r="K440" s="94" t="n"/>
      <c r="L440" s="94" t="n"/>
      <c r="M440" s="94" t="n"/>
      <c r="P440" s="143" t="n"/>
      <c r="Q440" s="144" t="n"/>
    </row>
    <row r="441">
      <c r="A441" s="375" t="n"/>
      <c r="B441" s="376" t="n"/>
      <c r="C441" s="376" t="n"/>
      <c r="D441" s="376" t="n"/>
      <c r="E441" s="376" t="n"/>
      <c r="F441" s="93" t="n"/>
      <c r="G441" s="94" t="n"/>
      <c r="H441" s="95" t="n"/>
      <c r="I441" s="376" t="n"/>
      <c r="J441" s="376" t="n"/>
      <c r="K441" s="94" t="n"/>
      <c r="L441" s="94" t="n"/>
      <c r="M441" s="94" t="n"/>
      <c r="P441" s="143" t="n"/>
      <c r="Q441" s="144" t="n"/>
    </row>
    <row r="442">
      <c r="A442" s="375" t="n"/>
      <c r="B442" s="376" t="n"/>
      <c r="C442" s="376" t="n"/>
      <c r="D442" s="376" t="n"/>
      <c r="E442" s="376" t="n"/>
      <c r="F442" s="93" t="n"/>
      <c r="G442" s="94" t="n"/>
      <c r="H442" s="95" t="n"/>
      <c r="I442" s="376" t="n"/>
      <c r="J442" s="376" t="n"/>
      <c r="K442" s="94" t="n"/>
      <c r="L442" s="94" t="n"/>
      <c r="M442" s="94" t="n"/>
      <c r="P442" s="143" t="n"/>
      <c r="Q442" s="144" t="n"/>
    </row>
    <row r="443">
      <c r="A443" s="375" t="n"/>
      <c r="B443" s="376" t="n"/>
      <c r="C443" s="376" t="n"/>
      <c r="D443" s="376" t="n"/>
      <c r="E443" s="376" t="n"/>
      <c r="F443" s="93" t="n"/>
      <c r="G443" s="94" t="n"/>
      <c r="H443" s="95" t="n"/>
      <c r="I443" s="376" t="n"/>
      <c r="J443" s="376" t="n"/>
      <c r="K443" s="94" t="n"/>
      <c r="L443" s="94" t="n"/>
      <c r="M443" s="94" t="n"/>
      <c r="P443" s="143" t="n"/>
      <c r="Q443" s="144" t="n"/>
    </row>
    <row r="444">
      <c r="A444" s="375" t="n"/>
      <c r="B444" s="376" t="n"/>
      <c r="C444" s="376" t="n"/>
      <c r="D444" s="376" t="n"/>
      <c r="E444" s="376" t="n"/>
      <c r="F444" s="93" t="n"/>
      <c r="G444" s="94" t="n"/>
      <c r="H444" s="95" t="n"/>
      <c r="I444" s="376" t="n"/>
      <c r="J444" s="376" t="n"/>
      <c r="K444" s="94" t="n"/>
      <c r="L444" s="94" t="n"/>
      <c r="M444" s="94" t="n"/>
      <c r="P444" s="143" t="n"/>
      <c r="Q444" s="144" t="n"/>
    </row>
    <row r="445">
      <c r="A445" s="375" t="n"/>
      <c r="B445" s="376" t="n"/>
      <c r="C445" s="376" t="n"/>
      <c r="D445" s="376" t="n"/>
      <c r="E445" s="376" t="n"/>
      <c r="F445" s="93" t="n"/>
      <c r="G445" s="94" t="n"/>
      <c r="H445" s="95" t="n"/>
      <c r="I445" s="376" t="n"/>
      <c r="J445" s="376" t="n"/>
      <c r="K445" s="94" t="n"/>
      <c r="L445" s="94" t="n"/>
      <c r="M445" s="94" t="n"/>
      <c r="P445" s="143" t="n"/>
      <c r="Q445" s="144" t="n"/>
    </row>
    <row r="446">
      <c r="A446" s="375" t="n"/>
      <c r="B446" s="376" t="n"/>
      <c r="C446" s="376" t="n"/>
      <c r="D446" s="376" t="n"/>
      <c r="E446" s="376" t="n"/>
      <c r="F446" s="93" t="n"/>
      <c r="G446" s="94" t="n"/>
      <c r="H446" s="95" t="n"/>
      <c r="I446" s="376" t="n"/>
      <c r="J446" s="376" t="n"/>
      <c r="K446" s="94" t="n"/>
      <c r="L446" s="94" t="n"/>
      <c r="M446" s="94" t="n"/>
      <c r="P446" s="143" t="n"/>
      <c r="Q446" s="144" t="n"/>
    </row>
    <row r="447">
      <c r="A447" s="375" t="n"/>
      <c r="B447" s="376" t="n"/>
      <c r="C447" s="376" t="n"/>
      <c r="D447" s="376" t="n"/>
      <c r="E447" s="376" t="n"/>
      <c r="F447" s="93" t="n"/>
      <c r="G447" s="94" t="n"/>
      <c r="H447" s="95" t="n"/>
      <c r="I447" s="376" t="n"/>
      <c r="J447" s="376" t="n"/>
      <c r="K447" s="94" t="n"/>
      <c r="L447" s="94" t="n"/>
      <c r="M447" s="94" t="n"/>
      <c r="P447" s="143" t="n"/>
      <c r="Q447" s="144" t="n"/>
    </row>
    <row r="448">
      <c r="A448" s="375" t="n"/>
      <c r="B448" s="376" t="n"/>
      <c r="C448" s="376" t="n"/>
      <c r="D448" s="376" t="n"/>
      <c r="E448" s="376" t="n"/>
      <c r="F448" s="93" t="n"/>
      <c r="G448" s="94" t="n"/>
      <c r="H448" s="95" t="n"/>
      <c r="I448" s="376" t="n"/>
      <c r="J448" s="376" t="n"/>
      <c r="K448" s="94" t="n"/>
      <c r="L448" s="94" t="n"/>
      <c r="M448" s="94" t="n"/>
      <c r="P448" s="143" t="n"/>
      <c r="Q448" s="144" t="n"/>
    </row>
    <row r="449">
      <c r="A449" s="375" t="n"/>
      <c r="B449" s="376" t="n"/>
      <c r="C449" s="376" t="n"/>
      <c r="D449" s="376" t="n"/>
      <c r="E449" s="376" t="n"/>
      <c r="F449" s="93" t="n"/>
      <c r="G449" s="94" t="n"/>
      <c r="H449" s="95" t="n"/>
      <c r="I449" s="376" t="n"/>
      <c r="J449" s="376" t="n"/>
      <c r="K449" s="94" t="n"/>
      <c r="L449" s="94" t="n"/>
      <c r="M449" s="94" t="n"/>
      <c r="P449" s="143" t="n"/>
      <c r="Q449" s="144" t="n"/>
    </row>
    <row r="450">
      <c r="A450" s="375" t="n"/>
      <c r="B450" s="376" t="n"/>
      <c r="C450" s="376" t="n"/>
      <c r="D450" s="376" t="n"/>
      <c r="E450" s="376" t="n"/>
      <c r="F450" s="93" t="n"/>
      <c r="G450" s="94" t="n"/>
      <c r="H450" s="95" t="n"/>
      <c r="I450" s="376" t="n"/>
      <c r="J450" s="376" t="n"/>
      <c r="K450" s="94" t="n"/>
      <c r="L450" s="94" t="n"/>
      <c r="M450" s="94" t="n"/>
      <c r="P450" s="143" t="n"/>
      <c r="Q450" s="144" t="n"/>
    </row>
    <row r="451">
      <c r="A451" s="375" t="n"/>
      <c r="B451" s="376" t="n"/>
      <c r="C451" s="376" t="n"/>
      <c r="D451" s="376" t="n"/>
      <c r="E451" s="376" t="n"/>
      <c r="F451" s="93" t="n"/>
      <c r="G451" s="94" t="n"/>
      <c r="H451" s="95" t="n"/>
      <c r="I451" s="376" t="n"/>
      <c r="J451" s="376" t="n"/>
      <c r="K451" s="94" t="n"/>
      <c r="L451" s="94" t="n"/>
      <c r="M451" s="94" t="n"/>
      <c r="P451" s="143" t="n"/>
      <c r="Q451" s="144" t="n"/>
    </row>
    <row r="452">
      <c r="A452" s="375" t="n"/>
      <c r="B452" s="376" t="n"/>
      <c r="C452" s="376" t="n"/>
      <c r="D452" s="376" t="n"/>
      <c r="E452" s="376" t="n"/>
      <c r="F452" s="93" t="n"/>
      <c r="G452" s="94" t="n"/>
      <c r="H452" s="95" t="n"/>
      <c r="I452" s="376" t="n"/>
      <c r="J452" s="376" t="n"/>
      <c r="K452" s="94" t="n"/>
      <c r="L452" s="94" t="n"/>
      <c r="M452" s="94" t="n"/>
      <c r="P452" s="143" t="n"/>
      <c r="Q452" s="144" t="n"/>
    </row>
    <row r="453">
      <c r="A453" s="375" t="n"/>
      <c r="B453" s="376" t="n"/>
      <c r="C453" s="376" t="n"/>
      <c r="D453" s="376" t="n"/>
      <c r="E453" s="376" t="n"/>
      <c r="F453" s="93" t="n"/>
      <c r="G453" s="94" t="n"/>
      <c r="H453" s="95" t="n"/>
      <c r="I453" s="376" t="n"/>
      <c r="J453" s="376" t="n"/>
      <c r="K453" s="94" t="n"/>
      <c r="L453" s="94" t="n"/>
      <c r="M453" s="94" t="n"/>
      <c r="P453" s="143" t="n"/>
      <c r="Q453" s="144" t="n"/>
    </row>
    <row r="454">
      <c r="A454" s="375" t="n"/>
      <c r="B454" s="376" t="n"/>
      <c r="C454" s="376" t="n"/>
      <c r="D454" s="376" t="n"/>
      <c r="E454" s="376" t="n"/>
      <c r="F454" s="93" t="n"/>
      <c r="G454" s="94" t="n"/>
      <c r="H454" s="95" t="n"/>
      <c r="I454" s="376" t="n"/>
      <c r="J454" s="376" t="n"/>
      <c r="K454" s="94" t="n"/>
      <c r="L454" s="94" t="n"/>
      <c r="M454" s="94" t="n"/>
      <c r="P454" s="143" t="n"/>
      <c r="Q454" s="144" t="n"/>
    </row>
    <row r="455">
      <c r="A455" s="375" t="n"/>
      <c r="B455" s="376" t="n"/>
      <c r="C455" s="376" t="n"/>
      <c r="D455" s="376" t="n"/>
      <c r="E455" s="376" t="n"/>
      <c r="F455" s="93" t="n"/>
      <c r="G455" s="94" t="n"/>
      <c r="H455" s="95" t="n"/>
      <c r="I455" s="376" t="n"/>
      <c r="J455" s="376" t="n"/>
      <c r="K455" s="94" t="n"/>
      <c r="L455" s="94" t="n"/>
      <c r="M455" s="94" t="n"/>
      <c r="P455" s="143" t="n"/>
      <c r="Q455" s="144" t="n"/>
    </row>
    <row r="456">
      <c r="A456" s="375" t="n"/>
      <c r="B456" s="376" t="n"/>
      <c r="C456" s="376" t="n"/>
      <c r="D456" s="376" t="n"/>
      <c r="E456" s="376" t="n"/>
      <c r="F456" s="93" t="n"/>
      <c r="G456" s="94" t="n"/>
      <c r="H456" s="95" t="n"/>
      <c r="I456" s="376" t="n"/>
      <c r="J456" s="376" t="n"/>
      <c r="K456" s="94" t="n"/>
      <c r="L456" s="94" t="n"/>
      <c r="M456" s="94" t="n"/>
      <c r="P456" s="143" t="n"/>
      <c r="Q456" s="144" t="n"/>
    </row>
    <row r="457">
      <c r="A457" s="375" t="n"/>
      <c r="B457" s="376" t="n"/>
      <c r="C457" s="376" t="n"/>
      <c r="D457" s="376" t="n"/>
      <c r="E457" s="376" t="n"/>
      <c r="F457" s="93" t="n"/>
      <c r="G457" s="94" t="n"/>
      <c r="H457" s="95" t="n"/>
      <c r="I457" s="376" t="n"/>
      <c r="J457" s="376" t="n"/>
      <c r="K457" s="94" t="n"/>
      <c r="L457" s="94" t="n"/>
      <c r="M457" s="94" t="n"/>
      <c r="P457" s="143" t="n"/>
      <c r="Q457" s="144" t="n"/>
    </row>
    <row r="458">
      <c r="A458" s="375" t="n"/>
      <c r="B458" s="376" t="n"/>
      <c r="C458" s="376" t="n"/>
      <c r="D458" s="376" t="n"/>
      <c r="E458" s="376" t="n"/>
      <c r="F458" s="93" t="n"/>
      <c r="G458" s="94" t="n"/>
      <c r="H458" s="95" t="n"/>
      <c r="I458" s="376" t="n"/>
      <c r="J458" s="376" t="n"/>
      <c r="K458" s="94" t="n"/>
      <c r="L458" s="94" t="n"/>
      <c r="M458" s="94" t="n"/>
      <c r="P458" s="143" t="n"/>
      <c r="Q458" s="144" t="n"/>
    </row>
    <row r="459">
      <c r="A459" s="375" t="n"/>
      <c r="B459" s="376" t="n"/>
      <c r="C459" s="376" t="n"/>
      <c r="D459" s="376" t="n"/>
      <c r="E459" s="376" t="n"/>
      <c r="F459" s="93" t="n"/>
      <c r="G459" s="94" t="n"/>
      <c r="H459" s="95" t="n"/>
      <c r="I459" s="376" t="n"/>
      <c r="J459" s="376" t="n"/>
      <c r="K459" s="94" t="n"/>
      <c r="L459" s="94" t="n"/>
      <c r="M459" s="94" t="n"/>
      <c r="P459" s="143" t="n"/>
      <c r="Q459" s="144" t="n"/>
    </row>
    <row r="460">
      <c r="A460" s="375" t="n"/>
      <c r="B460" s="376" t="n"/>
      <c r="C460" s="376" t="n"/>
      <c r="D460" s="376" t="n"/>
      <c r="E460" s="376" t="n"/>
      <c r="F460" s="93" t="n"/>
      <c r="G460" s="94" t="n"/>
      <c r="H460" s="95" t="n"/>
      <c r="I460" s="376" t="n"/>
      <c r="J460" s="376" t="n"/>
      <c r="K460" s="94" t="n"/>
      <c r="L460" s="94" t="n"/>
      <c r="M460" s="94" t="n"/>
      <c r="P460" s="143" t="n"/>
      <c r="Q460" s="144" t="n"/>
    </row>
    <row r="461">
      <c r="A461" s="375" t="n"/>
      <c r="B461" s="376" t="n"/>
      <c r="C461" s="376" t="n"/>
      <c r="D461" s="376" t="n"/>
      <c r="E461" s="376" t="n"/>
      <c r="F461" s="93" t="n"/>
      <c r="G461" s="94" t="n"/>
      <c r="H461" s="95" t="n"/>
      <c r="I461" s="376" t="n"/>
      <c r="J461" s="376" t="n"/>
      <c r="K461" s="94" t="n"/>
      <c r="L461" s="94" t="n"/>
      <c r="M461" s="94" t="n"/>
      <c r="P461" s="143" t="n"/>
      <c r="Q461" s="144" t="n"/>
    </row>
    <row r="462">
      <c r="A462" s="375" t="n"/>
      <c r="B462" s="376" t="n"/>
      <c r="C462" s="376" t="n"/>
      <c r="D462" s="376" t="n"/>
      <c r="E462" s="376" t="n"/>
      <c r="F462" s="93" t="n"/>
      <c r="G462" s="94" t="n"/>
      <c r="H462" s="95" t="n"/>
      <c r="I462" s="376" t="n"/>
      <c r="J462" s="376" t="n"/>
      <c r="K462" s="94" t="n"/>
      <c r="L462" s="94" t="n"/>
      <c r="M462" s="94" t="n"/>
      <c r="P462" s="143" t="n"/>
      <c r="Q462" s="144" t="n"/>
    </row>
    <row r="463">
      <c r="A463" s="375" t="n"/>
      <c r="B463" s="376" t="n"/>
      <c r="C463" s="376" t="n"/>
      <c r="D463" s="376" t="n"/>
      <c r="E463" s="376" t="n"/>
      <c r="F463" s="93" t="n"/>
      <c r="G463" s="94" t="n"/>
      <c r="H463" s="95" t="n"/>
      <c r="I463" s="376" t="n"/>
      <c r="J463" s="376" t="n"/>
      <c r="K463" s="94" t="n"/>
      <c r="L463" s="94" t="n"/>
      <c r="M463" s="94" t="n"/>
      <c r="P463" s="143" t="n"/>
      <c r="Q463" s="144" t="n"/>
    </row>
    <row r="464">
      <c r="A464" s="375" t="n"/>
      <c r="B464" s="376" t="n"/>
      <c r="C464" s="376" t="n"/>
      <c r="D464" s="376" t="n"/>
      <c r="E464" s="376" t="n"/>
      <c r="F464" s="93" t="n"/>
      <c r="G464" s="94" t="n"/>
      <c r="H464" s="95" t="n"/>
      <c r="I464" s="376" t="n"/>
      <c r="J464" s="376" t="n"/>
      <c r="K464" s="94" t="n"/>
      <c r="L464" s="94" t="n"/>
      <c r="M464" s="94" t="n"/>
      <c r="P464" s="143" t="n"/>
      <c r="Q464" s="144" t="n"/>
    </row>
    <row r="465">
      <c r="A465" s="375" t="n"/>
      <c r="B465" s="376" t="n"/>
      <c r="C465" s="376" t="n"/>
      <c r="D465" s="376" t="n"/>
      <c r="E465" s="376" t="n"/>
      <c r="F465" s="93" t="n"/>
      <c r="G465" s="94" t="n"/>
      <c r="H465" s="95" t="n"/>
      <c r="I465" s="376" t="n"/>
      <c r="J465" s="376" t="n"/>
      <c r="K465" s="94" t="n"/>
      <c r="L465" s="94" t="n"/>
      <c r="M465" s="94" t="n"/>
      <c r="P465" s="143" t="n"/>
      <c r="Q465" s="144" t="n"/>
    </row>
    <row r="466">
      <c r="A466" s="375" t="n"/>
      <c r="B466" s="376" t="n"/>
      <c r="C466" s="376" t="n"/>
      <c r="D466" s="376" t="n"/>
      <c r="E466" s="376" t="n"/>
      <c r="F466" s="93" t="n"/>
      <c r="G466" s="94" t="n"/>
      <c r="H466" s="95" t="n"/>
      <c r="I466" s="376" t="n"/>
      <c r="J466" s="376" t="n"/>
      <c r="K466" s="94" t="n"/>
      <c r="L466" s="94" t="n"/>
      <c r="M466" s="94" t="n"/>
      <c r="P466" s="143" t="n"/>
      <c r="Q466" s="144" t="n"/>
    </row>
    <row r="467">
      <c r="A467" s="375" t="n"/>
      <c r="B467" s="376" t="n"/>
      <c r="C467" s="376" t="n"/>
      <c r="D467" s="376" t="n"/>
      <c r="E467" s="376" t="n"/>
      <c r="F467" s="93" t="n"/>
      <c r="G467" s="94" t="n"/>
      <c r="H467" s="95" t="n"/>
      <c r="I467" s="376" t="n"/>
      <c r="J467" s="376" t="n"/>
      <c r="K467" s="94" t="n"/>
      <c r="L467" s="94" t="n"/>
      <c r="M467" s="94" t="n"/>
      <c r="P467" s="143" t="n"/>
      <c r="Q467" s="144" t="n"/>
    </row>
    <row r="468">
      <c r="A468" s="375" t="n"/>
      <c r="B468" s="376" t="n"/>
      <c r="C468" s="376" t="n"/>
      <c r="D468" s="376" t="n"/>
      <c r="E468" s="376" t="n"/>
      <c r="F468" s="93" t="n"/>
      <c r="G468" s="94" t="n"/>
      <c r="H468" s="95" t="n"/>
      <c r="I468" s="376" t="n"/>
      <c r="J468" s="376" t="n"/>
      <c r="K468" s="94" t="n"/>
      <c r="L468" s="94" t="n"/>
      <c r="M468" s="94" t="n"/>
      <c r="P468" s="143" t="n"/>
      <c r="Q468" s="144" t="n"/>
    </row>
    <row r="469">
      <c r="A469" s="375" t="n"/>
      <c r="B469" s="376" t="n"/>
      <c r="C469" s="376" t="n"/>
      <c r="D469" s="376" t="n"/>
      <c r="E469" s="376" t="n"/>
      <c r="F469" s="93" t="n"/>
      <c r="G469" s="94" t="n"/>
      <c r="H469" s="95" t="n"/>
      <c r="I469" s="376" t="n"/>
      <c r="J469" s="376" t="n"/>
      <c r="K469" s="94" t="n"/>
      <c r="L469" s="94" t="n"/>
      <c r="M469" s="94" t="n"/>
      <c r="P469" s="143" t="n"/>
      <c r="Q469" s="144" t="n"/>
    </row>
    <row r="470">
      <c r="A470" s="375" t="n"/>
      <c r="B470" s="376" t="n"/>
      <c r="C470" s="376" t="n"/>
      <c r="D470" s="376" t="n"/>
      <c r="E470" s="376" t="n"/>
      <c r="F470" s="93" t="n"/>
      <c r="G470" s="94" t="n"/>
      <c r="H470" s="95" t="n"/>
      <c r="I470" s="376" t="n"/>
      <c r="J470" s="376" t="n"/>
      <c r="K470" s="94" t="n"/>
      <c r="L470" s="94" t="n"/>
      <c r="M470" s="94" t="n"/>
      <c r="P470" s="143" t="n"/>
      <c r="Q470" s="144" t="n"/>
    </row>
    <row r="471">
      <c r="A471" s="375" t="n"/>
      <c r="B471" s="376" t="n"/>
      <c r="C471" s="376" t="n"/>
      <c r="D471" s="376" t="n"/>
      <c r="E471" s="376" t="n"/>
      <c r="F471" s="93" t="n"/>
      <c r="G471" s="94" t="n"/>
      <c r="H471" s="95" t="n"/>
      <c r="I471" s="376" t="n"/>
      <c r="J471" s="376" t="n"/>
      <c r="K471" s="94" t="n"/>
      <c r="L471" s="94" t="n"/>
      <c r="M471" s="94" t="n"/>
      <c r="P471" s="143" t="n"/>
      <c r="Q471" s="144" t="n"/>
    </row>
    <row r="472">
      <c r="A472" s="375" t="n"/>
      <c r="B472" s="376" t="n"/>
      <c r="C472" s="376" t="n"/>
      <c r="D472" s="376" t="n"/>
      <c r="E472" s="376" t="n"/>
      <c r="F472" s="93" t="n"/>
      <c r="G472" s="94" t="n"/>
      <c r="H472" s="95" t="n"/>
      <c r="I472" s="376" t="n"/>
      <c r="J472" s="376" t="n"/>
      <c r="K472" s="94" t="n"/>
      <c r="L472" s="94" t="n"/>
      <c r="M472" s="94" t="n"/>
      <c r="P472" s="143" t="n"/>
      <c r="Q472" s="144" t="n"/>
    </row>
    <row r="473">
      <c r="A473" s="375" t="n"/>
      <c r="B473" s="376" t="n"/>
      <c r="C473" s="376" t="n"/>
      <c r="D473" s="376" t="n"/>
      <c r="E473" s="376" t="n"/>
      <c r="F473" s="93" t="n"/>
      <c r="G473" s="94" t="n"/>
      <c r="H473" s="95" t="n"/>
      <c r="I473" s="376" t="n"/>
      <c r="J473" s="376" t="n"/>
      <c r="K473" s="94" t="n"/>
      <c r="L473" s="94" t="n"/>
      <c r="M473" s="94" t="n"/>
      <c r="P473" s="143" t="n"/>
      <c r="Q473" s="144" t="n"/>
    </row>
    <row r="474">
      <c r="A474" s="375" t="n"/>
      <c r="B474" s="376" t="n"/>
      <c r="C474" s="376" t="n"/>
      <c r="D474" s="376" t="n"/>
      <c r="E474" s="376" t="n"/>
      <c r="F474" s="93" t="n"/>
      <c r="G474" s="94" t="n"/>
      <c r="H474" s="95" t="n"/>
      <c r="I474" s="376" t="n"/>
      <c r="J474" s="376" t="n"/>
      <c r="K474" s="94" t="n"/>
      <c r="L474" s="94" t="n"/>
      <c r="M474" s="94" t="n"/>
      <c r="P474" s="143" t="n"/>
      <c r="Q474" s="144" t="n"/>
    </row>
    <row r="475">
      <c r="A475" s="375" t="n"/>
      <c r="B475" s="376" t="n"/>
      <c r="C475" s="376" t="n"/>
      <c r="D475" s="376" t="n"/>
      <c r="E475" s="376" t="n"/>
      <c r="F475" s="93" t="n"/>
      <c r="G475" s="94" t="n"/>
      <c r="H475" s="95" t="n"/>
      <c r="I475" s="376" t="n"/>
      <c r="J475" s="376" t="n"/>
      <c r="K475" s="94" t="n"/>
      <c r="L475" s="94" t="n"/>
      <c r="M475" s="94" t="n"/>
      <c r="P475" s="143" t="n"/>
      <c r="Q475" s="144" t="n"/>
    </row>
    <row r="476">
      <c r="A476" s="375" t="n"/>
      <c r="B476" s="376" t="n"/>
      <c r="C476" s="376" t="n"/>
      <c r="D476" s="376" t="n"/>
      <c r="E476" s="376" t="n"/>
      <c r="F476" s="93" t="n"/>
      <c r="G476" s="94" t="n"/>
      <c r="H476" s="95" t="n"/>
      <c r="I476" s="376" t="n"/>
      <c r="J476" s="376" t="n"/>
      <c r="K476" s="94" t="n"/>
      <c r="L476" s="94" t="n"/>
      <c r="M476" s="94" t="n"/>
      <c r="P476" s="143" t="n"/>
      <c r="Q476" s="144" t="n"/>
    </row>
    <row r="477">
      <c r="A477" s="375" t="n"/>
      <c r="B477" s="376" t="n"/>
      <c r="C477" s="376" t="n"/>
      <c r="D477" s="376" t="n"/>
      <c r="E477" s="376" t="n"/>
      <c r="F477" s="93" t="n"/>
      <c r="G477" s="94" t="n"/>
      <c r="H477" s="95" t="n"/>
      <c r="I477" s="376" t="n"/>
      <c r="J477" s="376" t="n"/>
      <c r="K477" s="94" t="n"/>
      <c r="L477" s="94" t="n"/>
      <c r="M477" s="94" t="n"/>
      <c r="P477" s="143" t="n"/>
      <c r="Q477" s="144" t="n"/>
    </row>
    <row r="478">
      <c r="A478" s="375" t="n"/>
      <c r="B478" s="376" t="n"/>
      <c r="C478" s="376" t="n"/>
      <c r="D478" s="376" t="n"/>
      <c r="E478" s="376" t="n"/>
      <c r="F478" s="93" t="n"/>
      <c r="G478" s="94" t="n"/>
      <c r="H478" s="95" t="n"/>
      <c r="I478" s="376" t="n"/>
      <c r="J478" s="376" t="n"/>
      <c r="K478" s="94" t="n"/>
      <c r="L478" s="94" t="n"/>
      <c r="M478" s="94" t="n"/>
      <c r="P478" s="143" t="n"/>
      <c r="Q478" s="144" t="n"/>
    </row>
    <row r="479">
      <c r="A479" s="375" t="n"/>
      <c r="B479" s="376" t="n"/>
      <c r="C479" s="376" t="n"/>
      <c r="D479" s="376" t="n"/>
      <c r="E479" s="376" t="n"/>
      <c r="F479" s="93" t="n"/>
      <c r="G479" s="94" t="n"/>
      <c r="H479" s="95" t="n"/>
      <c r="I479" s="376" t="n"/>
      <c r="J479" s="376" t="n"/>
      <c r="K479" s="94" t="n"/>
      <c r="L479" s="94" t="n"/>
      <c r="M479" s="94" t="n"/>
      <c r="P479" s="143" t="n"/>
      <c r="Q479" s="144" t="n"/>
    </row>
    <row r="480">
      <c r="A480" s="375" t="n"/>
      <c r="B480" s="376" t="n"/>
      <c r="C480" s="376" t="n"/>
      <c r="D480" s="376" t="n"/>
      <c r="E480" s="376" t="n"/>
      <c r="F480" s="93" t="n"/>
      <c r="G480" s="94" t="n"/>
      <c r="H480" s="95" t="n"/>
      <c r="I480" s="376" t="n"/>
      <c r="J480" s="376" t="n"/>
      <c r="K480" s="94" t="n"/>
      <c r="L480" s="94" t="n"/>
      <c r="M480" s="94" t="n"/>
      <c r="P480" s="143" t="n"/>
      <c r="Q480" s="144" t="n"/>
    </row>
    <row r="481">
      <c r="A481" s="375" t="n"/>
      <c r="B481" s="376" t="n"/>
      <c r="C481" s="376" t="n"/>
      <c r="D481" s="376" t="n"/>
      <c r="E481" s="376" t="n"/>
      <c r="F481" s="93" t="n"/>
      <c r="G481" s="94" t="n"/>
      <c r="H481" s="95" t="n"/>
      <c r="I481" s="376" t="n"/>
      <c r="J481" s="376" t="n"/>
      <c r="K481" s="94" t="n"/>
      <c r="L481" s="94" t="n"/>
      <c r="M481" s="94" t="n"/>
      <c r="P481" s="143" t="n"/>
      <c r="Q481" s="144" t="n"/>
    </row>
    <row r="482">
      <c r="A482" s="375" t="n"/>
      <c r="B482" s="376" t="n"/>
      <c r="C482" s="376" t="n"/>
      <c r="D482" s="376" t="n"/>
      <c r="E482" s="376" t="n"/>
      <c r="F482" s="93" t="n"/>
      <c r="G482" s="94" t="n"/>
      <c r="H482" s="95" t="n"/>
      <c r="I482" s="376" t="n"/>
      <c r="J482" s="376" t="n"/>
      <c r="K482" s="94" t="n"/>
      <c r="L482" s="94" t="n"/>
      <c r="M482" s="94" t="n"/>
      <c r="P482" s="143" t="n"/>
      <c r="Q482" s="144" t="n"/>
    </row>
    <row r="483">
      <c r="A483" s="375" t="n"/>
      <c r="B483" s="376" t="n"/>
      <c r="C483" s="376" t="n"/>
      <c r="D483" s="376" t="n"/>
      <c r="E483" s="376" t="n"/>
      <c r="F483" s="93" t="n"/>
      <c r="G483" s="94" t="n"/>
      <c r="H483" s="95" t="n"/>
      <c r="I483" s="376" t="n"/>
      <c r="J483" s="376" t="n"/>
      <c r="K483" s="94" t="n"/>
      <c r="L483" s="94" t="n"/>
      <c r="M483" s="94" t="n"/>
      <c r="P483" s="143" t="n"/>
      <c r="Q483" s="144" t="n"/>
    </row>
    <row r="484">
      <c r="A484" s="375" t="n"/>
      <c r="B484" s="376" t="n"/>
      <c r="C484" s="376" t="n"/>
      <c r="D484" s="376" t="n"/>
      <c r="E484" s="376" t="n"/>
      <c r="F484" s="93" t="n"/>
      <c r="G484" s="94" t="n"/>
      <c r="H484" s="95" t="n"/>
      <c r="I484" s="376" t="n"/>
      <c r="J484" s="376" t="n"/>
      <c r="K484" s="94" t="n"/>
      <c r="L484" s="94" t="n"/>
      <c r="M484" s="94" t="n"/>
      <c r="P484" s="143" t="n"/>
      <c r="Q484" s="144" t="n"/>
    </row>
    <row r="485">
      <c r="A485" s="375" t="n"/>
      <c r="B485" s="376" t="n"/>
      <c r="C485" s="376" t="n"/>
      <c r="D485" s="376" t="n"/>
      <c r="E485" s="376" t="n"/>
      <c r="F485" s="93" t="n"/>
      <c r="G485" s="94" t="n"/>
      <c r="H485" s="95" t="n"/>
      <c r="I485" s="376" t="n"/>
      <c r="J485" s="376" t="n"/>
      <c r="K485" s="94" t="n"/>
      <c r="L485" s="94" t="n"/>
      <c r="M485" s="94" t="n"/>
      <c r="P485" s="143" t="n"/>
      <c r="Q485" s="144" t="n"/>
    </row>
    <row r="486">
      <c r="A486" s="375" t="n"/>
      <c r="B486" s="376" t="n"/>
      <c r="C486" s="376" t="n"/>
      <c r="D486" s="376" t="n"/>
      <c r="E486" s="376" t="n"/>
      <c r="F486" s="93" t="n"/>
      <c r="G486" s="94" t="n"/>
      <c r="H486" s="95" t="n"/>
      <c r="I486" s="376" t="n"/>
      <c r="J486" s="376" t="n"/>
      <c r="K486" s="94" t="n"/>
      <c r="L486" s="94" t="n"/>
      <c r="M486" s="94" t="n"/>
      <c r="P486" s="143" t="n"/>
      <c r="Q486" s="144" t="n"/>
    </row>
    <row r="487">
      <c r="A487" s="375" t="n"/>
      <c r="B487" s="376" t="n"/>
      <c r="C487" s="376" t="n"/>
      <c r="D487" s="376" t="n"/>
      <c r="E487" s="376" t="n"/>
      <c r="F487" s="93" t="n"/>
      <c r="G487" s="94" t="n"/>
      <c r="H487" s="95" t="n"/>
      <c r="I487" s="376" t="n"/>
      <c r="J487" s="376" t="n"/>
      <c r="K487" s="94" t="n"/>
      <c r="L487" s="94" t="n"/>
      <c r="M487" s="94" t="n"/>
      <c r="P487" s="143" t="n"/>
      <c r="Q487" s="144" t="n"/>
    </row>
    <row r="488">
      <c r="A488" s="375" t="n"/>
      <c r="B488" s="376" t="n"/>
      <c r="C488" s="376" t="n"/>
      <c r="D488" s="376" t="n"/>
      <c r="E488" s="376" t="n"/>
      <c r="F488" s="93" t="n"/>
      <c r="G488" s="94" t="n"/>
      <c r="H488" s="95" t="n"/>
      <c r="I488" s="376" t="n"/>
      <c r="J488" s="376" t="n"/>
      <c r="K488" s="94" t="n"/>
      <c r="L488" s="94" t="n"/>
      <c r="M488" s="94" t="n"/>
      <c r="P488" s="143" t="n"/>
      <c r="Q488" s="144" t="n"/>
    </row>
    <row r="489">
      <c r="A489" s="375" t="n"/>
      <c r="B489" s="376" t="n"/>
      <c r="C489" s="376" t="n"/>
      <c r="D489" s="376" t="n"/>
      <c r="E489" s="376" t="n"/>
      <c r="F489" s="93" t="n"/>
      <c r="G489" s="94" t="n"/>
      <c r="H489" s="95" t="n"/>
      <c r="I489" s="376" t="n"/>
      <c r="J489" s="376" t="n"/>
      <c r="K489" s="94" t="n"/>
      <c r="L489" s="94" t="n"/>
      <c r="M489" s="94" t="n"/>
      <c r="P489" s="143" t="n"/>
      <c r="Q489" s="144" t="n"/>
    </row>
    <row r="490">
      <c r="A490" s="375" t="n"/>
      <c r="B490" s="376" t="n"/>
      <c r="C490" s="376" t="n"/>
      <c r="D490" s="376" t="n"/>
      <c r="E490" s="376" t="n"/>
      <c r="F490" s="93" t="n"/>
      <c r="G490" s="94" t="n"/>
      <c r="H490" s="95" t="n"/>
      <c r="I490" s="376" t="n"/>
      <c r="J490" s="376" t="n"/>
      <c r="K490" s="94" t="n"/>
      <c r="L490" s="94" t="n"/>
      <c r="M490" s="94" t="n"/>
      <c r="P490" s="143" t="n"/>
      <c r="Q490" s="144" t="n"/>
    </row>
    <row r="491">
      <c r="A491" s="375" t="n"/>
      <c r="B491" s="376" t="n"/>
      <c r="C491" s="376" t="n"/>
      <c r="D491" s="376" t="n"/>
      <c r="E491" s="376" t="n"/>
      <c r="F491" s="93" t="n"/>
      <c r="G491" s="94" t="n"/>
      <c r="H491" s="95" t="n"/>
      <c r="I491" s="376" t="n"/>
      <c r="J491" s="376" t="n"/>
      <c r="K491" s="94" t="n"/>
      <c r="L491" s="94" t="n"/>
      <c r="M491" s="94" t="n"/>
      <c r="P491" s="143" t="n"/>
      <c r="Q491" s="144" t="n"/>
    </row>
    <row r="492">
      <c r="A492" s="375" t="n"/>
      <c r="B492" s="376" t="n"/>
      <c r="C492" s="376" t="n"/>
      <c r="D492" s="376" t="n"/>
      <c r="E492" s="376" t="n"/>
      <c r="F492" s="93" t="n"/>
      <c r="G492" s="94" t="n"/>
      <c r="H492" s="95" t="n"/>
      <c r="I492" s="376" t="n"/>
      <c r="J492" s="376" t="n"/>
      <c r="K492" s="94" t="n"/>
      <c r="L492" s="94" t="n"/>
      <c r="M492" s="94" t="n"/>
      <c r="P492" s="143" t="n"/>
      <c r="Q492" s="144" t="n"/>
    </row>
    <row r="493">
      <c r="A493" s="375" t="n"/>
      <c r="B493" s="376" t="n"/>
      <c r="C493" s="376" t="n"/>
      <c r="D493" s="376" t="n"/>
      <c r="E493" s="376" t="n"/>
      <c r="F493" s="93" t="n"/>
      <c r="G493" s="94" t="n"/>
      <c r="H493" s="95" t="n"/>
      <c r="I493" s="376" t="n"/>
      <c r="J493" s="376" t="n"/>
      <c r="K493" s="94" t="n"/>
      <c r="L493" s="94" t="n"/>
      <c r="M493" s="94" t="n"/>
      <c r="P493" s="143" t="n"/>
      <c r="Q493" s="144" t="n"/>
    </row>
    <row r="494">
      <c r="A494" s="375" t="n"/>
      <c r="B494" s="376" t="n"/>
      <c r="C494" s="376" t="n"/>
      <c r="D494" s="376" t="n"/>
      <c r="E494" s="376" t="n"/>
      <c r="F494" s="93" t="n"/>
      <c r="G494" s="94" t="n"/>
      <c r="H494" s="95" t="n"/>
      <c r="I494" s="376" t="n"/>
      <c r="J494" s="376" t="n"/>
      <c r="K494" s="94" t="n"/>
      <c r="L494" s="94" t="n"/>
      <c r="M494" s="94" t="n"/>
      <c r="P494" s="143" t="n"/>
      <c r="Q494" s="144" t="n"/>
    </row>
    <row r="495">
      <c r="A495" s="375" t="n"/>
      <c r="B495" s="376" t="n"/>
      <c r="C495" s="376" t="n"/>
      <c r="D495" s="376" t="n"/>
      <c r="E495" s="376" t="n"/>
      <c r="F495" s="93" t="n"/>
      <c r="G495" s="94" t="n"/>
      <c r="H495" s="95" t="n"/>
      <c r="I495" s="376" t="n"/>
      <c r="J495" s="376" t="n"/>
      <c r="K495" s="94" t="n"/>
      <c r="L495" s="94" t="n"/>
      <c r="M495" s="94" t="n"/>
      <c r="P495" s="143" t="n"/>
      <c r="Q495" s="144" t="n"/>
    </row>
    <row r="496">
      <c r="A496" s="375" t="n"/>
      <c r="B496" s="376" t="n"/>
      <c r="C496" s="376" t="n"/>
      <c r="D496" s="376" t="n"/>
      <c r="E496" s="376" t="n"/>
      <c r="F496" s="93" t="n"/>
      <c r="G496" s="94" t="n"/>
      <c r="H496" s="95" t="n"/>
      <c r="I496" s="376" t="n"/>
      <c r="J496" s="376" t="n"/>
      <c r="K496" s="94" t="n"/>
      <c r="L496" s="94" t="n"/>
      <c r="M496" s="94" t="n"/>
      <c r="P496" s="143" t="n"/>
      <c r="Q496" s="144" t="n"/>
    </row>
    <row r="497">
      <c r="A497" s="375" t="n"/>
      <c r="B497" s="376" t="n"/>
      <c r="C497" s="376" t="n"/>
      <c r="D497" s="376" t="n"/>
      <c r="E497" s="376" t="n"/>
      <c r="F497" s="93" t="n"/>
      <c r="G497" s="94" t="n"/>
      <c r="H497" s="95" t="n"/>
      <c r="I497" s="376" t="n"/>
      <c r="J497" s="376" t="n"/>
      <c r="K497" s="94" t="n"/>
      <c r="L497" s="94" t="n"/>
      <c r="M497" s="94" t="n"/>
      <c r="P497" s="143" t="n"/>
      <c r="Q497" s="144" t="n"/>
    </row>
    <row r="498">
      <c r="A498" s="375" t="n"/>
      <c r="B498" s="376" t="n"/>
      <c r="C498" s="376" t="n"/>
      <c r="D498" s="376" t="n"/>
      <c r="E498" s="376" t="n"/>
      <c r="F498" s="93" t="n"/>
      <c r="G498" s="94" t="n"/>
      <c r="H498" s="95" t="n"/>
      <c r="I498" s="376" t="n"/>
      <c r="J498" s="376" t="n"/>
      <c r="K498" s="94" t="n"/>
      <c r="L498" s="94" t="n"/>
      <c r="M498" s="94" t="n"/>
      <c r="P498" s="143" t="n"/>
      <c r="Q498" s="144" t="n"/>
    </row>
    <row r="499">
      <c r="A499" s="375" t="n"/>
      <c r="B499" s="376" t="n"/>
      <c r="C499" s="376" t="n"/>
      <c r="D499" s="376" t="n"/>
      <c r="E499" s="376" t="n"/>
      <c r="F499" s="93" t="n"/>
      <c r="G499" s="94" t="n"/>
      <c r="H499" s="95" t="n"/>
      <c r="I499" s="376" t="n"/>
      <c r="J499" s="376" t="n"/>
      <c r="K499" s="94" t="n"/>
      <c r="L499" s="94" t="n"/>
      <c r="M499" s="94" t="n"/>
      <c r="P499" s="143" t="n"/>
      <c r="Q499" s="144" t="n"/>
    </row>
    <row r="500">
      <c r="A500" s="375" t="n"/>
      <c r="B500" s="376" t="n"/>
      <c r="C500" s="376" t="n"/>
      <c r="D500" s="376" t="n"/>
      <c r="E500" s="376" t="n"/>
      <c r="F500" s="93" t="n"/>
      <c r="G500" s="94" t="n"/>
      <c r="H500" s="95" t="n"/>
      <c r="I500" s="376" t="n"/>
      <c r="J500" s="376" t="n"/>
      <c r="K500" s="94" t="n"/>
      <c r="L500" s="94" t="n"/>
      <c r="M500" s="94" t="n"/>
      <c r="P500" s="143" t="n"/>
      <c r="Q500" s="144" t="n"/>
    </row>
    <row r="501">
      <c r="A501" s="375" t="n"/>
      <c r="B501" s="376" t="n"/>
      <c r="C501" s="376" t="n"/>
      <c r="D501" s="376" t="n"/>
      <c r="E501" s="376" t="n"/>
      <c r="F501" s="93" t="n"/>
      <c r="G501" s="94" t="n"/>
      <c r="H501" s="95" t="n"/>
      <c r="I501" s="376" t="n"/>
      <c r="J501" s="376" t="n"/>
      <c r="K501" s="94" t="n"/>
      <c r="L501" s="94" t="n"/>
      <c r="M501" s="94" t="n"/>
      <c r="P501" s="143" t="n"/>
      <c r="Q501" s="144" t="n"/>
    </row>
    <row r="502">
      <c r="A502" s="375" t="n"/>
      <c r="B502" s="376" t="n"/>
      <c r="C502" s="376" t="n"/>
      <c r="D502" s="376" t="n"/>
      <c r="E502" s="376" t="n"/>
      <c r="F502" s="93" t="n"/>
      <c r="G502" s="94" t="n"/>
      <c r="H502" s="95" t="n"/>
      <c r="I502" s="376" t="n"/>
      <c r="J502" s="376" t="n"/>
      <c r="K502" s="94" t="n"/>
      <c r="L502" s="94" t="n"/>
      <c r="M502" s="94" t="n"/>
      <c r="P502" s="143" t="n"/>
      <c r="Q502" s="144" t="n"/>
    </row>
    <row r="503">
      <c r="A503" s="375" t="n"/>
      <c r="B503" s="376" t="n"/>
      <c r="C503" s="376" t="n"/>
      <c r="D503" s="376" t="n"/>
      <c r="E503" s="376" t="n"/>
      <c r="F503" s="93" t="n"/>
      <c r="G503" s="94" t="n"/>
      <c r="H503" s="95" t="n"/>
      <c r="I503" s="376" t="n"/>
      <c r="J503" s="376" t="n"/>
      <c r="K503" s="94" t="n"/>
      <c r="L503" s="94" t="n"/>
      <c r="M503" s="94" t="n"/>
      <c r="P503" s="143" t="n"/>
      <c r="Q503" s="144" t="n"/>
    </row>
  </sheetData>
  <autoFilter ref="A1:Q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A6A6A6"/>
    <outlinePr summaryBelow="1" summaryRight="1"/>
    <pageSetUpPr/>
  </sheetPr>
  <dimension ref="A1:G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18" customWidth="1" style="252" min="1" max="1"/>
    <col width="74" customWidth="1" style="252" min="2" max="2"/>
    <col width="20" customWidth="1" style="252" min="3" max="3"/>
    <col width="12" customWidth="1" style="252" min="4" max="4"/>
    <col width="11" customWidth="1" style="252" min="5" max="6"/>
    <col width="14" customWidth="1" style="252" min="7" max="7"/>
  </cols>
  <sheetData>
    <row r="1">
      <c r="A1" s="90" t="inlineStr">
        <is>
          <t>Date</t>
        </is>
      </c>
      <c r="B1" s="90" t="inlineStr">
        <is>
          <t>Headline</t>
        </is>
      </c>
      <c r="C1" s="90" t="inlineStr">
        <is>
          <t>Publisher</t>
        </is>
      </c>
      <c r="D1" s="90" t="inlineStr">
        <is>
          <t>Theme</t>
        </is>
      </c>
      <c r="E1" s="90" t="inlineStr">
        <is>
          <t>Sentiment</t>
        </is>
      </c>
      <c r="F1" s="90" t="inlineStr">
        <is>
          <t>Relevance</t>
        </is>
      </c>
      <c r="G1" s="90" t="inlineStr">
        <is>
          <t>URL</t>
        </is>
      </c>
    </row>
    <row r="2">
      <c r="A2" s="377" t="n"/>
      <c r="B2" s="12" t="n"/>
      <c r="C2" s="12" t="n"/>
      <c r="D2" s="12" t="n"/>
      <c r="E2" s="97" t="n"/>
      <c r="F2" s="98" t="n"/>
      <c r="G2" s="99" t="n"/>
    </row>
    <row r="3">
      <c r="A3" s="378" t="n"/>
      <c r="B3" s="24" t="n"/>
      <c r="C3" s="24" t="n"/>
      <c r="D3" s="24" t="n"/>
      <c r="E3" s="97" t="n"/>
      <c r="F3" s="101" t="n"/>
      <c r="G3" s="102" t="n"/>
    </row>
    <row r="4">
      <c r="A4" s="377" t="n"/>
      <c r="B4" s="12" t="n"/>
      <c r="C4" s="12" t="n"/>
      <c r="D4" s="12" t="n"/>
      <c r="E4" s="97" t="n"/>
      <c r="F4" s="98" t="n"/>
      <c r="G4" s="99" t="n"/>
    </row>
    <row r="5">
      <c r="A5" s="378" t="n"/>
      <c r="B5" s="24" t="n"/>
      <c r="C5" s="24" t="n"/>
      <c r="D5" s="24" t="n"/>
      <c r="E5" s="103" t="n"/>
      <c r="F5" s="101" t="n"/>
      <c r="G5" s="102" t="n"/>
    </row>
    <row r="6">
      <c r="A6" s="377" t="n"/>
      <c r="B6" s="12" t="n"/>
      <c r="C6" s="12" t="n"/>
      <c r="D6" s="12" t="n"/>
      <c r="E6" s="104" t="n"/>
      <c r="F6" s="98" t="n"/>
      <c r="G6" s="99" t="n"/>
    </row>
    <row r="7">
      <c r="A7" s="378" t="n"/>
      <c r="B7" s="24" t="n"/>
      <c r="C7" s="24" t="n"/>
      <c r="D7" s="24" t="n"/>
      <c r="E7" s="97" t="n"/>
      <c r="F7" s="101" t="n"/>
      <c r="G7" s="102" t="n"/>
    </row>
    <row r="8">
      <c r="A8" s="377" t="n"/>
      <c r="B8" s="12" t="n"/>
      <c r="C8" s="12" t="n"/>
      <c r="D8" s="12" t="n"/>
      <c r="E8" s="104" t="n"/>
      <c r="F8" s="98" t="n"/>
      <c r="G8" s="99" t="n"/>
    </row>
    <row r="9">
      <c r="A9" s="378" t="n"/>
      <c r="B9" s="24" t="n"/>
      <c r="C9" s="24" t="n"/>
      <c r="D9" s="24" t="n"/>
      <c r="E9" s="103" t="n"/>
      <c r="F9" s="101" t="n"/>
      <c r="G9" s="102" t="n"/>
    </row>
    <row r="10">
      <c r="A10" s="377" t="n"/>
      <c r="B10" s="12" t="n"/>
      <c r="C10" s="12" t="n"/>
      <c r="D10" s="12" t="n"/>
      <c r="E10" s="103" t="n"/>
      <c r="F10" s="98" t="n"/>
      <c r="G10" s="99" t="n"/>
    </row>
    <row r="11">
      <c r="A11" s="378" t="n"/>
      <c r="B11" s="24" t="n"/>
      <c r="C11" s="24" t="n"/>
      <c r="D11" s="24" t="n"/>
      <c r="E11" s="103" t="n"/>
      <c r="F11" s="101" t="n"/>
      <c r="G11" s="102" t="n"/>
    </row>
    <row r="12">
      <c r="A12" s="377" t="n"/>
      <c r="B12" s="12" t="n"/>
      <c r="C12" s="12" t="n"/>
      <c r="D12" s="12" t="n"/>
      <c r="E12" s="103" t="n"/>
      <c r="F12" s="98" t="n"/>
      <c r="G12" s="99" t="n"/>
    </row>
    <row r="13">
      <c r="A13" s="378" t="n"/>
      <c r="B13" s="24" t="n"/>
      <c r="C13" s="24" t="n"/>
      <c r="D13" s="24" t="n"/>
      <c r="E13" s="104" t="n"/>
      <c r="F13" s="101" t="n"/>
      <c r="G13" s="102" t="n"/>
    </row>
    <row r="14">
      <c r="A14" s="377" t="n"/>
      <c r="B14" s="12" t="n"/>
      <c r="C14" s="12" t="n"/>
      <c r="D14" s="12" t="n"/>
      <c r="E14" s="97" t="n"/>
      <c r="F14" s="98" t="n"/>
      <c r="G14" s="99" t="n"/>
    </row>
    <row r="15">
      <c r="A15" s="378" t="n"/>
      <c r="B15" s="24" t="n"/>
      <c r="C15" s="24" t="n"/>
      <c r="D15" s="24" t="n"/>
      <c r="E15" s="97" t="n"/>
      <c r="F15" s="101" t="n"/>
      <c r="G15" s="102" t="n"/>
    </row>
  </sheetData>
  <autoFilter ref="A1:G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A6A6A6"/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9" customWidth="1" style="252" min="1" max="1"/>
    <col width="28" customWidth="1" style="252" min="2" max="2"/>
    <col width="11" customWidth="1" style="252" min="3" max="3"/>
    <col width="18" customWidth="1" style="252" min="4" max="4"/>
    <col width="12" customWidth="1" style="252" min="5" max="5"/>
    <col width="10" customWidth="1" style="252" min="6" max="6"/>
  </cols>
  <sheetData>
    <row r="1">
      <c r="A1" s="25" t="inlineStr">
        <is>
          <t>Ticker</t>
        </is>
      </c>
      <c r="B1" s="25" t="inlineStr">
        <is>
          <t>Company</t>
        </is>
      </c>
      <c r="C1" s="25" t="inlineStr">
        <is>
          <t>Exchange</t>
        </is>
      </c>
      <c r="D1" s="25" t="inlineStr">
        <is>
          <t>Market Cap ($B)</t>
        </is>
      </c>
      <c r="E1" s="25" t="inlineStr">
        <is>
          <t>Employees</t>
        </is>
      </c>
      <c r="F1" s="25" t="inlineStr">
        <is>
          <t>Country</t>
        </is>
      </c>
    </row>
    <row r="2">
      <c r="A2" s="105" t="n"/>
      <c r="B2" s="105" t="n"/>
      <c r="C2" s="105" t="n"/>
      <c r="D2" s="105" t="n"/>
      <c r="E2" s="105" t="n"/>
      <c r="F2" s="105" t="n"/>
    </row>
    <row r="3">
      <c r="A3" s="9" t="n"/>
      <c r="B3" s="9" t="n"/>
      <c r="C3" s="9" t="n"/>
      <c r="D3" s="9" t="n"/>
      <c r="E3" s="9" t="n"/>
      <c r="F3" s="9" t="n"/>
    </row>
    <row r="4">
      <c r="A4" s="12" t="n"/>
      <c r="B4" s="12" t="n"/>
      <c r="C4" s="12" t="n"/>
      <c r="D4" s="12" t="n"/>
      <c r="E4" s="12" t="n"/>
      <c r="F4" s="12" t="n"/>
    </row>
    <row r="5">
      <c r="A5" s="9" t="n"/>
      <c r="B5" s="9" t="n"/>
      <c r="C5" s="9" t="n"/>
      <c r="D5" s="9" t="n"/>
      <c r="E5" s="9" t="n"/>
      <c r="F5" s="9" t="n"/>
    </row>
    <row r="6">
      <c r="A6" s="12" t="n"/>
      <c r="B6" s="12" t="n"/>
      <c r="C6" s="12" t="n"/>
      <c r="D6" s="12" t="n"/>
      <c r="E6" s="12" t="n"/>
      <c r="F6" s="12" t="n"/>
    </row>
  </sheetData>
  <autoFilter ref="A1:F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FFA6A6A6"/>
    <outlinePr summaryBelow="1" summaryRight="1"/>
    <pageSetUpPr/>
  </sheetPr>
  <dimension ref="A1:F273"/>
  <sheetViews>
    <sheetView workbookViewId="0">
      <selection activeCell="A1" sqref="A1"/>
    </sheetView>
  </sheetViews>
  <sheetFormatPr baseColWidth="8" defaultRowHeight="14.5"/>
  <cols>
    <col width="8" customWidth="1" style="252" min="1" max="1"/>
    <col width="13" customWidth="1" style="252" min="2" max="6"/>
  </cols>
  <sheetData>
    <row r="1" ht="17" customHeight="1" s="252">
      <c r="A1" s="106" t="inlineStr">
        <is>
          <t>Monte Carlo Simulation Summary</t>
        </is>
      </c>
    </row>
    <row r="2">
      <c r="A2" s="25" t="n"/>
      <c r="B2" s="25" t="n"/>
    </row>
    <row r="3">
      <c r="A3" s="107" t="n"/>
      <c r="B3" s="108" t="n"/>
    </row>
    <row r="4">
      <c r="A4" s="107" t="n"/>
      <c r="B4" s="109" t="n"/>
    </row>
    <row r="5">
      <c r="A5" s="107" t="n"/>
      <c r="B5" s="109" t="n"/>
    </row>
    <row r="6">
      <c r="A6" s="107" t="n"/>
      <c r="B6" s="108" t="n"/>
    </row>
    <row r="7">
      <c r="A7" s="107" t="n"/>
      <c r="B7" s="108" t="n"/>
    </row>
    <row r="8">
      <c r="A8" s="107" t="n"/>
      <c r="B8" s="108" t="n"/>
    </row>
    <row r="9">
      <c r="A9" s="107" t="n"/>
      <c r="B9" s="108" t="n"/>
    </row>
    <row r="10">
      <c r="A10" s="107" t="n"/>
      <c r="B10" s="108" t="n"/>
    </row>
    <row r="11">
      <c r="A11" s="107" t="n"/>
      <c r="B11" s="108" t="n"/>
    </row>
    <row r="12">
      <c r="A12" s="107" t="n"/>
      <c r="B12" s="110" t="n"/>
    </row>
    <row r="13">
      <c r="A13" s="107" t="n"/>
      <c r="B13" s="110" t="n"/>
    </row>
    <row r="14">
      <c r="A14" s="107" t="n"/>
      <c r="B14" s="110" t="n"/>
    </row>
    <row r="15">
      <c r="A15" s="107" t="n"/>
      <c r="B15" s="111" t="n"/>
    </row>
    <row r="16">
      <c r="A16" s="107" t="n"/>
      <c r="B16" s="112" t="n"/>
    </row>
    <row r="17"/>
    <row r="18"/>
    <row r="19">
      <c r="A19" s="70" t="n"/>
    </row>
    <row r="20">
      <c r="A20" s="25" t="n"/>
      <c r="B20" s="25" t="n"/>
      <c r="C20" s="25" t="n"/>
      <c r="D20" s="25" t="n"/>
      <c r="E20" s="25" t="n"/>
      <c r="F20" s="25" t="n"/>
    </row>
    <row r="21">
      <c r="B21" s="113" t="n"/>
      <c r="C21" s="113" t="n"/>
      <c r="D21" s="113" t="n"/>
      <c r="E21" s="113" t="n"/>
      <c r="F21" s="113" t="n"/>
    </row>
    <row r="22">
      <c r="B22" s="113" t="n"/>
      <c r="C22" s="113" t="n"/>
      <c r="D22" s="113" t="n"/>
      <c r="E22" s="113" t="n"/>
      <c r="F22" s="113" t="n"/>
    </row>
    <row r="23">
      <c r="B23" s="113" t="n"/>
      <c r="C23" s="113" t="n"/>
      <c r="D23" s="113" t="n"/>
      <c r="E23" s="113" t="n"/>
      <c r="F23" s="113" t="n"/>
    </row>
    <row r="24">
      <c r="B24" s="113" t="n"/>
      <c r="C24" s="113" t="n"/>
      <c r="D24" s="113" t="n"/>
      <c r="E24" s="113" t="n"/>
      <c r="F24" s="113" t="n"/>
    </row>
    <row r="25">
      <c r="B25" s="113" t="n"/>
      <c r="C25" s="113" t="n"/>
      <c r="D25" s="113" t="n"/>
      <c r="E25" s="113" t="n"/>
      <c r="F25" s="113" t="n"/>
    </row>
    <row r="26">
      <c r="B26" s="113" t="n"/>
      <c r="C26" s="113" t="n"/>
      <c r="D26" s="113" t="n"/>
      <c r="E26" s="113" t="n"/>
      <c r="F26" s="113" t="n"/>
    </row>
    <row r="27">
      <c r="B27" s="113" t="n"/>
      <c r="C27" s="113" t="n"/>
      <c r="D27" s="113" t="n"/>
      <c r="E27" s="113" t="n"/>
      <c r="F27" s="113" t="n"/>
    </row>
    <row r="28">
      <c r="B28" s="113" t="n"/>
      <c r="C28" s="113" t="n"/>
      <c r="D28" s="113" t="n"/>
      <c r="E28" s="113" t="n"/>
      <c r="F28" s="113" t="n"/>
    </row>
    <row r="29">
      <c r="B29" s="113" t="n"/>
      <c r="C29" s="113" t="n"/>
      <c r="D29" s="113" t="n"/>
      <c r="E29" s="113" t="n"/>
      <c r="F29" s="113" t="n"/>
    </row>
    <row r="30">
      <c r="B30" s="113" t="n"/>
      <c r="C30" s="113" t="n"/>
      <c r="D30" s="113" t="n"/>
      <c r="E30" s="113" t="n"/>
      <c r="F30" s="113" t="n"/>
    </row>
    <row r="31">
      <c r="B31" s="113" t="n"/>
      <c r="C31" s="113" t="n"/>
      <c r="D31" s="113" t="n"/>
      <c r="E31" s="113" t="n"/>
      <c r="F31" s="113" t="n"/>
    </row>
    <row r="32">
      <c r="B32" s="113" t="n"/>
      <c r="C32" s="113" t="n"/>
      <c r="D32" s="113" t="n"/>
      <c r="E32" s="113" t="n"/>
      <c r="F32" s="113" t="n"/>
    </row>
    <row r="33">
      <c r="B33" s="113" t="n"/>
      <c r="C33" s="113" t="n"/>
      <c r="D33" s="113" t="n"/>
      <c r="E33" s="113" t="n"/>
      <c r="F33" s="113" t="n"/>
    </row>
    <row r="34">
      <c r="B34" s="113" t="n"/>
      <c r="C34" s="113" t="n"/>
      <c r="D34" s="113" t="n"/>
      <c r="E34" s="113" t="n"/>
      <c r="F34" s="113" t="n"/>
    </row>
    <row r="35">
      <c r="B35" s="113" t="n"/>
      <c r="C35" s="113" t="n"/>
      <c r="D35" s="113" t="n"/>
      <c r="E35" s="113" t="n"/>
      <c r="F35" s="113" t="n"/>
    </row>
    <row r="36">
      <c r="B36" s="113" t="n"/>
      <c r="C36" s="113" t="n"/>
      <c r="D36" s="113" t="n"/>
      <c r="E36" s="113" t="n"/>
      <c r="F36" s="113" t="n"/>
    </row>
    <row r="37">
      <c r="B37" s="113" t="n"/>
      <c r="C37" s="113" t="n"/>
      <c r="D37" s="113" t="n"/>
      <c r="E37" s="113" t="n"/>
      <c r="F37" s="113" t="n"/>
    </row>
    <row r="38">
      <c r="B38" s="113" t="n"/>
      <c r="C38" s="113" t="n"/>
      <c r="D38" s="113" t="n"/>
      <c r="E38" s="113" t="n"/>
      <c r="F38" s="113" t="n"/>
    </row>
    <row r="39">
      <c r="B39" s="113" t="n"/>
      <c r="C39" s="113" t="n"/>
      <c r="D39" s="113" t="n"/>
      <c r="E39" s="113" t="n"/>
      <c r="F39" s="113" t="n"/>
    </row>
    <row r="40">
      <c r="B40" s="113" t="n"/>
      <c r="C40" s="113" t="n"/>
      <c r="D40" s="113" t="n"/>
      <c r="E40" s="113" t="n"/>
      <c r="F40" s="113" t="n"/>
    </row>
    <row r="41">
      <c r="B41" s="113" t="n"/>
      <c r="C41" s="113" t="n"/>
      <c r="D41" s="113" t="n"/>
      <c r="E41" s="113" t="n"/>
      <c r="F41" s="113" t="n"/>
    </row>
    <row r="42">
      <c r="B42" s="113" t="n"/>
      <c r="C42" s="113" t="n"/>
      <c r="D42" s="113" t="n"/>
      <c r="E42" s="113" t="n"/>
      <c r="F42" s="113" t="n"/>
    </row>
    <row r="43">
      <c r="B43" s="113" t="n"/>
      <c r="C43" s="113" t="n"/>
      <c r="D43" s="113" t="n"/>
      <c r="E43" s="113" t="n"/>
      <c r="F43" s="113" t="n"/>
    </row>
    <row r="44">
      <c r="B44" s="113" t="n"/>
      <c r="C44" s="113" t="n"/>
      <c r="D44" s="113" t="n"/>
      <c r="E44" s="113" t="n"/>
      <c r="F44" s="113" t="n"/>
    </row>
    <row r="45">
      <c r="B45" s="113" t="n"/>
      <c r="C45" s="113" t="n"/>
      <c r="D45" s="113" t="n"/>
      <c r="E45" s="113" t="n"/>
      <c r="F45" s="113" t="n"/>
    </row>
    <row r="46">
      <c r="B46" s="113" t="n"/>
      <c r="C46" s="113" t="n"/>
      <c r="D46" s="113" t="n"/>
      <c r="E46" s="113" t="n"/>
      <c r="F46" s="113" t="n"/>
    </row>
    <row r="47">
      <c r="B47" s="113" t="n"/>
      <c r="C47" s="113" t="n"/>
      <c r="D47" s="113" t="n"/>
      <c r="E47" s="113" t="n"/>
      <c r="F47" s="113" t="n"/>
    </row>
    <row r="48">
      <c r="B48" s="113" t="n"/>
      <c r="C48" s="113" t="n"/>
      <c r="D48" s="113" t="n"/>
      <c r="E48" s="113" t="n"/>
      <c r="F48" s="113" t="n"/>
    </row>
    <row r="49">
      <c r="B49" s="113" t="n"/>
      <c r="C49" s="113" t="n"/>
      <c r="D49" s="113" t="n"/>
      <c r="E49" s="113" t="n"/>
      <c r="F49" s="113" t="n"/>
    </row>
    <row r="50">
      <c r="B50" s="113" t="n"/>
      <c r="C50" s="113" t="n"/>
      <c r="D50" s="113" t="n"/>
      <c r="E50" s="113" t="n"/>
      <c r="F50" s="113" t="n"/>
    </row>
    <row r="51">
      <c r="B51" s="113" t="n"/>
      <c r="C51" s="113" t="n"/>
      <c r="D51" s="113" t="n"/>
      <c r="E51" s="113" t="n"/>
      <c r="F51" s="113" t="n"/>
    </row>
    <row r="52">
      <c r="B52" s="113" t="n"/>
      <c r="C52" s="113" t="n"/>
      <c r="D52" s="113" t="n"/>
      <c r="E52" s="113" t="n"/>
      <c r="F52" s="113" t="n"/>
    </row>
    <row r="53">
      <c r="B53" s="113" t="n"/>
      <c r="C53" s="113" t="n"/>
      <c r="D53" s="113" t="n"/>
      <c r="E53" s="113" t="n"/>
      <c r="F53" s="113" t="n"/>
    </row>
    <row r="54">
      <c r="B54" s="113" t="n"/>
      <c r="C54" s="113" t="n"/>
      <c r="D54" s="113" t="n"/>
      <c r="E54" s="113" t="n"/>
      <c r="F54" s="113" t="n"/>
    </row>
    <row r="55">
      <c r="B55" s="113" t="n"/>
      <c r="C55" s="113" t="n"/>
      <c r="D55" s="113" t="n"/>
      <c r="E55" s="113" t="n"/>
      <c r="F55" s="113" t="n"/>
    </row>
    <row r="56">
      <c r="B56" s="113" t="n"/>
      <c r="C56" s="113" t="n"/>
      <c r="D56" s="113" t="n"/>
      <c r="E56" s="113" t="n"/>
      <c r="F56" s="113" t="n"/>
    </row>
    <row r="57">
      <c r="B57" s="113" t="n"/>
      <c r="C57" s="113" t="n"/>
      <c r="D57" s="113" t="n"/>
      <c r="E57" s="113" t="n"/>
      <c r="F57" s="113" t="n"/>
    </row>
    <row r="58">
      <c r="B58" s="113" t="n"/>
      <c r="C58" s="113" t="n"/>
      <c r="D58" s="113" t="n"/>
      <c r="E58" s="113" t="n"/>
      <c r="F58" s="113" t="n"/>
    </row>
    <row r="59">
      <c r="B59" s="113" t="n"/>
      <c r="C59" s="113" t="n"/>
      <c r="D59" s="113" t="n"/>
      <c r="E59" s="113" t="n"/>
      <c r="F59" s="113" t="n"/>
    </row>
    <row r="60">
      <c r="B60" s="113" t="n"/>
      <c r="C60" s="113" t="n"/>
      <c r="D60" s="113" t="n"/>
      <c r="E60" s="113" t="n"/>
      <c r="F60" s="113" t="n"/>
    </row>
    <row r="61">
      <c r="B61" s="113" t="n"/>
      <c r="C61" s="113" t="n"/>
      <c r="D61" s="113" t="n"/>
      <c r="E61" s="113" t="n"/>
      <c r="F61" s="113" t="n"/>
    </row>
    <row r="62">
      <c r="B62" s="113" t="n"/>
      <c r="C62" s="113" t="n"/>
      <c r="D62" s="113" t="n"/>
      <c r="E62" s="113" t="n"/>
      <c r="F62" s="113" t="n"/>
    </row>
    <row r="63">
      <c r="B63" s="113" t="n"/>
      <c r="C63" s="113" t="n"/>
      <c r="D63" s="113" t="n"/>
      <c r="E63" s="113" t="n"/>
      <c r="F63" s="113" t="n"/>
    </row>
    <row r="64">
      <c r="B64" s="113" t="n"/>
      <c r="C64" s="113" t="n"/>
      <c r="D64" s="113" t="n"/>
      <c r="E64" s="113" t="n"/>
      <c r="F64" s="113" t="n"/>
    </row>
    <row r="65">
      <c r="B65" s="113" t="n"/>
      <c r="C65" s="113" t="n"/>
      <c r="D65" s="113" t="n"/>
      <c r="E65" s="113" t="n"/>
      <c r="F65" s="113" t="n"/>
    </row>
    <row r="66">
      <c r="B66" s="113" t="n"/>
      <c r="C66" s="113" t="n"/>
      <c r="D66" s="113" t="n"/>
      <c r="E66" s="113" t="n"/>
      <c r="F66" s="113" t="n"/>
    </row>
    <row r="67">
      <c r="B67" s="113" t="n"/>
      <c r="C67" s="113" t="n"/>
      <c r="D67" s="113" t="n"/>
      <c r="E67" s="113" t="n"/>
      <c r="F67" s="113" t="n"/>
    </row>
    <row r="68">
      <c r="B68" s="113" t="n"/>
      <c r="C68" s="113" t="n"/>
      <c r="D68" s="113" t="n"/>
      <c r="E68" s="113" t="n"/>
      <c r="F68" s="113" t="n"/>
    </row>
    <row r="69">
      <c r="B69" s="113" t="n"/>
      <c r="C69" s="113" t="n"/>
      <c r="D69" s="113" t="n"/>
      <c r="E69" s="113" t="n"/>
      <c r="F69" s="113" t="n"/>
    </row>
    <row r="70">
      <c r="B70" s="113" t="n"/>
      <c r="C70" s="113" t="n"/>
      <c r="D70" s="113" t="n"/>
      <c r="E70" s="113" t="n"/>
      <c r="F70" s="113" t="n"/>
    </row>
    <row r="71">
      <c r="B71" s="113" t="n"/>
      <c r="C71" s="113" t="n"/>
      <c r="D71" s="113" t="n"/>
      <c r="E71" s="113" t="n"/>
      <c r="F71" s="113" t="n"/>
    </row>
    <row r="72">
      <c r="B72" s="113" t="n"/>
      <c r="C72" s="113" t="n"/>
      <c r="D72" s="113" t="n"/>
      <c r="E72" s="113" t="n"/>
      <c r="F72" s="113" t="n"/>
    </row>
    <row r="73">
      <c r="B73" s="113" t="n"/>
      <c r="C73" s="113" t="n"/>
      <c r="D73" s="113" t="n"/>
      <c r="E73" s="113" t="n"/>
      <c r="F73" s="113" t="n"/>
    </row>
    <row r="74">
      <c r="B74" s="113" t="n"/>
      <c r="C74" s="113" t="n"/>
      <c r="D74" s="113" t="n"/>
      <c r="E74" s="113" t="n"/>
      <c r="F74" s="113" t="n"/>
    </row>
    <row r="75">
      <c r="B75" s="113" t="n"/>
      <c r="C75" s="113" t="n"/>
      <c r="D75" s="113" t="n"/>
      <c r="E75" s="113" t="n"/>
      <c r="F75" s="113" t="n"/>
    </row>
    <row r="76">
      <c r="B76" s="113" t="n"/>
      <c r="C76" s="113" t="n"/>
      <c r="D76" s="113" t="n"/>
      <c r="E76" s="113" t="n"/>
      <c r="F76" s="113" t="n"/>
    </row>
    <row r="77">
      <c r="B77" s="113" t="n"/>
      <c r="C77" s="113" t="n"/>
      <c r="D77" s="113" t="n"/>
      <c r="E77" s="113" t="n"/>
      <c r="F77" s="113" t="n"/>
    </row>
    <row r="78">
      <c r="B78" s="113" t="n"/>
      <c r="C78" s="113" t="n"/>
      <c r="D78" s="113" t="n"/>
      <c r="E78" s="113" t="n"/>
      <c r="F78" s="113" t="n"/>
    </row>
    <row r="79">
      <c r="B79" s="113" t="n"/>
      <c r="C79" s="113" t="n"/>
      <c r="D79" s="113" t="n"/>
      <c r="E79" s="113" t="n"/>
      <c r="F79" s="113" t="n"/>
    </row>
    <row r="80">
      <c r="B80" s="113" t="n"/>
      <c r="C80" s="113" t="n"/>
      <c r="D80" s="113" t="n"/>
      <c r="E80" s="113" t="n"/>
      <c r="F80" s="113" t="n"/>
    </row>
    <row r="81">
      <c r="B81" s="113" t="n"/>
      <c r="C81" s="113" t="n"/>
      <c r="D81" s="113" t="n"/>
      <c r="E81" s="113" t="n"/>
      <c r="F81" s="113" t="n"/>
    </row>
    <row r="82">
      <c r="B82" s="113" t="n"/>
      <c r="C82" s="113" t="n"/>
      <c r="D82" s="113" t="n"/>
      <c r="E82" s="113" t="n"/>
      <c r="F82" s="113" t="n"/>
    </row>
    <row r="83">
      <c r="B83" s="113" t="n"/>
      <c r="C83" s="113" t="n"/>
      <c r="D83" s="113" t="n"/>
      <c r="E83" s="113" t="n"/>
      <c r="F83" s="113" t="n"/>
    </row>
    <row r="84">
      <c r="B84" s="113" t="n"/>
      <c r="C84" s="113" t="n"/>
      <c r="D84" s="113" t="n"/>
      <c r="E84" s="113" t="n"/>
      <c r="F84" s="113" t="n"/>
    </row>
    <row r="85">
      <c r="B85" s="113" t="n"/>
      <c r="C85" s="113" t="n"/>
      <c r="D85" s="113" t="n"/>
      <c r="E85" s="113" t="n"/>
      <c r="F85" s="113" t="n"/>
    </row>
    <row r="86">
      <c r="B86" s="113" t="n"/>
      <c r="C86" s="113" t="n"/>
      <c r="D86" s="113" t="n"/>
      <c r="E86" s="113" t="n"/>
      <c r="F86" s="113" t="n"/>
    </row>
    <row r="87">
      <c r="B87" s="113" t="n"/>
      <c r="C87" s="113" t="n"/>
      <c r="D87" s="113" t="n"/>
      <c r="E87" s="113" t="n"/>
      <c r="F87" s="113" t="n"/>
    </row>
    <row r="88">
      <c r="B88" s="113" t="n"/>
      <c r="C88" s="113" t="n"/>
      <c r="D88" s="113" t="n"/>
      <c r="E88" s="113" t="n"/>
      <c r="F88" s="113" t="n"/>
    </row>
    <row r="89">
      <c r="B89" s="113" t="n"/>
      <c r="C89" s="113" t="n"/>
      <c r="D89" s="113" t="n"/>
      <c r="E89" s="113" t="n"/>
      <c r="F89" s="113" t="n"/>
    </row>
    <row r="90">
      <c r="B90" s="113" t="n"/>
      <c r="C90" s="113" t="n"/>
      <c r="D90" s="113" t="n"/>
      <c r="E90" s="113" t="n"/>
      <c r="F90" s="113" t="n"/>
    </row>
    <row r="91">
      <c r="B91" s="113" t="n"/>
      <c r="C91" s="113" t="n"/>
      <c r="D91" s="113" t="n"/>
      <c r="E91" s="113" t="n"/>
      <c r="F91" s="113" t="n"/>
    </row>
    <row r="92">
      <c r="B92" s="113" t="n"/>
      <c r="C92" s="113" t="n"/>
      <c r="D92" s="113" t="n"/>
      <c r="E92" s="113" t="n"/>
      <c r="F92" s="113" t="n"/>
    </row>
    <row r="93">
      <c r="B93" s="113" t="n"/>
      <c r="C93" s="113" t="n"/>
      <c r="D93" s="113" t="n"/>
      <c r="E93" s="113" t="n"/>
      <c r="F93" s="113" t="n"/>
    </row>
    <row r="94">
      <c r="B94" s="113" t="n"/>
      <c r="C94" s="113" t="n"/>
      <c r="D94" s="113" t="n"/>
      <c r="E94" s="113" t="n"/>
      <c r="F94" s="113" t="n"/>
    </row>
    <row r="95">
      <c r="B95" s="113" t="n"/>
      <c r="C95" s="113" t="n"/>
      <c r="D95" s="113" t="n"/>
      <c r="E95" s="113" t="n"/>
      <c r="F95" s="113" t="n"/>
    </row>
    <row r="96">
      <c r="B96" s="113" t="n"/>
      <c r="C96" s="113" t="n"/>
      <c r="D96" s="113" t="n"/>
      <c r="E96" s="113" t="n"/>
      <c r="F96" s="113" t="n"/>
    </row>
    <row r="97">
      <c r="B97" s="113" t="n"/>
      <c r="C97" s="113" t="n"/>
      <c r="D97" s="113" t="n"/>
      <c r="E97" s="113" t="n"/>
      <c r="F97" s="113" t="n"/>
    </row>
    <row r="98">
      <c r="B98" s="113" t="n"/>
      <c r="C98" s="113" t="n"/>
      <c r="D98" s="113" t="n"/>
      <c r="E98" s="113" t="n"/>
      <c r="F98" s="113" t="n"/>
    </row>
    <row r="99">
      <c r="B99" s="113" t="n"/>
      <c r="C99" s="113" t="n"/>
      <c r="D99" s="113" t="n"/>
      <c r="E99" s="113" t="n"/>
      <c r="F99" s="113" t="n"/>
    </row>
    <row r="100">
      <c r="B100" s="113" t="n"/>
      <c r="C100" s="113" t="n"/>
      <c r="D100" s="113" t="n"/>
      <c r="E100" s="113" t="n"/>
      <c r="F100" s="113" t="n"/>
    </row>
    <row r="101">
      <c r="B101" s="113" t="n"/>
      <c r="C101" s="113" t="n"/>
      <c r="D101" s="113" t="n"/>
      <c r="E101" s="113" t="n"/>
      <c r="F101" s="113" t="n"/>
    </row>
    <row r="102">
      <c r="B102" s="113" t="n"/>
      <c r="C102" s="113" t="n"/>
      <c r="D102" s="113" t="n"/>
      <c r="E102" s="113" t="n"/>
      <c r="F102" s="113" t="n"/>
    </row>
    <row r="103">
      <c r="B103" s="113" t="n"/>
      <c r="C103" s="113" t="n"/>
      <c r="D103" s="113" t="n"/>
      <c r="E103" s="113" t="n"/>
      <c r="F103" s="113" t="n"/>
    </row>
    <row r="104">
      <c r="B104" s="113" t="n"/>
      <c r="C104" s="113" t="n"/>
      <c r="D104" s="113" t="n"/>
      <c r="E104" s="113" t="n"/>
      <c r="F104" s="113" t="n"/>
    </row>
    <row r="105">
      <c r="B105" s="113" t="n"/>
      <c r="C105" s="113" t="n"/>
      <c r="D105" s="113" t="n"/>
      <c r="E105" s="113" t="n"/>
      <c r="F105" s="113" t="n"/>
    </row>
    <row r="106">
      <c r="B106" s="113" t="n"/>
      <c r="C106" s="113" t="n"/>
      <c r="D106" s="113" t="n"/>
      <c r="E106" s="113" t="n"/>
      <c r="F106" s="113" t="n"/>
    </row>
    <row r="107">
      <c r="B107" s="113" t="n"/>
      <c r="C107" s="113" t="n"/>
      <c r="D107" s="113" t="n"/>
      <c r="E107" s="113" t="n"/>
      <c r="F107" s="113" t="n"/>
    </row>
    <row r="108">
      <c r="B108" s="113" t="n"/>
      <c r="C108" s="113" t="n"/>
      <c r="D108" s="113" t="n"/>
      <c r="E108" s="113" t="n"/>
      <c r="F108" s="113" t="n"/>
    </row>
    <row r="109">
      <c r="B109" s="113" t="n"/>
      <c r="C109" s="113" t="n"/>
      <c r="D109" s="113" t="n"/>
      <c r="E109" s="113" t="n"/>
      <c r="F109" s="113" t="n"/>
    </row>
    <row r="110">
      <c r="B110" s="113" t="n"/>
      <c r="C110" s="113" t="n"/>
      <c r="D110" s="113" t="n"/>
      <c r="E110" s="113" t="n"/>
      <c r="F110" s="113" t="n"/>
    </row>
    <row r="111">
      <c r="B111" s="113" t="n"/>
      <c r="C111" s="113" t="n"/>
      <c r="D111" s="113" t="n"/>
      <c r="E111" s="113" t="n"/>
      <c r="F111" s="113" t="n"/>
    </row>
    <row r="112">
      <c r="B112" s="113" t="n"/>
      <c r="C112" s="113" t="n"/>
      <c r="D112" s="113" t="n"/>
      <c r="E112" s="113" t="n"/>
      <c r="F112" s="113" t="n"/>
    </row>
    <row r="113">
      <c r="B113" s="113" t="n"/>
      <c r="C113" s="113" t="n"/>
      <c r="D113" s="113" t="n"/>
      <c r="E113" s="113" t="n"/>
      <c r="F113" s="113" t="n"/>
    </row>
    <row r="114">
      <c r="B114" s="113" t="n"/>
      <c r="C114" s="113" t="n"/>
      <c r="D114" s="113" t="n"/>
      <c r="E114" s="113" t="n"/>
      <c r="F114" s="113" t="n"/>
    </row>
    <row r="115">
      <c r="B115" s="113" t="n"/>
      <c r="C115" s="113" t="n"/>
      <c r="D115" s="113" t="n"/>
      <c r="E115" s="113" t="n"/>
      <c r="F115" s="113" t="n"/>
    </row>
    <row r="116">
      <c r="B116" s="113" t="n"/>
      <c r="C116" s="113" t="n"/>
      <c r="D116" s="113" t="n"/>
      <c r="E116" s="113" t="n"/>
      <c r="F116" s="113" t="n"/>
    </row>
    <row r="117">
      <c r="B117" s="113" t="n"/>
      <c r="C117" s="113" t="n"/>
      <c r="D117" s="113" t="n"/>
      <c r="E117" s="113" t="n"/>
      <c r="F117" s="113" t="n"/>
    </row>
    <row r="118">
      <c r="B118" s="113" t="n"/>
      <c r="C118" s="113" t="n"/>
      <c r="D118" s="113" t="n"/>
      <c r="E118" s="113" t="n"/>
      <c r="F118" s="113" t="n"/>
    </row>
    <row r="119">
      <c r="B119" s="113" t="n"/>
      <c r="C119" s="113" t="n"/>
      <c r="D119" s="113" t="n"/>
      <c r="E119" s="113" t="n"/>
      <c r="F119" s="113" t="n"/>
    </row>
    <row r="120">
      <c r="B120" s="113" t="n"/>
      <c r="C120" s="113" t="n"/>
      <c r="D120" s="113" t="n"/>
      <c r="E120" s="113" t="n"/>
      <c r="F120" s="113" t="n"/>
    </row>
    <row r="121">
      <c r="B121" s="113" t="n"/>
      <c r="C121" s="113" t="n"/>
      <c r="D121" s="113" t="n"/>
      <c r="E121" s="113" t="n"/>
      <c r="F121" s="113" t="n"/>
    </row>
    <row r="122">
      <c r="B122" s="113" t="n"/>
      <c r="C122" s="113" t="n"/>
      <c r="D122" s="113" t="n"/>
      <c r="E122" s="113" t="n"/>
      <c r="F122" s="113" t="n"/>
    </row>
    <row r="123">
      <c r="B123" s="113" t="n"/>
      <c r="C123" s="113" t="n"/>
      <c r="D123" s="113" t="n"/>
      <c r="E123" s="113" t="n"/>
      <c r="F123" s="113" t="n"/>
    </row>
    <row r="124">
      <c r="B124" s="113" t="n"/>
      <c r="C124" s="113" t="n"/>
      <c r="D124" s="113" t="n"/>
      <c r="E124" s="113" t="n"/>
      <c r="F124" s="113" t="n"/>
    </row>
    <row r="125">
      <c r="B125" s="113" t="n"/>
      <c r="C125" s="113" t="n"/>
      <c r="D125" s="113" t="n"/>
      <c r="E125" s="113" t="n"/>
      <c r="F125" s="113" t="n"/>
    </row>
    <row r="126">
      <c r="B126" s="113" t="n"/>
      <c r="C126" s="113" t="n"/>
      <c r="D126" s="113" t="n"/>
      <c r="E126" s="113" t="n"/>
      <c r="F126" s="113" t="n"/>
    </row>
    <row r="127">
      <c r="B127" s="113" t="n"/>
      <c r="C127" s="113" t="n"/>
      <c r="D127" s="113" t="n"/>
      <c r="E127" s="113" t="n"/>
      <c r="F127" s="113" t="n"/>
    </row>
    <row r="128">
      <c r="B128" s="113" t="n"/>
      <c r="C128" s="113" t="n"/>
      <c r="D128" s="113" t="n"/>
      <c r="E128" s="113" t="n"/>
      <c r="F128" s="113" t="n"/>
    </row>
    <row r="129">
      <c r="B129" s="113" t="n"/>
      <c r="C129" s="113" t="n"/>
      <c r="D129" s="113" t="n"/>
      <c r="E129" s="113" t="n"/>
      <c r="F129" s="113" t="n"/>
    </row>
    <row r="130">
      <c r="B130" s="113" t="n"/>
      <c r="C130" s="113" t="n"/>
      <c r="D130" s="113" t="n"/>
      <c r="E130" s="113" t="n"/>
      <c r="F130" s="113" t="n"/>
    </row>
    <row r="131">
      <c r="B131" s="113" t="n"/>
      <c r="C131" s="113" t="n"/>
      <c r="D131" s="113" t="n"/>
      <c r="E131" s="113" t="n"/>
      <c r="F131" s="113" t="n"/>
    </row>
    <row r="132">
      <c r="B132" s="113" t="n"/>
      <c r="C132" s="113" t="n"/>
      <c r="D132" s="113" t="n"/>
      <c r="E132" s="113" t="n"/>
      <c r="F132" s="113" t="n"/>
    </row>
    <row r="133">
      <c r="B133" s="113" t="n"/>
      <c r="C133" s="113" t="n"/>
      <c r="D133" s="113" t="n"/>
      <c r="E133" s="113" t="n"/>
      <c r="F133" s="113" t="n"/>
    </row>
    <row r="134">
      <c r="B134" s="113" t="n"/>
      <c r="C134" s="113" t="n"/>
      <c r="D134" s="113" t="n"/>
      <c r="E134" s="113" t="n"/>
      <c r="F134" s="113" t="n"/>
    </row>
    <row r="135">
      <c r="B135" s="113" t="n"/>
      <c r="C135" s="113" t="n"/>
      <c r="D135" s="113" t="n"/>
      <c r="E135" s="113" t="n"/>
      <c r="F135" s="113" t="n"/>
    </row>
    <row r="136">
      <c r="B136" s="113" t="n"/>
      <c r="C136" s="113" t="n"/>
      <c r="D136" s="113" t="n"/>
      <c r="E136" s="113" t="n"/>
      <c r="F136" s="113" t="n"/>
    </row>
    <row r="137">
      <c r="B137" s="113" t="n"/>
      <c r="C137" s="113" t="n"/>
      <c r="D137" s="113" t="n"/>
      <c r="E137" s="113" t="n"/>
      <c r="F137" s="113" t="n"/>
    </row>
    <row r="138">
      <c r="B138" s="113" t="n"/>
      <c r="C138" s="113" t="n"/>
      <c r="D138" s="113" t="n"/>
      <c r="E138" s="113" t="n"/>
      <c r="F138" s="113" t="n"/>
    </row>
    <row r="139">
      <c r="B139" s="113" t="n"/>
      <c r="C139" s="113" t="n"/>
      <c r="D139" s="113" t="n"/>
      <c r="E139" s="113" t="n"/>
      <c r="F139" s="113" t="n"/>
    </row>
    <row r="140">
      <c r="B140" s="113" t="n"/>
      <c r="C140" s="113" t="n"/>
      <c r="D140" s="113" t="n"/>
      <c r="E140" s="113" t="n"/>
      <c r="F140" s="113" t="n"/>
    </row>
    <row r="141">
      <c r="B141" s="113" t="n"/>
      <c r="C141" s="113" t="n"/>
      <c r="D141" s="113" t="n"/>
      <c r="E141" s="113" t="n"/>
      <c r="F141" s="113" t="n"/>
    </row>
    <row r="142">
      <c r="B142" s="113" t="n"/>
      <c r="C142" s="113" t="n"/>
      <c r="D142" s="113" t="n"/>
      <c r="E142" s="113" t="n"/>
      <c r="F142" s="113" t="n"/>
    </row>
    <row r="143">
      <c r="B143" s="113" t="n"/>
      <c r="C143" s="113" t="n"/>
      <c r="D143" s="113" t="n"/>
      <c r="E143" s="113" t="n"/>
      <c r="F143" s="113" t="n"/>
    </row>
    <row r="144">
      <c r="B144" s="113" t="n"/>
      <c r="C144" s="113" t="n"/>
      <c r="D144" s="113" t="n"/>
      <c r="E144" s="113" t="n"/>
      <c r="F144" s="113" t="n"/>
    </row>
    <row r="145">
      <c r="B145" s="113" t="n"/>
      <c r="C145" s="113" t="n"/>
      <c r="D145" s="113" t="n"/>
      <c r="E145" s="113" t="n"/>
      <c r="F145" s="113" t="n"/>
    </row>
    <row r="146">
      <c r="B146" s="113" t="n"/>
      <c r="C146" s="113" t="n"/>
      <c r="D146" s="113" t="n"/>
      <c r="E146" s="113" t="n"/>
      <c r="F146" s="113" t="n"/>
    </row>
    <row r="147">
      <c r="B147" s="113" t="n"/>
      <c r="C147" s="113" t="n"/>
      <c r="D147" s="113" t="n"/>
      <c r="E147" s="113" t="n"/>
      <c r="F147" s="113" t="n"/>
    </row>
    <row r="148">
      <c r="B148" s="113" t="n"/>
      <c r="C148" s="113" t="n"/>
      <c r="D148" s="113" t="n"/>
      <c r="E148" s="113" t="n"/>
      <c r="F148" s="113" t="n"/>
    </row>
    <row r="149">
      <c r="B149" s="113" t="n"/>
      <c r="C149" s="113" t="n"/>
      <c r="D149" s="113" t="n"/>
      <c r="E149" s="113" t="n"/>
      <c r="F149" s="113" t="n"/>
    </row>
    <row r="150">
      <c r="B150" s="113" t="n"/>
      <c r="C150" s="113" t="n"/>
      <c r="D150" s="113" t="n"/>
      <c r="E150" s="113" t="n"/>
      <c r="F150" s="113" t="n"/>
    </row>
    <row r="151">
      <c r="B151" s="113" t="n"/>
      <c r="C151" s="113" t="n"/>
      <c r="D151" s="113" t="n"/>
      <c r="E151" s="113" t="n"/>
      <c r="F151" s="113" t="n"/>
    </row>
    <row r="152">
      <c r="B152" s="113" t="n"/>
      <c r="C152" s="113" t="n"/>
      <c r="D152" s="113" t="n"/>
      <c r="E152" s="113" t="n"/>
      <c r="F152" s="113" t="n"/>
    </row>
    <row r="153">
      <c r="B153" s="113" t="n"/>
      <c r="C153" s="113" t="n"/>
      <c r="D153" s="113" t="n"/>
      <c r="E153" s="113" t="n"/>
      <c r="F153" s="113" t="n"/>
    </row>
    <row r="154">
      <c r="B154" s="113" t="n"/>
      <c r="C154" s="113" t="n"/>
      <c r="D154" s="113" t="n"/>
      <c r="E154" s="113" t="n"/>
      <c r="F154" s="113" t="n"/>
    </row>
    <row r="155">
      <c r="B155" s="113" t="n"/>
      <c r="C155" s="113" t="n"/>
      <c r="D155" s="113" t="n"/>
      <c r="E155" s="113" t="n"/>
      <c r="F155" s="113" t="n"/>
    </row>
    <row r="156">
      <c r="B156" s="113" t="n"/>
      <c r="C156" s="113" t="n"/>
      <c r="D156" s="113" t="n"/>
      <c r="E156" s="113" t="n"/>
      <c r="F156" s="113" t="n"/>
    </row>
    <row r="157">
      <c r="B157" s="113" t="n"/>
      <c r="C157" s="113" t="n"/>
      <c r="D157" s="113" t="n"/>
      <c r="E157" s="113" t="n"/>
      <c r="F157" s="113" t="n"/>
    </row>
    <row r="158">
      <c r="B158" s="113" t="n"/>
      <c r="C158" s="113" t="n"/>
      <c r="D158" s="113" t="n"/>
      <c r="E158" s="113" t="n"/>
      <c r="F158" s="113" t="n"/>
    </row>
    <row r="159">
      <c r="B159" s="113" t="n"/>
      <c r="C159" s="113" t="n"/>
      <c r="D159" s="113" t="n"/>
      <c r="E159" s="113" t="n"/>
      <c r="F159" s="113" t="n"/>
    </row>
    <row r="160">
      <c r="B160" s="113" t="n"/>
      <c r="C160" s="113" t="n"/>
      <c r="D160" s="113" t="n"/>
      <c r="E160" s="113" t="n"/>
      <c r="F160" s="113" t="n"/>
    </row>
    <row r="161">
      <c r="B161" s="113" t="n"/>
      <c r="C161" s="113" t="n"/>
      <c r="D161" s="113" t="n"/>
      <c r="E161" s="113" t="n"/>
      <c r="F161" s="113" t="n"/>
    </row>
    <row r="162">
      <c r="B162" s="113" t="n"/>
      <c r="C162" s="113" t="n"/>
      <c r="D162" s="113" t="n"/>
      <c r="E162" s="113" t="n"/>
      <c r="F162" s="113" t="n"/>
    </row>
    <row r="163">
      <c r="B163" s="113" t="n"/>
      <c r="C163" s="113" t="n"/>
      <c r="D163" s="113" t="n"/>
      <c r="E163" s="113" t="n"/>
      <c r="F163" s="113" t="n"/>
    </row>
    <row r="164">
      <c r="B164" s="113" t="n"/>
      <c r="C164" s="113" t="n"/>
      <c r="D164" s="113" t="n"/>
      <c r="E164" s="113" t="n"/>
      <c r="F164" s="113" t="n"/>
    </row>
    <row r="165">
      <c r="B165" s="113" t="n"/>
      <c r="C165" s="113" t="n"/>
      <c r="D165" s="113" t="n"/>
      <c r="E165" s="113" t="n"/>
      <c r="F165" s="113" t="n"/>
    </row>
    <row r="166">
      <c r="B166" s="113" t="n"/>
      <c r="C166" s="113" t="n"/>
      <c r="D166" s="113" t="n"/>
      <c r="E166" s="113" t="n"/>
      <c r="F166" s="113" t="n"/>
    </row>
    <row r="167">
      <c r="B167" s="113" t="n"/>
      <c r="C167" s="113" t="n"/>
      <c r="D167" s="113" t="n"/>
      <c r="E167" s="113" t="n"/>
      <c r="F167" s="113" t="n"/>
    </row>
    <row r="168">
      <c r="B168" s="113" t="n"/>
      <c r="C168" s="113" t="n"/>
      <c r="D168" s="113" t="n"/>
      <c r="E168" s="113" t="n"/>
      <c r="F168" s="113" t="n"/>
    </row>
    <row r="169">
      <c r="B169" s="113" t="n"/>
      <c r="C169" s="113" t="n"/>
      <c r="D169" s="113" t="n"/>
      <c r="E169" s="113" t="n"/>
      <c r="F169" s="113" t="n"/>
    </row>
    <row r="170">
      <c r="B170" s="113" t="n"/>
      <c r="C170" s="113" t="n"/>
      <c r="D170" s="113" t="n"/>
      <c r="E170" s="113" t="n"/>
      <c r="F170" s="113" t="n"/>
    </row>
    <row r="171">
      <c r="B171" s="113" t="n"/>
      <c r="C171" s="113" t="n"/>
      <c r="D171" s="113" t="n"/>
      <c r="E171" s="113" t="n"/>
      <c r="F171" s="113" t="n"/>
    </row>
    <row r="172">
      <c r="B172" s="113" t="n"/>
      <c r="C172" s="113" t="n"/>
      <c r="D172" s="113" t="n"/>
      <c r="E172" s="113" t="n"/>
      <c r="F172" s="113" t="n"/>
    </row>
    <row r="173">
      <c r="B173" s="113" t="n"/>
      <c r="C173" s="113" t="n"/>
      <c r="D173" s="113" t="n"/>
      <c r="E173" s="113" t="n"/>
      <c r="F173" s="113" t="n"/>
    </row>
    <row r="174">
      <c r="B174" s="113" t="n"/>
      <c r="C174" s="113" t="n"/>
      <c r="D174" s="113" t="n"/>
      <c r="E174" s="113" t="n"/>
      <c r="F174" s="113" t="n"/>
    </row>
    <row r="175">
      <c r="B175" s="113" t="n"/>
      <c r="C175" s="113" t="n"/>
      <c r="D175" s="113" t="n"/>
      <c r="E175" s="113" t="n"/>
      <c r="F175" s="113" t="n"/>
    </row>
    <row r="176">
      <c r="B176" s="113" t="n"/>
      <c r="C176" s="113" t="n"/>
      <c r="D176" s="113" t="n"/>
      <c r="E176" s="113" t="n"/>
      <c r="F176" s="113" t="n"/>
    </row>
    <row r="177">
      <c r="B177" s="113" t="n"/>
      <c r="C177" s="113" t="n"/>
      <c r="D177" s="113" t="n"/>
      <c r="E177" s="113" t="n"/>
      <c r="F177" s="113" t="n"/>
    </row>
    <row r="178">
      <c r="B178" s="113" t="n"/>
      <c r="C178" s="113" t="n"/>
      <c r="D178" s="113" t="n"/>
      <c r="E178" s="113" t="n"/>
      <c r="F178" s="113" t="n"/>
    </row>
    <row r="179">
      <c r="B179" s="113" t="n"/>
      <c r="C179" s="113" t="n"/>
      <c r="D179" s="113" t="n"/>
      <c r="E179" s="113" t="n"/>
      <c r="F179" s="113" t="n"/>
    </row>
    <row r="180">
      <c r="B180" s="113" t="n"/>
      <c r="C180" s="113" t="n"/>
      <c r="D180" s="113" t="n"/>
      <c r="E180" s="113" t="n"/>
      <c r="F180" s="113" t="n"/>
    </row>
    <row r="181">
      <c r="B181" s="113" t="n"/>
      <c r="C181" s="113" t="n"/>
      <c r="D181" s="113" t="n"/>
      <c r="E181" s="113" t="n"/>
      <c r="F181" s="113" t="n"/>
    </row>
    <row r="182">
      <c r="B182" s="113" t="n"/>
      <c r="C182" s="113" t="n"/>
      <c r="D182" s="113" t="n"/>
      <c r="E182" s="113" t="n"/>
      <c r="F182" s="113" t="n"/>
    </row>
    <row r="183">
      <c r="B183" s="113" t="n"/>
      <c r="C183" s="113" t="n"/>
      <c r="D183" s="113" t="n"/>
      <c r="E183" s="113" t="n"/>
      <c r="F183" s="113" t="n"/>
    </row>
    <row r="184">
      <c r="B184" s="113" t="n"/>
      <c r="C184" s="113" t="n"/>
      <c r="D184" s="113" t="n"/>
      <c r="E184" s="113" t="n"/>
      <c r="F184" s="113" t="n"/>
    </row>
    <row r="185">
      <c r="B185" s="113" t="n"/>
      <c r="C185" s="113" t="n"/>
      <c r="D185" s="113" t="n"/>
      <c r="E185" s="113" t="n"/>
      <c r="F185" s="113" t="n"/>
    </row>
    <row r="186">
      <c r="B186" s="113" t="n"/>
      <c r="C186" s="113" t="n"/>
      <c r="D186" s="113" t="n"/>
      <c r="E186" s="113" t="n"/>
      <c r="F186" s="113" t="n"/>
    </row>
    <row r="187">
      <c r="B187" s="113" t="n"/>
      <c r="C187" s="113" t="n"/>
      <c r="D187" s="113" t="n"/>
      <c r="E187" s="113" t="n"/>
      <c r="F187" s="113" t="n"/>
    </row>
    <row r="188">
      <c r="B188" s="113" t="n"/>
      <c r="C188" s="113" t="n"/>
      <c r="D188" s="113" t="n"/>
      <c r="E188" s="113" t="n"/>
      <c r="F188" s="113" t="n"/>
    </row>
    <row r="189">
      <c r="B189" s="113" t="n"/>
      <c r="C189" s="113" t="n"/>
      <c r="D189" s="113" t="n"/>
      <c r="E189" s="113" t="n"/>
      <c r="F189" s="113" t="n"/>
    </row>
    <row r="190">
      <c r="B190" s="113" t="n"/>
      <c r="C190" s="113" t="n"/>
      <c r="D190" s="113" t="n"/>
      <c r="E190" s="113" t="n"/>
      <c r="F190" s="113" t="n"/>
    </row>
    <row r="191">
      <c r="B191" s="113" t="n"/>
      <c r="C191" s="113" t="n"/>
      <c r="D191" s="113" t="n"/>
      <c r="E191" s="113" t="n"/>
      <c r="F191" s="113" t="n"/>
    </row>
    <row r="192">
      <c r="B192" s="113" t="n"/>
      <c r="C192" s="113" t="n"/>
      <c r="D192" s="113" t="n"/>
      <c r="E192" s="113" t="n"/>
      <c r="F192" s="113" t="n"/>
    </row>
    <row r="193">
      <c r="B193" s="113" t="n"/>
      <c r="C193" s="113" t="n"/>
      <c r="D193" s="113" t="n"/>
      <c r="E193" s="113" t="n"/>
      <c r="F193" s="113" t="n"/>
    </row>
    <row r="194">
      <c r="B194" s="113" t="n"/>
      <c r="C194" s="113" t="n"/>
      <c r="D194" s="113" t="n"/>
      <c r="E194" s="113" t="n"/>
      <c r="F194" s="113" t="n"/>
    </row>
    <row r="195">
      <c r="B195" s="113" t="n"/>
      <c r="C195" s="113" t="n"/>
      <c r="D195" s="113" t="n"/>
      <c r="E195" s="113" t="n"/>
      <c r="F195" s="113" t="n"/>
    </row>
    <row r="196">
      <c r="B196" s="113" t="n"/>
      <c r="C196" s="113" t="n"/>
      <c r="D196" s="113" t="n"/>
      <c r="E196" s="113" t="n"/>
      <c r="F196" s="113" t="n"/>
    </row>
    <row r="197">
      <c r="B197" s="113" t="n"/>
      <c r="C197" s="113" t="n"/>
      <c r="D197" s="113" t="n"/>
      <c r="E197" s="113" t="n"/>
      <c r="F197" s="113" t="n"/>
    </row>
    <row r="198">
      <c r="B198" s="113" t="n"/>
      <c r="C198" s="113" t="n"/>
      <c r="D198" s="113" t="n"/>
      <c r="E198" s="113" t="n"/>
      <c r="F198" s="113" t="n"/>
    </row>
    <row r="199">
      <c r="B199" s="113" t="n"/>
      <c r="C199" s="113" t="n"/>
      <c r="D199" s="113" t="n"/>
      <c r="E199" s="113" t="n"/>
      <c r="F199" s="113" t="n"/>
    </row>
    <row r="200">
      <c r="B200" s="113" t="n"/>
      <c r="C200" s="113" t="n"/>
      <c r="D200" s="113" t="n"/>
      <c r="E200" s="113" t="n"/>
      <c r="F200" s="113" t="n"/>
    </row>
    <row r="201">
      <c r="B201" s="113" t="n"/>
      <c r="C201" s="113" t="n"/>
      <c r="D201" s="113" t="n"/>
      <c r="E201" s="113" t="n"/>
      <c r="F201" s="113" t="n"/>
    </row>
    <row r="202">
      <c r="B202" s="113" t="n"/>
      <c r="C202" s="113" t="n"/>
      <c r="D202" s="113" t="n"/>
      <c r="E202" s="113" t="n"/>
      <c r="F202" s="113" t="n"/>
    </row>
    <row r="203">
      <c r="B203" s="113" t="n"/>
      <c r="C203" s="113" t="n"/>
      <c r="D203" s="113" t="n"/>
      <c r="E203" s="113" t="n"/>
      <c r="F203" s="113" t="n"/>
    </row>
    <row r="204">
      <c r="B204" s="113" t="n"/>
      <c r="C204" s="113" t="n"/>
      <c r="D204" s="113" t="n"/>
      <c r="E204" s="113" t="n"/>
      <c r="F204" s="113" t="n"/>
    </row>
    <row r="205">
      <c r="B205" s="113" t="n"/>
      <c r="C205" s="113" t="n"/>
      <c r="D205" s="113" t="n"/>
      <c r="E205" s="113" t="n"/>
      <c r="F205" s="113" t="n"/>
    </row>
    <row r="206">
      <c r="B206" s="113" t="n"/>
      <c r="C206" s="113" t="n"/>
      <c r="D206" s="113" t="n"/>
      <c r="E206" s="113" t="n"/>
      <c r="F206" s="113" t="n"/>
    </row>
    <row r="207">
      <c r="B207" s="113" t="n"/>
      <c r="C207" s="113" t="n"/>
      <c r="D207" s="113" t="n"/>
      <c r="E207" s="113" t="n"/>
      <c r="F207" s="113" t="n"/>
    </row>
    <row r="208">
      <c r="B208" s="113" t="n"/>
      <c r="C208" s="113" t="n"/>
      <c r="D208" s="113" t="n"/>
      <c r="E208" s="113" t="n"/>
      <c r="F208" s="113" t="n"/>
    </row>
    <row r="209">
      <c r="B209" s="113" t="n"/>
      <c r="C209" s="113" t="n"/>
      <c r="D209" s="113" t="n"/>
      <c r="E209" s="113" t="n"/>
      <c r="F209" s="113" t="n"/>
    </row>
    <row r="210">
      <c r="B210" s="113" t="n"/>
      <c r="C210" s="113" t="n"/>
      <c r="D210" s="113" t="n"/>
      <c r="E210" s="113" t="n"/>
      <c r="F210" s="113" t="n"/>
    </row>
    <row r="211">
      <c r="B211" s="113" t="n"/>
      <c r="C211" s="113" t="n"/>
      <c r="D211" s="113" t="n"/>
      <c r="E211" s="113" t="n"/>
      <c r="F211" s="113" t="n"/>
    </row>
    <row r="212">
      <c r="B212" s="113" t="n"/>
      <c r="C212" s="113" t="n"/>
      <c r="D212" s="113" t="n"/>
      <c r="E212" s="113" t="n"/>
      <c r="F212" s="113" t="n"/>
    </row>
    <row r="213">
      <c r="B213" s="113" t="n"/>
      <c r="C213" s="113" t="n"/>
      <c r="D213" s="113" t="n"/>
      <c r="E213" s="113" t="n"/>
      <c r="F213" s="113" t="n"/>
    </row>
    <row r="214">
      <c r="B214" s="113" t="n"/>
      <c r="C214" s="113" t="n"/>
      <c r="D214" s="113" t="n"/>
      <c r="E214" s="113" t="n"/>
      <c r="F214" s="113" t="n"/>
    </row>
    <row r="215">
      <c r="B215" s="113" t="n"/>
      <c r="C215" s="113" t="n"/>
      <c r="D215" s="113" t="n"/>
      <c r="E215" s="113" t="n"/>
      <c r="F215" s="113" t="n"/>
    </row>
    <row r="216">
      <c r="B216" s="113" t="n"/>
      <c r="C216" s="113" t="n"/>
      <c r="D216" s="113" t="n"/>
      <c r="E216" s="113" t="n"/>
      <c r="F216" s="113" t="n"/>
    </row>
    <row r="217">
      <c r="B217" s="113" t="n"/>
      <c r="C217" s="113" t="n"/>
      <c r="D217" s="113" t="n"/>
      <c r="E217" s="113" t="n"/>
      <c r="F217" s="113" t="n"/>
    </row>
    <row r="218">
      <c r="B218" s="113" t="n"/>
      <c r="C218" s="113" t="n"/>
      <c r="D218" s="113" t="n"/>
      <c r="E218" s="113" t="n"/>
      <c r="F218" s="113" t="n"/>
    </row>
    <row r="219">
      <c r="B219" s="113" t="n"/>
      <c r="C219" s="113" t="n"/>
      <c r="D219" s="113" t="n"/>
      <c r="E219" s="113" t="n"/>
      <c r="F219" s="113" t="n"/>
    </row>
    <row r="220">
      <c r="B220" s="113" t="n"/>
      <c r="C220" s="113" t="n"/>
      <c r="D220" s="113" t="n"/>
      <c r="E220" s="113" t="n"/>
      <c r="F220" s="113" t="n"/>
    </row>
    <row r="221">
      <c r="B221" s="113" t="n"/>
      <c r="C221" s="113" t="n"/>
      <c r="D221" s="113" t="n"/>
      <c r="E221" s="113" t="n"/>
      <c r="F221" s="113" t="n"/>
    </row>
    <row r="222">
      <c r="B222" s="113" t="n"/>
      <c r="C222" s="113" t="n"/>
      <c r="D222" s="113" t="n"/>
      <c r="E222" s="113" t="n"/>
      <c r="F222" s="113" t="n"/>
    </row>
    <row r="223">
      <c r="B223" s="113" t="n"/>
      <c r="C223" s="113" t="n"/>
      <c r="D223" s="113" t="n"/>
      <c r="E223" s="113" t="n"/>
      <c r="F223" s="113" t="n"/>
    </row>
    <row r="224">
      <c r="B224" s="113" t="n"/>
      <c r="C224" s="113" t="n"/>
      <c r="D224" s="113" t="n"/>
      <c r="E224" s="113" t="n"/>
      <c r="F224" s="113" t="n"/>
    </row>
    <row r="225">
      <c r="B225" s="113" t="n"/>
      <c r="C225" s="113" t="n"/>
      <c r="D225" s="113" t="n"/>
      <c r="E225" s="113" t="n"/>
      <c r="F225" s="113" t="n"/>
    </row>
    <row r="226">
      <c r="B226" s="113" t="n"/>
      <c r="C226" s="113" t="n"/>
      <c r="D226" s="113" t="n"/>
      <c r="E226" s="113" t="n"/>
      <c r="F226" s="113" t="n"/>
    </row>
    <row r="227">
      <c r="B227" s="113" t="n"/>
      <c r="C227" s="113" t="n"/>
      <c r="D227" s="113" t="n"/>
      <c r="E227" s="113" t="n"/>
      <c r="F227" s="113" t="n"/>
    </row>
    <row r="228">
      <c r="B228" s="113" t="n"/>
      <c r="C228" s="113" t="n"/>
      <c r="D228" s="113" t="n"/>
      <c r="E228" s="113" t="n"/>
      <c r="F228" s="113" t="n"/>
    </row>
    <row r="229">
      <c r="B229" s="113" t="n"/>
      <c r="C229" s="113" t="n"/>
      <c r="D229" s="113" t="n"/>
      <c r="E229" s="113" t="n"/>
      <c r="F229" s="113" t="n"/>
    </row>
    <row r="230">
      <c r="B230" s="113" t="n"/>
      <c r="C230" s="113" t="n"/>
      <c r="D230" s="113" t="n"/>
      <c r="E230" s="113" t="n"/>
      <c r="F230" s="113" t="n"/>
    </row>
    <row r="231">
      <c r="B231" s="113" t="n"/>
      <c r="C231" s="113" t="n"/>
      <c r="D231" s="113" t="n"/>
      <c r="E231" s="113" t="n"/>
      <c r="F231" s="113" t="n"/>
    </row>
    <row r="232">
      <c r="B232" s="113" t="n"/>
      <c r="C232" s="113" t="n"/>
      <c r="D232" s="113" t="n"/>
      <c r="E232" s="113" t="n"/>
      <c r="F232" s="113" t="n"/>
    </row>
    <row r="233">
      <c r="B233" s="113" t="n"/>
      <c r="C233" s="113" t="n"/>
      <c r="D233" s="113" t="n"/>
      <c r="E233" s="113" t="n"/>
      <c r="F233" s="113" t="n"/>
    </row>
    <row r="234">
      <c r="B234" s="113" t="n"/>
      <c r="C234" s="113" t="n"/>
      <c r="D234" s="113" t="n"/>
      <c r="E234" s="113" t="n"/>
      <c r="F234" s="113" t="n"/>
    </row>
    <row r="235">
      <c r="B235" s="113" t="n"/>
      <c r="C235" s="113" t="n"/>
      <c r="D235" s="113" t="n"/>
      <c r="E235" s="113" t="n"/>
      <c r="F235" s="113" t="n"/>
    </row>
    <row r="236">
      <c r="B236" s="113" t="n"/>
      <c r="C236" s="113" t="n"/>
      <c r="D236" s="113" t="n"/>
      <c r="E236" s="113" t="n"/>
      <c r="F236" s="113" t="n"/>
    </row>
    <row r="237">
      <c r="B237" s="113" t="n"/>
      <c r="C237" s="113" t="n"/>
      <c r="D237" s="113" t="n"/>
      <c r="E237" s="113" t="n"/>
      <c r="F237" s="113" t="n"/>
    </row>
    <row r="238">
      <c r="B238" s="113" t="n"/>
      <c r="C238" s="113" t="n"/>
      <c r="D238" s="113" t="n"/>
      <c r="E238" s="113" t="n"/>
      <c r="F238" s="113" t="n"/>
    </row>
    <row r="239">
      <c r="B239" s="113" t="n"/>
      <c r="C239" s="113" t="n"/>
      <c r="D239" s="113" t="n"/>
      <c r="E239" s="113" t="n"/>
      <c r="F239" s="113" t="n"/>
    </row>
    <row r="240">
      <c r="B240" s="113" t="n"/>
      <c r="C240" s="113" t="n"/>
      <c r="D240" s="113" t="n"/>
      <c r="E240" s="113" t="n"/>
      <c r="F240" s="113" t="n"/>
    </row>
    <row r="241">
      <c r="B241" s="113" t="n"/>
      <c r="C241" s="113" t="n"/>
      <c r="D241" s="113" t="n"/>
      <c r="E241" s="113" t="n"/>
      <c r="F241" s="113" t="n"/>
    </row>
    <row r="242">
      <c r="B242" s="113" t="n"/>
      <c r="C242" s="113" t="n"/>
      <c r="D242" s="113" t="n"/>
      <c r="E242" s="113" t="n"/>
      <c r="F242" s="113" t="n"/>
    </row>
    <row r="243">
      <c r="B243" s="113" t="n"/>
      <c r="C243" s="113" t="n"/>
      <c r="D243" s="113" t="n"/>
      <c r="E243" s="113" t="n"/>
      <c r="F243" s="113" t="n"/>
    </row>
    <row r="244">
      <c r="B244" s="113" t="n"/>
      <c r="C244" s="113" t="n"/>
      <c r="D244" s="113" t="n"/>
      <c r="E244" s="113" t="n"/>
      <c r="F244" s="113" t="n"/>
    </row>
    <row r="245">
      <c r="B245" s="113" t="n"/>
      <c r="C245" s="113" t="n"/>
      <c r="D245" s="113" t="n"/>
      <c r="E245" s="113" t="n"/>
      <c r="F245" s="113" t="n"/>
    </row>
    <row r="246">
      <c r="B246" s="113" t="n"/>
      <c r="C246" s="113" t="n"/>
      <c r="D246" s="113" t="n"/>
      <c r="E246" s="113" t="n"/>
      <c r="F246" s="113" t="n"/>
    </row>
    <row r="247">
      <c r="B247" s="113" t="n"/>
      <c r="C247" s="113" t="n"/>
      <c r="D247" s="113" t="n"/>
      <c r="E247" s="113" t="n"/>
      <c r="F247" s="113" t="n"/>
    </row>
    <row r="248">
      <c r="B248" s="113" t="n"/>
      <c r="C248" s="113" t="n"/>
      <c r="D248" s="113" t="n"/>
      <c r="E248" s="113" t="n"/>
      <c r="F248" s="113" t="n"/>
    </row>
    <row r="249">
      <c r="B249" s="113" t="n"/>
      <c r="C249" s="113" t="n"/>
      <c r="D249" s="113" t="n"/>
      <c r="E249" s="113" t="n"/>
      <c r="F249" s="113" t="n"/>
    </row>
    <row r="250">
      <c r="B250" s="113" t="n"/>
      <c r="C250" s="113" t="n"/>
      <c r="D250" s="113" t="n"/>
      <c r="E250" s="113" t="n"/>
      <c r="F250" s="113" t="n"/>
    </row>
    <row r="251">
      <c r="B251" s="113" t="n"/>
      <c r="C251" s="113" t="n"/>
      <c r="D251" s="113" t="n"/>
      <c r="E251" s="113" t="n"/>
      <c r="F251" s="113" t="n"/>
    </row>
    <row r="252">
      <c r="B252" s="113" t="n"/>
      <c r="C252" s="113" t="n"/>
      <c r="D252" s="113" t="n"/>
      <c r="E252" s="113" t="n"/>
      <c r="F252" s="113" t="n"/>
    </row>
    <row r="253">
      <c r="B253" s="113" t="n"/>
      <c r="C253" s="113" t="n"/>
      <c r="D253" s="113" t="n"/>
      <c r="E253" s="113" t="n"/>
      <c r="F253" s="113" t="n"/>
    </row>
    <row r="254">
      <c r="B254" s="113" t="n"/>
      <c r="C254" s="113" t="n"/>
      <c r="D254" s="113" t="n"/>
      <c r="E254" s="113" t="n"/>
      <c r="F254" s="113" t="n"/>
    </row>
    <row r="255">
      <c r="B255" s="113" t="n"/>
      <c r="C255" s="113" t="n"/>
      <c r="D255" s="113" t="n"/>
      <c r="E255" s="113" t="n"/>
      <c r="F255" s="113" t="n"/>
    </row>
    <row r="256">
      <c r="B256" s="113" t="n"/>
      <c r="C256" s="113" t="n"/>
      <c r="D256" s="113" t="n"/>
      <c r="E256" s="113" t="n"/>
      <c r="F256" s="113" t="n"/>
    </row>
    <row r="257">
      <c r="B257" s="113" t="n"/>
      <c r="C257" s="113" t="n"/>
      <c r="D257" s="113" t="n"/>
      <c r="E257" s="113" t="n"/>
      <c r="F257" s="113" t="n"/>
    </row>
    <row r="258">
      <c r="B258" s="113" t="n"/>
      <c r="C258" s="113" t="n"/>
      <c r="D258" s="113" t="n"/>
      <c r="E258" s="113" t="n"/>
      <c r="F258" s="113" t="n"/>
    </row>
    <row r="259">
      <c r="B259" s="113" t="n"/>
      <c r="C259" s="113" t="n"/>
      <c r="D259" s="113" t="n"/>
      <c r="E259" s="113" t="n"/>
      <c r="F259" s="113" t="n"/>
    </row>
    <row r="260">
      <c r="B260" s="113" t="n"/>
      <c r="C260" s="113" t="n"/>
      <c r="D260" s="113" t="n"/>
      <c r="E260" s="113" t="n"/>
      <c r="F260" s="113" t="n"/>
    </row>
    <row r="261">
      <c r="B261" s="113" t="n"/>
      <c r="C261" s="113" t="n"/>
      <c r="D261" s="113" t="n"/>
      <c r="E261" s="113" t="n"/>
      <c r="F261" s="113" t="n"/>
    </row>
    <row r="262">
      <c r="B262" s="113" t="n"/>
      <c r="C262" s="113" t="n"/>
      <c r="D262" s="113" t="n"/>
      <c r="E262" s="113" t="n"/>
      <c r="F262" s="113" t="n"/>
    </row>
    <row r="263">
      <c r="B263" s="113" t="n"/>
      <c r="C263" s="113" t="n"/>
      <c r="D263" s="113" t="n"/>
      <c r="E263" s="113" t="n"/>
      <c r="F263" s="113" t="n"/>
    </row>
    <row r="264">
      <c r="B264" s="113" t="n"/>
      <c r="C264" s="113" t="n"/>
      <c r="D264" s="113" t="n"/>
      <c r="E264" s="113" t="n"/>
      <c r="F264" s="113" t="n"/>
    </row>
    <row r="265">
      <c r="B265" s="113" t="n"/>
      <c r="C265" s="113" t="n"/>
      <c r="D265" s="113" t="n"/>
      <c r="E265" s="113" t="n"/>
      <c r="F265" s="113" t="n"/>
    </row>
    <row r="266">
      <c r="B266" s="113" t="n"/>
      <c r="C266" s="113" t="n"/>
      <c r="D266" s="113" t="n"/>
      <c r="E266" s="113" t="n"/>
      <c r="F266" s="113" t="n"/>
    </row>
    <row r="267">
      <c r="B267" s="113" t="n"/>
      <c r="C267" s="113" t="n"/>
      <c r="D267" s="113" t="n"/>
      <c r="E267" s="113" t="n"/>
      <c r="F267" s="113" t="n"/>
    </row>
    <row r="268">
      <c r="B268" s="113" t="n"/>
      <c r="C268" s="113" t="n"/>
      <c r="D268" s="113" t="n"/>
      <c r="E268" s="113" t="n"/>
      <c r="F268" s="113" t="n"/>
    </row>
    <row r="269">
      <c r="B269" s="113" t="n"/>
      <c r="C269" s="113" t="n"/>
      <c r="D269" s="113" t="n"/>
      <c r="E269" s="113" t="n"/>
      <c r="F269" s="113" t="n"/>
    </row>
    <row r="270">
      <c r="B270" s="113" t="n"/>
      <c r="C270" s="113" t="n"/>
      <c r="D270" s="113" t="n"/>
      <c r="E270" s="113" t="n"/>
      <c r="F270" s="113" t="n"/>
    </row>
    <row r="271">
      <c r="B271" s="113" t="n"/>
      <c r="C271" s="113" t="n"/>
      <c r="D271" s="113" t="n"/>
      <c r="E271" s="113" t="n"/>
      <c r="F271" s="113" t="n"/>
    </row>
    <row r="272">
      <c r="B272" s="113" t="n"/>
      <c r="C272" s="113" t="n"/>
      <c r="D272" s="113" t="n"/>
      <c r="E272" s="113" t="n"/>
      <c r="F272" s="113" t="n"/>
    </row>
    <row r="273">
      <c r="B273" s="113" t="n"/>
      <c r="C273" s="113" t="n"/>
      <c r="D273" s="113" t="n"/>
      <c r="E273" s="113" t="n"/>
      <c r="F273" s="1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2026-09-23T18:42:18Z</dcterms:created>
  <dcterms:modified xmlns:dcterms="http://purl.org/dc/terms/" xmlns:xsi="http://www.w3.org/2001/XMLSchema-instance" xsi:type="dcterms:W3CDTF">2026-09-24T05:58:23Z</dcterms:modified>
  <cp:lastModifiedBy>QuantWizard</cp:lastModifiedBy>
</cp:coreProperties>
</file>